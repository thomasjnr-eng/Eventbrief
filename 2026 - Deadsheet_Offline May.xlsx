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xr:revisionPtr revIDLastSave="0" documentId="11_F7EC3576874DBCF5580FF9A9D021F41D6904758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ble" sheetId="1" r:id="rId1"/>
    <sheet name="Live Ops Checklist" sheetId="2" r:id="rId2"/>
    <sheet name="Sheet25" sheetId="3" r:id="rId3"/>
    <sheet name="Punchestown Festival 26" sheetId="4" r:id="rId4"/>
    <sheet name="Fairyhouse Grand National " sheetId="5" r:id="rId5"/>
    <sheet name="DRF 26" sheetId="6" r:id="rId6"/>
    <sheet name="Google Engage" sheetId="7" r:id="rId7"/>
    <sheet name="EP 25" sheetId="8" r:id="rId8"/>
    <sheet name="Iveagh Gardens Takings " sheetId="9" r:id="rId9"/>
    <sheet name="Staff &amp; Trailers" sheetId="10" r:id="rId10"/>
    <sheet name="Zach Bryan" sheetId="11" r:id="rId11"/>
    <sheet name="Kaleidoscope 25" sheetId="12" r:id="rId12"/>
    <sheet name="LATM" sheetId="13" r:id="rId13"/>
    <sheet name="LATIG" sheetId="14" r:id="rId14"/>
    <sheet name="Rate Cards" sheetId="15" r:id="rId15"/>
    <sheet name="Cash Lifts" sheetId="16" r:id="rId16"/>
    <sheet name="FitzersLevy" sheetId="17" r:id="rId17"/>
    <sheet name="Suppliers" sheetId="18" r:id="rId18"/>
    <sheet name="Punchestown Festival" sheetId="19" r:id="rId19"/>
    <sheet name="EP 24" sheetId="20" r:id="rId20"/>
    <sheet name="HS25" sheetId="21" r:id="rId21"/>
    <sheet name="ATN" sheetId="22" r:id="rId22"/>
    <sheet name="ATN 2025" sheetId="23" r:id="rId23"/>
    <sheet name="Fire Extinguishers" sheetId="24" r:id="rId24"/>
    <sheet name="Calendar" sheetId="25" r:id="rId25"/>
    <sheet name="Days Per Unit" sheetId="26" r:id="rId26"/>
    <sheet name="New Business Development " sheetId="27" r:id="rId27"/>
    <sheet name="Accounts - Payable" sheetId="28" r:id="rId28"/>
    <sheet name="TS Aviva" sheetId="29" r:id="rId29"/>
    <sheet name="Bruce Springsteen" sheetId="30" r:id="rId30"/>
  </sheets>
  <definedNames>
    <definedName name="_xlnm._FilterDatabase" localSheetId="17" hidden="1">Suppliers!$A$3:$I$185</definedName>
    <definedName name="_xlnm._FilterDatabase" localSheetId="25" hidden="1">'Days Per Unit'!$A$1:$B$1000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30" l="1"/>
  <c r="O12" i="30"/>
  <c r="A18" i="30"/>
  <c r="N4" i="30"/>
  <c r="N5" i="30"/>
  <c r="N6" i="30"/>
  <c r="N7" i="30"/>
  <c r="N11" i="30"/>
  <c r="N10" i="30"/>
  <c r="N9" i="30"/>
  <c r="N8" i="30"/>
  <c r="N12" i="30"/>
  <c r="S4" i="30"/>
  <c r="S5" i="30"/>
  <c r="S6" i="30"/>
  <c r="S7" i="30"/>
  <c r="S11" i="30"/>
  <c r="S10" i="30"/>
  <c r="S9" i="30"/>
  <c r="S8" i="30"/>
  <c r="S12" i="30"/>
  <c r="A15" i="30"/>
  <c r="R12" i="30"/>
  <c r="Q12" i="30"/>
  <c r="P12" i="30"/>
  <c r="M12" i="30"/>
  <c r="L12" i="30"/>
  <c r="K12" i="30"/>
  <c r="B63" i="26"/>
  <c r="B62" i="26"/>
  <c r="B61" i="26"/>
  <c r="B60" i="26"/>
  <c r="B59" i="26"/>
  <c r="B58" i="26"/>
  <c r="B57" i="26"/>
  <c r="B56" i="26"/>
  <c r="B55" i="26"/>
  <c r="B54" i="26"/>
  <c r="B53" i="26"/>
  <c r="B52" i="26"/>
  <c r="B51" i="26"/>
  <c r="B50" i="26"/>
  <c r="B49" i="26"/>
  <c r="B48" i="26"/>
  <c r="B47" i="26"/>
  <c r="B46" i="26"/>
  <c r="B45" i="26"/>
  <c r="B44" i="26"/>
  <c r="B43" i="26"/>
  <c r="B42" i="26"/>
  <c r="B41" i="26"/>
  <c r="B40" i="26"/>
  <c r="B39" i="26"/>
  <c r="B38" i="26"/>
  <c r="B37" i="26"/>
  <c r="B36" i="26"/>
  <c r="B35" i="26"/>
  <c r="B34" i="26"/>
  <c r="B33" i="26"/>
  <c r="B32" i="26"/>
  <c r="B31" i="26"/>
  <c r="B30" i="26"/>
  <c r="B29" i="26"/>
  <c r="B28" i="26"/>
  <c r="B27" i="26"/>
  <c r="B26" i="26"/>
  <c r="B2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B7" i="26"/>
  <c r="B6" i="26"/>
  <c r="B5" i="26"/>
  <c r="B4" i="26"/>
  <c r="B3" i="26"/>
  <c r="A33" i="25" a="1"/>
  <c r="A67" i="25"/>
  <c r="A66" i="25"/>
  <c r="A65" i="25"/>
  <c r="A64" i="25"/>
  <c r="A63" i="25"/>
  <c r="A62" i="25"/>
  <c r="A61" i="25"/>
  <c r="A60" i="25"/>
  <c r="A59" i="25"/>
  <c r="A58" i="25"/>
  <c r="A57" i="25"/>
  <c r="A56" i="25"/>
  <c r="A55" i="25"/>
  <c r="A54" i="25"/>
  <c r="A53" i="25"/>
  <c r="A52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4" i="25" a="1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A12" i="25"/>
  <c r="A11" i="25"/>
  <c r="A10" i="25"/>
  <c r="A9" i="25"/>
  <c r="A8" i="25"/>
  <c r="A7" i="25"/>
  <c r="A6" i="25"/>
  <c r="A5" i="25"/>
  <c r="A4" i="25"/>
  <c r="C88" i="23"/>
  <c r="D88" i="23"/>
  <c r="E88" i="23"/>
  <c r="F88" i="23"/>
  <c r="G88" i="23"/>
  <c r="G89" i="23"/>
  <c r="G90" i="23"/>
  <c r="G87" i="23"/>
  <c r="G86" i="23"/>
  <c r="G85" i="23"/>
  <c r="G84" i="23"/>
  <c r="G83" i="23"/>
  <c r="G82" i="23"/>
  <c r="G81" i="23"/>
  <c r="G80" i="23"/>
  <c r="C70" i="23"/>
  <c r="D48" i="23"/>
  <c r="C48" i="23"/>
  <c r="B48" i="23"/>
  <c r="H47" i="23"/>
  <c r="C34" i="23"/>
  <c r="L32" i="23"/>
  <c r="K32" i="23"/>
  <c r="J26" i="23"/>
  <c r="J32" i="23"/>
  <c r="I26" i="23"/>
  <c r="I32" i="23"/>
  <c r="H26" i="23"/>
  <c r="H32" i="23"/>
  <c r="G26" i="23"/>
  <c r="G32" i="23"/>
  <c r="F26" i="23"/>
  <c r="F32" i="23"/>
  <c r="E26" i="23"/>
  <c r="E32" i="23"/>
  <c r="D26" i="23"/>
  <c r="D32" i="23"/>
  <c r="C26" i="23"/>
  <c r="C32" i="23"/>
  <c r="H13" i="23"/>
  <c r="H14" i="23"/>
  <c r="H43" i="22"/>
  <c r="C31" i="22"/>
  <c r="L29" i="22"/>
  <c r="K29" i="22"/>
  <c r="J29" i="22"/>
  <c r="I29" i="22"/>
  <c r="H29" i="22"/>
  <c r="G29" i="22"/>
  <c r="F29" i="22"/>
  <c r="E29" i="22"/>
  <c r="D29" i="22"/>
  <c r="C29" i="22"/>
  <c r="D11" i="22"/>
  <c r="E11" i="22"/>
  <c r="F11" i="22"/>
  <c r="G11" i="22"/>
  <c r="H11" i="22"/>
  <c r="H12" i="22"/>
  <c r="H13" i="22"/>
  <c r="H10" i="22"/>
  <c r="H9" i="22"/>
  <c r="H8" i="22"/>
  <c r="H7" i="22"/>
  <c r="H6" i="22"/>
  <c r="H5" i="22"/>
  <c r="H4" i="22"/>
  <c r="H3" i="22"/>
  <c r="C133" i="21"/>
  <c r="E133" i="21"/>
  <c r="G133" i="21"/>
  <c r="I133" i="21"/>
  <c r="K133" i="21"/>
  <c r="J136" i="21"/>
  <c r="B133" i="21"/>
  <c r="D133" i="21"/>
  <c r="F133" i="21"/>
  <c r="H133" i="21"/>
  <c r="J133" i="21"/>
  <c r="J135" i="21"/>
  <c r="J134" i="21"/>
  <c r="L46" i="20"/>
  <c r="L47" i="20"/>
  <c r="L48" i="20"/>
  <c r="L49" i="20"/>
  <c r="L58" i="20"/>
  <c r="L57" i="20"/>
  <c r="L56" i="20"/>
  <c r="L55" i="20"/>
  <c r="L54" i="20"/>
  <c r="L53" i="20"/>
  <c r="L52" i="20"/>
  <c r="L51" i="20"/>
  <c r="L50" i="20"/>
  <c r="L59" i="20"/>
  <c r="L60" i="20"/>
  <c r="L61" i="20"/>
  <c r="L63" i="20"/>
  <c r="K59" i="20"/>
  <c r="K60" i="20"/>
  <c r="K61" i="20"/>
  <c r="J59" i="20"/>
  <c r="J60" i="20"/>
  <c r="J61" i="20"/>
  <c r="I59" i="20"/>
  <c r="I60" i="20"/>
  <c r="I61" i="20"/>
  <c r="J41" i="20"/>
  <c r="I41" i="20"/>
  <c r="H41" i="20"/>
  <c r="G41" i="20"/>
  <c r="F41" i="20"/>
  <c r="E41" i="20"/>
  <c r="D41" i="20"/>
  <c r="C41" i="20"/>
  <c r="B41" i="20"/>
  <c r="R11" i="20"/>
  <c r="K18" i="19"/>
  <c r="P18" i="19"/>
  <c r="U18" i="19"/>
  <c r="Z18" i="19"/>
  <c r="AE18" i="19"/>
  <c r="A24" i="19"/>
  <c r="AI4" i="19"/>
  <c r="AI5" i="19"/>
  <c r="AI6" i="19"/>
  <c r="AI7" i="19"/>
  <c r="AI17" i="19"/>
  <c r="AI16" i="19"/>
  <c r="AI15" i="19"/>
  <c r="AI14" i="19"/>
  <c r="AI13" i="19"/>
  <c r="AI12" i="19"/>
  <c r="AI11" i="19"/>
  <c r="AI10" i="19"/>
  <c r="AI9" i="19"/>
  <c r="AI8" i="19"/>
  <c r="AI18" i="19"/>
  <c r="AI19" i="19"/>
  <c r="AI20" i="19"/>
  <c r="AI21" i="19"/>
  <c r="AI22" i="19"/>
  <c r="AI23" i="19"/>
  <c r="AD4" i="19"/>
  <c r="AD5" i="19"/>
  <c r="AD6" i="19"/>
  <c r="AD7" i="19"/>
  <c r="AD17" i="19"/>
  <c r="AD16" i="19"/>
  <c r="AD15" i="19"/>
  <c r="AD14" i="19"/>
  <c r="AD13" i="19"/>
  <c r="AD12" i="19"/>
  <c r="AD11" i="19"/>
  <c r="AD10" i="19"/>
  <c r="AD9" i="19"/>
  <c r="AD8" i="19"/>
  <c r="AD18" i="19"/>
  <c r="AD19" i="19"/>
  <c r="AD20" i="19"/>
  <c r="AD21" i="19"/>
  <c r="AD22" i="19"/>
  <c r="AD23" i="19"/>
  <c r="O4" i="19"/>
  <c r="O5" i="19"/>
  <c r="O6" i="19"/>
  <c r="O7" i="19"/>
  <c r="O17" i="19"/>
  <c r="O16" i="19"/>
  <c r="O15" i="19"/>
  <c r="O14" i="19"/>
  <c r="O13" i="19"/>
  <c r="O12" i="19"/>
  <c r="O11" i="19"/>
  <c r="O10" i="19"/>
  <c r="O9" i="19"/>
  <c r="O8" i="19"/>
  <c r="O18" i="19"/>
  <c r="T4" i="19"/>
  <c r="T5" i="19"/>
  <c r="T6" i="19"/>
  <c r="T7" i="19"/>
  <c r="T17" i="19"/>
  <c r="T16" i="19"/>
  <c r="T15" i="19"/>
  <c r="T14" i="19"/>
  <c r="T13" i="19"/>
  <c r="T12" i="19"/>
  <c r="T11" i="19"/>
  <c r="T10" i="19"/>
  <c r="T9" i="19"/>
  <c r="T8" i="19"/>
  <c r="T18" i="19"/>
  <c r="Y4" i="19"/>
  <c r="Y5" i="19"/>
  <c r="Y6" i="19"/>
  <c r="Y7" i="19"/>
  <c r="Y17" i="19"/>
  <c r="Y16" i="19"/>
  <c r="Y15" i="19"/>
  <c r="Y14" i="19"/>
  <c r="Y13" i="19"/>
  <c r="Y12" i="19"/>
  <c r="Y11" i="19"/>
  <c r="Y10" i="19"/>
  <c r="Y9" i="19"/>
  <c r="Y8" i="19"/>
  <c r="Y18" i="19"/>
  <c r="A21" i="19"/>
  <c r="AH18" i="19"/>
  <c r="AG18" i="19"/>
  <c r="AF18" i="19"/>
  <c r="AC18" i="19"/>
  <c r="AB18" i="19"/>
  <c r="AA18" i="19"/>
  <c r="X18" i="19"/>
  <c r="W18" i="19"/>
  <c r="V18" i="19"/>
  <c r="S18" i="19"/>
  <c r="R18" i="19"/>
  <c r="Q18" i="19"/>
  <c r="N18" i="19"/>
  <c r="M18" i="19"/>
  <c r="L18" i="19"/>
  <c r="G146" i="17"/>
  <c r="F146" i="17"/>
  <c r="E146" i="17"/>
  <c r="M29" i="17"/>
  <c r="E46" i="16"/>
  <c r="I3" i="16"/>
  <c r="I4" i="16"/>
  <c r="I5" i="16"/>
  <c r="I6" i="16"/>
  <c r="I11" i="16"/>
  <c r="I10" i="16"/>
  <c r="I9" i="16"/>
  <c r="I8" i="16"/>
  <c r="I7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F37" i="15"/>
  <c r="E37" i="15"/>
  <c r="F36" i="15"/>
  <c r="E36" i="15"/>
  <c r="F35" i="15"/>
  <c r="E35" i="15"/>
  <c r="F34" i="15"/>
  <c r="E34" i="15"/>
  <c r="F33" i="15"/>
  <c r="E33" i="15"/>
  <c r="F32" i="15"/>
  <c r="E32" i="15"/>
  <c r="F31" i="15"/>
  <c r="E31" i="15"/>
  <c r="F30" i="15"/>
  <c r="E30" i="15"/>
  <c r="F29" i="15"/>
  <c r="E29" i="15"/>
  <c r="F28" i="15"/>
  <c r="E28" i="15"/>
  <c r="F27" i="15"/>
  <c r="E27" i="15"/>
  <c r="F26" i="15"/>
  <c r="E26" i="15"/>
  <c r="F25" i="15"/>
  <c r="E25" i="15"/>
  <c r="F24" i="15"/>
  <c r="E24" i="15"/>
  <c r="U23" i="14"/>
  <c r="S23" i="14"/>
  <c r="Q23" i="14"/>
  <c r="O23" i="14"/>
  <c r="M23" i="14"/>
  <c r="K23" i="14"/>
  <c r="I23" i="14"/>
  <c r="G23" i="14"/>
  <c r="E23" i="14"/>
  <c r="C2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H30" i="13"/>
  <c r="BH33" i="13"/>
  <c r="BH35" i="13"/>
  <c r="BH37" i="13"/>
  <c r="BH44" i="13"/>
  <c r="BH43" i="13"/>
  <c r="BH41" i="13"/>
  <c r="BH39" i="13"/>
  <c r="BH45" i="13"/>
  <c r="BG30" i="13"/>
  <c r="BG33" i="13"/>
  <c r="BG35" i="13"/>
  <c r="BG37" i="13"/>
  <c r="BG44" i="13"/>
  <c r="BG43" i="13"/>
  <c r="BG41" i="13"/>
  <c r="BG39" i="13"/>
  <c r="BG45" i="13"/>
  <c r="BE45" i="13"/>
  <c r="BC45" i="13"/>
  <c r="BA45" i="13"/>
  <c r="AY45" i="13"/>
  <c r="AW45" i="13"/>
  <c r="AU45" i="13"/>
  <c r="AS45" i="13"/>
  <c r="AQ45" i="13"/>
  <c r="AO45" i="13"/>
  <c r="AM45" i="13"/>
  <c r="AK45" i="13"/>
  <c r="AI45" i="13"/>
  <c r="AG45" i="13"/>
  <c r="AE45" i="13"/>
  <c r="AC45" i="13"/>
  <c r="AA45" i="13"/>
  <c r="Y45" i="13"/>
  <c r="W45" i="13"/>
  <c r="U45" i="13"/>
  <c r="S45" i="13"/>
  <c r="Q45" i="13"/>
  <c r="O45" i="13"/>
  <c r="M45" i="13"/>
  <c r="K45" i="13"/>
  <c r="I45" i="13"/>
  <c r="G45" i="13"/>
  <c r="E45" i="13"/>
  <c r="C45" i="13"/>
  <c r="BH17" i="13"/>
  <c r="BH18" i="13"/>
  <c r="BH19" i="13"/>
  <c r="BH20" i="13"/>
  <c r="BH24" i="13"/>
  <c r="BH23" i="13"/>
  <c r="BH22" i="13"/>
  <c r="BH21" i="13"/>
  <c r="BH25" i="13"/>
  <c r="BG17" i="13"/>
  <c r="BG18" i="13"/>
  <c r="BG19" i="13"/>
  <c r="BG20" i="13"/>
  <c r="BG24" i="13"/>
  <c r="BG23" i="13"/>
  <c r="BG22" i="13"/>
  <c r="BG21" i="13"/>
  <c r="BG25" i="13"/>
  <c r="BF25" i="13"/>
  <c r="BE25" i="13"/>
  <c r="BD25" i="13"/>
  <c r="BC25" i="13"/>
  <c r="BB25" i="13"/>
  <c r="BA25" i="13"/>
  <c r="AZ25" i="13"/>
  <c r="AY25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M50" i="12"/>
  <c r="N50" i="12"/>
  <c r="M51" i="12"/>
  <c r="N51" i="12"/>
  <c r="M52" i="12"/>
  <c r="N52" i="12"/>
  <c r="M53" i="12"/>
  <c r="N53" i="12"/>
  <c r="M149" i="12"/>
  <c r="N149" i="12"/>
  <c r="M148" i="12"/>
  <c r="N148" i="12"/>
  <c r="M147" i="12"/>
  <c r="N147" i="12"/>
  <c r="M146" i="12"/>
  <c r="N146" i="12"/>
  <c r="M145" i="12"/>
  <c r="N145" i="12"/>
  <c r="M144" i="12"/>
  <c r="N144" i="12"/>
  <c r="M143" i="12"/>
  <c r="N143" i="12"/>
  <c r="M142" i="12"/>
  <c r="N142" i="12"/>
  <c r="M141" i="12"/>
  <c r="N141" i="12"/>
  <c r="M140" i="12"/>
  <c r="N140" i="12"/>
  <c r="M139" i="12"/>
  <c r="N139" i="12"/>
  <c r="M138" i="12"/>
  <c r="N138" i="12"/>
  <c r="M137" i="12"/>
  <c r="N137" i="12"/>
  <c r="M136" i="12"/>
  <c r="N136" i="12"/>
  <c r="M135" i="12"/>
  <c r="N135" i="12"/>
  <c r="M134" i="12"/>
  <c r="N134" i="12"/>
  <c r="M133" i="12"/>
  <c r="N133" i="12"/>
  <c r="M132" i="12"/>
  <c r="N132" i="12"/>
  <c r="M131" i="12"/>
  <c r="N131" i="12"/>
  <c r="M130" i="12"/>
  <c r="N130" i="12"/>
  <c r="M129" i="12"/>
  <c r="N129" i="12"/>
  <c r="M128" i="12"/>
  <c r="N128" i="12"/>
  <c r="M127" i="12"/>
  <c r="N127" i="12"/>
  <c r="M126" i="12"/>
  <c r="N126" i="12"/>
  <c r="M125" i="12"/>
  <c r="N125" i="12"/>
  <c r="M124" i="12"/>
  <c r="N124" i="12"/>
  <c r="M123" i="12"/>
  <c r="N123" i="12"/>
  <c r="M122" i="12"/>
  <c r="N122" i="12"/>
  <c r="M121" i="12"/>
  <c r="N121" i="12"/>
  <c r="M120" i="12"/>
  <c r="N120" i="12"/>
  <c r="M119" i="12"/>
  <c r="N119" i="12"/>
  <c r="M118" i="12"/>
  <c r="N118" i="12"/>
  <c r="M117" i="12"/>
  <c r="N117" i="12"/>
  <c r="M116" i="12"/>
  <c r="N116" i="12"/>
  <c r="M115" i="12"/>
  <c r="N115" i="12"/>
  <c r="M114" i="12"/>
  <c r="N114" i="12"/>
  <c r="M113" i="12"/>
  <c r="N113" i="12"/>
  <c r="M112" i="12"/>
  <c r="N112" i="12"/>
  <c r="M111" i="12"/>
  <c r="N111" i="12"/>
  <c r="M110" i="12"/>
  <c r="N110" i="12"/>
  <c r="M109" i="12"/>
  <c r="N109" i="12"/>
  <c r="M108" i="12"/>
  <c r="N108" i="12"/>
  <c r="M107" i="12"/>
  <c r="N107" i="12"/>
  <c r="M106" i="12"/>
  <c r="N106" i="12"/>
  <c r="M105" i="12"/>
  <c r="N105" i="12"/>
  <c r="M104" i="12"/>
  <c r="N104" i="12"/>
  <c r="M103" i="12"/>
  <c r="N103" i="12"/>
  <c r="M102" i="12"/>
  <c r="N102" i="12"/>
  <c r="M101" i="12"/>
  <c r="N101" i="12"/>
  <c r="M100" i="12"/>
  <c r="N100" i="12"/>
  <c r="M99" i="12"/>
  <c r="N99" i="12"/>
  <c r="M98" i="12"/>
  <c r="N98" i="12"/>
  <c r="M97" i="12"/>
  <c r="N97" i="12"/>
  <c r="M96" i="12"/>
  <c r="N96" i="12"/>
  <c r="M95" i="12"/>
  <c r="N95" i="12"/>
  <c r="M94" i="12"/>
  <c r="N94" i="12"/>
  <c r="M93" i="12"/>
  <c r="N93" i="12"/>
  <c r="M92" i="12"/>
  <c r="N92" i="12"/>
  <c r="M91" i="12"/>
  <c r="N91" i="12"/>
  <c r="M90" i="12"/>
  <c r="N90" i="12"/>
  <c r="M89" i="12"/>
  <c r="N89" i="12"/>
  <c r="M88" i="12"/>
  <c r="N88" i="12"/>
  <c r="M87" i="12"/>
  <c r="N87" i="12"/>
  <c r="M86" i="12"/>
  <c r="N86" i="12"/>
  <c r="M85" i="12"/>
  <c r="N85" i="12"/>
  <c r="M84" i="12"/>
  <c r="N84" i="12"/>
  <c r="M83" i="12"/>
  <c r="N83" i="12"/>
  <c r="M82" i="12"/>
  <c r="N82" i="12"/>
  <c r="M81" i="12"/>
  <c r="N81" i="12"/>
  <c r="M80" i="12"/>
  <c r="N80" i="12"/>
  <c r="M79" i="12"/>
  <c r="N79" i="12"/>
  <c r="M78" i="12"/>
  <c r="N78" i="12"/>
  <c r="M77" i="12"/>
  <c r="N77" i="12"/>
  <c r="M76" i="12"/>
  <c r="N76" i="12"/>
  <c r="M75" i="12"/>
  <c r="N75" i="12"/>
  <c r="M74" i="12"/>
  <c r="N74" i="12"/>
  <c r="M73" i="12"/>
  <c r="N73" i="12"/>
  <c r="M72" i="12"/>
  <c r="N72" i="12"/>
  <c r="M71" i="12"/>
  <c r="N71" i="12"/>
  <c r="M70" i="12"/>
  <c r="N70" i="12"/>
  <c r="M69" i="12"/>
  <c r="N69" i="12"/>
  <c r="M68" i="12"/>
  <c r="N68" i="12"/>
  <c r="M67" i="12"/>
  <c r="N67" i="12"/>
  <c r="M66" i="12"/>
  <c r="N66" i="12"/>
  <c r="M65" i="12"/>
  <c r="N65" i="12"/>
  <c r="M64" i="12"/>
  <c r="N64" i="12"/>
  <c r="M63" i="12"/>
  <c r="N63" i="12"/>
  <c r="M62" i="12"/>
  <c r="N62" i="12"/>
  <c r="M61" i="12"/>
  <c r="N61" i="12"/>
  <c r="M60" i="12"/>
  <c r="N60" i="12"/>
  <c r="M59" i="12"/>
  <c r="N59" i="12"/>
  <c r="M58" i="12"/>
  <c r="N58" i="12"/>
  <c r="M57" i="12"/>
  <c r="N57" i="12"/>
  <c r="M56" i="12"/>
  <c r="N56" i="12"/>
  <c r="M55" i="12"/>
  <c r="N55" i="12"/>
  <c r="M54" i="12"/>
  <c r="N54" i="12"/>
  <c r="N151" i="12"/>
  <c r="M151" i="12"/>
  <c r="Q40" i="12"/>
  <c r="Q41" i="12"/>
  <c r="Q42" i="12"/>
  <c r="R40" i="12"/>
  <c r="R41" i="12"/>
  <c r="R42" i="12"/>
  <c r="S40" i="12"/>
  <c r="S41" i="12"/>
  <c r="S42" i="12"/>
  <c r="T42" i="12"/>
  <c r="K42" i="12"/>
  <c r="J42" i="12"/>
  <c r="I42" i="12"/>
  <c r="H42" i="12"/>
  <c r="G42" i="12"/>
  <c r="F42" i="12"/>
  <c r="E42" i="12"/>
  <c r="D42" i="12"/>
  <c r="C42" i="12"/>
  <c r="T41" i="12"/>
  <c r="T40" i="12"/>
  <c r="T38" i="12"/>
  <c r="T37" i="12"/>
  <c r="T36" i="12"/>
  <c r="T35" i="12"/>
  <c r="T34" i="12"/>
  <c r="T33" i="12"/>
  <c r="T32" i="12"/>
  <c r="T31" i="12"/>
  <c r="T30" i="12"/>
  <c r="T29" i="12"/>
  <c r="T28" i="12"/>
  <c r="T27" i="12"/>
  <c r="T26" i="12"/>
  <c r="T25" i="12"/>
  <c r="L48" i="11"/>
  <c r="M48" i="11"/>
  <c r="L49" i="11"/>
  <c r="M49" i="11"/>
  <c r="L50" i="11"/>
  <c r="M50" i="11"/>
  <c r="L51" i="11"/>
  <c r="M51" i="11"/>
  <c r="L147" i="11"/>
  <c r="M147" i="11"/>
  <c r="L146" i="11"/>
  <c r="M146" i="11"/>
  <c r="L145" i="11"/>
  <c r="M145" i="11"/>
  <c r="L144" i="11"/>
  <c r="M144" i="11"/>
  <c r="L143" i="11"/>
  <c r="M143" i="11"/>
  <c r="L142" i="11"/>
  <c r="M142" i="11"/>
  <c r="L141" i="11"/>
  <c r="M141" i="11"/>
  <c r="L140" i="11"/>
  <c r="M140" i="11"/>
  <c r="L139" i="11"/>
  <c r="M139" i="11"/>
  <c r="L138" i="11"/>
  <c r="M138" i="11"/>
  <c r="L137" i="11"/>
  <c r="M137" i="11"/>
  <c r="L136" i="11"/>
  <c r="M136" i="11"/>
  <c r="L135" i="11"/>
  <c r="M135" i="11"/>
  <c r="L134" i="11"/>
  <c r="M134" i="11"/>
  <c r="L133" i="11"/>
  <c r="M133" i="11"/>
  <c r="L132" i="11"/>
  <c r="M132" i="11"/>
  <c r="L131" i="11"/>
  <c r="M131" i="11"/>
  <c r="L130" i="11"/>
  <c r="M130" i="11"/>
  <c r="L129" i="11"/>
  <c r="M129" i="11"/>
  <c r="L128" i="11"/>
  <c r="M128" i="11"/>
  <c r="L127" i="11"/>
  <c r="M127" i="11"/>
  <c r="L126" i="11"/>
  <c r="M126" i="11"/>
  <c r="L125" i="11"/>
  <c r="M125" i="11"/>
  <c r="L124" i="11"/>
  <c r="M124" i="11"/>
  <c r="L123" i="11"/>
  <c r="M123" i="11"/>
  <c r="L122" i="11"/>
  <c r="M122" i="11"/>
  <c r="L121" i="11"/>
  <c r="M121" i="11"/>
  <c r="L120" i="11"/>
  <c r="M120" i="11"/>
  <c r="L119" i="11"/>
  <c r="M119" i="11"/>
  <c r="L118" i="11"/>
  <c r="M118" i="11"/>
  <c r="L117" i="11"/>
  <c r="M117" i="11"/>
  <c r="L116" i="11"/>
  <c r="M116" i="11"/>
  <c r="L115" i="11"/>
  <c r="M115" i="11"/>
  <c r="L114" i="11"/>
  <c r="M114" i="11"/>
  <c r="L113" i="11"/>
  <c r="M113" i="11"/>
  <c r="L112" i="11"/>
  <c r="M112" i="11"/>
  <c r="L111" i="11"/>
  <c r="M111" i="11"/>
  <c r="L110" i="11"/>
  <c r="M110" i="11"/>
  <c r="L109" i="11"/>
  <c r="M109" i="11"/>
  <c r="L108" i="11"/>
  <c r="M108" i="11"/>
  <c r="L107" i="11"/>
  <c r="M107" i="11"/>
  <c r="L106" i="11"/>
  <c r="M106" i="11"/>
  <c r="L105" i="11"/>
  <c r="M105" i="11"/>
  <c r="L104" i="11"/>
  <c r="M104" i="11"/>
  <c r="L103" i="11"/>
  <c r="M103" i="11"/>
  <c r="L102" i="11"/>
  <c r="M102" i="11"/>
  <c r="L101" i="11"/>
  <c r="M101" i="11"/>
  <c r="L100" i="11"/>
  <c r="M100" i="11"/>
  <c r="L99" i="11"/>
  <c r="M99" i="11"/>
  <c r="L98" i="11"/>
  <c r="M98" i="11"/>
  <c r="L97" i="11"/>
  <c r="M97" i="11"/>
  <c r="L96" i="11"/>
  <c r="M96" i="11"/>
  <c r="L95" i="11"/>
  <c r="M95" i="11"/>
  <c r="L94" i="11"/>
  <c r="M94" i="11"/>
  <c r="L93" i="11"/>
  <c r="M93" i="11"/>
  <c r="L92" i="11"/>
  <c r="M92" i="11"/>
  <c r="L91" i="11"/>
  <c r="M91" i="11"/>
  <c r="L90" i="11"/>
  <c r="M90" i="11"/>
  <c r="L89" i="11"/>
  <c r="M89" i="11"/>
  <c r="L88" i="11"/>
  <c r="M88" i="11"/>
  <c r="L87" i="11"/>
  <c r="M87" i="11"/>
  <c r="L86" i="11"/>
  <c r="M86" i="11"/>
  <c r="L85" i="11"/>
  <c r="M85" i="11"/>
  <c r="L84" i="11"/>
  <c r="M84" i="11"/>
  <c r="L83" i="11"/>
  <c r="M83" i="11"/>
  <c r="L82" i="11"/>
  <c r="M82" i="11"/>
  <c r="L81" i="11"/>
  <c r="M81" i="11"/>
  <c r="L80" i="11"/>
  <c r="M80" i="11"/>
  <c r="L79" i="11"/>
  <c r="M79" i="11"/>
  <c r="L78" i="11"/>
  <c r="M78" i="11"/>
  <c r="L77" i="11"/>
  <c r="M77" i="11"/>
  <c r="L76" i="11"/>
  <c r="M76" i="11"/>
  <c r="L75" i="11"/>
  <c r="M75" i="11"/>
  <c r="L74" i="11"/>
  <c r="M74" i="11"/>
  <c r="L73" i="11"/>
  <c r="M73" i="11"/>
  <c r="L72" i="11"/>
  <c r="M72" i="11"/>
  <c r="L71" i="11"/>
  <c r="M71" i="11"/>
  <c r="L70" i="11"/>
  <c r="M70" i="11"/>
  <c r="L69" i="11"/>
  <c r="M69" i="11"/>
  <c r="L68" i="11"/>
  <c r="M68" i="11"/>
  <c r="L67" i="11"/>
  <c r="M67" i="11"/>
  <c r="L66" i="11"/>
  <c r="M66" i="11"/>
  <c r="L65" i="11"/>
  <c r="M65" i="11"/>
  <c r="L64" i="11"/>
  <c r="M64" i="11"/>
  <c r="L63" i="11"/>
  <c r="M63" i="11"/>
  <c r="L62" i="11"/>
  <c r="M62" i="11"/>
  <c r="L61" i="11"/>
  <c r="M61" i="11"/>
  <c r="L60" i="11"/>
  <c r="M60" i="11"/>
  <c r="L59" i="11"/>
  <c r="M59" i="11"/>
  <c r="L58" i="11"/>
  <c r="M58" i="11"/>
  <c r="L57" i="11"/>
  <c r="M57" i="11"/>
  <c r="L56" i="11"/>
  <c r="M56" i="11"/>
  <c r="L55" i="11"/>
  <c r="M55" i="11"/>
  <c r="L54" i="11"/>
  <c r="M54" i="11"/>
  <c r="L53" i="11"/>
  <c r="M53" i="11"/>
  <c r="L52" i="11"/>
  <c r="M52" i="11"/>
  <c r="M149" i="11"/>
  <c r="L149" i="11"/>
  <c r="P38" i="11"/>
  <c r="P39" i="11"/>
  <c r="P40" i="11"/>
  <c r="Q38" i="11"/>
  <c r="Q39" i="11"/>
  <c r="Q40" i="11"/>
  <c r="R38" i="11"/>
  <c r="R39" i="11"/>
  <c r="R40" i="11"/>
  <c r="S40" i="11"/>
  <c r="B40" i="11"/>
  <c r="S39" i="11"/>
  <c r="S38" i="11"/>
  <c r="S36" i="11"/>
  <c r="S35" i="11"/>
  <c r="S34" i="11"/>
  <c r="S33" i="11"/>
  <c r="S32" i="11"/>
  <c r="S31" i="11"/>
  <c r="S30" i="11"/>
  <c r="S29" i="11"/>
  <c r="S28" i="11"/>
  <c r="S27" i="11"/>
  <c r="S26" i="11"/>
  <c r="S25" i="11"/>
  <c r="S24" i="11"/>
  <c r="S23" i="11"/>
  <c r="C12" i="9"/>
  <c r="B12" i="9"/>
  <c r="I126" i="8"/>
  <c r="I127" i="8"/>
  <c r="I128" i="8"/>
  <c r="I129" i="8"/>
  <c r="I222" i="8"/>
  <c r="I221" i="8"/>
  <c r="I220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224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J46" i="8"/>
  <c r="J47" i="8"/>
  <c r="J48" i="8"/>
  <c r="J49" i="8"/>
  <c r="J58" i="8"/>
  <c r="J57" i="8"/>
  <c r="J56" i="8"/>
  <c r="J55" i="8"/>
  <c r="J54" i="8"/>
  <c r="J53" i="8"/>
  <c r="J52" i="8"/>
  <c r="J51" i="8"/>
  <c r="J50" i="8"/>
  <c r="J59" i="8"/>
  <c r="J60" i="8"/>
  <c r="J61" i="8"/>
  <c r="I59" i="8"/>
  <c r="I60" i="8"/>
  <c r="H59" i="8"/>
  <c r="H60" i="8"/>
  <c r="G59" i="8"/>
  <c r="G60" i="8"/>
  <c r="K59" i="8"/>
  <c r="J41" i="8"/>
  <c r="I41" i="8"/>
  <c r="H41" i="8"/>
  <c r="G41" i="8"/>
  <c r="F41" i="8"/>
  <c r="E41" i="8"/>
  <c r="D41" i="8"/>
  <c r="C41" i="8"/>
  <c r="B41" i="8"/>
  <c r="S11" i="8"/>
  <c r="N32" i="7"/>
  <c r="K18" i="4"/>
  <c r="P18" i="4"/>
  <c r="U18" i="4"/>
  <c r="Z18" i="4"/>
  <c r="AE18" i="4"/>
  <c r="A24" i="4"/>
  <c r="AI4" i="4"/>
  <c r="AI5" i="4"/>
  <c r="AI6" i="4"/>
  <c r="AI7" i="4"/>
  <c r="AI17" i="4"/>
  <c r="AI16" i="4"/>
  <c r="AI15" i="4"/>
  <c r="AI14" i="4"/>
  <c r="AI13" i="4"/>
  <c r="AI12" i="4"/>
  <c r="AI11" i="4"/>
  <c r="AI10" i="4"/>
  <c r="AI9" i="4"/>
  <c r="AI8" i="4"/>
  <c r="AI18" i="4"/>
  <c r="AI19" i="4"/>
  <c r="AI20" i="4"/>
  <c r="AI21" i="4"/>
  <c r="AI22" i="4"/>
  <c r="AI23" i="4"/>
  <c r="AD4" i="4"/>
  <c r="AD5" i="4"/>
  <c r="AD6" i="4"/>
  <c r="AD7" i="4"/>
  <c r="AD17" i="4"/>
  <c r="AD16" i="4"/>
  <c r="AD15" i="4"/>
  <c r="AD14" i="4"/>
  <c r="AD13" i="4"/>
  <c r="AD12" i="4"/>
  <c r="AD11" i="4"/>
  <c r="AD10" i="4"/>
  <c r="AD9" i="4"/>
  <c r="AD8" i="4"/>
  <c r="AD18" i="4"/>
  <c r="AD19" i="4"/>
  <c r="AD20" i="4"/>
  <c r="AD21" i="4"/>
  <c r="AD22" i="4"/>
  <c r="AD23" i="4"/>
  <c r="O4" i="4"/>
  <c r="O5" i="4"/>
  <c r="O6" i="4"/>
  <c r="O7" i="4"/>
  <c r="O17" i="4"/>
  <c r="O16" i="4"/>
  <c r="O15" i="4"/>
  <c r="O14" i="4"/>
  <c r="O13" i="4"/>
  <c r="O12" i="4"/>
  <c r="O11" i="4"/>
  <c r="O10" i="4"/>
  <c r="O9" i="4"/>
  <c r="O8" i="4"/>
  <c r="O18" i="4"/>
  <c r="T4" i="4"/>
  <c r="T5" i="4"/>
  <c r="T6" i="4"/>
  <c r="T7" i="4"/>
  <c r="T17" i="4"/>
  <c r="T16" i="4"/>
  <c r="T15" i="4"/>
  <c r="T14" i="4"/>
  <c r="T13" i="4"/>
  <c r="T12" i="4"/>
  <c r="T11" i="4"/>
  <c r="T10" i="4"/>
  <c r="T9" i="4"/>
  <c r="T8" i="4"/>
  <c r="T18" i="4"/>
  <c r="Y4" i="4"/>
  <c r="Y5" i="4"/>
  <c r="Y6" i="4"/>
  <c r="Y7" i="4"/>
  <c r="Y17" i="4"/>
  <c r="Y16" i="4"/>
  <c r="Y15" i="4"/>
  <c r="Y14" i="4"/>
  <c r="Y13" i="4"/>
  <c r="Y12" i="4"/>
  <c r="Y11" i="4"/>
  <c r="Y10" i="4"/>
  <c r="Y9" i="4"/>
  <c r="Y8" i="4"/>
  <c r="Y18" i="4"/>
  <c r="A21" i="4"/>
  <c r="AH18" i="4"/>
  <c r="AG18" i="4"/>
  <c r="AF18" i="4"/>
  <c r="AC18" i="4"/>
  <c r="AB18" i="4"/>
  <c r="AA18" i="4"/>
  <c r="X18" i="4"/>
  <c r="W18" i="4"/>
  <c r="V18" i="4"/>
  <c r="S18" i="4"/>
  <c r="R18" i="4"/>
  <c r="Q18" i="4"/>
  <c r="N18" i="4"/>
  <c r="M18" i="4"/>
  <c r="L18" i="4"/>
  <c r="A2" i="26" a="1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A3" i="26"/>
  <c r="A2" i="26"/>
</calcChain>
</file>

<file path=xl/sharedStrings.xml><?xml version="1.0" encoding="utf-8"?>
<sst xmlns="http://schemas.openxmlformats.org/spreadsheetml/2006/main" count="6311" uniqueCount="2041">
  <si>
    <t>Single Phase</t>
  </si>
  <si>
    <t>Three Phase</t>
  </si>
  <si>
    <t>Unit ID</t>
  </si>
  <si>
    <t>EHO Number</t>
  </si>
  <si>
    <t xml:space="preserve">Dimensions </t>
  </si>
  <si>
    <t>Power Req.</t>
  </si>
  <si>
    <t>L x W</t>
  </si>
  <si>
    <t xml:space="preserve"> </t>
  </si>
  <si>
    <t>Burger/Chipper Units</t>
  </si>
  <si>
    <t>Confectionery</t>
  </si>
  <si>
    <t>O'Briens Chipper 1</t>
  </si>
  <si>
    <t>6M x 3M</t>
  </si>
  <si>
    <t>125A + 32A</t>
  </si>
  <si>
    <t>Off Beat Donuts 2</t>
  </si>
  <si>
    <t>5M x 3M</t>
  </si>
  <si>
    <t>32A + 16A</t>
  </si>
  <si>
    <t>O'Briens Chipper 2</t>
  </si>
  <si>
    <t>4M x 3M</t>
  </si>
  <si>
    <t>63A</t>
  </si>
  <si>
    <t>Off Beat Donuts</t>
  </si>
  <si>
    <t>32A x2</t>
  </si>
  <si>
    <t>Smash Burger 1</t>
  </si>
  <si>
    <t>125A</t>
  </si>
  <si>
    <t xml:space="preserve">Chocolate Fountain </t>
  </si>
  <si>
    <t>Smash Burger 2</t>
  </si>
  <si>
    <t>Pick'n'Mix</t>
  </si>
  <si>
    <t>32A</t>
  </si>
  <si>
    <t>Loaded Burger</t>
  </si>
  <si>
    <t>5.5M x 3M</t>
  </si>
  <si>
    <t xml:space="preserve">The Village Kiosk 1 </t>
  </si>
  <si>
    <t>Misc. Food Units</t>
  </si>
  <si>
    <t>The Village Kiosk 2</t>
  </si>
  <si>
    <t>16A</t>
  </si>
  <si>
    <t>Flex Use Airstream</t>
  </si>
  <si>
    <t>Sprinkles Churros</t>
  </si>
  <si>
    <t>Angelo's Pizza</t>
  </si>
  <si>
    <t>Sprinkles Desserts</t>
  </si>
  <si>
    <t>63A + 32A</t>
  </si>
  <si>
    <t>Angelo's Pizza &amp; Pasta</t>
  </si>
  <si>
    <t>9M x 3M</t>
  </si>
  <si>
    <t xml:space="preserve">Ice Cream Vans </t>
  </si>
  <si>
    <t>Fried Chicken Truck</t>
  </si>
  <si>
    <t>231-D</t>
  </si>
  <si>
    <t>32A + 13A</t>
  </si>
  <si>
    <t>Thindi</t>
  </si>
  <si>
    <t xml:space="preserve">63A </t>
  </si>
  <si>
    <t>201-D</t>
  </si>
  <si>
    <t xml:space="preserve">Toasted </t>
  </si>
  <si>
    <t xml:space="preserve">32A </t>
  </si>
  <si>
    <t xml:space="preserve">152-D </t>
  </si>
  <si>
    <t>Bun Club Hot Dogs</t>
  </si>
  <si>
    <t>142-D</t>
  </si>
  <si>
    <t xml:space="preserve">Zambrero </t>
  </si>
  <si>
    <t>09-D</t>
  </si>
  <si>
    <t>Pitt Bros BBQ</t>
  </si>
  <si>
    <t>07-D</t>
  </si>
  <si>
    <t>Lucky Bao Buns</t>
  </si>
  <si>
    <t>07-RN</t>
  </si>
  <si>
    <t>Camile Thai 2.0</t>
  </si>
  <si>
    <t>05-D</t>
  </si>
  <si>
    <t>13A</t>
  </si>
  <si>
    <t xml:space="preserve">Camile Thai </t>
  </si>
  <si>
    <t>05-WH</t>
  </si>
  <si>
    <t>Coffee/Beverages</t>
  </si>
  <si>
    <t>04-D</t>
  </si>
  <si>
    <t xml:space="preserve">Caffe Duomo 1 </t>
  </si>
  <si>
    <t>03-D</t>
  </si>
  <si>
    <t>Caffe Duomo 2</t>
  </si>
  <si>
    <t>3M x 3M</t>
  </si>
  <si>
    <t>02-WW</t>
  </si>
  <si>
    <t xml:space="preserve">Caffe Duomo 3 </t>
  </si>
  <si>
    <t>02-C</t>
  </si>
  <si>
    <t>Caffe Duomo Van</t>
  </si>
  <si>
    <t>01-D</t>
  </si>
  <si>
    <t>Caffe Duomo/Torelli</t>
  </si>
  <si>
    <t xml:space="preserve">BMC </t>
  </si>
  <si>
    <t>Freshly Ground Coffee 1</t>
  </si>
  <si>
    <t>LD</t>
  </si>
  <si>
    <t xml:space="preserve">Freshly Ground Coffee 2 </t>
  </si>
  <si>
    <t>Pink Bedford</t>
  </si>
  <si>
    <t>Smoothies &amp; Shakes 1</t>
  </si>
  <si>
    <t xml:space="preserve">Yellow Transit </t>
  </si>
  <si>
    <t>Nobo/Citroen</t>
  </si>
  <si>
    <t>88-WX</t>
  </si>
  <si>
    <t>16A + 13A</t>
  </si>
  <si>
    <t>Carts &amp; Trikes</t>
  </si>
  <si>
    <t>Camile Cart</t>
  </si>
  <si>
    <t>2M x 3M</t>
  </si>
  <si>
    <t>Zambrero Cart</t>
  </si>
  <si>
    <t>Vespa Cart #1</t>
  </si>
  <si>
    <t>Vespa Cart #2</t>
  </si>
  <si>
    <t xml:space="preserve">Sweet Cart </t>
  </si>
  <si>
    <t>-</t>
  </si>
  <si>
    <t>Location (Currently)</t>
  </si>
  <si>
    <t xml:space="preserve">Vehicle &amp; Run </t>
  </si>
  <si>
    <t>Driver</t>
  </si>
  <si>
    <t>Day</t>
  </si>
  <si>
    <t>Leopardstown</t>
  </si>
  <si>
    <t>INEOS 3</t>
  </si>
  <si>
    <t>Tom</t>
  </si>
  <si>
    <t>Tuesday</t>
  </si>
  <si>
    <t>RDS</t>
  </si>
  <si>
    <t>Serg</t>
  </si>
  <si>
    <t>Monday</t>
  </si>
  <si>
    <t>Sprinter Fridge 2</t>
  </si>
  <si>
    <t>Simon</t>
  </si>
  <si>
    <t>Transit 1</t>
  </si>
  <si>
    <t>Robo</t>
  </si>
  <si>
    <t>INEOS 1</t>
  </si>
  <si>
    <t>Custom 2</t>
  </si>
  <si>
    <t>Kian</t>
  </si>
  <si>
    <t>Unit</t>
  </si>
  <si>
    <t>Punchestown</t>
  </si>
  <si>
    <t>Transit 3</t>
  </si>
  <si>
    <t>INEOS 2</t>
  </si>
  <si>
    <t>Caffe Duomo/Vintage</t>
  </si>
  <si>
    <t>Tow Truck 1</t>
  </si>
  <si>
    <t>Drive on 1</t>
  </si>
  <si>
    <t>🚚</t>
  </si>
  <si>
    <t>🅿️</t>
  </si>
  <si>
    <t>🧼</t>
  </si>
  <si>
    <t>⚡️</t>
  </si>
  <si>
    <t>📠</t>
  </si>
  <si>
    <t>🧾</t>
  </si>
  <si>
    <t>🌡</t>
  </si>
  <si>
    <t>🧯</t>
  </si>
  <si>
    <t>Friday</t>
  </si>
  <si>
    <t>Ideal Homes (Fri-Sunday)</t>
  </si>
  <si>
    <t>Camile</t>
  </si>
  <si>
    <t>Off Beat</t>
  </si>
  <si>
    <t>Toasted</t>
  </si>
  <si>
    <t>Coffee</t>
  </si>
  <si>
    <t>Saturday</t>
  </si>
  <si>
    <t>Merrion Square (Sat-Sun)</t>
  </si>
  <si>
    <t>Ice Cream</t>
  </si>
  <si>
    <t>Fairyhouse (Sat Only)</t>
  </si>
  <si>
    <t>Sunday</t>
  </si>
  <si>
    <t>Punchestown (Sun Only)</t>
  </si>
  <si>
    <t>Wednesday</t>
  </si>
  <si>
    <t>Punchestown Festival (Tues-Sat)</t>
  </si>
  <si>
    <t>Caffe Duomo Trailer</t>
  </si>
  <si>
    <t>Kiosk Trailer</t>
  </si>
  <si>
    <t xml:space="preserve">Camile </t>
  </si>
  <si>
    <t>Pitt Bros</t>
  </si>
  <si>
    <t xml:space="preserve">Loaded </t>
  </si>
  <si>
    <t>Smash</t>
  </si>
  <si>
    <t>Electric Van</t>
  </si>
  <si>
    <t>142-D Van</t>
  </si>
  <si>
    <t>Punchestown Festival 2024</t>
  </si>
  <si>
    <t>Last Year</t>
  </si>
  <si>
    <t>FC</t>
  </si>
  <si>
    <t>Cash</t>
  </si>
  <si>
    <t>Card</t>
  </si>
  <si>
    <t>Total</t>
  </si>
  <si>
    <t>Units</t>
  </si>
  <si>
    <t xml:space="preserve">Location </t>
  </si>
  <si>
    <t>Thursday</t>
  </si>
  <si>
    <t>Parade Ring</t>
  </si>
  <si>
    <t>Ladbrokes</t>
  </si>
  <si>
    <t>Sky Bar</t>
  </si>
  <si>
    <t>Daily Total</t>
  </si>
  <si>
    <t>Zambrero</t>
  </si>
  <si>
    <t>Overall Total</t>
  </si>
  <si>
    <t>Van Carnival</t>
  </si>
  <si>
    <t>Vs Last Year</t>
  </si>
  <si>
    <t xml:space="preserve">Total </t>
  </si>
  <si>
    <t xml:space="preserve">Staff </t>
  </si>
  <si>
    <t xml:space="preserve">Number </t>
  </si>
  <si>
    <t xml:space="preserve">Name </t>
  </si>
  <si>
    <t>Number</t>
  </si>
  <si>
    <t xml:space="preserve">Shannon </t>
  </si>
  <si>
    <t xml:space="preserve">Katelyn </t>
  </si>
  <si>
    <t xml:space="preserve">Lauren </t>
  </si>
  <si>
    <t xml:space="preserve">Megan </t>
  </si>
  <si>
    <t xml:space="preserve">Sam </t>
  </si>
  <si>
    <t xml:space="preserve">Sean </t>
  </si>
  <si>
    <t xml:space="preserve">Nicola </t>
  </si>
  <si>
    <t xml:space="preserve">Leon </t>
  </si>
  <si>
    <t>Ann</t>
  </si>
  <si>
    <t>Amanda</t>
  </si>
  <si>
    <t xml:space="preserve">Kadie </t>
  </si>
  <si>
    <t xml:space="preserve">Jodie </t>
  </si>
  <si>
    <t xml:space="preserve">Lorrita </t>
  </si>
  <si>
    <t xml:space="preserve">Kayla </t>
  </si>
  <si>
    <t xml:space="preserve">Layla </t>
  </si>
  <si>
    <t xml:space="preserve">Michelle </t>
  </si>
  <si>
    <t xml:space="preserve">Leanna </t>
  </si>
  <si>
    <t xml:space="preserve">Abbie </t>
  </si>
  <si>
    <t xml:space="preserve">Mandy </t>
  </si>
  <si>
    <t xml:space="preserve">Rachel </t>
  </si>
  <si>
    <t xml:space="preserve">Samantha </t>
  </si>
  <si>
    <t xml:space="preserve">Leah </t>
  </si>
  <si>
    <t xml:space="preserve">Dani </t>
  </si>
  <si>
    <t xml:space="preserve">Dean </t>
  </si>
  <si>
    <t xml:space="preserve">Kayleigh </t>
  </si>
  <si>
    <t xml:space="preserve">Amelia </t>
  </si>
  <si>
    <t xml:space="preserve">Karl </t>
  </si>
  <si>
    <t xml:space="preserve">Troy </t>
  </si>
  <si>
    <t>DRF 2025</t>
  </si>
  <si>
    <t>Stock &amp; Orders</t>
  </si>
  <si>
    <t>Stall/Unit Name</t>
  </si>
  <si>
    <t>Location</t>
  </si>
  <si>
    <t>🧽</t>
  </si>
  <si>
    <t>💻</t>
  </si>
  <si>
    <t>👥</t>
  </si>
  <si>
    <t>Sysco</t>
  </si>
  <si>
    <t>ReadyChef</t>
  </si>
  <si>
    <t>BWG</t>
  </si>
  <si>
    <t>Sandwiches</t>
  </si>
  <si>
    <t>Bretzel</t>
  </si>
  <si>
    <t>Caffe Duomo</t>
  </si>
  <si>
    <t>Outside Gates</t>
  </si>
  <si>
    <t>toasted</t>
  </si>
  <si>
    <t>Marquee</t>
  </si>
  <si>
    <t>Pitt bros</t>
  </si>
  <si>
    <t>Kiosk</t>
  </si>
  <si>
    <t>Nightclub Doors</t>
  </si>
  <si>
    <t>Coffee van</t>
  </si>
  <si>
    <t>Offbeat</t>
  </si>
  <si>
    <t>Caffe duomo</t>
  </si>
  <si>
    <t xml:space="preserve">Saddling Stalls </t>
  </si>
  <si>
    <t>Fried chicken</t>
  </si>
  <si>
    <t>Saddling Stalls</t>
  </si>
  <si>
    <t>Loaded</t>
  </si>
  <si>
    <t>Bao Bun</t>
  </si>
  <si>
    <t>To Do List</t>
  </si>
  <si>
    <t>Position</t>
  </si>
  <si>
    <t xml:space="preserve">Gwen </t>
  </si>
  <si>
    <t>Nicola</t>
  </si>
  <si>
    <t xml:space="preserve">Mustafa </t>
  </si>
  <si>
    <t>Lorita</t>
  </si>
  <si>
    <t>Lauren</t>
  </si>
  <si>
    <t>Megan</t>
  </si>
  <si>
    <t>Abbie</t>
  </si>
  <si>
    <t xml:space="preserve">Berkay </t>
  </si>
  <si>
    <t>Jodie</t>
  </si>
  <si>
    <t xml:space="preserve">Sophie </t>
  </si>
  <si>
    <t>Kayla</t>
  </si>
  <si>
    <t>Janet</t>
  </si>
  <si>
    <t>Chloe</t>
  </si>
  <si>
    <t>Tammy</t>
  </si>
  <si>
    <t>Renee</t>
  </si>
  <si>
    <t xml:space="preserve">Cuma </t>
  </si>
  <si>
    <t xml:space="preserve">Emma p </t>
  </si>
  <si>
    <t xml:space="preserve">Nicole </t>
  </si>
  <si>
    <t xml:space="preserve">Vishnu </t>
  </si>
  <si>
    <t>Triona</t>
  </si>
  <si>
    <t>Paloma</t>
  </si>
  <si>
    <t>Alan</t>
  </si>
  <si>
    <t>Sam</t>
  </si>
  <si>
    <t>Rachel</t>
  </si>
  <si>
    <t>Toni</t>
  </si>
  <si>
    <t>Jess</t>
  </si>
  <si>
    <t>Leanna</t>
  </si>
  <si>
    <t>Michelle</t>
  </si>
  <si>
    <t xml:space="preserve">Ricky </t>
  </si>
  <si>
    <t xml:space="preserve">Ash </t>
  </si>
  <si>
    <t xml:space="preserve">Shane </t>
  </si>
  <si>
    <t>Marco</t>
  </si>
  <si>
    <t>Dave</t>
  </si>
  <si>
    <t xml:space="preserve">Confirmed </t>
  </si>
  <si>
    <t xml:space="preserve">Wesley </t>
  </si>
  <si>
    <t>KP</t>
  </si>
  <si>
    <t>Lidiane</t>
  </si>
  <si>
    <t>Serving</t>
  </si>
  <si>
    <t xml:space="preserve">Alan </t>
  </si>
  <si>
    <t xml:space="preserve">Lorita </t>
  </si>
  <si>
    <t>Ava</t>
  </si>
  <si>
    <t xml:space="preserve">Felipe </t>
  </si>
  <si>
    <t>Serving/Prep</t>
  </si>
  <si>
    <t>Dani</t>
  </si>
  <si>
    <t>Emily</t>
  </si>
  <si>
    <t xml:space="preserve">Camila </t>
  </si>
  <si>
    <t xml:space="preserve">Giovanna </t>
  </si>
  <si>
    <t>✅</t>
  </si>
  <si>
    <t xml:space="preserve">Janet </t>
  </si>
  <si>
    <t xml:space="preserve">Chloe </t>
  </si>
  <si>
    <t xml:space="preserve">Paloma </t>
  </si>
  <si>
    <t>Chef/HACCP</t>
  </si>
  <si>
    <t xml:space="preserve">Tammy </t>
  </si>
  <si>
    <t>Eduardo</t>
  </si>
  <si>
    <t>KP/Prep</t>
  </si>
  <si>
    <t xml:space="preserve">Emma </t>
  </si>
  <si>
    <t xml:space="preserve">Tracey </t>
  </si>
  <si>
    <t xml:space="preserve">Triona </t>
  </si>
  <si>
    <t xml:space="preserve">Marco </t>
  </si>
  <si>
    <t xml:space="preserve">Amanda </t>
  </si>
  <si>
    <t xml:space="preserve">Ann </t>
  </si>
  <si>
    <t xml:space="preserve">Jess </t>
  </si>
  <si>
    <t>Google Engage</t>
  </si>
  <si>
    <t>Coffee Perfection</t>
  </si>
  <si>
    <t>Pizza Pasta</t>
  </si>
  <si>
    <t>Exit E</t>
  </si>
  <si>
    <t>Pitt Bro's</t>
  </si>
  <si>
    <t>Cookie Bro</t>
  </si>
  <si>
    <t>Popcorn</t>
  </si>
  <si>
    <t>Candyfloss</t>
  </si>
  <si>
    <t>LS NOTES</t>
  </si>
  <si>
    <t>EVENT MENU: (Donuts)</t>
  </si>
  <si>
    <t xml:space="preserve">Unit </t>
  </si>
  <si>
    <t xml:space="preserve">Number of staff </t>
  </si>
  <si>
    <t>EVENT MENU: (Mexican)</t>
  </si>
  <si>
    <t xml:space="preserve">Pitt Bros </t>
  </si>
  <si>
    <t xml:space="preserve">Mellisa </t>
  </si>
  <si>
    <t xml:space="preserve">Caoi </t>
  </si>
  <si>
    <t>Red Velvet (V)</t>
  </si>
  <si>
    <t>2475 total servings</t>
  </si>
  <si>
    <t xml:space="preserve">Thindi </t>
  </si>
  <si>
    <t xml:space="preserve">Ava </t>
  </si>
  <si>
    <t xml:space="preserve">Sahill </t>
  </si>
  <si>
    <t>Burrito or Bowl</t>
  </si>
  <si>
    <t>Zambrero 8pm</t>
  </si>
  <si>
    <t xml:space="preserve">Ryan </t>
  </si>
  <si>
    <t xml:space="preserve">Stacey </t>
  </si>
  <si>
    <t xml:space="preserve">Lokesh </t>
  </si>
  <si>
    <t>Clara</t>
  </si>
  <si>
    <t>Chicken</t>
  </si>
  <si>
    <t>Glazed (V)</t>
  </si>
  <si>
    <t xml:space="preserve">Pizza Pasta </t>
  </si>
  <si>
    <t>Mandy</t>
  </si>
  <si>
    <t>Chilli “zin” carne (V, VG)</t>
  </si>
  <si>
    <t>Sprinkles (V)</t>
  </si>
  <si>
    <t xml:space="preserve">Toasted 9:45 </t>
  </si>
  <si>
    <t>Chaitanya</t>
  </si>
  <si>
    <t>WHITE RICE, PINTO BEANS, GUACAMOLE (with cos lettuce and lime), CHEESE, SOUR CREAM, JALAPENOS, SALSA (tomato, corn, onion)</t>
  </si>
  <si>
    <t>Unicorn (V)</t>
  </si>
  <si>
    <t xml:space="preserve">Cookie </t>
  </si>
  <si>
    <t xml:space="preserve">Mariana </t>
  </si>
  <si>
    <t xml:space="preserve">Chelsea </t>
  </si>
  <si>
    <t>Cookies &amp; Cream (V)</t>
  </si>
  <si>
    <t xml:space="preserve">Popcorn </t>
  </si>
  <si>
    <t>Choice of Sauce</t>
  </si>
  <si>
    <t>Vegan Chocolate Cookie</t>
  </si>
  <si>
    <t xml:space="preserve">Candy floss </t>
  </si>
  <si>
    <t xml:space="preserve">Dylan </t>
  </si>
  <si>
    <t>Kayleigh</t>
  </si>
  <si>
    <t>SECRET BBQ (Tamarind, cardamom and ginger)</t>
  </si>
  <si>
    <t>Vegan Caramel Speculoos</t>
  </si>
  <si>
    <t xml:space="preserve">Donut </t>
  </si>
  <si>
    <t>Molly</t>
  </si>
  <si>
    <t>GARLIC (Roasted garlic, minced garlic, and creamy mayonnaise)</t>
  </si>
  <si>
    <t>Single donuts served in a bag - checking whether tray available</t>
  </si>
  <si>
    <t>CHIPOTLE (Chipotle pepper, cayenne pepper, and lime)</t>
  </si>
  <si>
    <t>Can we please have a couple of vegan options</t>
  </si>
  <si>
    <t xml:space="preserve">Hot dog </t>
  </si>
  <si>
    <t>VERDE (Jalapeño peppers, mango, lemon, and coriander)</t>
  </si>
  <si>
    <t>Load in Friday 20th Feb Hall 1</t>
  </si>
  <si>
    <t>Side</t>
  </si>
  <si>
    <t>Cookiebro (Churros)</t>
  </si>
  <si>
    <t>Corn Tortillas with guacamole / salsa (V, VG)</t>
  </si>
  <si>
    <t>EVENT MENU: (Stuffed cookies)</t>
  </si>
  <si>
    <t>1260 total servings</t>
  </si>
  <si>
    <t>Notes</t>
  </si>
  <si>
    <t>Oreo</t>
  </si>
  <si>
    <t>7 Nov burrito was better filled than at horse show - please be consistent</t>
  </si>
  <si>
    <t>Crunchie</t>
  </si>
  <si>
    <t>Use smaller wrap to reduce burrito size</t>
  </si>
  <si>
    <t>Freddo</t>
  </si>
  <si>
    <t xml:space="preserve">Wages </t>
  </si>
  <si>
    <t>Tortilla chips come in big bag which will cause a lot of waste, so can we serve in a tray with some guacamole &amp; salsa rather than whole bag</t>
  </si>
  <si>
    <t>Rollo</t>
  </si>
  <si>
    <t xml:space="preserve">Diego </t>
  </si>
  <si>
    <t xml:space="preserve">Braz </t>
  </si>
  <si>
    <t>Milky Bar</t>
  </si>
  <si>
    <t xml:space="preserve">Octa Sai </t>
  </si>
  <si>
    <t>Braz</t>
  </si>
  <si>
    <t>Lotus biscoff</t>
  </si>
  <si>
    <t xml:space="preserve">Ahmed </t>
  </si>
  <si>
    <t>Pizza &amp; Pasta</t>
  </si>
  <si>
    <t>Load in TBC Hall 2</t>
  </si>
  <si>
    <t xml:space="preserve">Nicolas </t>
  </si>
  <si>
    <t>EVENT MENU: (Pizza &amp; Pasta)</t>
  </si>
  <si>
    <t xml:space="preserve">Molly </t>
  </si>
  <si>
    <t xml:space="preserve">Paid </t>
  </si>
  <si>
    <t xml:space="preserve">Helen </t>
  </si>
  <si>
    <t>PASTA &amp; PIZZA BY THE SLICE</t>
  </si>
  <si>
    <t>EVENT MENU: (Indian)</t>
  </si>
  <si>
    <t xml:space="preserve">Gig </t>
  </si>
  <si>
    <t xml:space="preserve">Sahil </t>
  </si>
  <si>
    <t>Penne Pomodoro (V, VG) (1 may contain 12)</t>
  </si>
  <si>
    <t>SPICE BAG</t>
  </si>
  <si>
    <t xml:space="preserve">Leopoldo </t>
  </si>
  <si>
    <t>Leide</t>
  </si>
  <si>
    <t>Tomato sauce with your choice of topping - aubergine, artichoke or nduja</t>
  </si>
  <si>
    <t>CURRY BOWL</t>
  </si>
  <si>
    <t>Calabrian Pizza (1,6 may contain 9,12)</t>
  </si>
  <si>
    <t>Butter chicken curry bowl, Rice, Aloo Spinach</t>
  </si>
  <si>
    <t>Nduja, salami, San Marzano tomatoes, mozzarella, basil &amp; chilli oil</t>
  </si>
  <si>
    <t>OR</t>
  </si>
  <si>
    <t>Chana masala curry bowl, Rice, Aloo Spinach(V, VG)</t>
  </si>
  <si>
    <t>Margherita Pizza (V) (1,6 may contain 12)</t>
  </si>
  <si>
    <t>San Marzano tomatoes, mozzarella, &amp; basil</t>
  </si>
  <si>
    <t>Serve pizza by slice rather than whole pizza - how many slices? 4</t>
  </si>
  <si>
    <t>Samosa</t>
  </si>
  <si>
    <t xml:space="preserve">Calio </t>
  </si>
  <si>
    <t>Vegetali Pizza (V) (1,6 may contain 12)</t>
  </si>
  <si>
    <t>Notes:</t>
  </si>
  <si>
    <t>Roasted artichokes &amp; aubergines, San Marzano tomatoes, mozzarella &amp; basil</t>
  </si>
  <si>
    <t>Food was really tasty but portion size at Horse show far too big</t>
  </si>
  <si>
    <t>V - vegetarian</t>
  </si>
  <si>
    <t>Load in Friday 20th Feb Hall 4</t>
  </si>
  <si>
    <t>VG – vegan</t>
  </si>
  <si>
    <t>1: Wheat 2: Crustaceans 3: Eggs 4: Fish 5: Soybeans 6: Milk 7: Peanuts</t>
  </si>
  <si>
    <t>EVENT MENU:</t>
  </si>
  <si>
    <t>8: Nuts 9: Celery 10: Mustard 11: Sesame 12: Sulphites 13: Lupin 14: Molluscs</t>
  </si>
  <si>
    <t xml:space="preserve">Lucio </t>
  </si>
  <si>
    <t>Cheese Toastie (V)</t>
  </si>
  <si>
    <t>If you have any dietary requirements or allergies please speak to a member of staff.</t>
  </si>
  <si>
    <t>No vegan toastie needed</t>
  </si>
  <si>
    <t xml:space="preserve">Jerry </t>
  </si>
  <si>
    <t>Good toastie but too big, serve half</t>
  </si>
  <si>
    <t xml:space="preserve">Luciana </t>
  </si>
  <si>
    <t>Half portion in smaller bowls</t>
  </si>
  <si>
    <t>Zam</t>
  </si>
  <si>
    <t>Add some toppings or parsley to make look more appetising</t>
  </si>
  <si>
    <t xml:space="preserve">Clara </t>
  </si>
  <si>
    <t xml:space="preserve">Tomas </t>
  </si>
  <si>
    <t xml:space="preserve">Abu </t>
  </si>
  <si>
    <t>EVENT MENU: (BBQ)</t>
  </si>
  <si>
    <t>Pulled Pork Bun</t>
  </si>
  <si>
    <t>Slow smoked pulled pork, house pickles, chipotle slaw &amp; Pitt Bros proper meat sauce</t>
  </si>
  <si>
    <t>Pitt Bros Bacon Burger</t>
  </si>
  <si>
    <t>Beef patty, white cheddar cheese, smoked bacon jus &amp; caramelised onion relish</t>
  </si>
  <si>
    <t>Piggy Fries</t>
  </si>
  <si>
    <t>Fries topped with our smoked pulled pork, Pitt Bros proper meat sauce &amp; chipotle mayo</t>
  </si>
  <si>
    <t>Mac &amp; cheese (V)</t>
  </si>
  <si>
    <t>Need allergies for the sides</t>
  </si>
  <si>
    <t>Chipotle slaw (V)</t>
  </si>
  <si>
    <t>Load in Monday 5pm Hall 4</t>
  </si>
  <si>
    <t>Electric Picnic</t>
  </si>
  <si>
    <t xml:space="preserve">Sleeping Arrangements </t>
  </si>
  <si>
    <t>Dads</t>
  </si>
  <si>
    <t>TBC</t>
  </si>
  <si>
    <t>Fiat</t>
  </si>
  <si>
    <t>Transit</t>
  </si>
  <si>
    <t>Camile Thai</t>
  </si>
  <si>
    <t>Showers</t>
  </si>
  <si>
    <t>VW</t>
  </si>
  <si>
    <t>Man Van</t>
  </si>
  <si>
    <t xml:space="preserve">Loaded Burger </t>
  </si>
  <si>
    <t xml:space="preserve">Box Body </t>
  </si>
  <si>
    <t>Pizza/Pasta</t>
  </si>
  <si>
    <t xml:space="preserve">Bedford </t>
  </si>
  <si>
    <t>Total Beds</t>
  </si>
  <si>
    <t>Ice Cream Vans</t>
  </si>
  <si>
    <t>Ice Cream Unit 1</t>
  </si>
  <si>
    <t>Ice Cream Unit 2</t>
  </si>
  <si>
    <t>Ice Cream Unit 3</t>
  </si>
  <si>
    <t xml:space="preserve">Staff Names </t>
  </si>
  <si>
    <t>Staff Id</t>
  </si>
  <si>
    <t xml:space="preserve">Group Chat </t>
  </si>
  <si>
    <t>First Name</t>
  </si>
  <si>
    <t>Last Name</t>
  </si>
  <si>
    <t>Phone Number</t>
  </si>
  <si>
    <t>Email</t>
  </si>
  <si>
    <t>Experience</t>
  </si>
  <si>
    <t>Days Available</t>
  </si>
  <si>
    <t xml:space="preserve">Unit ID </t>
  </si>
  <si>
    <t xml:space="preserve">Opening Hours </t>
  </si>
  <si>
    <t># Staff</t>
  </si>
  <si>
    <t>Hrs</t>
  </si>
  <si>
    <t xml:space="preserve">Thomas </t>
  </si>
  <si>
    <t xml:space="preserve">OBrien </t>
  </si>
  <si>
    <t xml:space="preserve">thomas@obrieneventcatering.com </t>
  </si>
  <si>
    <t xml:space="preserve">Friday </t>
  </si>
  <si>
    <t xml:space="preserve">Monday </t>
  </si>
  <si>
    <t xml:space="preserve">Patrick </t>
  </si>
  <si>
    <t xml:space="preserve">Main Arena </t>
  </si>
  <si>
    <t xml:space="preserve">Kelly </t>
  </si>
  <si>
    <t xml:space="preserve">Flora </t>
  </si>
  <si>
    <t>flora@obrieneventcatering.com</t>
  </si>
  <si>
    <t xml:space="preserve">Bridget </t>
  </si>
  <si>
    <t xml:space="preserve">Reid </t>
  </si>
  <si>
    <t xml:space="preserve">Brady </t>
  </si>
  <si>
    <t xml:space="preserve">Aaron </t>
  </si>
  <si>
    <t xml:space="preserve">Maisy </t>
  </si>
  <si>
    <t>Cian</t>
  </si>
  <si>
    <t xml:space="preserve">Ritchie </t>
  </si>
  <si>
    <t xml:space="preserve">Ice Cream </t>
  </si>
  <si>
    <t xml:space="preserve">Cian </t>
  </si>
  <si>
    <t xml:space="preserve">Whelan </t>
  </si>
  <si>
    <t xml:space="preserve">Fennell </t>
  </si>
  <si>
    <t xml:space="preserve">Murray </t>
  </si>
  <si>
    <t xml:space="preserve">Donna </t>
  </si>
  <si>
    <t xml:space="preserve">ONeill </t>
  </si>
  <si>
    <t xml:space="preserve">Brooke </t>
  </si>
  <si>
    <t xml:space="preserve">Emily </t>
  </si>
  <si>
    <t xml:space="preserve">Stock Boys </t>
  </si>
  <si>
    <t xml:space="preserve">Karla </t>
  </si>
  <si>
    <t>ODriscoll</t>
  </si>
  <si>
    <t xml:space="preserve">dylanodriscoll00@gmail.com </t>
  </si>
  <si>
    <t xml:space="preserve">Darren </t>
  </si>
  <si>
    <t xml:space="preserve">darrenodriscoll2019@gmail.com </t>
  </si>
  <si>
    <t>Food</t>
  </si>
  <si>
    <t xml:space="preserve">Jade </t>
  </si>
  <si>
    <t xml:space="preserve">Malone </t>
  </si>
  <si>
    <t>jademalone1993@live.com</t>
  </si>
  <si>
    <t xml:space="preserve">Totals Needed </t>
  </si>
  <si>
    <t xml:space="preserve">Louise </t>
  </si>
  <si>
    <t xml:space="preserve">louisemalone21@gmail.com </t>
  </si>
  <si>
    <t xml:space="preserve">Jennifer </t>
  </si>
  <si>
    <t xml:space="preserve">jennyoneill1990@hotmail.com </t>
  </si>
  <si>
    <t>Both</t>
  </si>
  <si>
    <t>Exodus</t>
  </si>
  <si>
    <t>Takings</t>
  </si>
  <si>
    <t>Clarke Bowes</t>
  </si>
  <si>
    <t>mollyclarkebowess@icloud.com</t>
  </si>
  <si>
    <t>Ice cream /Coffee</t>
  </si>
  <si>
    <t>Vehicle</t>
  </si>
  <si>
    <t>Towing Vehicle</t>
  </si>
  <si>
    <t>Bowes</t>
  </si>
  <si>
    <t>abbyclarkebowes@icloud.com</t>
  </si>
  <si>
    <t>Ice cream / Coffee</t>
  </si>
  <si>
    <t>Chris</t>
  </si>
  <si>
    <t>Conal</t>
  </si>
  <si>
    <t>McEneff</t>
  </si>
  <si>
    <t>conalmc2005@icloud.com</t>
  </si>
  <si>
    <t>Main Arena</t>
  </si>
  <si>
    <t>Catriona</t>
  </si>
  <si>
    <t>Moore</t>
  </si>
  <si>
    <t xml:space="preserve">samanthaobrien12345@yahoo.com </t>
  </si>
  <si>
    <t xml:space="preserve">Ann Marie </t>
  </si>
  <si>
    <t xml:space="preserve">Price </t>
  </si>
  <si>
    <t>annmariemccar@yahoo.co.uk</t>
  </si>
  <si>
    <t xml:space="preserve">Rausch </t>
  </si>
  <si>
    <t xml:space="preserve">seanrausch99@gmail.com </t>
  </si>
  <si>
    <t>07 truck</t>
  </si>
  <si>
    <t>Phillips</t>
  </si>
  <si>
    <t>nicolephillips1612@gmail.com</t>
  </si>
  <si>
    <t>Ice Cream / Cofee</t>
  </si>
  <si>
    <t>Grenadier</t>
  </si>
  <si>
    <t>Late Night</t>
  </si>
  <si>
    <t xml:space="preserve">Phillips </t>
  </si>
  <si>
    <t>emmaphillips0024@hotmail.com</t>
  </si>
  <si>
    <t>Ice Cream / Coffee</t>
  </si>
  <si>
    <t>Toms Van</t>
  </si>
  <si>
    <t>Tom Snr</t>
  </si>
  <si>
    <t>Quinn</t>
  </si>
  <si>
    <t xml:space="preserve">tammyquinnx@gmail.com </t>
  </si>
  <si>
    <t>Tow truck</t>
  </si>
  <si>
    <t xml:space="preserve">Islam </t>
  </si>
  <si>
    <t xml:space="preserve">Boulbassir </t>
  </si>
  <si>
    <t xml:space="preserve">islamboulbassir1@gmail.com </t>
  </si>
  <si>
    <t>Chris Halligan</t>
  </si>
  <si>
    <t>Abdelrahman</t>
  </si>
  <si>
    <t>Belakhdar</t>
  </si>
  <si>
    <t xml:space="preserve">abdelsig7@gmail.com </t>
  </si>
  <si>
    <t>Maisy</t>
  </si>
  <si>
    <t xml:space="preserve">Moad </t>
  </si>
  <si>
    <t xml:space="preserve">Raguragui </t>
  </si>
  <si>
    <t>moadrgrg1618@gmail.com</t>
  </si>
  <si>
    <t>Dads Camper</t>
  </si>
  <si>
    <t>Fiat Camper</t>
  </si>
  <si>
    <t>Vintage Ice Cream</t>
  </si>
  <si>
    <t>Omar</t>
  </si>
  <si>
    <t>Teyehi</t>
  </si>
  <si>
    <t>otayahi@gmail.com</t>
  </si>
  <si>
    <t>Transit Camper</t>
  </si>
  <si>
    <t>VW Camper</t>
  </si>
  <si>
    <t xml:space="preserve">Haide </t>
  </si>
  <si>
    <t>karlhaide@gmail.com</t>
  </si>
  <si>
    <t>Commission</t>
  </si>
  <si>
    <t>Marcella</t>
  </si>
  <si>
    <t xml:space="preserve">McGrane </t>
  </si>
  <si>
    <t xml:space="preserve">marcella.mcgrane@gmail.com </t>
  </si>
  <si>
    <t xml:space="preserve">Expected Payout </t>
  </si>
  <si>
    <t xml:space="preserve">Patryk </t>
  </si>
  <si>
    <t>Daszkiewicz</t>
  </si>
  <si>
    <t xml:space="preserve">paddydaz@icloud.com </t>
  </si>
  <si>
    <t>Ice cream</t>
  </si>
  <si>
    <t>Deli Truck 07</t>
  </si>
  <si>
    <t>Actual Payout</t>
  </si>
  <si>
    <t xml:space="preserve">Carolanne </t>
  </si>
  <si>
    <t xml:space="preserve">OSullivan </t>
  </si>
  <si>
    <t>carolannesc@gmail.com</t>
  </si>
  <si>
    <t>Deli Truck 06</t>
  </si>
  <si>
    <t>Colly??</t>
  </si>
  <si>
    <t>WIFI/Power/Card</t>
  </si>
  <si>
    <t xml:space="preserve">Saoirse </t>
  </si>
  <si>
    <t xml:space="preserve">Maher </t>
  </si>
  <si>
    <t xml:space="preserve">katiephelan07@icloud.com </t>
  </si>
  <si>
    <t xml:space="preserve">Simench </t>
  </si>
  <si>
    <t xml:space="preserve">Barry </t>
  </si>
  <si>
    <t xml:space="preserve">Orr </t>
  </si>
  <si>
    <t xml:space="preserve">aimeemcglashan11@gmail.com </t>
  </si>
  <si>
    <t xml:space="preserve">Ice cream </t>
  </si>
  <si>
    <t xml:space="preserve">Aimee </t>
  </si>
  <si>
    <t>McGlashan</t>
  </si>
  <si>
    <t>aine.kavanagh2005@gmail.com</t>
  </si>
  <si>
    <t>10WW</t>
  </si>
  <si>
    <t xml:space="preserve">Aine </t>
  </si>
  <si>
    <t xml:space="preserve">Kavanagh </t>
  </si>
  <si>
    <t xml:space="preserve">katiedunne2022@gmail.com </t>
  </si>
  <si>
    <t xml:space="preserve">Flat bed </t>
  </si>
  <si>
    <t xml:space="preserve">Katie </t>
  </si>
  <si>
    <t xml:space="preserve">Dunne </t>
  </si>
  <si>
    <t xml:space="preserve">evan_wallace09@icloud.com </t>
  </si>
  <si>
    <t>New</t>
  </si>
  <si>
    <t>142 Small Van</t>
  </si>
  <si>
    <t xml:space="preserve">Oisin </t>
  </si>
  <si>
    <t xml:space="preserve">Evan </t>
  </si>
  <si>
    <t xml:space="preserve">Wallace </t>
  </si>
  <si>
    <t xml:space="preserve">lorrrussell@gmail.com </t>
  </si>
  <si>
    <t xml:space="preserve">Lorraine </t>
  </si>
  <si>
    <t>Russell</t>
  </si>
  <si>
    <t xml:space="preserve">medikateunow@gmail.com </t>
  </si>
  <si>
    <t>12:00pm-8:00pm</t>
  </si>
  <si>
    <t>2:00pm-10:00pm</t>
  </si>
  <si>
    <t>3:00pm-12:00am</t>
  </si>
  <si>
    <t>Katarzyna</t>
  </si>
  <si>
    <t>Kawecka</t>
  </si>
  <si>
    <t>vmcmirian_23@hotmail.com</t>
  </si>
  <si>
    <t xml:space="preserve">Valquiria </t>
  </si>
  <si>
    <t xml:space="preserve">Coutinho </t>
  </si>
  <si>
    <t>eoinernesthughes@gmail.com</t>
  </si>
  <si>
    <t xml:space="preserve">Eoin </t>
  </si>
  <si>
    <t>Hughes</t>
  </si>
  <si>
    <t xml:space="preserve">robert157mahon@gmail.com </t>
  </si>
  <si>
    <t xml:space="preserve">Smash </t>
  </si>
  <si>
    <t xml:space="preserve">Robert </t>
  </si>
  <si>
    <t xml:space="preserve">Mahon </t>
  </si>
  <si>
    <t xml:space="preserve">simonoconnor964@gmail.com </t>
  </si>
  <si>
    <t xml:space="preserve">Stock </t>
  </si>
  <si>
    <t xml:space="preserve">Simon </t>
  </si>
  <si>
    <t xml:space="preserve">OConnor </t>
  </si>
  <si>
    <t xml:space="preserve">Kian </t>
  </si>
  <si>
    <t xml:space="preserve">McCarton </t>
  </si>
  <si>
    <t>kian.macker@gmail.com</t>
  </si>
  <si>
    <t>oisinon24@gmail.com</t>
  </si>
  <si>
    <t>Sergejs</t>
  </si>
  <si>
    <t>Troscenko</t>
  </si>
  <si>
    <t>sergejstroscenko@gmail.com</t>
  </si>
  <si>
    <t>N/a</t>
  </si>
  <si>
    <t xml:space="preserve">Smyth </t>
  </si>
  <si>
    <t xml:space="preserve">smyth.stacey7@gmail.com </t>
  </si>
  <si>
    <t>Vintage Van</t>
  </si>
  <si>
    <t>11:00am-8:00pm</t>
  </si>
  <si>
    <t>1:00pm-10:00pm</t>
  </si>
  <si>
    <t>3:00pm-1:00am</t>
  </si>
  <si>
    <t xml:space="preserve">orr.janet@yahoo.ie </t>
  </si>
  <si>
    <t xml:space="preserve">Alessandra </t>
  </si>
  <si>
    <t>Maurizi</t>
  </si>
  <si>
    <t xml:space="preserve">murizialessandra@gmail.com </t>
  </si>
  <si>
    <t xml:space="preserve">Celine </t>
  </si>
  <si>
    <t xml:space="preserve">Cryan </t>
  </si>
  <si>
    <t>celinecryan@gmail.com</t>
  </si>
  <si>
    <t xml:space="preserve">Ethan </t>
  </si>
  <si>
    <t>OHalloran</t>
  </si>
  <si>
    <t>ethanohalloran8@gmail.com</t>
  </si>
  <si>
    <t xml:space="preserve">Coffee </t>
  </si>
  <si>
    <t xml:space="preserve">Niall </t>
  </si>
  <si>
    <t>n.oconnor@zambrero.com</t>
  </si>
  <si>
    <t xml:space="preserve">Newton </t>
  </si>
  <si>
    <t xml:space="preserve">Galhardo </t>
  </si>
  <si>
    <t>newtonfgalhardo@gmail.com</t>
  </si>
  <si>
    <t xml:space="preserve">Anderson </t>
  </si>
  <si>
    <t>Lisboa</t>
  </si>
  <si>
    <t xml:space="preserve">andersonlisboa100@gmail.com </t>
  </si>
  <si>
    <t xml:space="preserve">Vintage Ice Cream </t>
  </si>
  <si>
    <t xml:space="preserve">Fu Yun </t>
  </si>
  <si>
    <t>hsuabu09@gmail.com</t>
  </si>
  <si>
    <t xml:space="preserve">Lais </t>
  </si>
  <si>
    <t xml:space="preserve">Zotelli </t>
  </si>
  <si>
    <t xml:space="preserve">lais.zotelli@hotmail.com </t>
  </si>
  <si>
    <t xml:space="preserve">Jeferson </t>
  </si>
  <si>
    <t>Sousa</t>
  </si>
  <si>
    <t xml:space="preserve">jefersonsousa2324@gmail.com </t>
  </si>
  <si>
    <t xml:space="preserve">Alisson </t>
  </si>
  <si>
    <t>Scott</t>
  </si>
  <si>
    <t xml:space="preserve">alisson-scott@hotmail.com </t>
  </si>
  <si>
    <t xml:space="preserve">Maira </t>
  </si>
  <si>
    <t>Flores</t>
  </si>
  <si>
    <t xml:space="preserve">makinimaira@gmail.com </t>
  </si>
  <si>
    <t xml:space="preserve">Lucy </t>
  </si>
  <si>
    <t xml:space="preserve">dunnelucy54@gmail.com </t>
  </si>
  <si>
    <t xml:space="preserve">Ciara </t>
  </si>
  <si>
    <t xml:space="preserve">Byrne </t>
  </si>
  <si>
    <t>ciarabyrne07@yahoo.co.uk</t>
  </si>
  <si>
    <t>Wages</t>
  </si>
  <si>
    <t>Name</t>
  </si>
  <si>
    <t xml:space="preserve">Lauren Obrien </t>
  </si>
  <si>
    <t>None</t>
  </si>
  <si>
    <t xml:space="preserve">Chris </t>
  </si>
  <si>
    <t xml:space="preserve">Halligan </t>
  </si>
  <si>
    <t xml:space="preserve">Date </t>
  </si>
  <si>
    <t xml:space="preserve">Cash </t>
  </si>
  <si>
    <t>Trailers</t>
  </si>
  <si>
    <t xml:space="preserve">Trailers </t>
  </si>
  <si>
    <t xml:space="preserve">Camile pitt bros Zamb Thindi chip </t>
  </si>
  <si>
    <t xml:space="preserve">Pizza </t>
  </si>
  <si>
    <t>"</t>
  </si>
  <si>
    <t xml:space="preserve">Ice cream pizza Camile chip coffee </t>
  </si>
  <si>
    <t xml:space="preserve">Pizza camile Thindi chip ice cream </t>
  </si>
  <si>
    <t xml:space="preserve">Chip Pitt bros Zamb pizza </t>
  </si>
  <si>
    <t xml:space="preserve">" &amp; camile </t>
  </si>
  <si>
    <t xml:space="preserve">Camile Thindi pizza Pitt bros chip </t>
  </si>
  <si>
    <t xml:space="preserve">Toasty coffee ice cream pizza Camile chip </t>
  </si>
  <si>
    <t xml:space="preserve">Chip ice cream Pitt bros pizza </t>
  </si>
  <si>
    <t xml:space="preserve">Coffee chip </t>
  </si>
  <si>
    <t xml:space="preserve">Lisa </t>
  </si>
  <si>
    <t xml:space="preserve">Toasty coffee chip </t>
  </si>
  <si>
    <t xml:space="preserve">Laura </t>
  </si>
  <si>
    <t xml:space="preserve">Toasty ice cream coffee chip </t>
  </si>
  <si>
    <t xml:space="preserve">Toasty coffee </t>
  </si>
  <si>
    <t xml:space="preserve">Estelle </t>
  </si>
  <si>
    <t xml:space="preserve">Coffee toasty </t>
  </si>
  <si>
    <t xml:space="preserve">Ice cream Camile Pitt bros chip coffee </t>
  </si>
  <si>
    <t xml:space="preserve">Chip Pitt bros </t>
  </si>
  <si>
    <t xml:space="preserve">Mags </t>
  </si>
  <si>
    <t xml:space="preserve">Pizza ice cream chip </t>
  </si>
  <si>
    <t xml:space="preserve">Cian (dopey) </t>
  </si>
  <si>
    <t xml:space="preserve">Cian w </t>
  </si>
  <si>
    <t xml:space="preserve">Pitt bros chip Camile pizza </t>
  </si>
  <si>
    <t xml:space="preserve">Pitt bros Camile chip </t>
  </si>
  <si>
    <t xml:space="preserve">Halle </t>
  </si>
  <si>
    <t xml:space="preserve">Pitt bros chip Camile </t>
  </si>
  <si>
    <t xml:space="preserve">Emma t </t>
  </si>
  <si>
    <t xml:space="preserve">Coffee camile chip </t>
  </si>
  <si>
    <t xml:space="preserve">Sami </t>
  </si>
  <si>
    <t xml:space="preserve">Pizza chip coffee toasty </t>
  </si>
  <si>
    <t xml:space="preserve">Camile pitt bros chip </t>
  </si>
  <si>
    <t xml:space="preserve">Pitt bros Camile chip pizza Zamb </t>
  </si>
  <si>
    <t xml:space="preserve">Chip Pitt Bros </t>
  </si>
  <si>
    <t xml:space="preserve">Ice cream coffee </t>
  </si>
  <si>
    <t xml:space="preserve">Melissa </t>
  </si>
  <si>
    <t xml:space="preserve">Amy </t>
  </si>
  <si>
    <t xml:space="preserve">Chip pizza </t>
  </si>
  <si>
    <t xml:space="preserve">Chip pizza Pitt bros Camile </t>
  </si>
  <si>
    <t xml:space="preserve">Chip Pitt Bros Camile </t>
  </si>
  <si>
    <t xml:space="preserve">Heidi </t>
  </si>
  <si>
    <t xml:space="preserve">Camile pizza </t>
  </si>
  <si>
    <t xml:space="preserve">Pizza Camile </t>
  </si>
  <si>
    <t xml:space="preserve">Kerri </t>
  </si>
  <si>
    <t xml:space="preserve">Aoife </t>
  </si>
  <si>
    <t xml:space="preserve">Chip </t>
  </si>
  <si>
    <t xml:space="preserve">Gina </t>
  </si>
  <si>
    <t xml:space="preserve">Adam </t>
  </si>
  <si>
    <t xml:space="preserve">Ashy </t>
  </si>
  <si>
    <t xml:space="preserve">Taylor </t>
  </si>
  <si>
    <t xml:space="preserve">Cook </t>
  </si>
  <si>
    <t xml:space="preserve">Brophy </t>
  </si>
  <si>
    <t xml:space="preserve">Sean (Taylor) </t>
  </si>
  <si>
    <t xml:space="preserve">Charlie Nolan </t>
  </si>
  <si>
    <t xml:space="preserve">Caitlin Nolan </t>
  </si>
  <si>
    <t xml:space="preserve">Hilary </t>
  </si>
  <si>
    <t xml:space="preserve">Kyle </t>
  </si>
  <si>
    <t xml:space="preserve">Lisa (viv) </t>
  </si>
  <si>
    <t xml:space="preserve">Sean (Nicola) </t>
  </si>
  <si>
    <t xml:space="preserve">Aidan (Nicola) </t>
  </si>
  <si>
    <t xml:space="preserve">Katie (triona) </t>
  </si>
  <si>
    <t xml:space="preserve">Chip pit bros </t>
  </si>
  <si>
    <t>Casandra (triona)</t>
  </si>
  <si>
    <t xml:space="preserve">Becky (triona) </t>
  </si>
  <si>
    <t xml:space="preserve">Jess (Lorraine) </t>
  </si>
  <si>
    <t xml:space="preserve">Chip Zamb </t>
  </si>
  <si>
    <t xml:space="preserve">Trish </t>
  </si>
  <si>
    <t xml:space="preserve">Zamb Camile chip </t>
  </si>
  <si>
    <t xml:space="preserve">Chelsea (dyl) </t>
  </si>
  <si>
    <t xml:space="preserve">Pizza Camile chip </t>
  </si>
  <si>
    <t xml:space="preserve">Pizza camile chip </t>
  </si>
  <si>
    <t xml:space="preserve">Elaine </t>
  </si>
  <si>
    <t xml:space="preserve">Chip ice cream coffee </t>
  </si>
  <si>
    <t xml:space="preserve">Chip coffee ice cream </t>
  </si>
  <si>
    <t>Zach Bryan</t>
  </si>
  <si>
    <t>Delimeats</t>
  </si>
  <si>
    <t>Toilets</t>
  </si>
  <si>
    <t>Side Stage</t>
  </si>
  <si>
    <t>Toilets (Back Line)</t>
  </si>
  <si>
    <t>Back Of Main Arena (Spine)</t>
  </si>
  <si>
    <t>Family Area</t>
  </si>
  <si>
    <t>N/A</t>
  </si>
  <si>
    <t>Middle Arena Bar</t>
  </si>
  <si>
    <t>Early Entry/Gate 4</t>
  </si>
  <si>
    <t>Chesterfield Av @ Aras Gates</t>
  </si>
  <si>
    <t>(Sat/Sun Only)</t>
  </si>
  <si>
    <t>Source</t>
  </si>
  <si>
    <t>Paid</t>
  </si>
  <si>
    <t>Total Days</t>
  </si>
  <si>
    <t>Total Owed</t>
  </si>
  <si>
    <t>Obrien</t>
  </si>
  <si>
    <t xml:space="preserve">Jack </t>
  </si>
  <si>
    <t xml:space="preserve">Savage </t>
  </si>
  <si>
    <t xml:space="preserve">Or </t>
  </si>
  <si>
    <t xml:space="preserve">Oconnor </t>
  </si>
  <si>
    <t>Brennan</t>
  </si>
  <si>
    <t xml:space="preserve">Lynch </t>
  </si>
  <si>
    <t xml:space="preserve">Jordan </t>
  </si>
  <si>
    <t xml:space="preserve">Grogan </t>
  </si>
  <si>
    <t xml:space="preserve">nicola </t>
  </si>
  <si>
    <t xml:space="preserve">Keating </t>
  </si>
  <si>
    <t>Masterson</t>
  </si>
  <si>
    <t xml:space="preserve">Eustace </t>
  </si>
  <si>
    <t>Laura</t>
  </si>
  <si>
    <t xml:space="preserve">Murphy </t>
  </si>
  <si>
    <t xml:space="preserve">Sage </t>
  </si>
  <si>
    <t>Hannah</t>
  </si>
  <si>
    <t xml:space="preserve">Baker </t>
  </si>
  <si>
    <t xml:space="preserve">Oneill </t>
  </si>
  <si>
    <t xml:space="preserve">Hallie </t>
  </si>
  <si>
    <t>Toale</t>
  </si>
  <si>
    <t>Gwen</t>
  </si>
  <si>
    <t xml:space="preserve">Oreilly </t>
  </si>
  <si>
    <t xml:space="preserve">Ashbin </t>
  </si>
  <si>
    <t xml:space="preserve">aniska </t>
  </si>
  <si>
    <t xml:space="preserve">Rithvik </t>
  </si>
  <si>
    <t>chacko</t>
  </si>
  <si>
    <t xml:space="preserve">Nithin </t>
  </si>
  <si>
    <t xml:space="preserve">reddy </t>
  </si>
  <si>
    <t xml:space="preserve">Ramandu </t>
  </si>
  <si>
    <t>nallajonnala</t>
  </si>
  <si>
    <t xml:space="preserve">Peadar </t>
  </si>
  <si>
    <t xml:space="preserve">Odalaigh </t>
  </si>
  <si>
    <t xml:space="preserve">Campos </t>
  </si>
  <si>
    <t>Vanessa</t>
  </si>
  <si>
    <t>Perez</t>
  </si>
  <si>
    <t xml:space="preserve">Donovan </t>
  </si>
  <si>
    <t xml:space="preserve">Fabio </t>
  </si>
  <si>
    <t xml:space="preserve">Marciel </t>
  </si>
  <si>
    <t xml:space="preserve">Facundo </t>
  </si>
  <si>
    <t xml:space="preserve">Mendez </t>
  </si>
  <si>
    <t xml:space="preserve">Karina </t>
  </si>
  <si>
    <t xml:space="preserve">Vieira </t>
  </si>
  <si>
    <t xml:space="preserve">Julia </t>
  </si>
  <si>
    <t xml:space="preserve">Pimenta </t>
  </si>
  <si>
    <t xml:space="preserve">Hsu Fu </t>
  </si>
  <si>
    <t xml:space="preserve">Yun </t>
  </si>
  <si>
    <t xml:space="preserve">Santos </t>
  </si>
  <si>
    <t xml:space="preserve">Josue </t>
  </si>
  <si>
    <t>Mendoza</t>
  </si>
  <si>
    <t>Odriscoll</t>
  </si>
  <si>
    <t>odrscoll</t>
  </si>
  <si>
    <t xml:space="preserve">Odriscoll </t>
  </si>
  <si>
    <t xml:space="preserve">Lousie </t>
  </si>
  <si>
    <t xml:space="preserve">mahon </t>
  </si>
  <si>
    <t xml:space="preserve">Dimuthu </t>
  </si>
  <si>
    <t>sampathi</t>
  </si>
  <si>
    <t xml:space="preserve">Nathan </t>
  </si>
  <si>
    <t xml:space="preserve">Mcdonnell </t>
  </si>
  <si>
    <t xml:space="preserve">sullivan </t>
  </si>
  <si>
    <t>Sallyann</t>
  </si>
  <si>
    <t>odee</t>
  </si>
  <si>
    <t xml:space="preserve">Shannen </t>
  </si>
  <si>
    <t>Mcdonnell</t>
  </si>
  <si>
    <t xml:space="preserve">Vivekanda </t>
  </si>
  <si>
    <t>suttul</t>
  </si>
  <si>
    <t xml:space="preserve">Diyar </t>
  </si>
  <si>
    <t>ohagibad</t>
  </si>
  <si>
    <t>]0863672890</t>
  </si>
  <si>
    <t>MAriana</t>
  </si>
  <si>
    <t>rual</t>
  </si>
  <si>
    <t xml:space="preserve">Surya </t>
  </si>
  <si>
    <t>Thompson</t>
  </si>
  <si>
    <t xml:space="preserve">Nolan </t>
  </si>
  <si>
    <t xml:space="preserve">Leighanna </t>
  </si>
  <si>
    <t xml:space="preserve">Wakefield </t>
  </si>
  <si>
    <t xml:space="preserve">Nickolla </t>
  </si>
  <si>
    <t xml:space="preserve">Akhil </t>
  </si>
  <si>
    <t>madueza</t>
  </si>
  <si>
    <t xml:space="preserve">Beatriz </t>
  </si>
  <si>
    <t>mariato</t>
  </si>
  <si>
    <t>Aoife</t>
  </si>
  <si>
    <t xml:space="preserve">Obrien </t>
  </si>
  <si>
    <t xml:space="preserve">KAtelyn </t>
  </si>
  <si>
    <t>toalw</t>
  </si>
  <si>
    <t>Chelsea</t>
  </si>
  <si>
    <t xml:space="preserve">Danielle </t>
  </si>
  <si>
    <t xml:space="preserve">Iveagh </t>
  </si>
  <si>
    <t xml:space="preserve">Mia </t>
  </si>
  <si>
    <t xml:space="preserve">Egan </t>
  </si>
  <si>
    <t xml:space="preserve">Lilly </t>
  </si>
  <si>
    <t xml:space="preserve">Conerfey </t>
  </si>
  <si>
    <t xml:space="preserve">Richie </t>
  </si>
  <si>
    <t xml:space="preserve">Brown </t>
  </si>
  <si>
    <t xml:space="preserve">Creighton </t>
  </si>
  <si>
    <t xml:space="preserve">Ashleigh </t>
  </si>
  <si>
    <t>Brannigan</t>
  </si>
  <si>
    <t xml:space="preserve">Craig </t>
  </si>
  <si>
    <t xml:space="preserve">Fenlon </t>
  </si>
  <si>
    <t>Kelly</t>
  </si>
  <si>
    <t>Price</t>
  </si>
  <si>
    <t xml:space="preserve">Gillespie </t>
  </si>
  <si>
    <t>Tallon</t>
  </si>
  <si>
    <t xml:space="preserve">or </t>
  </si>
  <si>
    <t xml:space="preserve">Thompson </t>
  </si>
  <si>
    <t xml:space="preserve">Ashling </t>
  </si>
  <si>
    <t xml:space="preserve">KAtie </t>
  </si>
  <si>
    <t xml:space="preserve">Georgia </t>
  </si>
  <si>
    <t xml:space="preserve">Nestor </t>
  </si>
  <si>
    <t xml:space="preserve">Emmett </t>
  </si>
  <si>
    <t xml:space="preserve">Farrell </t>
  </si>
  <si>
    <t>Ciann</t>
  </si>
  <si>
    <t xml:space="preserve">Tony </t>
  </si>
  <si>
    <t xml:space="preserve">Desoussa </t>
  </si>
  <si>
    <t xml:space="preserve">Rosiene </t>
  </si>
  <si>
    <t xml:space="preserve">Dias </t>
  </si>
  <si>
    <t xml:space="preserve">Harvey </t>
  </si>
  <si>
    <t xml:space="preserve">Kaleidoscope </t>
  </si>
  <si>
    <t>Camille</t>
  </si>
  <si>
    <t>Duomo - relocated</t>
  </si>
  <si>
    <t>Mahon</t>
  </si>
  <si>
    <t>Or</t>
  </si>
  <si>
    <t>or</t>
  </si>
  <si>
    <t>Fennell</t>
  </si>
  <si>
    <t xml:space="preserve">Magaret </t>
  </si>
  <si>
    <t>Holohan</t>
  </si>
  <si>
    <t xml:space="preserve">Masterson </t>
  </si>
  <si>
    <t xml:space="preserve">Tallon </t>
  </si>
  <si>
    <t xml:space="preserve">Colm </t>
  </si>
  <si>
    <t>Robyn</t>
  </si>
  <si>
    <t xml:space="preserve">Smith </t>
  </si>
  <si>
    <t xml:space="preserve">Gifford </t>
  </si>
  <si>
    <t xml:space="preserve">Chacko </t>
  </si>
  <si>
    <t xml:space="preserve">Ramandiu </t>
  </si>
  <si>
    <t>Nalla</t>
  </si>
  <si>
    <t>Dimithu</t>
  </si>
  <si>
    <t>Fasall</t>
  </si>
  <si>
    <t xml:space="preserve">Younes </t>
  </si>
  <si>
    <t>Sacko</t>
  </si>
  <si>
    <t>Madocko</t>
  </si>
  <si>
    <t xml:space="preserve">Reddy </t>
  </si>
  <si>
    <t xml:space="preserve">Glifford </t>
  </si>
  <si>
    <t xml:space="preserve">Karen </t>
  </si>
  <si>
    <t>Ishan</t>
  </si>
  <si>
    <t>Shacio</t>
  </si>
  <si>
    <t xml:space="preserve">Hussnain </t>
  </si>
  <si>
    <t xml:space="preserve">Amad </t>
  </si>
  <si>
    <t xml:space="preserve">Vasyl </t>
  </si>
  <si>
    <t>Klinchecko</t>
  </si>
  <si>
    <t xml:space="preserve">Sunil </t>
  </si>
  <si>
    <t xml:space="preserve">Kumar </t>
  </si>
  <si>
    <t>Vadas</t>
  </si>
  <si>
    <t xml:space="preserve">Varun </t>
  </si>
  <si>
    <t>Sai</t>
  </si>
  <si>
    <t xml:space="preserve">Aidan </t>
  </si>
  <si>
    <t>Live at the Marquee</t>
  </si>
  <si>
    <t>🌡️</t>
  </si>
  <si>
    <t>Smash Burger</t>
  </si>
  <si>
    <t>Franks Hot Dog</t>
  </si>
  <si>
    <t>Coca Cola Can</t>
  </si>
  <si>
    <t>Ice Cream Van</t>
  </si>
  <si>
    <t>Picture This -Sold Out</t>
  </si>
  <si>
    <t>Picture This -Extra Date Added</t>
  </si>
  <si>
    <t>The Coronas</t>
  </si>
  <si>
    <t>Christy Moore -Sold Out</t>
  </si>
  <si>
    <t>Dara O‘Briain</t>
  </si>
  <si>
    <t>Joe Bonamassa Plays Rory Gallagher -Sold Out</t>
  </si>
  <si>
    <t>Joe Bonamassa Plays Rory Gallagher -Extra Date</t>
  </si>
  <si>
    <t>Tommy Tiernan</t>
  </si>
  <si>
    <t>Tommy Tiernan - Sold Out</t>
  </si>
  <si>
    <t>Roy Keane and Roddy Doyle - Sold Out</t>
  </si>
  <si>
    <t>The Waterboys</t>
  </si>
  <si>
    <t>Chris Kent</t>
  </si>
  <si>
    <t>Dec Pierce</t>
  </si>
  <si>
    <t>Olly Murs</t>
  </si>
  <si>
    <t>Kingfishr - Sold Out</t>
  </si>
  <si>
    <t>Amble - Sold Out</t>
  </si>
  <si>
    <t>The Mary Wallopers</t>
  </si>
  <si>
    <t>Cian Ducrot - Sold Out</t>
  </si>
  <si>
    <t>Cian Ducrot</t>
  </si>
  <si>
    <t>D-Block Europe</t>
  </si>
  <si>
    <t>D-Block Europe - Sold Out</t>
  </si>
  <si>
    <t>Michael McIntyre - Sold Out</t>
  </si>
  <si>
    <t>Staff</t>
  </si>
  <si>
    <t>Rate Card</t>
  </si>
  <si>
    <t>Concept Name</t>
  </si>
  <si>
    <t>Cuisine / Theme</t>
  </si>
  <si>
    <t>Description</t>
  </si>
  <si>
    <t>Min. Daily Rate (€ ex. VAT)</t>
  </si>
  <si>
    <t>Min. Price Per Head (€)</t>
  </si>
  <si>
    <t>Thai Street Food</t>
  </si>
  <si>
    <t>Ireland’s top Thai food brand. Award-winning dishes &amp; sustainability focus.</t>
  </si>
  <si>
    <t>Mexican / Burrito Bowls</t>
  </si>
  <si>
    <t>Fast-growing global Mexican brand. Freshly made bowls, burritos, and nachos.</t>
  </si>
  <si>
    <t>Offbeat Donuts</t>
  </si>
  <si>
    <t>Artisan Donuts &amp; Coffee</t>
  </si>
  <si>
    <t>Fresh daily donuts &amp; coffee. Popular at both internal events and public gatherings.</t>
  </si>
  <si>
    <t>American BBQ</t>
  </si>
  <si>
    <t>Smoked meats, BBQ sides. A crowd-pleasing option with a high volume service capacity.</t>
  </si>
  <si>
    <t>Indian Street Food</t>
  </si>
  <si>
    <t>Trendy Indian food from a restored French vintage truck. Colourful and flavour-packed.</t>
  </si>
  <si>
    <t>Sprinkles</t>
  </si>
  <si>
    <t>Loaded Churros / Desserts</t>
  </si>
  <si>
    <t>Churros and desserts concept, very popular with families and casual events.</t>
  </si>
  <si>
    <t>Desserts by Sprinkles</t>
  </si>
  <si>
    <t>Sweet Treats</t>
  </si>
  <si>
    <t>Expanded dessert concept from our Sprinkles brand – ideal for after-lunch or evening events.</t>
  </si>
  <si>
    <t>Coffee &amp; Pastries</t>
  </si>
  <si>
    <t>Authentic Italian-style café concept. Great for breakfast activations and AM service.</t>
  </si>
  <si>
    <t>Angelo’s Neapolitan Pizza</t>
  </si>
  <si>
    <t>Neapolitan Pizza</t>
  </si>
  <si>
    <t>Traditional-style pizza made fresh on-site. High visual appeal and broad appeal.</t>
  </si>
  <si>
    <t>Toasted.</t>
  </si>
  <si>
    <t>Toasties, Coffee &amp; Pastries</t>
  </si>
  <si>
    <t>Comfort food at its best – gourmet sourdough toasties, with optional coffee and pastries.</t>
  </si>
  <si>
    <t>Premium Burgers &amp; Fries</t>
  </si>
  <si>
    <t>Smash burgers, loaded fries. 5 trucks available for high-demand setups.</t>
  </si>
  <si>
    <t>O’Brien’s Ice Cream</t>
  </si>
  <si>
    <t>Soft Serve &amp; Treats</t>
  </si>
  <si>
    <t>Classic Irish ice cream trucks. 18 units available to cover all scales of events.</t>
  </si>
  <si>
    <t>Vintage Ice Cream Vans</t>
  </si>
  <si>
    <t>Retro Ice Cream</t>
  </si>
  <si>
    <t>Fully restored vintage ice cream vans. Great for summer and nostalgic activations.</t>
  </si>
  <si>
    <t>Ice Cream Trikes</t>
  </si>
  <si>
    <t>Portable Frozen Treats</t>
  </si>
  <si>
    <t>Ideal for indoor or courtyard events – serving popsicles, iced coffee, scoop ice cream.</t>
  </si>
  <si>
    <t>Cash Lifts</t>
  </si>
  <si>
    <t>Event</t>
  </si>
  <si>
    <t>Date</t>
  </si>
  <si>
    <t>Venue</t>
  </si>
  <si>
    <t>Lift 1</t>
  </si>
  <si>
    <t>Lift 2</t>
  </si>
  <si>
    <t>Lift 3</t>
  </si>
  <si>
    <t>Lift 4</t>
  </si>
  <si>
    <t>Christmas Festival</t>
  </si>
  <si>
    <t>Vintage Coffee</t>
  </si>
  <si>
    <t>Off Beat Donut</t>
  </si>
  <si>
    <t>Coffee (Trackside)</t>
  </si>
  <si>
    <t>Float</t>
  </si>
  <si>
    <t>Fitzers/Levy Commission Sheet 2024</t>
  </si>
  <si>
    <t>Date(s)</t>
  </si>
  <si>
    <t xml:space="preserve">Unit Name </t>
  </si>
  <si>
    <t xml:space="preserve">Turnover </t>
  </si>
  <si>
    <t>Vouchers</t>
  </si>
  <si>
    <t xml:space="preserve">Champions Weekend </t>
  </si>
  <si>
    <t xml:space="preserve">Vintage Coffee </t>
  </si>
  <si>
    <t>American Football</t>
  </si>
  <si>
    <t>Aviva</t>
  </si>
  <si>
    <t xml:space="preserve">Off Beat </t>
  </si>
  <si>
    <t>FAI Women's Intl</t>
  </si>
  <si>
    <t>FAI Cup Final</t>
  </si>
  <si>
    <t xml:space="preserve">Winter Festival </t>
  </si>
  <si>
    <t>Fairyhouse</t>
  </si>
  <si>
    <t>Six Nations</t>
  </si>
  <si>
    <t>Taylor Swift</t>
  </si>
  <si>
    <t>Burger</t>
  </si>
  <si>
    <t xml:space="preserve">Christmas Festival </t>
  </si>
  <si>
    <t>Van</t>
  </si>
  <si>
    <t>Caffe Duomo Trackside</t>
  </si>
  <si>
    <t xml:space="preserve">Caffe Duomo </t>
  </si>
  <si>
    <t>Dublin Racing Festival</t>
  </si>
  <si>
    <t xml:space="preserve">Caffe Duomo Trackside </t>
  </si>
  <si>
    <t xml:space="preserve">Irish Grand National </t>
  </si>
  <si>
    <t>Nobo</t>
  </si>
  <si>
    <t xml:space="preserve">Nobo </t>
  </si>
  <si>
    <t xml:space="preserve">Sprinkles </t>
  </si>
  <si>
    <t>Student Raceday</t>
  </si>
  <si>
    <t>Churro</t>
  </si>
  <si>
    <t>Curragh</t>
  </si>
  <si>
    <t>50 vouchers @ €15 Sheehys</t>
  </si>
  <si>
    <t xml:space="preserve">Bulmers Live </t>
  </si>
  <si>
    <t>Pizza</t>
  </si>
  <si>
    <t xml:space="preserve">Pink Run </t>
  </si>
  <si>
    <t xml:space="preserve">Champions Stake </t>
  </si>
  <si>
    <t xml:space="preserve">Offbeat </t>
  </si>
  <si>
    <t xml:space="preserve">Caffe duomo </t>
  </si>
  <si>
    <t>Totals</t>
  </si>
  <si>
    <t>Suppliers</t>
  </si>
  <si>
    <t>Supplier ID</t>
  </si>
  <si>
    <t>Business Name</t>
  </si>
  <si>
    <t>Contact Name</t>
  </si>
  <si>
    <t xml:space="preserve">Contact Number </t>
  </si>
  <si>
    <t>IBAN</t>
  </si>
  <si>
    <t>Balance</t>
  </si>
  <si>
    <t>Payment Method</t>
  </si>
  <si>
    <t>Payment Terms</t>
  </si>
  <si>
    <t>AIK001</t>
  </si>
  <si>
    <t>Aiken Promotions</t>
  </si>
  <si>
    <t>IE14AIBK93106343476092</t>
  </si>
  <si>
    <t>Account</t>
  </si>
  <si>
    <t>ALC001</t>
  </si>
  <si>
    <t>A&amp;L Castors LTD</t>
  </si>
  <si>
    <t>Cash On Delivery</t>
  </si>
  <si>
    <t>On Delivery</t>
  </si>
  <si>
    <t>ALL001</t>
  </si>
  <si>
    <t>Allegen LTD</t>
  </si>
  <si>
    <t>ALL002</t>
  </si>
  <si>
    <t>all stop trading</t>
  </si>
  <si>
    <t>APP001</t>
  </si>
  <si>
    <t>Appsharp</t>
  </si>
  <si>
    <t>APP002</t>
  </si>
  <si>
    <t>Applus NCT</t>
  </si>
  <si>
    <t>AUT001</t>
  </si>
  <si>
    <t>Autoval</t>
  </si>
  <si>
    <t>AUT002</t>
  </si>
  <si>
    <t>Auto Start</t>
  </si>
  <si>
    <t>AUT003</t>
  </si>
  <si>
    <t>Auto &amp; Trailer Spares Ltd</t>
  </si>
  <si>
    <t>BAL001</t>
  </si>
  <si>
    <t>Ballinlough Workshop</t>
  </si>
  <si>
    <t>BOR001</t>
  </si>
  <si>
    <t>Bord Gais</t>
  </si>
  <si>
    <t>BQ001</t>
  </si>
  <si>
    <t>B&amp;Q</t>
  </si>
  <si>
    <t>BRE001</t>
  </si>
  <si>
    <t>Bretzel Bakery</t>
  </si>
  <si>
    <t>Direct Debit</t>
  </si>
  <si>
    <t>Weekly</t>
  </si>
  <si>
    <t>BUJ001</t>
  </si>
  <si>
    <t>Bujo</t>
  </si>
  <si>
    <t>CAF001</t>
  </si>
  <si>
    <t>CAF002</t>
  </si>
  <si>
    <t>Caffreys Confectionary LTD</t>
  </si>
  <si>
    <t>CAM001</t>
  </si>
  <si>
    <t>Camile Ireland</t>
  </si>
  <si>
    <t>CAM002</t>
  </si>
  <si>
    <t>Campion Insurance</t>
  </si>
  <si>
    <t>CAN001</t>
  </si>
  <si>
    <t>Canavan Enterprises</t>
  </si>
  <si>
    <t>CAR001</t>
  </si>
  <si>
    <t>Cartridge Expert</t>
  </si>
  <si>
    <t>CAT001</t>
  </si>
  <si>
    <t>Caterboss</t>
  </si>
  <si>
    <t>CAT002</t>
  </si>
  <si>
    <t>Caterline</t>
  </si>
  <si>
    <t>CEL001</t>
  </si>
  <si>
    <t>Celuplast</t>
  </si>
  <si>
    <t>CEN001</t>
  </si>
  <si>
    <t>Century Fasteners Ltd</t>
  </si>
  <si>
    <t>CEN002</t>
  </si>
  <si>
    <t>Central Fusion</t>
  </si>
  <si>
    <t>CHA001</t>
  </si>
  <si>
    <t>Charles Camping</t>
  </si>
  <si>
    <t>CLO001</t>
  </si>
  <si>
    <t>Close Brothers</t>
  </si>
  <si>
    <t>30 Days</t>
  </si>
  <si>
    <t>COC001</t>
  </si>
  <si>
    <t>Coca Cola</t>
  </si>
  <si>
    <t>COE001</t>
  </si>
  <si>
    <t>COE Enterprises Ltd T/A Fabco</t>
  </si>
  <si>
    <t>COF001</t>
  </si>
  <si>
    <t>IE66BOFI90055169389712</t>
  </si>
  <si>
    <t>COM001</t>
  </si>
  <si>
    <t>Commercial Sinks Ltd</t>
  </si>
  <si>
    <t>CON001</t>
  </si>
  <si>
    <t>Connectix LTD</t>
  </si>
  <si>
    <t>CON002</t>
  </si>
  <si>
    <t>Conway Prepared Fruit &amp; Veg</t>
  </si>
  <si>
    <t>CON003</t>
  </si>
  <si>
    <t>Construction Spares</t>
  </si>
  <si>
    <t>COO001</t>
  </si>
  <si>
    <t>COS001</t>
  </si>
  <si>
    <t>Cosy Campers</t>
  </si>
  <si>
    <t>CRA001</t>
  </si>
  <si>
    <t>Crane &amp; Care</t>
  </si>
  <si>
    <t>CUR001</t>
  </si>
  <si>
    <t>Currys</t>
  </si>
  <si>
    <t>CUS001</t>
  </si>
  <si>
    <t>Cuspal</t>
  </si>
  <si>
    <t>DAN001</t>
  </si>
  <si>
    <t>Dan Ryan Truck Rental</t>
  </si>
  <si>
    <t>DCI001</t>
  </si>
  <si>
    <t>DCI</t>
  </si>
  <si>
    <t>DEA001</t>
  </si>
  <si>
    <t>Dealz</t>
  </si>
  <si>
    <t>DEL001</t>
  </si>
  <si>
    <t>Deli Meats</t>
  </si>
  <si>
    <t>DEM001</t>
  </si>
  <si>
    <t>Demesne Electrical</t>
  </si>
  <si>
    <t>DIE001</t>
  </si>
  <si>
    <t>Diesel Receipts</t>
  </si>
  <si>
    <t>DOW001</t>
  </si>
  <si>
    <t>Dowlings Butchers</t>
  </si>
  <si>
    <t>DRI001</t>
  </si>
  <si>
    <t>DriveShaft Services</t>
  </si>
  <si>
    <t>DUB001</t>
  </si>
  <si>
    <t>Dublin City Council</t>
  </si>
  <si>
    <t>EAS001</t>
  </si>
  <si>
    <t>East Coast Car Parts</t>
  </si>
  <si>
    <t>ECI001</t>
  </si>
  <si>
    <t>ECI JCB Dublin</t>
  </si>
  <si>
    <t>EFO001</t>
  </si>
  <si>
    <t>Efox Engineers</t>
  </si>
  <si>
    <t>EIR001</t>
  </si>
  <si>
    <t>Eir</t>
  </si>
  <si>
    <t>ELE001</t>
  </si>
  <si>
    <t>Electric Ireland</t>
  </si>
  <si>
    <t>EUR001</t>
  </si>
  <si>
    <t>EBC</t>
  </si>
  <si>
    <t>EVE001</t>
  </si>
  <si>
    <t>Event &amp; Warehousing</t>
  </si>
  <si>
    <t>FIN001</t>
  </si>
  <si>
    <t>Fingal County Council</t>
  </si>
  <si>
    <t>FLE001</t>
  </si>
  <si>
    <t>Fleetwood Paints</t>
  </si>
  <si>
    <t>FLO001</t>
  </si>
  <si>
    <t>Flow Pumps Ltd</t>
  </si>
  <si>
    <t>FOR001</t>
  </si>
  <si>
    <t>Forever Young Festival</t>
  </si>
  <si>
    <t>FRU001</t>
  </si>
  <si>
    <t>Fruit 4 You</t>
  </si>
  <si>
    <t>FRY001</t>
  </si>
  <si>
    <t>Frylite</t>
  </si>
  <si>
    <t>FUE001</t>
  </si>
  <si>
    <t>Fuel Festivals Ltd</t>
  </si>
  <si>
    <t>FUT001</t>
  </si>
  <si>
    <t>Future Events Hire Ltd</t>
  </si>
  <si>
    <t>FWF001</t>
  </si>
  <si>
    <t>FW Food Products Ltd</t>
  </si>
  <si>
    <t>GAS001</t>
  </si>
  <si>
    <t>Gas Oil</t>
  </si>
  <si>
    <t>GEN001</t>
  </si>
  <si>
    <t>Generator Hire</t>
  </si>
  <si>
    <t>GIG001</t>
  </si>
  <si>
    <t>Gigable Ltd</t>
  </si>
  <si>
    <t>GOA001</t>
  </si>
  <si>
    <t>Goats Oats</t>
  </si>
  <si>
    <t>GRA001</t>
  </si>
  <si>
    <t>Graham Worth</t>
  </si>
  <si>
    <t>GRE001</t>
  </si>
  <si>
    <t>Greenogue Management</t>
  </si>
  <si>
    <t>HAL001</t>
  </si>
  <si>
    <t>Halligans Garage</t>
  </si>
  <si>
    <t>HAL002</t>
  </si>
  <si>
    <t>Halfords</t>
  </si>
  <si>
    <t>HAR001</t>
  </si>
  <si>
    <t>Harvey Norman</t>
  </si>
  <si>
    <t>HOM001</t>
  </si>
  <si>
    <t>Homestore &amp; More</t>
  </si>
  <si>
    <t>HUG001</t>
  </si>
  <si>
    <t>Hugh Jordan</t>
  </si>
  <si>
    <t>IND001</t>
  </si>
  <si>
    <t>Industrial Packaging</t>
  </si>
  <si>
    <t>IRI001</t>
  </si>
  <si>
    <t>Irish Coach Building &amp; Trailer</t>
  </si>
  <si>
    <t>IRI002</t>
  </si>
  <si>
    <t>Irish Garage Equipment</t>
  </si>
  <si>
    <t>IRI003</t>
  </si>
  <si>
    <t>Irish Water</t>
  </si>
  <si>
    <t>IRO001</t>
  </si>
  <si>
    <t>Iroko Events &amp; Construction</t>
  </si>
  <si>
    <t>JAM001</t>
  </si>
  <si>
    <t>James Madigan Investments</t>
  </si>
  <si>
    <t>JCO001</t>
  </si>
  <si>
    <t>J Collier Tyres</t>
  </si>
  <si>
    <t>JLF001</t>
  </si>
  <si>
    <t>JL Fenton Ltd</t>
  </si>
  <si>
    <t>KAN001</t>
  </si>
  <si>
    <t>Kaneco Commercial Kitchen Specialists</t>
  </si>
  <si>
    <t>KEL001</t>
  </si>
  <si>
    <t>Kellihers Electrical</t>
  </si>
  <si>
    <t>KOD001</t>
  </si>
  <si>
    <t>KODC Advisory Limited</t>
  </si>
  <si>
    <t>KRU001</t>
  </si>
  <si>
    <t>Krumers Alpin</t>
  </si>
  <si>
    <t>KSI001</t>
  </si>
  <si>
    <t>K&amp;S Industrial</t>
  </si>
  <si>
    <t>LID001</t>
  </si>
  <si>
    <t>Lidl</t>
  </si>
  <si>
    <t>LPT001</t>
  </si>
  <si>
    <t>LPT</t>
  </si>
  <si>
    <t>MAC001</t>
  </si>
  <si>
    <t>Macclesfield Paint Ltd</t>
  </si>
  <si>
    <t>MAN001</t>
  </si>
  <si>
    <t>Man Importers Ireland</t>
  </si>
  <si>
    <t>MAX001</t>
  </si>
  <si>
    <t>Maxol</t>
  </si>
  <si>
    <t>MCS001</t>
  </si>
  <si>
    <t>MCS Autofactors</t>
  </si>
  <si>
    <t>MOB001</t>
  </si>
  <si>
    <t>Mobile Plant Glass</t>
  </si>
  <si>
    <t>MON001</t>
  </si>
  <si>
    <t>Mondello Park</t>
  </si>
  <si>
    <t>MOT001</t>
  </si>
  <si>
    <t>Motor Tax</t>
  </si>
  <si>
    <t>MUR001</t>
  </si>
  <si>
    <t>Murray Auto Services</t>
  </si>
  <si>
    <t>MUR002</t>
  </si>
  <si>
    <t>Murray Motor Sport</t>
  </si>
  <si>
    <t>MUS001</t>
  </si>
  <si>
    <t>Musgraves</t>
  </si>
  <si>
    <t>MUS002</t>
  </si>
  <si>
    <t>Music For Animal Welfare</t>
  </si>
  <si>
    <t>NAA001</t>
  </si>
  <si>
    <t>Naas Oil</t>
  </si>
  <si>
    <t>OCP001</t>
  </si>
  <si>
    <t>Oc Power Generation</t>
  </si>
  <si>
    <t>OFF001</t>
  </si>
  <si>
    <t>OHH001</t>
  </si>
  <si>
    <t>Oh Happy Treats</t>
  </si>
  <si>
    <t>OSU001</t>
  </si>
  <si>
    <t>OSullivan Safety</t>
  </si>
  <si>
    <t>PAD001</t>
  </si>
  <si>
    <t>Paddy Connolly</t>
  </si>
  <si>
    <t>PAL001</t>
  </si>
  <si>
    <t>Pallas Food</t>
  </si>
  <si>
    <t>PAR001</t>
  </si>
  <si>
    <t>Parts For Cars</t>
  </si>
  <si>
    <t>PAR002</t>
  </si>
  <si>
    <t>Parking</t>
  </si>
  <si>
    <t>PEA001</t>
  </si>
  <si>
    <t>Peats Wholesale</t>
  </si>
  <si>
    <t>PET001</t>
  </si>
  <si>
    <t>Petrogas Group Ltd</t>
  </si>
  <si>
    <t>PIT001</t>
  </si>
  <si>
    <t>IE58REVO99036026483020</t>
  </si>
  <si>
    <t>PJG001</t>
  </si>
  <si>
    <t>P&amp;J Gaffney</t>
  </si>
  <si>
    <t>POD001</t>
  </si>
  <si>
    <t>POD Festivals</t>
  </si>
  <si>
    <t>POW001</t>
  </si>
  <si>
    <t>Powertool Hub</t>
  </si>
  <si>
    <t>POW002</t>
  </si>
  <si>
    <t>RAD001</t>
  </si>
  <si>
    <t>Radionics Ltd</t>
  </si>
  <si>
    <t>RAT001</t>
  </si>
  <si>
    <t>Rathcoole Commercial</t>
  </si>
  <si>
    <t>RAT002</t>
  </si>
  <si>
    <t>Rathcoole Motor Factors</t>
  </si>
  <si>
    <t>RAW001</t>
  </si>
  <si>
    <t>Raw Juices &amp; Smoothies</t>
  </si>
  <si>
    <t>RCL001</t>
  </si>
  <si>
    <t>RCL Cash &amp; Carry</t>
  </si>
  <si>
    <t>REA001</t>
  </si>
  <si>
    <t>Ready Chef</t>
  </si>
  <si>
    <t>REG001</t>
  </si>
  <si>
    <t>Reg Farrell Engineering Ltd</t>
  </si>
  <si>
    <t>RFS001</t>
  </si>
  <si>
    <t>RFS The Fastener Company</t>
  </si>
  <si>
    <t>RMA001</t>
  </si>
  <si>
    <t>RMA Hire</t>
  </si>
  <si>
    <t>ROB001</t>
  </si>
  <si>
    <t>Robinsons meat</t>
  </si>
  <si>
    <t>SAS001</t>
  </si>
  <si>
    <t>SAS Garage Doors &amp; Secuirty Shutters LTD</t>
  </si>
  <si>
    <t>SCR001</t>
  </si>
  <si>
    <t>Screwfix</t>
  </si>
  <si>
    <t>SEC001</t>
  </si>
  <si>
    <t>Security &amp; Risk Communications</t>
  </si>
  <si>
    <t>SEC002</t>
  </si>
  <si>
    <t>Second to None Veg</t>
  </si>
  <si>
    <t>SHA001</t>
  </si>
  <si>
    <t>Shamrock Electrical Supplies</t>
  </si>
  <si>
    <t>SHE001</t>
  </si>
  <si>
    <t>Sheeran Food Service</t>
  </si>
  <si>
    <t>SIL001</t>
  </si>
  <si>
    <t>Silverdock T/A AMGA</t>
  </si>
  <si>
    <t>SLG001</t>
  </si>
  <si>
    <t>S&amp;L Gas Distributors</t>
  </si>
  <si>
    <t>SNI001</t>
  </si>
  <si>
    <t>Snickers Workwear</t>
  </si>
  <si>
    <t>SOA001</t>
  </si>
  <si>
    <t>Soaktech</t>
  </si>
  <si>
    <t>SOU001</t>
  </si>
  <si>
    <t>South Dublin County Council</t>
  </si>
  <si>
    <t>SPA001</t>
  </si>
  <si>
    <t>Spar</t>
  </si>
  <si>
    <t>SPI001</t>
  </si>
  <si>
    <t>Spirit LIllies Ford</t>
  </si>
  <si>
    <t>SPI002</t>
  </si>
  <si>
    <t>Spirit Burton Ford</t>
  </si>
  <si>
    <t>SPO001</t>
  </si>
  <si>
    <t>Sports Direct</t>
  </si>
  <si>
    <t>SQU001</t>
  </si>
  <si>
    <t>Squid</t>
  </si>
  <si>
    <t>STA001</t>
  </si>
  <si>
    <t>Starlink</t>
  </si>
  <si>
    <t>STE001</t>
  </si>
  <si>
    <t>Stepaside Business Association</t>
  </si>
  <si>
    <t>STR001</t>
  </si>
  <si>
    <t>Strahan distributors</t>
  </si>
  <si>
    <t>SUP001</t>
  </si>
  <si>
    <t>Supervalu</t>
  </si>
  <si>
    <t>SWE001</t>
  </si>
  <si>
    <t>Sweeney O‘Rourke Ltd</t>
  </si>
  <si>
    <t>SYS001</t>
  </si>
  <si>
    <t>TAR001</t>
  </si>
  <si>
    <t>Tartine / Innvik Foods Ltd</t>
  </si>
  <si>
    <t>TES001</t>
  </si>
  <si>
    <t>Tesco</t>
  </si>
  <si>
    <t>THE001</t>
  </si>
  <si>
    <t>The HR Company</t>
  </si>
  <si>
    <t>THE002</t>
  </si>
  <si>
    <t>The Irish Pop &amp; Candy Co</t>
  </si>
  <si>
    <t>THE003</t>
  </si>
  <si>
    <t>The Fixing Company</t>
  </si>
  <si>
    <t>THE004</t>
  </si>
  <si>
    <t>The Buggy Man</t>
  </si>
  <si>
    <t>THE005</t>
  </si>
  <si>
    <t>The Speaker Connolly</t>
  </si>
  <si>
    <t>THO001</t>
  </si>
  <si>
    <t>Thorntons Recycling</t>
  </si>
  <si>
    <t>THR001</t>
  </si>
  <si>
    <t>Three</t>
  </si>
  <si>
    <t>TIL001</t>
  </si>
  <si>
    <t>Tile Merchant</t>
  </si>
  <si>
    <t>TOA001</t>
  </si>
  <si>
    <t>Toast</t>
  </si>
  <si>
    <t>TOL001</t>
  </si>
  <si>
    <t>Tolls</t>
  </si>
  <si>
    <t>TOM001</t>
  </si>
  <si>
    <t>Tom Obrien</t>
  </si>
  <si>
    <t>TOO001</t>
  </si>
  <si>
    <t>Too Good To Go</t>
  </si>
  <si>
    <t>TOT001</t>
  </si>
  <si>
    <t>Total Motor Supplies</t>
  </si>
  <si>
    <t>TRU001</t>
  </si>
  <si>
    <t>Truck &amp; Bus Parts</t>
  </si>
  <si>
    <t>TVL001</t>
  </si>
  <si>
    <t>TV Licence</t>
  </si>
  <si>
    <t>VAL001</t>
  </si>
  <si>
    <t>Value Centre</t>
  </si>
  <si>
    <t>VEM001</t>
  </si>
  <si>
    <t>VEMS Ltd</t>
  </si>
  <si>
    <t>VFF001</t>
  </si>
  <si>
    <t>VF Foods</t>
  </si>
  <si>
    <t>VIC001</t>
  </si>
  <si>
    <t>Victor Treacy International</t>
  </si>
  <si>
    <t>VIN001</t>
  </si>
  <si>
    <t>Vinny Byrne .com</t>
  </si>
  <si>
    <t>VOD001</t>
  </si>
  <si>
    <t>Vodafone</t>
  </si>
  <si>
    <t>WEL001</t>
  </si>
  <si>
    <t>Wellfest</t>
  </si>
  <si>
    <t>WEL002</t>
  </si>
  <si>
    <t>Well Canned Water</t>
  </si>
  <si>
    <t>WHI001</t>
  </si>
  <si>
    <t>Whitby Specialists</t>
  </si>
  <si>
    <t>WIL001</t>
  </si>
  <si>
    <t>Willbay Ltd</t>
  </si>
  <si>
    <t>WIL002</t>
  </si>
  <si>
    <t>Wilsons Auction</t>
  </si>
  <si>
    <t>WOO001</t>
  </si>
  <si>
    <t>Woodies DIY</t>
  </si>
  <si>
    <t>WIN001</t>
  </si>
  <si>
    <t>Wincom Engineering Ltd.</t>
  </si>
  <si>
    <t>1E25AIBK93331786103009</t>
  </si>
  <si>
    <t>WOR001</t>
  </si>
  <si>
    <t>Worldpay</t>
  </si>
  <si>
    <t>ZAM001</t>
  </si>
  <si>
    <t>ZTE001</t>
  </si>
  <si>
    <t>Zteck</t>
  </si>
  <si>
    <t>Sophie</t>
  </si>
  <si>
    <t xml:space="preserve">Grainne </t>
  </si>
  <si>
    <t>Zoe</t>
  </si>
  <si>
    <t>Back of Main Arena (Spine)</t>
  </si>
  <si>
    <t>Leon</t>
  </si>
  <si>
    <t>Josh</t>
  </si>
  <si>
    <t>Back Bar 2 / Casa Bacardi</t>
  </si>
  <si>
    <t>Cora</t>
  </si>
  <si>
    <t>Suzie</t>
  </si>
  <si>
    <t>Pete</t>
  </si>
  <si>
    <t>Walkway/Main Arena</t>
  </si>
  <si>
    <t xml:space="preserve">Walkway/Late Night </t>
  </si>
  <si>
    <t>Electric Arena</t>
  </si>
  <si>
    <t>Ice Cream Unit 4</t>
  </si>
  <si>
    <t>Rankins Wood</t>
  </si>
  <si>
    <t>MA/Tree</t>
  </si>
  <si>
    <t xml:space="preserve">obrien </t>
  </si>
  <si>
    <t xml:space="preserve">Pat </t>
  </si>
  <si>
    <t xml:space="preserve">mia </t>
  </si>
  <si>
    <t xml:space="preserve">rachel </t>
  </si>
  <si>
    <t xml:space="preserve">Lewis </t>
  </si>
  <si>
    <t xml:space="preserve">Jacob </t>
  </si>
  <si>
    <t xml:space="preserve">sarah </t>
  </si>
  <si>
    <t xml:space="preserve">lawlor </t>
  </si>
  <si>
    <t>martin</t>
  </si>
  <si>
    <t xml:space="preserve">grainne </t>
  </si>
  <si>
    <t xml:space="preserve">noctor </t>
  </si>
  <si>
    <t>jack</t>
  </si>
  <si>
    <t xml:space="preserve">Bergin </t>
  </si>
  <si>
    <t xml:space="preserve">vivienne </t>
  </si>
  <si>
    <t xml:space="preserve">Angela </t>
  </si>
  <si>
    <t>mckenzie</t>
  </si>
  <si>
    <t xml:space="preserve">Clarke </t>
  </si>
  <si>
    <t xml:space="preserve">barry </t>
  </si>
  <si>
    <t xml:space="preserve">Cattiona </t>
  </si>
  <si>
    <t xml:space="preserve">Moore </t>
  </si>
  <si>
    <t xml:space="preserve">Zoe </t>
  </si>
  <si>
    <t xml:space="preserve">Sharon </t>
  </si>
  <si>
    <t>Tony</t>
  </si>
  <si>
    <t xml:space="preserve">Monica </t>
  </si>
  <si>
    <t>Adam</t>
  </si>
  <si>
    <t xml:space="preserve">lauren </t>
  </si>
  <si>
    <t>obrien</t>
  </si>
  <si>
    <t xml:space="preserve">Man Van </t>
  </si>
  <si>
    <t xml:space="preserve">Carolann </t>
  </si>
  <si>
    <t>Jeep</t>
  </si>
  <si>
    <t>aoife</t>
  </si>
  <si>
    <t>09 Ice Cream</t>
  </si>
  <si>
    <t xml:space="preserve">Medikate </t>
  </si>
  <si>
    <t>Karl Caravan</t>
  </si>
  <si>
    <t>Q7</t>
  </si>
  <si>
    <t xml:space="preserve">Thiago </t>
  </si>
  <si>
    <t>07 RN</t>
  </si>
  <si>
    <t xml:space="preserve">Vera </t>
  </si>
  <si>
    <t xml:space="preserve">Fields </t>
  </si>
  <si>
    <t xml:space="preserve">suzie </t>
  </si>
  <si>
    <t xml:space="preserve">Sykes </t>
  </si>
  <si>
    <t xml:space="preserve">Peter </t>
  </si>
  <si>
    <t>murphy</t>
  </si>
  <si>
    <t xml:space="preserve">Aiden </t>
  </si>
  <si>
    <t>Ferris Wheel</t>
  </si>
  <si>
    <t xml:space="preserve">Seàn </t>
  </si>
  <si>
    <t>Jack</t>
  </si>
  <si>
    <t>Ma/Tree</t>
  </si>
  <si>
    <t xml:space="preserve">O’Neill </t>
  </si>
  <si>
    <t xml:space="preserve">Cora </t>
  </si>
  <si>
    <t xml:space="preserve">Moia </t>
  </si>
  <si>
    <t xml:space="preserve">McCarTon </t>
  </si>
  <si>
    <t>Grey Sprinter</t>
  </si>
  <si>
    <t xml:space="preserve">eddie </t>
  </si>
  <si>
    <t xml:space="preserve">karen </t>
  </si>
  <si>
    <t xml:space="preserve">nolan </t>
  </si>
  <si>
    <t xml:space="preserve">adam </t>
  </si>
  <si>
    <t xml:space="preserve">halligan </t>
  </si>
  <si>
    <t>katelynn</t>
  </si>
  <si>
    <t xml:space="preserve">osullivan </t>
  </si>
  <si>
    <t xml:space="preserve">chris </t>
  </si>
  <si>
    <t>Chris.halligan@hotmail.com</t>
  </si>
  <si>
    <t xml:space="preserve">john </t>
  </si>
  <si>
    <t xml:space="preserve">mccarton </t>
  </si>
  <si>
    <t xml:space="preserve">Micheala </t>
  </si>
  <si>
    <t xml:space="preserve">Wade </t>
  </si>
  <si>
    <t>Dads Van</t>
  </si>
  <si>
    <t xml:space="preserve">Tania </t>
  </si>
  <si>
    <t xml:space="preserve">Griffin </t>
  </si>
  <si>
    <t>Sprinter Fridge</t>
  </si>
  <si>
    <t xml:space="preserve">Aline </t>
  </si>
  <si>
    <t>12-10pm</t>
  </si>
  <si>
    <t>2.30pm-12.30pm</t>
  </si>
  <si>
    <t>4pm-2am</t>
  </si>
  <si>
    <t xml:space="preserve">Zamb 1 </t>
  </si>
  <si>
    <t xml:space="preserve">Zamb 2 </t>
  </si>
  <si>
    <t xml:space="preserve">Zamb 3 </t>
  </si>
  <si>
    <t>Mary Kate</t>
  </si>
  <si>
    <t>Aziz</t>
  </si>
  <si>
    <t>Donna</t>
  </si>
  <si>
    <t>Colin M</t>
  </si>
  <si>
    <t xml:space="preserve">Zamb 4 </t>
  </si>
  <si>
    <t>Sarah</t>
  </si>
  <si>
    <t>Viv</t>
  </si>
  <si>
    <t>Karen</t>
  </si>
  <si>
    <t>Rachel B</t>
  </si>
  <si>
    <t xml:space="preserve">Zamb 5 </t>
  </si>
  <si>
    <t>Moya</t>
  </si>
  <si>
    <t>Zara</t>
  </si>
  <si>
    <t>Cassie</t>
  </si>
  <si>
    <t xml:space="preserve">Zamb 6 </t>
  </si>
  <si>
    <t>Fred</t>
  </si>
  <si>
    <t>Newton</t>
  </si>
  <si>
    <t>Samuel</t>
  </si>
  <si>
    <t>Piter</t>
  </si>
  <si>
    <t>Eder</t>
  </si>
  <si>
    <t>Aline</t>
  </si>
  <si>
    <t>Julia</t>
  </si>
  <si>
    <t xml:space="preserve">Zamb 7 </t>
  </si>
  <si>
    <t>Katie</t>
  </si>
  <si>
    <t>Charleen</t>
  </si>
  <si>
    <t>Cokey</t>
  </si>
  <si>
    <t>Bridget</t>
  </si>
  <si>
    <t xml:space="preserve">Zamb 8 </t>
  </si>
  <si>
    <t>John Mc</t>
  </si>
  <si>
    <t>Wacker</t>
  </si>
  <si>
    <t>Emma T</t>
  </si>
  <si>
    <t>Killian B</t>
  </si>
  <si>
    <t>Dylan O'B</t>
  </si>
  <si>
    <t xml:space="preserve">Smash Burger </t>
  </si>
  <si>
    <t>Aimee</t>
  </si>
  <si>
    <t>Aine</t>
  </si>
  <si>
    <t>Rachel M</t>
  </si>
  <si>
    <t>Daniele</t>
  </si>
  <si>
    <t xml:space="preserve">Marcela </t>
  </si>
  <si>
    <t>McGrane</t>
  </si>
  <si>
    <t xml:space="preserve">aaron james </t>
  </si>
  <si>
    <t xml:space="preserve">mcentagart </t>
  </si>
  <si>
    <t>Grainne</t>
  </si>
  <si>
    <t>Mikayla</t>
  </si>
  <si>
    <t>Tania</t>
  </si>
  <si>
    <t xml:space="preserve">emma </t>
  </si>
  <si>
    <t>tallon</t>
  </si>
  <si>
    <t>Katelyn</t>
  </si>
  <si>
    <t xml:space="preserve">jennifer </t>
  </si>
  <si>
    <t xml:space="preserve">oneill </t>
  </si>
  <si>
    <t>Mia</t>
  </si>
  <si>
    <t>Lewis</t>
  </si>
  <si>
    <t xml:space="preserve">Cillian </t>
  </si>
  <si>
    <t xml:space="preserve">Bonner </t>
  </si>
  <si>
    <t>AJ</t>
  </si>
  <si>
    <t>Taylor</t>
  </si>
  <si>
    <t xml:space="preserve">Preston </t>
  </si>
  <si>
    <t>Lam</t>
  </si>
  <si>
    <t>Adam H</t>
  </si>
  <si>
    <t>Preston</t>
  </si>
  <si>
    <t>nickolla</t>
  </si>
  <si>
    <t>brady</t>
  </si>
  <si>
    <t>bridget</t>
  </si>
  <si>
    <t xml:space="preserve">reid </t>
  </si>
  <si>
    <t xml:space="preserve">Charleen </t>
  </si>
  <si>
    <t xml:space="preserve">Courtney </t>
  </si>
  <si>
    <t xml:space="preserve">Osullivan </t>
  </si>
  <si>
    <t>9am-7pm</t>
  </si>
  <si>
    <t xml:space="preserve">carolanne </t>
  </si>
  <si>
    <t xml:space="preserve">sharon </t>
  </si>
  <si>
    <t xml:space="preserve">phelan </t>
  </si>
  <si>
    <t xml:space="preserve">leon </t>
  </si>
  <si>
    <t xml:space="preserve">gannon </t>
  </si>
  <si>
    <t>Chloe T</t>
  </si>
  <si>
    <t>Jen O</t>
  </si>
  <si>
    <t xml:space="preserve">ben </t>
  </si>
  <si>
    <t xml:space="preserve">mcdonell </t>
  </si>
  <si>
    <t>Ciara</t>
  </si>
  <si>
    <t>Amelie</t>
  </si>
  <si>
    <t xml:space="preserve">Suzie </t>
  </si>
  <si>
    <t>Rhiannon</t>
  </si>
  <si>
    <t>Mikey</t>
  </si>
  <si>
    <t>Cormac</t>
  </si>
  <si>
    <t xml:space="preserve">John </t>
  </si>
  <si>
    <t xml:space="preserve">Eddie </t>
  </si>
  <si>
    <t xml:space="preserve">Moya </t>
  </si>
  <si>
    <t>Dylan</t>
  </si>
  <si>
    <t>Killian</t>
  </si>
  <si>
    <t>John McC</t>
  </si>
  <si>
    <t>Sharon P</t>
  </si>
  <si>
    <t>Halligan</t>
  </si>
  <si>
    <t xml:space="preserve">Colin </t>
  </si>
  <si>
    <t>Shannon F</t>
  </si>
  <si>
    <t>Carolanne O</t>
  </si>
  <si>
    <t>Courtney</t>
  </si>
  <si>
    <t>Cooper</t>
  </si>
  <si>
    <t>12am-10pm</t>
  </si>
  <si>
    <t>2:00pm-12am</t>
  </si>
  <si>
    <t>Edel</t>
  </si>
  <si>
    <t>Colin</t>
  </si>
  <si>
    <t>Michaela</t>
  </si>
  <si>
    <t>10am-8pm</t>
  </si>
  <si>
    <t>Rachel O'B</t>
  </si>
  <si>
    <t>4pm-9pm</t>
  </si>
  <si>
    <t>11am-1:30am</t>
  </si>
  <si>
    <t>11am-2am</t>
  </si>
  <si>
    <t>11am-12:30am</t>
  </si>
  <si>
    <t>/</t>
  </si>
  <si>
    <t>3pm-1am</t>
  </si>
  <si>
    <t>12pm-1:00am</t>
  </si>
  <si>
    <t>12-pm-10pm</t>
  </si>
  <si>
    <t>Medikate</t>
  </si>
  <si>
    <t>4:30pm-11pm</t>
  </si>
  <si>
    <t>12pm-11pm</t>
  </si>
  <si>
    <t>2pm-12am</t>
  </si>
  <si>
    <t>4:00pm-12am</t>
  </si>
  <si>
    <t>2pm-1:30am</t>
  </si>
  <si>
    <t>2pm-1am</t>
  </si>
  <si>
    <t>12pm-10pm</t>
  </si>
  <si>
    <t>12am-2am</t>
  </si>
  <si>
    <t>12pm-12:30am</t>
  </si>
  <si>
    <t>2:30pm-1:30am</t>
  </si>
  <si>
    <t>10am-12pm</t>
  </si>
  <si>
    <t>12am-12:30am</t>
  </si>
  <si>
    <t>12pm-10:30pm</t>
  </si>
  <si>
    <t>9am-7:30pm</t>
  </si>
  <si>
    <t>9am-9pm</t>
  </si>
  <si>
    <t>12am-12am</t>
  </si>
  <si>
    <t>4pm-1:30am</t>
  </si>
  <si>
    <t>4pm-2:30am</t>
  </si>
  <si>
    <t>2:30pm-2:30am</t>
  </si>
  <si>
    <t>2pm-12:30am</t>
  </si>
  <si>
    <t>2pm--2:30am</t>
  </si>
  <si>
    <t>12pm-2:30am</t>
  </si>
  <si>
    <t>12:30pm-12:30am</t>
  </si>
  <si>
    <t>12pm-1:30am</t>
  </si>
  <si>
    <t>2pm-2am</t>
  </si>
  <si>
    <t>2pm--2am</t>
  </si>
  <si>
    <t>12-2am</t>
  </si>
  <si>
    <t>?</t>
  </si>
  <si>
    <t>9am-2pm</t>
  </si>
  <si>
    <t>4pm-1am</t>
  </si>
  <si>
    <t>12pm-11:30pm</t>
  </si>
  <si>
    <t>4pm-11pm</t>
  </si>
  <si>
    <t>6am-1:30an</t>
  </si>
  <si>
    <t>9am-1:30am</t>
  </si>
  <si>
    <t>9am-1am</t>
  </si>
  <si>
    <t>3pm-2:30am</t>
  </si>
  <si>
    <t>6pm-2:30am</t>
  </si>
  <si>
    <t>12pm-12am</t>
  </si>
  <si>
    <t>7pm-2pm</t>
  </si>
  <si>
    <t>revolut</t>
  </si>
  <si>
    <t>Katelynn</t>
  </si>
  <si>
    <t>5pm-2am</t>
  </si>
  <si>
    <t>3pm-12am</t>
  </si>
  <si>
    <t>Aj</t>
  </si>
  <si>
    <t>2pm</t>
  </si>
  <si>
    <t>2pm-</t>
  </si>
  <si>
    <t>Eddie</t>
  </si>
  <si>
    <t>Carolanne</t>
  </si>
  <si>
    <t>11pm-2am</t>
  </si>
  <si>
    <t>12pm-</t>
  </si>
  <si>
    <t>RDS Horseshow 24</t>
  </si>
  <si>
    <t>Family Zone</t>
  </si>
  <si>
    <t xml:space="preserve">Churros </t>
  </si>
  <si>
    <t xml:space="preserve">Family Zone </t>
  </si>
  <si>
    <t>Caffè Duomo</t>
  </si>
  <si>
    <t>RDS Garden</t>
  </si>
  <si>
    <t xml:space="preserve">Bandlawn </t>
  </si>
  <si>
    <t>Ring 3</t>
  </si>
  <si>
    <t>Smoothie</t>
  </si>
  <si>
    <t>The Village Kiosk</t>
  </si>
  <si>
    <t>Loaded Fries</t>
  </si>
  <si>
    <t>Simm. Roadway (left)</t>
  </si>
  <si>
    <r>
      <rPr>
        <sz val="11"/>
        <color rgb="FF000000"/>
        <rFont val="Calibri,Arial"/>
      </rPr>
      <t xml:space="preserve">Thindi </t>
    </r>
    <r>
      <rPr>
        <sz val="11"/>
        <color rgb="FF00B0F0"/>
        <rFont val="Calibri"/>
      </rPr>
      <t>(new)</t>
    </r>
  </si>
  <si>
    <t>Simm Road (Offices)</t>
  </si>
  <si>
    <t xml:space="preserve">Toasty </t>
  </si>
  <si>
    <t xml:space="preserve">Sky Bar </t>
  </si>
  <si>
    <t xml:space="preserve">Patrick to get vans dropped in the evening </t>
  </si>
  <si>
    <t>Pitt Bros Roofsign : Tony &amp; Kian</t>
  </si>
  <si>
    <t xml:space="preserve">Tony to continue ticking off cleaning list, Robo to show standard. </t>
  </si>
  <si>
    <t xml:space="preserve">Kian to continue power </t>
  </si>
  <si>
    <t>Barry continue counting tills &amp; getting enough.</t>
  </si>
  <si>
    <t xml:space="preserve">Barry also on fire extinguishers. Pinned and labelled. If not enough, Johnny fire man. </t>
  </si>
  <si>
    <t xml:space="preserve">Robo take in deliveries with Oisin and oversee. </t>
  </si>
  <si>
    <t xml:space="preserve">Wednesday </t>
  </si>
  <si>
    <t xml:space="preserve">Thursday </t>
  </si>
  <si>
    <t xml:space="preserve">Saturday </t>
  </si>
  <si>
    <t xml:space="preserve">Sunday </t>
  </si>
  <si>
    <t xml:space="preserve">Jen On </t>
  </si>
  <si>
    <t>Estelle</t>
  </si>
  <si>
    <t>Emma (estelle)</t>
  </si>
  <si>
    <t xml:space="preserve">Ann maire </t>
  </si>
  <si>
    <t>Lorraine</t>
  </si>
  <si>
    <t xml:space="preserve">Alex </t>
  </si>
  <si>
    <t xml:space="preserve">Caoimhe </t>
  </si>
  <si>
    <t>Tyreece</t>
  </si>
  <si>
    <t>Cian w</t>
  </si>
  <si>
    <t xml:space="preserve">Emma C </t>
  </si>
  <si>
    <t xml:space="preserve">Robyn </t>
  </si>
  <si>
    <t xml:space="preserve">Cassandra </t>
  </si>
  <si>
    <t xml:space="preserve">Becky </t>
  </si>
  <si>
    <t>Shane (Lisa)</t>
  </si>
  <si>
    <t xml:space="preserve">Ciara Murray </t>
  </si>
  <si>
    <t xml:space="preserve">Katelyn (Sam) </t>
  </si>
  <si>
    <t xml:space="preserve">Alfie </t>
  </si>
  <si>
    <t>Katie (Sam)</t>
  </si>
  <si>
    <t xml:space="preserve">Troy Girl </t>
  </si>
  <si>
    <t xml:space="preserve">Troy girl </t>
  </si>
  <si>
    <t xml:space="preserve">Clint </t>
  </si>
  <si>
    <t xml:space="preserve">Tara </t>
  </si>
  <si>
    <t>Chelsea (Stacey)</t>
  </si>
  <si>
    <t xml:space="preserve">Stacey Friend </t>
  </si>
  <si>
    <t xml:space="preserve">Charlie Gilsenan </t>
  </si>
  <si>
    <t xml:space="preserve">Cousin </t>
  </si>
  <si>
    <t xml:space="preserve">Wednesday Cash </t>
  </si>
  <si>
    <t xml:space="preserve">Wednesday Card </t>
  </si>
  <si>
    <t xml:space="preserve">Thursday Cash </t>
  </si>
  <si>
    <t xml:space="preserve">Thursday Card </t>
  </si>
  <si>
    <t xml:space="preserve">Friday Cash </t>
  </si>
  <si>
    <t xml:space="preserve">Friday Card </t>
  </si>
  <si>
    <t xml:space="preserve">Saturday Cash </t>
  </si>
  <si>
    <t>Saturday Card</t>
  </si>
  <si>
    <t>Sunday Cash</t>
  </si>
  <si>
    <t>Sunday Card</t>
  </si>
  <si>
    <t>Coffee Ring 3</t>
  </si>
  <si>
    <t>Coffee till 2</t>
  </si>
  <si>
    <t xml:space="preserve">Hot Dog </t>
  </si>
  <si>
    <t>Toasty</t>
  </si>
  <si>
    <t xml:space="preserve">Coffee Garden </t>
  </si>
  <si>
    <t xml:space="preserve">Churro </t>
  </si>
  <si>
    <t xml:space="preserve">Cash Total </t>
  </si>
  <si>
    <t xml:space="preserve">Caffe Duomo Ring 3 </t>
  </si>
  <si>
    <t>Needs:</t>
  </si>
  <si>
    <t xml:space="preserve">Allergen </t>
  </si>
  <si>
    <t xml:space="preserve">Card Total </t>
  </si>
  <si>
    <t xml:space="preserve">Franks </t>
  </si>
  <si>
    <t xml:space="preserve">Smoothie </t>
  </si>
  <si>
    <t xml:space="preserve">Needs 2 tills </t>
  </si>
  <si>
    <t>All Together Now</t>
  </si>
  <si>
    <t>To Do</t>
  </si>
  <si>
    <t>Caffe Duomo 1</t>
  </si>
  <si>
    <t>Back of house</t>
  </si>
  <si>
    <t>Toasty prep area</t>
  </si>
  <si>
    <t>extra clam grills</t>
  </si>
  <si>
    <t>Campsite</t>
  </si>
  <si>
    <t>gazebo</t>
  </si>
  <si>
    <t xml:space="preserve">extra grinder </t>
  </si>
  <si>
    <t>22 Sprinter</t>
  </si>
  <si>
    <t>Guinness</t>
  </si>
  <si>
    <t>zambrero chopper</t>
  </si>
  <si>
    <t>Bandstand</t>
  </si>
  <si>
    <t>pallets</t>
  </si>
  <si>
    <t>coffee order ****</t>
  </si>
  <si>
    <t>Milk</t>
  </si>
  <si>
    <t>Ice cream stock</t>
  </si>
  <si>
    <t>Gross</t>
  </si>
  <si>
    <t xml:space="preserve">Campsite </t>
  </si>
  <si>
    <t xml:space="preserve">John mc </t>
  </si>
  <si>
    <t>Spares</t>
  </si>
  <si>
    <t xml:space="preserve">Mary Kate </t>
  </si>
  <si>
    <t>Total Shifts</t>
  </si>
  <si>
    <t xml:space="preserve">Paddy </t>
  </si>
  <si>
    <t>Oisin</t>
  </si>
  <si>
    <t>Forecast</t>
  </si>
  <si>
    <t xml:space="preserve">Higher </t>
  </si>
  <si>
    <t>€40k</t>
  </si>
  <si>
    <t>€45k</t>
  </si>
  <si>
    <t>€14k</t>
  </si>
  <si>
    <t>€16k</t>
  </si>
  <si>
    <t>€30k</t>
  </si>
  <si>
    <t>€35k</t>
  </si>
  <si>
    <t xml:space="preserve">Gra </t>
  </si>
  <si>
    <t>€18k</t>
  </si>
  <si>
    <t>€25k</t>
  </si>
  <si>
    <t xml:space="preserve">Jucilane </t>
  </si>
  <si>
    <t>€8k</t>
  </si>
  <si>
    <t>€9k</t>
  </si>
  <si>
    <t>Orders</t>
  </si>
  <si>
    <t>Readychef</t>
  </si>
  <si>
    <t>CP</t>
  </si>
  <si>
    <t xml:space="preserve">Trailer </t>
  </si>
  <si>
    <t xml:space="preserve">Bands </t>
  </si>
  <si>
    <t xml:space="preserve">Delivery pass </t>
  </si>
  <si>
    <t xml:space="preserve">Static pass </t>
  </si>
  <si>
    <t>12pm</t>
  </si>
  <si>
    <t xml:space="preserve">Pass Sent </t>
  </si>
  <si>
    <t>DeAlmeida</t>
  </si>
  <si>
    <t>Orr</t>
  </si>
  <si>
    <t>Malone</t>
  </si>
  <si>
    <t>Gaffney</t>
  </si>
  <si>
    <t xml:space="preserve">Brennan </t>
  </si>
  <si>
    <t>Smith</t>
  </si>
  <si>
    <t>Sykes</t>
  </si>
  <si>
    <t>Murphy</t>
  </si>
  <si>
    <t xml:space="preserve">Catriona </t>
  </si>
  <si>
    <t>Gra</t>
  </si>
  <si>
    <t xml:space="preserve">Mary </t>
  </si>
  <si>
    <t xml:space="preserve">Kate </t>
  </si>
  <si>
    <t>Renata</t>
  </si>
  <si>
    <t xml:space="preserve">Gomez </t>
  </si>
  <si>
    <t xml:space="preserve">Ilze </t>
  </si>
  <si>
    <t xml:space="preserve">Bondarenko </t>
  </si>
  <si>
    <t xml:space="preserve">Silva </t>
  </si>
  <si>
    <t xml:space="preserve">Vieria </t>
  </si>
  <si>
    <t>Actual 2024</t>
  </si>
  <si>
    <t>Actual 2025</t>
  </si>
  <si>
    <t xml:space="preserve">Hsu </t>
  </si>
  <si>
    <t xml:space="preserve">Fu yun </t>
  </si>
  <si>
    <t xml:space="preserve">Valquira </t>
  </si>
  <si>
    <t xml:space="preserve">Ciaran </t>
  </si>
  <si>
    <t>Dinan</t>
  </si>
  <si>
    <t xml:space="preserve">Hamza </t>
  </si>
  <si>
    <t xml:space="preserve">Dave </t>
  </si>
  <si>
    <t xml:space="preserve">Accreditation Opening Times </t>
  </si>
  <si>
    <t>Open</t>
  </si>
  <si>
    <t xml:space="preserve">Close </t>
  </si>
  <si>
    <t xml:space="preserve">Shifts </t>
  </si>
  <si>
    <t xml:space="preserve">Times </t>
  </si>
  <si>
    <t xml:space="preserve">Names </t>
  </si>
  <si>
    <t>Names</t>
  </si>
  <si>
    <t xml:space="preserve">laura </t>
  </si>
  <si>
    <t xml:space="preserve">megan </t>
  </si>
  <si>
    <t xml:space="preserve">renata </t>
  </si>
  <si>
    <t xml:space="preserve">sam </t>
  </si>
  <si>
    <t xml:space="preserve">pete </t>
  </si>
  <si>
    <t xml:space="preserve">dave </t>
  </si>
  <si>
    <t xml:space="preserve">triona </t>
  </si>
  <si>
    <t xml:space="preserve">stacey </t>
  </si>
  <si>
    <t xml:space="preserve">valquira </t>
  </si>
  <si>
    <t>Ciaran &amp; Jade</t>
  </si>
  <si>
    <t xml:space="preserve">ava </t>
  </si>
  <si>
    <t>Sean</t>
  </si>
  <si>
    <t xml:space="preserve">dani </t>
  </si>
  <si>
    <t xml:space="preserve">medikate </t>
  </si>
  <si>
    <t xml:space="preserve">karl </t>
  </si>
  <si>
    <t xml:space="preserve">aidan </t>
  </si>
  <si>
    <t xml:space="preserve">Van </t>
  </si>
  <si>
    <t xml:space="preserve">sean </t>
  </si>
  <si>
    <t xml:space="preserve">janet lisa </t>
  </si>
  <si>
    <t xml:space="preserve">Friday Shift 2 </t>
  </si>
  <si>
    <t xml:space="preserve">Sean Ilze </t>
  </si>
  <si>
    <t>Ilze Gra Hamza</t>
  </si>
  <si>
    <t xml:space="preserve">off 7 </t>
  </si>
  <si>
    <t>8am-6pm</t>
  </si>
  <si>
    <t>10am-1pm/6pm-1am</t>
  </si>
  <si>
    <t>10am-4pm/10pm-2am</t>
  </si>
  <si>
    <t>10am-10pm</t>
  </si>
  <si>
    <t>11am-11pm</t>
  </si>
  <si>
    <t>8pm-4am</t>
  </si>
  <si>
    <t>Louise</t>
  </si>
  <si>
    <t>Stacey</t>
  </si>
  <si>
    <t>Jade</t>
  </si>
  <si>
    <t>Hamza</t>
  </si>
  <si>
    <t>Lisa</t>
  </si>
  <si>
    <t>Karl</t>
  </si>
  <si>
    <t>Aidan</t>
  </si>
  <si>
    <t>Barry</t>
  </si>
  <si>
    <t>10am-4pm/8pm-12pm</t>
  </si>
  <si>
    <t>1pm-12pm</t>
  </si>
  <si>
    <t>7pm-3am</t>
  </si>
  <si>
    <t>Val</t>
  </si>
  <si>
    <t xml:space="preserve">Fire Extinguishers </t>
  </si>
  <si>
    <t>CO2</t>
  </si>
  <si>
    <t>Powder</t>
  </si>
  <si>
    <t>Wet Chemical</t>
  </si>
  <si>
    <t>Fire Blanket</t>
  </si>
  <si>
    <t>Ansul</t>
  </si>
  <si>
    <t>6/25</t>
  </si>
  <si>
    <t>Donuts &amp; Coffee 1</t>
  </si>
  <si>
    <t>6/20</t>
  </si>
  <si>
    <t xml:space="preserve">O'Briens Chipper 2 small </t>
  </si>
  <si>
    <t>7/26</t>
  </si>
  <si>
    <t>4/25</t>
  </si>
  <si>
    <t xml:space="preserve">Loaded burger 2 </t>
  </si>
  <si>
    <t>5/25</t>
  </si>
  <si>
    <t xml:space="preserve">FGF Burger Co. 1 electric </t>
  </si>
  <si>
    <t>4/26</t>
  </si>
  <si>
    <t>1/27+ 8/26</t>
  </si>
  <si>
    <t>No date</t>
  </si>
  <si>
    <t>FGF Burger Co. 2 gas</t>
  </si>
  <si>
    <t>8/26</t>
  </si>
  <si>
    <t>1/27</t>
  </si>
  <si>
    <t>6/18</t>
  </si>
  <si>
    <t>The Village Kiosk 1 van</t>
  </si>
  <si>
    <t>8/25</t>
  </si>
  <si>
    <t xml:space="preserve">8/26, 7/26, </t>
  </si>
  <si>
    <t xml:space="preserve">1/27, </t>
  </si>
  <si>
    <t xml:space="preserve">Lauren new van </t>
  </si>
  <si>
    <t>6/24</t>
  </si>
  <si>
    <t>Pizza Horsebox</t>
  </si>
  <si>
    <t>Rollover Hot Dog 1</t>
  </si>
  <si>
    <t>3/25</t>
  </si>
  <si>
    <t>5/24</t>
  </si>
  <si>
    <t>Caffe Duomo Baguettes</t>
  </si>
  <si>
    <t>8/25,1/27</t>
  </si>
  <si>
    <t>12/26</t>
  </si>
  <si>
    <t>Caffe Duomo 2 b&amp;c</t>
  </si>
  <si>
    <t>5/15</t>
  </si>
  <si>
    <t xml:space="preserve">Caffe duomo/new </t>
  </si>
  <si>
    <t>Freshly ground coffee 2</t>
  </si>
  <si>
    <t>8/26+ 4/26</t>
  </si>
  <si>
    <t>4/26+7/26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</si>
  <si>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</si>
  <si>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</si>
  <si>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</si>
  <si>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</si>
  <si>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</si>
  <si>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</si>
  <si>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</si>
  <si>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</si>
  <si>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</si>
  <si>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</si>
  <si>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</si>
  <si>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</si>
  <si>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Unit Availability 2024</t>
  </si>
  <si>
    <t>M</t>
  </si>
  <si>
    <t>T</t>
  </si>
  <si>
    <t>W</t>
  </si>
  <si>
    <t>F</t>
  </si>
  <si>
    <t>S</t>
  </si>
  <si>
    <t xml:space="preserve">Event Day Per Unit </t>
  </si>
  <si>
    <t>Count</t>
  </si>
  <si>
    <t>Applying for Work</t>
  </si>
  <si>
    <t>Start Date</t>
  </si>
  <si>
    <t xml:space="preserve">End Date </t>
  </si>
  <si>
    <t>Event/Venue</t>
  </si>
  <si>
    <t>Contact</t>
  </si>
  <si>
    <t>Contact Number</t>
  </si>
  <si>
    <t xml:space="preserve">Grand National Fairyhouse </t>
  </si>
  <si>
    <t xml:space="preserve">Richard McNamara </t>
  </si>
  <si>
    <t xml:space="preserve">Student Race Day </t>
  </si>
  <si>
    <t>Punchestown Festival</t>
  </si>
  <si>
    <t>Ronan Kelly</t>
  </si>
  <si>
    <t>Bruce Springsteen</t>
  </si>
  <si>
    <t>Aoife Qualter</t>
  </si>
  <si>
    <t>(Dublin, Drogheda)</t>
  </si>
  <si>
    <t>WellFest</t>
  </si>
  <si>
    <t xml:space="preserve">Sara King </t>
  </si>
  <si>
    <t>Marquee cork</t>
  </si>
  <si>
    <t>Bloom</t>
  </si>
  <si>
    <t>Bord Bia</t>
  </si>
  <si>
    <t>Interview Stage</t>
  </si>
  <si>
    <t>Forbidden Fruit</t>
  </si>
  <si>
    <t xml:space="preserve">Milja </t>
  </si>
  <si>
    <t>Fairview</t>
  </si>
  <si>
    <t>Sharon Fitzpatrick</t>
  </si>
  <si>
    <t>Flavors of Fingal</t>
  </si>
  <si>
    <t>Email Paul Barnes</t>
  </si>
  <si>
    <t>Roses Fest</t>
  </si>
  <si>
    <t>(More units)</t>
  </si>
  <si>
    <t>Galway Races</t>
  </si>
  <si>
    <t>Michael Moloney - GM</t>
  </si>
  <si>
    <t>Emailed</t>
  </si>
  <si>
    <t xml:space="preserve">Vanessa Clarke / Traders Team </t>
  </si>
  <si>
    <t>Palmerstown House</t>
  </si>
  <si>
    <t xml:space="preserve">Eddie / Alan </t>
  </si>
  <si>
    <t>Stradbally Steam Show</t>
  </si>
  <si>
    <t>Moynalty Show</t>
  </si>
  <si>
    <t xml:space="preserve">Peter Gaynor (Chairman) </t>
  </si>
  <si>
    <t>0872393342 (Chair.MoynaltySteam@gmail.com)</t>
  </si>
  <si>
    <t>Tullamore Show</t>
  </si>
  <si>
    <t>info@tullamoreshow.ie</t>
  </si>
  <si>
    <t xml:space="preserve">Tinahely Show </t>
  </si>
  <si>
    <t>info@tinahelyshow.ie</t>
  </si>
  <si>
    <t>RDS Horseshow</t>
  </si>
  <si>
    <t>Electric picnic</t>
  </si>
  <si>
    <t>Ploughing -</t>
  </si>
  <si>
    <t>Anna Marie</t>
  </si>
  <si>
    <t>tbc</t>
  </si>
  <si>
    <t>Ryder Cup 2027</t>
  </si>
  <si>
    <t xml:space="preserve">WRC/Motorsport Ireland </t>
  </si>
  <si>
    <t>info@motorsportireland.com</t>
  </si>
  <si>
    <t xml:space="preserve">tbc </t>
  </si>
  <si>
    <t>Irish Open Golf</t>
  </si>
  <si>
    <t>Terenure Car Show</t>
  </si>
  <si>
    <t>Rosalie Sunderland</t>
  </si>
  <si>
    <t>Web Enquiry + Response + Email in Jan/Feb</t>
  </si>
  <si>
    <t>Mondello</t>
  </si>
  <si>
    <t>Jackie O'Neill - info@</t>
  </si>
  <si>
    <t>Email + Response</t>
  </si>
  <si>
    <t>MCD/Concerts</t>
  </si>
  <si>
    <t>newsrail/email</t>
  </si>
  <si>
    <t>(Contact direct)</t>
  </si>
  <si>
    <t>Festival Republic</t>
  </si>
  <si>
    <t>Teagasc Open Days</t>
  </si>
  <si>
    <t>Naas Racecourse</t>
  </si>
  <si>
    <t>Forever Young</t>
  </si>
  <si>
    <t>(Bray air show)</t>
  </si>
  <si>
    <t>Verve</t>
  </si>
  <si>
    <t>CMS</t>
  </si>
  <si>
    <t>Fuel (bd) Alice deforge : Sara king</t>
  </si>
  <si>
    <t>Grooveyeard</t>
  </si>
  <si>
    <t>Cuckoo events</t>
  </si>
  <si>
    <t>Davis events</t>
  </si>
  <si>
    <t>Diffusion</t>
  </si>
  <si>
    <t>Dymamic events</t>
  </si>
  <si>
    <t>Honey and buzz</t>
  </si>
  <si>
    <t>Company</t>
  </si>
  <si>
    <t>Terms</t>
  </si>
  <si>
    <t>Last Paid Date</t>
  </si>
  <si>
    <t>Last Paid Amount</t>
  </si>
  <si>
    <t>Due</t>
  </si>
  <si>
    <t>Loaded 2</t>
  </si>
  <si>
    <t>Bun Club Smash</t>
  </si>
  <si>
    <t>231 Electric Van</t>
  </si>
  <si>
    <t>152-D Van</t>
  </si>
  <si>
    <t>10K Burger</t>
  </si>
  <si>
    <t xml:space="preserve">Burgers </t>
  </si>
  <si>
    <t xml:space="preserve">Fries </t>
  </si>
  <si>
    <t>Goujons</t>
  </si>
  <si>
    <t>sausages</t>
  </si>
  <si>
    <t xml:space="preserve">Spicebag </t>
  </si>
  <si>
    <t>Crispy Chi</t>
  </si>
  <si>
    <t>Massa</t>
  </si>
  <si>
    <t>Green</t>
  </si>
  <si>
    <t xml:space="preserve">V Sprin </t>
  </si>
  <si>
    <t>D Sprin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</si>
</sst>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[$€]#,##0"/>
    <numFmt numFmtId="165" formatCode="&quot;€&quot;#,##0"/>
    <numFmt numFmtId="166" formatCode="[$€]#,##0.00"/>
    <numFmt numFmtId="167" formatCode="_([$€]* #,##0.00_);_([$€]* \(#,##0.00\);_([$€]* &quot;-&quot;??_);_(@_)"/>
    <numFmt numFmtId="168" formatCode="m\-d"/>
    <numFmt numFmtId="169" formatCode="_([$€]* #,##0.00_);_([$€]* \(#,##0.00\);_([$€]* &quot;-&quot;??.0_);_(@_)"/>
    <numFmt numFmtId="170" formatCode="d\-m"/>
    <numFmt numFmtId="171" formatCode="d&quot;/&quot;m"/>
  </numFmts>
  <fonts count="68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theme="1"/>
      <name val="Calibri"/>
      <scheme val="minor"/>
    </font>
    <font>
      <b/>
      <sz val="16"/>
      <color theme="1"/>
      <name val="Calibri"/>
      <scheme val="minor"/>
    </font>
    <font>
      <b/>
      <sz val="11"/>
      <color theme="1"/>
      <name val="'UICTFontTextStyleBody'"/>
    </font>
    <font>
      <sz val="11"/>
      <color theme="1"/>
      <name val="'UICTFontTextStyleBody'"/>
    </font>
    <font>
      <sz val="9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000000"/>
      <name val="Calibri"/>
    </font>
    <font>
      <b/>
      <sz val="12"/>
      <color theme="1"/>
      <name val="Calibri"/>
      <scheme val="minor"/>
    </font>
    <font>
      <b/>
      <sz val="12"/>
      <color rgb="FF000000"/>
      <name val="Calibri"/>
      <scheme val="minor"/>
    </font>
    <font>
      <sz val="12"/>
      <name val="Calibri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2"/>
      <color rgb="FF000000"/>
      <name val="Calibri"/>
      <scheme val="minor"/>
    </font>
    <font>
      <sz val="12"/>
      <color rgb="FF000000"/>
      <name val="Calibri"/>
    </font>
    <font>
      <b/>
      <sz val="10"/>
      <color rgb="FF000000"/>
      <name val="Calibri"/>
    </font>
    <font>
      <b/>
      <sz val="12"/>
      <color theme="1"/>
      <name val="Arial"/>
    </font>
    <font>
      <sz val="11"/>
      <color theme="1"/>
      <name val="Calibri"/>
    </font>
    <font>
      <sz val="12"/>
      <color theme="1"/>
      <name val="Arial"/>
    </font>
    <font>
      <b/>
      <sz val="11"/>
      <color rgb="FF000000"/>
      <name val="Calibri"/>
    </font>
    <font>
      <sz val="11"/>
      <color rgb="FFFF0000"/>
      <name val="Calibri"/>
    </font>
    <font>
      <b/>
      <sz val="11"/>
      <color rgb="FFFF0000"/>
      <name val="Calibri"/>
    </font>
    <font>
      <b/>
      <sz val="11"/>
      <color rgb="FF0000FF"/>
      <name val="&quot;Times New Roman&quot;"/>
    </font>
    <font>
      <sz val="11"/>
      <color rgb="FF0000FF"/>
      <name val="&quot;Times New Roman&quot;"/>
    </font>
    <font>
      <sz val="12"/>
      <color rgb="FFE83E8C"/>
      <name val="Arial"/>
    </font>
    <font>
      <i/>
      <sz val="12"/>
      <color theme="1"/>
      <name val="Arial"/>
    </font>
    <font>
      <sz val="12"/>
      <color rgb="FFE83E8C"/>
      <name val="SFMono-Regular"/>
    </font>
    <font>
      <sz val="13"/>
      <color theme="1"/>
      <name val="Calibri"/>
      <scheme val="minor"/>
    </font>
    <font>
      <sz val="20"/>
      <color rgb="FFFFFFFF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theme="1"/>
      <name val="Calibri"/>
      <scheme val="minor"/>
    </font>
    <font>
      <b/>
      <u/>
      <sz val="12"/>
      <color theme="1"/>
      <name val="Calibri"/>
      <scheme val="minor"/>
    </font>
    <font>
      <b/>
      <sz val="8"/>
      <color theme="1"/>
      <name val="Calibri"/>
    </font>
    <font>
      <u/>
      <sz val="9"/>
      <color theme="1"/>
      <name val="Arial"/>
    </font>
    <font>
      <u/>
      <sz val="9"/>
      <color theme="1"/>
      <name val="Arial"/>
    </font>
    <font>
      <u/>
      <sz val="9"/>
      <color theme="1"/>
      <name val="Arial"/>
    </font>
    <font>
      <u/>
      <sz val="9"/>
      <color theme="1"/>
      <name val="Arial"/>
    </font>
    <font>
      <u/>
      <sz val="9"/>
      <color theme="1"/>
      <name val="Arial"/>
    </font>
    <font>
      <b/>
      <sz val="11"/>
      <color theme="1"/>
      <name val="Calibri"/>
    </font>
    <font>
      <b/>
      <sz val="23"/>
      <color theme="1"/>
      <name val="Calibri"/>
      <scheme val="minor"/>
    </font>
    <font>
      <b/>
      <sz val="22"/>
      <color theme="1"/>
      <name val="Calibri"/>
      <scheme val="minor"/>
    </font>
    <font>
      <b/>
      <sz val="27"/>
      <color theme="1"/>
      <name val="Calibri"/>
      <scheme val="minor"/>
    </font>
    <font>
      <sz val="12"/>
      <color rgb="FF080E1B"/>
      <name val="&quot;Open Sans&quot;"/>
    </font>
    <font>
      <sz val="11"/>
      <color rgb="FF080E1B"/>
      <name val="&quot;Open Sans&quot;"/>
    </font>
    <font>
      <sz val="12"/>
      <color rgb="FF000000"/>
      <name val="Calibri"/>
      <scheme val="minor"/>
    </font>
    <font>
      <b/>
      <sz val="15"/>
      <color theme="1"/>
      <name val="Calibri"/>
      <scheme val="minor"/>
    </font>
    <font>
      <i/>
      <sz val="12"/>
      <color rgb="FFFFFFFF"/>
      <name val="Arial"/>
    </font>
    <font>
      <sz val="12"/>
      <color rgb="FFFFFFFF"/>
      <name val="Arial"/>
    </font>
    <font>
      <sz val="12"/>
      <color rgb="FFFFFFFF"/>
      <name val="Calibri"/>
      <scheme val="minor"/>
    </font>
    <font>
      <sz val="11"/>
      <color rgb="FF000000"/>
      <name val="Arial"/>
    </font>
    <font>
      <sz val="11"/>
      <color theme="1"/>
      <name val="Arial"/>
    </font>
    <font>
      <sz val="11"/>
      <color rgb="FF000000"/>
      <name val="Calibri"/>
      <scheme val="minor"/>
    </font>
    <font>
      <sz val="12"/>
      <color rgb="FF000000"/>
      <name val="Arial"/>
    </font>
    <font>
      <b/>
      <i/>
      <sz val="12"/>
      <color theme="1"/>
      <name val="Arial"/>
    </font>
    <font>
      <b/>
      <i/>
      <sz val="30"/>
      <color theme="1"/>
      <name val="Calibri"/>
      <scheme val="minor"/>
    </font>
    <font>
      <b/>
      <sz val="21"/>
      <color theme="1"/>
      <name val="Calibri"/>
      <scheme val="minor"/>
    </font>
    <font>
      <sz val="23"/>
      <color theme="1"/>
      <name val="Calibri"/>
      <scheme val="minor"/>
    </font>
    <font>
      <sz val="12"/>
      <color rgb="FFFFFFFF"/>
      <name val="Calibri"/>
    </font>
    <font>
      <u/>
      <sz val="12"/>
      <color rgb="FF0563C1"/>
      <name val="Calibri"/>
    </font>
    <font>
      <sz val="12"/>
      <color rgb="FF9C0006"/>
      <name val="Calibri"/>
    </font>
    <font>
      <sz val="11"/>
      <color rgb="FF000000"/>
      <name val="Calibri,Arial"/>
    </font>
    <font>
      <sz val="11"/>
      <color rgb="FF00B0F0"/>
      <name val="Calibri"/>
    </font>
  </fonts>
  <fills count="51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FF7E79"/>
        <bgColor rgb="FFFF7E79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ECECEC"/>
        <bgColor rgb="FFECECEC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C65911"/>
        <bgColor rgb="FFC65911"/>
      </patternFill>
    </fill>
    <fill>
      <patternFill patternType="solid">
        <fgColor rgb="FFA9D08E"/>
        <bgColor rgb="FFA9D08E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4B084"/>
        <bgColor rgb="FFF4B084"/>
      </patternFill>
    </fill>
    <fill>
      <patternFill patternType="solid">
        <fgColor rgb="FF8EA9DB"/>
        <bgColor rgb="FF8EA9DB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C9DAF8"/>
        <bgColor rgb="FFC9DAF8"/>
      </patternFill>
    </fill>
    <fill>
      <patternFill patternType="solid">
        <fgColor rgb="FFFBBC04"/>
        <bgColor rgb="FFFBBC04"/>
      </patternFill>
    </fill>
    <fill>
      <patternFill patternType="solid">
        <fgColor rgb="FFCCCCCC"/>
        <bgColor rgb="FFCCCCCC"/>
      </patternFill>
    </fill>
    <fill>
      <patternFill patternType="solid">
        <fgColor rgb="FFFAFAFA"/>
        <bgColor rgb="FFFAFAFA"/>
      </patternFill>
    </fill>
    <fill>
      <patternFill patternType="solid">
        <fgColor rgb="FF999999"/>
        <bgColor rgb="FF999999"/>
      </patternFill>
    </fill>
    <fill>
      <patternFill patternType="solid">
        <fgColor rgb="FF46BDC6"/>
        <bgColor rgb="FF46BDC6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rgb="FFA2C4C9"/>
        <bgColor rgb="FFA2C4C9"/>
      </patternFill>
    </fill>
    <fill>
      <patternFill patternType="solid">
        <fgColor rgb="FF548235"/>
        <bgColor rgb="FF548235"/>
      </patternFill>
    </fill>
    <fill>
      <patternFill patternType="solid">
        <fgColor rgb="FFC6E0B4"/>
        <bgColor rgb="FFC6E0B4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22">
    <xf numFmtId="0" fontId="0" fillId="0" borderId="0" xfId="0" applyFont="1" applyAlignment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2" xfId="0" applyFont="1" applyFill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5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2" borderId="2" xfId="0" applyFont="1" applyFill="1" applyBorder="1" applyAlignment="1">
      <alignment horizontal="center"/>
    </xf>
    <xf numFmtId="0" fontId="1" fillId="6" borderId="2" xfId="0" applyFont="1" applyFill="1" applyBorder="1"/>
    <xf numFmtId="0" fontId="1" fillId="6" borderId="2" xfId="0" applyFont="1" applyFill="1" applyBorder="1" applyAlignment="1"/>
    <xf numFmtId="0" fontId="1" fillId="0" borderId="2" xfId="0" applyFont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/>
    <xf numFmtId="0" fontId="3" fillId="0" borderId="2" xfId="0" applyFont="1" applyBorder="1"/>
    <xf numFmtId="0" fontId="3" fillId="8" borderId="2" xfId="0" applyFont="1" applyFill="1" applyBorder="1" applyAlignment="1"/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>
      <alignment horizontal="center"/>
    </xf>
    <xf numFmtId="0" fontId="6" fillId="0" borderId="0" xfId="0" applyFont="1"/>
    <xf numFmtId="0" fontId="8" fillId="0" borderId="0" xfId="0" applyFont="1"/>
    <xf numFmtId="0" fontId="9" fillId="0" borderId="0" xfId="0" applyFont="1" applyAlignment="1"/>
    <xf numFmtId="0" fontId="8" fillId="0" borderId="0" xfId="0" applyFont="1" applyAlignment="1"/>
    <xf numFmtId="0" fontId="10" fillId="10" borderId="0" xfId="0" applyFont="1" applyFill="1" applyAlignment="1">
      <alignment horizontal="left"/>
    </xf>
    <xf numFmtId="0" fontId="3" fillId="8" borderId="0" xfId="0" applyFont="1" applyFill="1"/>
    <xf numFmtId="0" fontId="11" fillId="0" borderId="0" xfId="0" applyFont="1" applyAlignment="1"/>
    <xf numFmtId="0" fontId="11" fillId="0" borderId="0" xfId="0" applyFont="1"/>
    <xf numFmtId="0" fontId="11" fillId="0" borderId="0" xfId="0" applyFont="1" applyAlignment="1">
      <alignment horizontal="center"/>
    </xf>
    <xf numFmtId="0" fontId="11" fillId="11" borderId="3" xfId="0" applyFont="1" applyFill="1" applyBorder="1" applyAlignment="1">
      <alignment horizontal="center"/>
    </xf>
    <xf numFmtId="0" fontId="11" fillId="11" borderId="4" xfId="0" applyFont="1" applyFill="1" applyBorder="1" applyAlignment="1">
      <alignment horizontal="center"/>
    </xf>
    <xf numFmtId="0" fontId="12" fillId="11" borderId="4" xfId="0" applyFont="1" applyFill="1" applyBorder="1" applyAlignment="1">
      <alignment horizontal="center"/>
    </xf>
    <xf numFmtId="0" fontId="11" fillId="11" borderId="5" xfId="0" applyFont="1" applyFill="1" applyBorder="1" applyAlignment="1">
      <alignment horizontal="center"/>
    </xf>
    <xf numFmtId="0" fontId="11" fillId="12" borderId="3" xfId="0" applyFont="1" applyFill="1" applyBorder="1" applyAlignment="1">
      <alignment horizontal="center"/>
    </xf>
    <xf numFmtId="0" fontId="11" fillId="12" borderId="4" xfId="0" applyFont="1" applyFill="1" applyBorder="1" applyAlignment="1">
      <alignment horizontal="center"/>
    </xf>
    <xf numFmtId="0" fontId="11" fillId="12" borderId="5" xfId="0" applyFont="1" applyFill="1" applyBorder="1" applyAlignment="1">
      <alignment horizontal="center"/>
    </xf>
    <xf numFmtId="0" fontId="11" fillId="9" borderId="0" xfId="0" applyFont="1" applyFill="1" applyAlignment="1"/>
    <xf numFmtId="0" fontId="11" fillId="9" borderId="0" xfId="0" applyFont="1" applyFill="1" applyAlignment="1"/>
    <xf numFmtId="0" fontId="14" fillId="0" borderId="0" xfId="0" applyFont="1" applyAlignment="1"/>
    <xf numFmtId="0" fontId="15" fillId="13" borderId="0" xfId="0" applyFont="1" applyFill="1" applyAlignment="1"/>
    <xf numFmtId="164" fontId="16" fillId="0" borderId="2" xfId="0" applyNumberFormat="1" applyFont="1" applyBorder="1" applyAlignment="1">
      <alignment horizontal="center"/>
    </xf>
    <xf numFmtId="164" fontId="16" fillId="0" borderId="2" xfId="0" applyNumberFormat="1" applyFont="1" applyBorder="1" applyAlignment="1">
      <alignment horizontal="center"/>
    </xf>
    <xf numFmtId="164" fontId="17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7" fillId="0" borderId="8" xfId="0" applyNumberFormat="1" applyFont="1" applyBorder="1" applyAlignment="1">
      <alignment horizontal="center"/>
    </xf>
    <xf numFmtId="0" fontId="15" fillId="7" borderId="0" xfId="0" applyFont="1" applyFill="1" applyAlignment="1"/>
    <xf numFmtId="0" fontId="15" fillId="14" borderId="0" xfId="0" applyFont="1" applyFill="1" applyAlignment="1"/>
    <xf numFmtId="0" fontId="18" fillId="10" borderId="0" xfId="0" applyFont="1" applyFill="1" applyAlignment="1">
      <alignment horizontal="left"/>
    </xf>
    <xf numFmtId="0" fontId="15" fillId="15" borderId="0" xfId="0" applyFont="1" applyFill="1" applyAlignment="1"/>
    <xf numFmtId="164" fontId="17" fillId="0" borderId="8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5" fillId="0" borderId="0" xfId="0" applyFont="1"/>
    <xf numFmtId="0" fontId="11" fillId="16" borderId="0" xfId="0" applyFont="1" applyFill="1" applyAlignment="1"/>
    <xf numFmtId="0" fontId="3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17" borderId="0" xfId="0" applyFont="1" applyFill="1" applyAlignment="1">
      <alignment horizontal="center"/>
    </xf>
    <xf numFmtId="0" fontId="3" fillId="0" borderId="0" xfId="0" applyFont="1" applyAlignment="1"/>
    <xf numFmtId="0" fontId="3" fillId="13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/>
    </xf>
    <xf numFmtId="0" fontId="19" fillId="8" borderId="2" xfId="0" applyFont="1" applyFill="1" applyBorder="1" applyAlignment="1"/>
    <xf numFmtId="0" fontId="3" fillId="8" borderId="2" xfId="0" applyFont="1" applyFill="1" applyBorder="1" applyAlignment="1">
      <alignment horizontal="center"/>
    </xf>
    <xf numFmtId="0" fontId="11" fillId="8" borderId="2" xfId="0" applyFont="1" applyFill="1" applyBorder="1" applyAlignment="1">
      <alignment horizontal="center"/>
    </xf>
    <xf numFmtId="0" fontId="8" fillId="0" borderId="12" xfId="0" applyFont="1" applyBorder="1" applyAlignment="1">
      <alignment vertical="top"/>
    </xf>
    <xf numFmtId="0" fontId="20" fillId="18" borderId="0" xfId="0" applyFont="1" applyFill="1" applyAlignment="1"/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/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0" fontId="20" fillId="0" borderId="0" xfId="0" applyFont="1" applyAlignment="1"/>
    <xf numFmtId="0" fontId="8" fillId="0" borderId="13" xfId="0" applyFont="1" applyBorder="1" applyAlignment="1">
      <alignment vertical="top"/>
    </xf>
    <xf numFmtId="0" fontId="20" fillId="18" borderId="14" xfId="0" applyFont="1" applyFill="1" applyBorder="1" applyAlignment="1"/>
    <xf numFmtId="0" fontId="20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/>
    <xf numFmtId="0" fontId="3" fillId="0" borderId="0" xfId="0" applyFont="1" applyAlignment="1"/>
    <xf numFmtId="0" fontId="3" fillId="16" borderId="0" xfId="0" applyFont="1" applyFill="1" applyAlignment="1"/>
    <xf numFmtId="0" fontId="20" fillId="19" borderId="0" xfId="0" applyFont="1" applyFill="1" applyAlignment="1"/>
    <xf numFmtId="0" fontId="3" fillId="16" borderId="0" xfId="0" applyFont="1" applyFill="1"/>
    <xf numFmtId="0" fontId="21" fillId="20" borderId="2" xfId="0" applyFont="1" applyFill="1" applyBorder="1" applyAlignment="1"/>
    <xf numFmtId="0" fontId="11" fillId="20" borderId="2" xfId="0" applyFont="1" applyFill="1" applyBorder="1" applyAlignment="1">
      <alignment horizontal="center"/>
    </xf>
    <xf numFmtId="0" fontId="11" fillId="20" borderId="2" xfId="0" applyFont="1" applyFill="1" applyBorder="1"/>
    <xf numFmtId="0" fontId="11" fillId="20" borderId="2" xfId="0" applyFont="1" applyFill="1" applyBorder="1" applyAlignment="1"/>
    <xf numFmtId="0" fontId="3" fillId="20" borderId="2" xfId="0" applyFont="1" applyFill="1" applyBorder="1"/>
    <xf numFmtId="0" fontId="0" fillId="0" borderId="2" xfId="0" applyFont="1" applyBorder="1" applyAlignment="1"/>
    <xf numFmtId="0" fontId="21" fillId="0" borderId="2" xfId="0" applyFont="1" applyBorder="1" applyAlignment="1"/>
    <xf numFmtId="0" fontId="0" fillId="0" borderId="0" xfId="0" applyFont="1" applyAlignment="1"/>
    <xf numFmtId="0" fontId="3" fillId="0" borderId="2" xfId="0" applyFont="1" applyBorder="1" applyAlignment="1"/>
    <xf numFmtId="0" fontId="3" fillId="0" borderId="2" xfId="0" applyFont="1" applyBorder="1" applyAlignment="1">
      <alignment horizontal="left"/>
    </xf>
    <xf numFmtId="0" fontId="10" fillId="0" borderId="0" xfId="0" applyFont="1" applyAlignment="1"/>
    <xf numFmtId="0" fontId="22" fillId="21" borderId="3" xfId="0" applyFont="1" applyFill="1" applyBorder="1" applyAlignment="1"/>
    <xf numFmtId="0" fontId="10" fillId="0" borderId="4" xfId="0" applyFont="1" applyBorder="1" applyAlignment="1"/>
    <xf numFmtId="0" fontId="3" fillId="0" borderId="4" xfId="0" applyFont="1" applyBorder="1"/>
    <xf numFmtId="0" fontId="3" fillId="0" borderId="5" xfId="0" applyFont="1" applyBorder="1"/>
    <xf numFmtId="0" fontId="22" fillId="22" borderId="3" xfId="0" applyFont="1" applyFill="1" applyBorder="1" applyAlignment="1"/>
    <xf numFmtId="0" fontId="10" fillId="0" borderId="4" xfId="0" applyFont="1" applyBorder="1" applyAlignment="1"/>
    <xf numFmtId="0" fontId="10" fillId="0" borderId="5" xfId="0" applyFont="1" applyBorder="1" applyAlignment="1"/>
    <xf numFmtId="0" fontId="22" fillId="0" borderId="6" xfId="0" applyFont="1" applyBorder="1" applyAlignment="1"/>
    <xf numFmtId="0" fontId="3" fillId="0" borderId="7" xfId="0" applyFont="1" applyBorder="1"/>
    <xf numFmtId="0" fontId="21" fillId="23" borderId="0" xfId="0" applyFont="1" applyFill="1" applyAlignment="1"/>
    <xf numFmtId="0" fontId="21" fillId="23" borderId="0" xfId="0" applyFont="1" applyFill="1" applyAlignment="1"/>
    <xf numFmtId="0" fontId="21" fillId="0" borderId="0" xfId="0" applyFont="1" applyAlignment="1"/>
    <xf numFmtId="0" fontId="22" fillId="0" borderId="0" xfId="0" applyFont="1" applyAlignment="1"/>
    <xf numFmtId="0" fontId="10" fillId="0" borderId="7" xfId="0" applyFont="1" applyBorder="1" applyAlignment="1"/>
    <xf numFmtId="0" fontId="10" fillId="0" borderId="6" xfId="0" applyFont="1" applyBorder="1" applyAlignment="1"/>
    <xf numFmtId="0" fontId="21" fillId="0" borderId="0" xfId="0" applyFont="1" applyAlignment="1">
      <alignment horizontal="right"/>
    </xf>
    <xf numFmtId="0" fontId="10" fillId="0" borderId="6" xfId="0" applyFont="1" applyBorder="1" applyAlignment="1"/>
    <xf numFmtId="0" fontId="22" fillId="24" borderId="7" xfId="0" applyFont="1" applyFill="1" applyBorder="1" applyAlignment="1"/>
    <xf numFmtId="0" fontId="21" fillId="0" borderId="0" xfId="0" applyFont="1" applyAlignment="1"/>
    <xf numFmtId="0" fontId="10" fillId="0" borderId="7" xfId="0" applyFont="1" applyBorder="1" applyAlignment="1"/>
    <xf numFmtId="0" fontId="10" fillId="0" borderId="0" xfId="0" applyFont="1" applyAlignment="1"/>
    <xf numFmtId="0" fontId="23" fillId="0" borderId="0" xfId="0" applyFont="1" applyAlignment="1"/>
    <xf numFmtId="0" fontId="24" fillId="0" borderId="6" xfId="0" applyFont="1" applyBorder="1" applyAlignment="1"/>
    <xf numFmtId="0" fontId="24" fillId="0" borderId="0" xfId="0" applyFont="1" applyAlignment="1"/>
    <xf numFmtId="0" fontId="24" fillId="0" borderId="7" xfId="0" applyFont="1" applyBorder="1" applyAlignment="1"/>
    <xf numFmtId="0" fontId="22" fillId="25" borderId="15" xfId="0" applyFont="1" applyFill="1" applyBorder="1" applyAlignment="1"/>
    <xf numFmtId="0" fontId="24" fillId="0" borderId="14" xfId="0" applyFont="1" applyBorder="1" applyAlignment="1"/>
    <xf numFmtId="0" fontId="3" fillId="0" borderId="14" xfId="0" applyFont="1" applyBorder="1"/>
    <xf numFmtId="0" fontId="10" fillId="0" borderId="16" xfId="0" applyFont="1" applyBorder="1" applyAlignment="1"/>
    <xf numFmtId="0" fontId="22" fillId="26" borderId="3" xfId="0" applyFont="1" applyFill="1" applyBorder="1" applyAlignment="1"/>
    <xf numFmtId="0" fontId="10" fillId="0" borderId="14" xfId="0" applyFont="1" applyBorder="1" applyAlignment="1"/>
    <xf numFmtId="0" fontId="10" fillId="0" borderId="16" xfId="0" applyFont="1" applyBorder="1" applyAlignment="1"/>
    <xf numFmtId="0" fontId="22" fillId="27" borderId="3" xfId="0" applyFont="1" applyFill="1" applyBorder="1" applyAlignment="1"/>
    <xf numFmtId="0" fontId="3" fillId="0" borderId="16" xfId="0" applyFont="1" applyBorder="1"/>
    <xf numFmtId="0" fontId="22" fillId="28" borderId="3" xfId="0" applyFont="1" applyFill="1" applyBorder="1" applyAlignment="1"/>
    <xf numFmtId="0" fontId="25" fillId="0" borderId="6" xfId="0" applyFont="1" applyBorder="1" applyAlignment="1"/>
    <xf numFmtId="0" fontId="26" fillId="0" borderId="6" xfId="0" applyFont="1" applyBorder="1" applyAlignment="1"/>
    <xf numFmtId="165" fontId="3" fillId="0" borderId="0" xfId="0" applyNumberFormat="1" applyFont="1" applyAlignment="1"/>
    <xf numFmtId="0" fontId="10" fillId="0" borderId="0" xfId="0" applyFont="1" applyAlignment="1"/>
    <xf numFmtId="0" fontId="24" fillId="0" borderId="6" xfId="0" applyFont="1" applyBorder="1" applyAlignment="1"/>
    <xf numFmtId="0" fontId="22" fillId="10" borderId="6" xfId="0" applyFont="1" applyFill="1" applyBorder="1" applyAlignment="1"/>
    <xf numFmtId="0" fontId="22" fillId="29" borderId="3" xfId="0" applyFont="1" applyFill="1" applyBorder="1" applyAlignment="1"/>
    <xf numFmtId="0" fontId="23" fillId="0" borderId="14" xfId="0" applyFont="1" applyBorder="1" applyAlignment="1"/>
    <xf numFmtId="0" fontId="21" fillId="0" borderId="2" xfId="0" applyFont="1" applyBorder="1" applyAlignment="1">
      <alignment horizontal="center"/>
    </xf>
    <xf numFmtId="0" fontId="21" fillId="20" borderId="2" xfId="0" applyFont="1" applyFill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10" borderId="2" xfId="0" applyFont="1" applyFill="1" applyBorder="1" applyAlignment="1">
      <alignment horizontal="center"/>
    </xf>
    <xf numFmtId="0" fontId="21" fillId="10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0" borderId="0" xfId="0" applyFont="1"/>
    <xf numFmtId="0" fontId="3" fillId="10" borderId="0" xfId="0" applyFont="1" applyFill="1"/>
    <xf numFmtId="0" fontId="11" fillId="8" borderId="0" xfId="0" applyFont="1" applyFill="1" applyAlignment="1"/>
    <xf numFmtId="0" fontId="21" fillId="0" borderId="2" xfId="0" applyFont="1" applyBorder="1" applyAlignment="1">
      <alignment horizontal="left"/>
    </xf>
    <xf numFmtId="0" fontId="19" fillId="32" borderId="0" xfId="0" applyFont="1" applyFill="1" applyAlignment="1">
      <alignment horizontal="center"/>
    </xf>
    <xf numFmtId="0" fontId="19" fillId="32" borderId="0" xfId="0" applyFont="1" applyFill="1" applyAlignment="1">
      <alignment horizontal="center"/>
    </xf>
    <xf numFmtId="0" fontId="19" fillId="0" borderId="0" xfId="0" applyFont="1" applyAlignment="1"/>
    <xf numFmtId="0" fontId="19" fillId="31" borderId="0" xfId="0" applyFont="1" applyFill="1" applyAlignment="1"/>
    <xf numFmtId="0" fontId="21" fillId="31" borderId="0" xfId="0" applyFont="1" applyFill="1" applyAlignment="1"/>
    <xf numFmtId="0" fontId="21" fillId="31" borderId="0" xfId="0" applyFont="1" applyFill="1" applyAlignment="1">
      <alignment horizontal="center"/>
    </xf>
    <xf numFmtId="0" fontId="27" fillId="33" borderId="0" xfId="0" applyFont="1" applyFill="1" applyAlignment="1">
      <alignment horizontal="left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right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9" fillId="32" borderId="0" xfId="0" applyFont="1" applyFill="1" applyAlignment="1"/>
    <xf numFmtId="0" fontId="21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10" borderId="0" xfId="0" applyFont="1" applyFill="1" applyAlignment="1">
      <alignment horizontal="center"/>
    </xf>
    <xf numFmtId="0" fontId="21" fillId="10" borderId="0" xfId="0" applyFont="1" applyFill="1" applyAlignment="1">
      <alignment horizontal="center"/>
    </xf>
    <xf numFmtId="0" fontId="28" fillId="14" borderId="0" xfId="0" applyFont="1" applyFill="1" applyAlignment="1"/>
    <xf numFmtId="0" fontId="21" fillId="34" borderId="0" xfId="0" applyFont="1" applyFill="1" applyAlignment="1"/>
    <xf numFmtId="0" fontId="21" fillId="34" borderId="0" xfId="0" applyFont="1" applyFill="1" applyAlignment="1">
      <alignment horizontal="center"/>
    </xf>
    <xf numFmtId="0" fontId="19" fillId="35" borderId="0" xfId="0" applyFont="1" applyFill="1" applyAlignment="1"/>
    <xf numFmtId="0" fontId="21" fillId="35" borderId="0" xfId="0" applyFont="1" applyFill="1" applyAlignment="1">
      <alignment horizontal="right"/>
    </xf>
    <xf numFmtId="0" fontId="3" fillId="37" borderId="2" xfId="0" applyFont="1" applyFill="1" applyBorder="1" applyAlignment="1"/>
    <xf numFmtId="0" fontId="21" fillId="37" borderId="2" xfId="0" applyFont="1" applyFill="1" applyBorder="1" applyAlignment="1"/>
    <xf numFmtId="0" fontId="21" fillId="37" borderId="2" xfId="0" applyFont="1" applyFill="1" applyBorder="1" applyAlignment="1">
      <alignment horizontal="center"/>
    </xf>
    <xf numFmtId="0" fontId="3" fillId="38" borderId="2" xfId="0" applyFont="1" applyFill="1" applyBorder="1" applyAlignment="1"/>
    <xf numFmtId="0" fontId="3" fillId="39" borderId="2" xfId="0" applyFont="1" applyFill="1" applyBorder="1" applyAlignment="1">
      <alignment horizontal="center"/>
    </xf>
    <xf numFmtId="0" fontId="21" fillId="10" borderId="0" xfId="0" applyFont="1" applyFill="1" applyAlignment="1"/>
    <xf numFmtId="0" fontId="21" fillId="10" borderId="0" xfId="0" applyFont="1" applyFill="1" applyAlignment="1">
      <alignment horizontal="right"/>
    </xf>
    <xf numFmtId="0" fontId="21" fillId="10" borderId="0" xfId="0" applyFont="1" applyFill="1" applyAlignment="1">
      <alignment horizontal="center"/>
    </xf>
    <xf numFmtId="0" fontId="21" fillId="10" borderId="0" xfId="0" applyFont="1" applyFill="1" applyAlignment="1">
      <alignment horizontal="center"/>
    </xf>
    <xf numFmtId="166" fontId="3" fillId="0" borderId="2" xfId="0" applyNumberFormat="1" applyFont="1" applyBorder="1" applyAlignment="1"/>
    <xf numFmtId="166" fontId="21" fillId="0" borderId="2" xfId="0" applyNumberFormat="1" applyFont="1" applyBorder="1" applyAlignment="1"/>
    <xf numFmtId="167" fontId="3" fillId="0" borderId="2" xfId="0" applyNumberFormat="1" applyFont="1" applyBorder="1" applyAlignment="1"/>
    <xf numFmtId="166" fontId="3" fillId="0" borderId="2" xfId="0" applyNumberFormat="1" applyFont="1" applyBorder="1" applyAlignment="1"/>
    <xf numFmtId="0" fontId="11" fillId="8" borderId="9" xfId="0" applyFont="1" applyFill="1" applyBorder="1" applyAlignment="1"/>
    <xf numFmtId="0" fontId="11" fillId="8" borderId="11" xfId="0" applyFont="1" applyFill="1" applyBorder="1" applyAlignment="1"/>
    <xf numFmtId="167" fontId="3" fillId="0" borderId="2" xfId="0" applyNumberFormat="1" applyFont="1" applyBorder="1"/>
    <xf numFmtId="166" fontId="3" fillId="0" borderId="2" xfId="0" applyNumberFormat="1" applyFont="1" applyBorder="1" applyAlignment="1"/>
    <xf numFmtId="166" fontId="21" fillId="38" borderId="2" xfId="0" applyNumberFormat="1" applyFont="1" applyFill="1" applyBorder="1" applyAlignment="1"/>
    <xf numFmtId="0" fontId="21" fillId="7" borderId="2" xfId="0" applyFont="1" applyFill="1" applyBorder="1" applyAlignment="1"/>
    <xf numFmtId="166" fontId="21" fillId="7" borderId="2" xfId="0" applyNumberFormat="1" applyFont="1" applyFill="1" applyBorder="1" applyAlignment="1"/>
    <xf numFmtId="0" fontId="21" fillId="40" borderId="2" xfId="0" applyFont="1" applyFill="1" applyBorder="1" applyAlignment="1"/>
    <xf numFmtId="166" fontId="21" fillId="40" borderId="2" xfId="0" applyNumberFormat="1" applyFont="1" applyFill="1" applyBorder="1" applyAlignment="1"/>
    <xf numFmtId="0" fontId="21" fillId="39" borderId="2" xfId="0" applyFont="1" applyFill="1" applyBorder="1" applyAlignment="1"/>
    <xf numFmtId="0" fontId="21" fillId="0" borderId="2" xfId="0" applyFont="1" applyBorder="1" applyAlignment="1"/>
    <xf numFmtId="166" fontId="3" fillId="39" borderId="2" xfId="0" applyNumberFormat="1" applyFont="1" applyFill="1" applyBorder="1" applyAlignment="1"/>
    <xf numFmtId="0" fontId="3" fillId="16" borderId="2" xfId="0" applyFont="1" applyFill="1" applyBorder="1" applyAlignment="1"/>
    <xf numFmtId="0" fontId="3" fillId="16" borderId="2" xfId="0" applyFont="1" applyFill="1" applyBorder="1"/>
    <xf numFmtId="168" fontId="3" fillId="0" borderId="2" xfId="0" applyNumberFormat="1" applyFont="1" applyBorder="1" applyAlignment="1"/>
    <xf numFmtId="0" fontId="21" fillId="10" borderId="2" xfId="0" applyFont="1" applyFill="1" applyBorder="1" applyAlignment="1">
      <alignment horizontal="left"/>
    </xf>
    <xf numFmtId="0" fontId="21" fillId="10" borderId="2" xfId="0" applyFont="1" applyFill="1" applyBorder="1" applyAlignment="1">
      <alignment horizontal="left"/>
    </xf>
    <xf numFmtId="0" fontId="21" fillId="10" borderId="2" xfId="0" applyFont="1" applyFill="1" applyBorder="1" applyAlignment="1"/>
    <xf numFmtId="0" fontId="29" fillId="33" borderId="0" xfId="0" applyFont="1" applyFill="1" applyAlignment="1">
      <alignment horizontal="left"/>
    </xf>
    <xf numFmtId="0" fontId="21" fillId="30" borderId="0" xfId="0" applyFont="1" applyFill="1" applyAlignment="1">
      <alignment horizontal="center"/>
    </xf>
    <xf numFmtId="0" fontId="11" fillId="8" borderId="2" xfId="0" applyFont="1" applyFill="1" applyBorder="1" applyAlignment="1"/>
    <xf numFmtId="0" fontId="3" fillId="10" borderId="2" xfId="0" applyFont="1" applyFill="1" applyBorder="1" applyAlignment="1">
      <alignment horizontal="left"/>
    </xf>
    <xf numFmtId="0" fontId="21" fillId="10" borderId="2" xfId="0" applyFont="1" applyFill="1" applyBorder="1" applyAlignment="1"/>
    <xf numFmtId="0" fontId="30" fillId="10" borderId="0" xfId="0" applyFont="1" applyFill="1" applyAlignment="1"/>
    <xf numFmtId="0" fontId="3" fillId="10" borderId="2" xfId="0" applyFont="1" applyFill="1" applyBorder="1"/>
    <xf numFmtId="0" fontId="32" fillId="0" borderId="8" xfId="0" applyFont="1" applyBorder="1" applyAlignment="1"/>
    <xf numFmtId="0" fontId="33" fillId="0" borderId="16" xfId="0" applyFont="1" applyBorder="1" applyAlignment="1">
      <alignment horizontal="center"/>
    </xf>
    <xf numFmtId="0" fontId="34" fillId="0" borderId="16" xfId="0" applyFont="1" applyBorder="1" applyAlignment="1"/>
    <xf numFmtId="0" fontId="35" fillId="0" borderId="16" xfId="0" applyFont="1" applyBorder="1" applyAlignment="1">
      <alignment horizontal="center"/>
    </xf>
    <xf numFmtId="0" fontId="17" fillId="0" borderId="8" xfId="0" applyFont="1" applyBorder="1" applyAlignment="1"/>
    <xf numFmtId="0" fontId="17" fillId="0" borderId="16" xfId="0" applyFont="1" applyBorder="1" applyAlignment="1"/>
    <xf numFmtId="0" fontId="17" fillId="0" borderId="16" xfId="0" applyFont="1" applyBorder="1" applyAlignment="1"/>
    <xf numFmtId="0" fontId="17" fillId="42" borderId="16" xfId="0" applyFont="1" applyFill="1" applyBorder="1" applyAlignment="1"/>
    <xf numFmtId="0" fontId="17" fillId="0" borderId="0" xfId="0" applyFont="1" applyAlignment="1">
      <alignment horizontal="left"/>
    </xf>
    <xf numFmtId="0" fontId="17" fillId="0" borderId="10" xfId="0" applyFont="1" applyBorder="1" applyAlignment="1"/>
    <xf numFmtId="0" fontId="17" fillId="0" borderId="8" xfId="0" applyFont="1" applyBorder="1" applyAlignment="1"/>
    <xf numFmtId="0" fontId="17" fillId="0" borderId="0" xfId="0" applyFont="1" applyAlignment="1"/>
    <xf numFmtId="0" fontId="3" fillId="43" borderId="0" xfId="0" applyFont="1" applyFill="1" applyAlignment="1"/>
    <xf numFmtId="14" fontId="3" fillId="0" borderId="0" xfId="0" applyNumberFormat="1" applyFont="1" applyAlignment="1"/>
    <xf numFmtId="166" fontId="3" fillId="0" borderId="0" xfId="0" applyNumberFormat="1" applyFont="1" applyAlignment="1"/>
    <xf numFmtId="14" fontId="3" fillId="0" borderId="0" xfId="0" applyNumberFormat="1" applyFont="1" applyAlignment="1"/>
    <xf numFmtId="0" fontId="11" fillId="38" borderId="0" xfId="0" applyFont="1" applyFill="1" applyAlignment="1"/>
    <xf numFmtId="166" fontId="3" fillId="38" borderId="0" xfId="0" applyNumberFormat="1" applyFont="1" applyFill="1"/>
    <xf numFmtId="0" fontId="3" fillId="20" borderId="2" xfId="0" applyFont="1" applyFill="1" applyBorder="1" applyAlignment="1"/>
    <xf numFmtId="0" fontId="20" fillId="0" borderId="0" xfId="0" applyFont="1" applyAlignment="1"/>
    <xf numFmtId="0" fontId="20" fillId="0" borderId="0" xfId="0" applyFont="1" applyAlignment="1"/>
    <xf numFmtId="0" fontId="20" fillId="0" borderId="0" xfId="0" applyFont="1" applyAlignment="1"/>
    <xf numFmtId="0" fontId="19" fillId="31" borderId="2" xfId="0" applyFont="1" applyFill="1" applyBorder="1" applyAlignment="1"/>
    <xf numFmtId="0" fontId="21" fillId="31" borderId="2" xfId="0" applyFont="1" applyFill="1" applyBorder="1" applyAlignment="1"/>
    <xf numFmtId="0" fontId="19" fillId="0" borderId="2" xfId="0" applyFont="1" applyBorder="1" applyAlignment="1">
      <alignment horizontal="center"/>
    </xf>
    <xf numFmtId="0" fontId="19" fillId="32" borderId="2" xfId="0" applyFont="1" applyFill="1" applyBorder="1" applyAlignment="1"/>
    <xf numFmtId="0" fontId="20" fillId="0" borderId="2" xfId="0" applyFont="1" applyBorder="1" applyAlignment="1"/>
    <xf numFmtId="0" fontId="21" fillId="0" borderId="2" xfId="0" applyFont="1" applyBorder="1" applyAlignment="1">
      <alignment horizontal="center"/>
    </xf>
    <xf numFmtId="0" fontId="11" fillId="0" borderId="10" xfId="0" applyFont="1" applyBorder="1" applyAlignment="1"/>
    <xf numFmtId="0" fontId="20" fillId="0" borderId="2" xfId="0" applyFont="1" applyBorder="1" applyAlignment="1"/>
    <xf numFmtId="0" fontId="20" fillId="0" borderId="2" xfId="0" applyFont="1" applyBorder="1" applyAlignment="1"/>
    <xf numFmtId="166" fontId="21" fillId="0" borderId="2" xfId="0" applyNumberFormat="1" applyFont="1" applyBorder="1" applyAlignment="1"/>
    <xf numFmtId="0" fontId="21" fillId="0" borderId="0" xfId="0" applyFont="1" applyAlignment="1">
      <alignment horizontal="center"/>
    </xf>
    <xf numFmtId="0" fontId="28" fillId="14" borderId="2" xfId="0" applyFont="1" applyFill="1" applyBorder="1" applyAlignment="1"/>
    <xf numFmtId="0" fontId="36" fillId="25" borderId="2" xfId="0" applyFont="1" applyFill="1" applyBorder="1" applyAlignment="1"/>
    <xf numFmtId="0" fontId="19" fillId="32" borderId="2" xfId="0" applyFont="1" applyFill="1" applyBorder="1" applyAlignment="1">
      <alignment horizontal="center"/>
    </xf>
    <xf numFmtId="0" fontId="19" fillId="32" borderId="2" xfId="0" applyFont="1" applyFill="1" applyBorder="1" applyAlignment="1">
      <alignment horizontal="center"/>
    </xf>
    <xf numFmtId="0" fontId="19" fillId="0" borderId="2" xfId="0" applyFont="1" applyBorder="1" applyAlignment="1"/>
    <xf numFmtId="0" fontId="29" fillId="33" borderId="2" xfId="0" applyFont="1" applyFill="1" applyBorder="1" applyAlignment="1">
      <alignment horizontal="left"/>
    </xf>
    <xf numFmtId="0" fontId="21" fillId="0" borderId="2" xfId="0" applyFont="1" applyBorder="1" applyAlignment="1">
      <alignment horizontal="center"/>
    </xf>
    <xf numFmtId="1" fontId="21" fillId="0" borderId="2" xfId="0" applyNumberFormat="1" applyFont="1" applyBorder="1" applyAlignment="1">
      <alignment horizontal="right"/>
    </xf>
    <xf numFmtId="0" fontId="21" fillId="0" borderId="2" xfId="0" applyFont="1" applyBorder="1" applyAlignment="1">
      <alignment horizontal="center"/>
    </xf>
    <xf numFmtId="166" fontId="3" fillId="0" borderId="2" xfId="0" applyNumberFormat="1" applyFont="1" applyBorder="1"/>
    <xf numFmtId="0" fontId="21" fillId="0" borderId="2" xfId="0" applyFont="1" applyBorder="1" applyAlignment="1">
      <alignment horizontal="right"/>
    </xf>
    <xf numFmtId="0" fontId="21" fillId="0" borderId="2" xfId="0" applyFont="1" applyBorder="1" applyAlignment="1"/>
    <xf numFmtId="0" fontId="21" fillId="0" borderId="2" xfId="0" applyFont="1" applyBorder="1" applyAlignment="1">
      <alignment horizontal="right"/>
    </xf>
    <xf numFmtId="0" fontId="21" fillId="10" borderId="2" xfId="0" applyFont="1" applyFill="1" applyBorder="1" applyAlignment="1">
      <alignment horizontal="right"/>
    </xf>
    <xf numFmtId="0" fontId="21" fillId="10" borderId="2" xfId="0" applyFont="1" applyFill="1" applyBorder="1" applyAlignment="1">
      <alignment horizontal="center"/>
    </xf>
    <xf numFmtId="0" fontId="21" fillId="10" borderId="2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/>
    <xf numFmtId="0" fontId="20" fillId="0" borderId="0" xfId="0" applyFont="1" applyAlignment="1"/>
    <xf numFmtId="0" fontId="20" fillId="0" borderId="2" xfId="0" applyFont="1" applyBorder="1" applyAlignment="1"/>
    <xf numFmtId="0" fontId="28" fillId="0" borderId="0" xfId="0" applyFont="1" applyAlignment="1"/>
    <xf numFmtId="0" fontId="37" fillId="0" borderId="0" xfId="0" applyFont="1" applyAlignment="1"/>
    <xf numFmtId="0" fontId="29" fillId="0" borderId="0" xfId="0" applyFont="1" applyAlignment="1">
      <alignment horizontal="left"/>
    </xf>
    <xf numFmtId="165" fontId="3" fillId="43" borderId="2" xfId="0" applyNumberFormat="1" applyFont="1" applyFill="1" applyBorder="1" applyAlignment="1"/>
    <xf numFmtId="166" fontId="3" fillId="43" borderId="2" xfId="0" applyNumberFormat="1" applyFont="1" applyFill="1" applyBorder="1" applyAlignment="1"/>
    <xf numFmtId="166" fontId="21" fillId="43" borderId="2" xfId="0" applyNumberFormat="1" applyFont="1" applyFill="1" applyBorder="1" applyAlignment="1"/>
    <xf numFmtId="0" fontId="19" fillId="43" borderId="0" xfId="0" applyFont="1" applyFill="1" applyAlignment="1"/>
    <xf numFmtId="0" fontId="11" fillId="43" borderId="0" xfId="0" applyFont="1" applyFill="1" applyAlignment="1"/>
    <xf numFmtId="0" fontId="3" fillId="43" borderId="0" xfId="0" applyFont="1" applyFill="1"/>
    <xf numFmtId="165" fontId="3" fillId="36" borderId="2" xfId="0" applyNumberFormat="1" applyFont="1" applyFill="1" applyBorder="1" applyAlignment="1"/>
    <xf numFmtId="166" fontId="3" fillId="36" borderId="2" xfId="0" applyNumberFormat="1" applyFont="1" applyFill="1" applyBorder="1" applyAlignment="1"/>
    <xf numFmtId="166" fontId="21" fillId="36" borderId="2" xfId="0" applyNumberFormat="1" applyFont="1" applyFill="1" applyBorder="1" applyAlignment="1"/>
    <xf numFmtId="0" fontId="21" fillId="36" borderId="0" xfId="0" applyFont="1" applyFill="1" applyAlignment="1">
      <alignment horizontal="center"/>
    </xf>
    <xf numFmtId="0" fontId="21" fillId="36" borderId="0" xfId="0" applyFont="1" applyFill="1" applyAlignment="1">
      <alignment horizontal="center"/>
    </xf>
    <xf numFmtId="0" fontId="3" fillId="36" borderId="0" xfId="0" applyFont="1" applyFill="1"/>
    <xf numFmtId="165" fontId="3" fillId="16" borderId="2" xfId="0" applyNumberFormat="1" applyFont="1" applyFill="1" applyBorder="1" applyAlignment="1"/>
    <xf numFmtId="166" fontId="3" fillId="16" borderId="2" xfId="0" applyNumberFormat="1" applyFont="1" applyFill="1" applyBorder="1" applyAlignment="1"/>
    <xf numFmtId="166" fontId="21" fillId="16" borderId="2" xfId="0" applyNumberFormat="1" applyFont="1" applyFill="1" applyBorder="1" applyAlignment="1"/>
    <xf numFmtId="0" fontId="21" fillId="16" borderId="0" xfId="0" applyFont="1" applyFill="1" applyAlignment="1">
      <alignment horizontal="center"/>
    </xf>
    <xf numFmtId="0" fontId="21" fillId="16" borderId="0" xfId="0" applyFont="1" applyFill="1" applyAlignment="1">
      <alignment horizontal="center"/>
    </xf>
    <xf numFmtId="165" fontId="3" fillId="30" borderId="2" xfId="0" applyNumberFormat="1" applyFont="1" applyFill="1" applyBorder="1" applyAlignment="1"/>
    <xf numFmtId="166" fontId="3" fillId="30" borderId="2" xfId="0" applyNumberFormat="1" applyFont="1" applyFill="1" applyBorder="1" applyAlignment="1"/>
    <xf numFmtId="166" fontId="21" fillId="30" borderId="2" xfId="0" applyNumberFormat="1" applyFont="1" applyFill="1" applyBorder="1" applyAlignment="1"/>
    <xf numFmtId="0" fontId="21" fillId="30" borderId="0" xfId="0" applyFont="1" applyFill="1" applyAlignment="1">
      <alignment horizontal="center"/>
    </xf>
    <xf numFmtId="0" fontId="3" fillId="30" borderId="0" xfId="0" applyFont="1" applyFill="1"/>
    <xf numFmtId="165" fontId="3" fillId="13" borderId="2" xfId="0" applyNumberFormat="1" applyFont="1" applyFill="1" applyBorder="1" applyAlignment="1"/>
    <xf numFmtId="166" fontId="3" fillId="13" borderId="2" xfId="0" applyNumberFormat="1" applyFont="1" applyFill="1" applyBorder="1" applyAlignment="1"/>
    <xf numFmtId="166" fontId="21" fillId="13" borderId="2" xfId="0" applyNumberFormat="1" applyFont="1" applyFill="1" applyBorder="1" applyAlignment="1"/>
    <xf numFmtId="0" fontId="21" fillId="13" borderId="0" xfId="0" applyFont="1" applyFill="1" applyAlignment="1">
      <alignment horizontal="center"/>
    </xf>
    <xf numFmtId="0" fontId="21" fillId="13" borderId="0" xfId="0" applyFont="1" applyFill="1" applyAlignment="1">
      <alignment horizontal="center"/>
    </xf>
    <xf numFmtId="0" fontId="3" fillId="13" borderId="0" xfId="0" applyFont="1" applyFill="1"/>
    <xf numFmtId="165" fontId="3" fillId="37" borderId="2" xfId="0" applyNumberFormat="1" applyFont="1" applyFill="1" applyBorder="1" applyAlignment="1"/>
    <xf numFmtId="166" fontId="3" fillId="37" borderId="2" xfId="0" applyNumberFormat="1" applyFont="1" applyFill="1" applyBorder="1" applyAlignment="1"/>
    <xf numFmtId="166" fontId="21" fillId="37" borderId="2" xfId="0" applyNumberFormat="1" applyFont="1" applyFill="1" applyBorder="1" applyAlignment="1"/>
    <xf numFmtId="0" fontId="21" fillId="37" borderId="0" xfId="0" applyFont="1" applyFill="1" applyAlignment="1">
      <alignment horizontal="center"/>
    </xf>
    <xf numFmtId="0" fontId="3" fillId="37" borderId="0" xfId="0" applyFont="1" applyFill="1"/>
    <xf numFmtId="0" fontId="3" fillId="7" borderId="2" xfId="0" applyFont="1" applyFill="1" applyBorder="1"/>
    <xf numFmtId="166" fontId="3" fillId="7" borderId="2" xfId="0" applyNumberFormat="1" applyFont="1" applyFill="1" applyBorder="1" applyAlignment="1"/>
    <xf numFmtId="0" fontId="21" fillId="7" borderId="0" xfId="0" applyFont="1" applyFill="1" applyAlignment="1">
      <alignment horizontal="center"/>
    </xf>
    <xf numFmtId="0" fontId="3" fillId="7" borderId="0" xfId="0" applyFont="1" applyFill="1"/>
    <xf numFmtId="165" fontId="3" fillId="40" borderId="10" xfId="0" applyNumberFormat="1" applyFont="1" applyFill="1" applyBorder="1" applyAlignment="1"/>
    <xf numFmtId="165" fontId="3" fillId="40" borderId="2" xfId="0" applyNumberFormat="1" applyFont="1" applyFill="1" applyBorder="1" applyAlignment="1"/>
    <xf numFmtId="166" fontId="3" fillId="40" borderId="2" xfId="0" applyNumberFormat="1" applyFont="1" applyFill="1" applyBorder="1" applyAlignment="1"/>
    <xf numFmtId="166" fontId="3" fillId="40" borderId="2" xfId="0" applyNumberFormat="1" applyFont="1" applyFill="1" applyBorder="1" applyAlignment="1"/>
    <xf numFmtId="0" fontId="21" fillId="40" borderId="0" xfId="0" applyFont="1" applyFill="1" applyAlignment="1">
      <alignment horizontal="center"/>
    </xf>
    <xf numFmtId="0" fontId="21" fillId="40" borderId="0" xfId="0" applyFont="1" applyFill="1" applyAlignment="1">
      <alignment horizontal="center"/>
    </xf>
    <xf numFmtId="0" fontId="3" fillId="40" borderId="0" xfId="0" applyFont="1" applyFill="1"/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3" fillId="43" borderId="20" xfId="0" applyFont="1" applyFill="1" applyBorder="1" applyAlignment="1"/>
    <xf numFmtId="0" fontId="3" fillId="43" borderId="21" xfId="0" applyFont="1" applyFill="1" applyBorder="1"/>
    <xf numFmtId="0" fontId="3" fillId="43" borderId="10" xfId="0" applyFont="1" applyFill="1" applyBorder="1" applyAlignment="1"/>
    <xf numFmtId="0" fontId="3" fillId="43" borderId="21" xfId="0" applyFont="1" applyFill="1" applyBorder="1" applyAlignment="1"/>
    <xf numFmtId="0" fontId="21" fillId="43" borderId="10" xfId="0" applyFont="1" applyFill="1" applyBorder="1" applyAlignment="1"/>
    <xf numFmtId="0" fontId="21" fillId="43" borderId="2" xfId="0" applyFont="1" applyFill="1" applyBorder="1" applyAlignment="1"/>
    <xf numFmtId="0" fontId="3" fillId="43" borderId="20" xfId="0" applyFont="1" applyFill="1" applyBorder="1"/>
    <xf numFmtId="0" fontId="3" fillId="36" borderId="20" xfId="0" applyFont="1" applyFill="1" applyBorder="1" applyAlignment="1"/>
    <xf numFmtId="0" fontId="3" fillId="36" borderId="21" xfId="0" applyFont="1" applyFill="1" applyBorder="1"/>
    <xf numFmtId="0" fontId="3" fillId="36" borderId="10" xfId="0" applyFont="1" applyFill="1" applyBorder="1" applyAlignment="1"/>
    <xf numFmtId="0" fontId="3" fillId="36" borderId="21" xfId="0" applyFont="1" applyFill="1" applyBorder="1" applyAlignment="1"/>
    <xf numFmtId="0" fontId="21" fillId="36" borderId="10" xfId="0" applyFont="1" applyFill="1" applyBorder="1" applyAlignment="1"/>
    <xf numFmtId="0" fontId="21" fillId="36" borderId="2" xfId="0" applyFont="1" applyFill="1" applyBorder="1" applyAlignment="1"/>
    <xf numFmtId="0" fontId="3" fillId="16" borderId="20" xfId="0" applyFont="1" applyFill="1" applyBorder="1"/>
    <xf numFmtId="0" fontId="3" fillId="16" borderId="21" xfId="0" applyFont="1" applyFill="1" applyBorder="1"/>
    <xf numFmtId="0" fontId="3" fillId="16" borderId="10" xfId="0" applyFont="1" applyFill="1" applyBorder="1" applyAlignment="1"/>
    <xf numFmtId="0" fontId="3" fillId="16" borderId="21" xfId="0" applyFont="1" applyFill="1" applyBorder="1" applyAlignment="1"/>
    <xf numFmtId="0" fontId="21" fillId="16" borderId="10" xfId="0" applyFont="1" applyFill="1" applyBorder="1" applyAlignment="1"/>
    <xf numFmtId="0" fontId="21" fillId="16" borderId="2" xfId="0" applyFont="1" applyFill="1" applyBorder="1" applyAlignment="1"/>
    <xf numFmtId="0" fontId="3" fillId="30" borderId="20" xfId="0" applyFont="1" applyFill="1" applyBorder="1"/>
    <xf numFmtId="0" fontId="3" fillId="30" borderId="21" xfId="0" applyFont="1" applyFill="1" applyBorder="1"/>
    <xf numFmtId="0" fontId="3" fillId="30" borderId="10" xfId="0" applyFont="1" applyFill="1" applyBorder="1" applyAlignment="1"/>
    <xf numFmtId="0" fontId="3" fillId="30" borderId="21" xfId="0" applyFont="1" applyFill="1" applyBorder="1" applyAlignment="1"/>
    <xf numFmtId="0" fontId="21" fillId="30" borderId="10" xfId="0" applyFont="1" applyFill="1" applyBorder="1" applyAlignment="1"/>
    <xf numFmtId="0" fontId="21" fillId="30" borderId="2" xfId="0" applyFont="1" applyFill="1" applyBorder="1" applyAlignment="1"/>
    <xf numFmtId="0" fontId="3" fillId="30" borderId="21" xfId="0" applyFont="1" applyFill="1" applyBorder="1" applyAlignment="1"/>
    <xf numFmtId="0" fontId="3" fillId="13" borderId="20" xfId="0" applyFont="1" applyFill="1" applyBorder="1"/>
    <xf numFmtId="0" fontId="3" fillId="13" borderId="21" xfId="0" applyFont="1" applyFill="1" applyBorder="1"/>
    <xf numFmtId="0" fontId="3" fillId="13" borderId="10" xfId="0" applyFont="1" applyFill="1" applyBorder="1" applyAlignment="1"/>
    <xf numFmtId="0" fontId="3" fillId="13" borderId="21" xfId="0" applyFont="1" applyFill="1" applyBorder="1" applyAlignment="1"/>
    <xf numFmtId="0" fontId="21" fillId="13" borderId="10" xfId="0" applyFont="1" applyFill="1" applyBorder="1" applyAlignment="1"/>
    <xf numFmtId="0" fontId="21" fillId="13" borderId="2" xfId="0" applyFont="1" applyFill="1" applyBorder="1" applyAlignment="1"/>
    <xf numFmtId="0" fontId="3" fillId="37" borderId="20" xfId="0" applyFont="1" applyFill="1" applyBorder="1" applyAlignment="1"/>
    <xf numFmtId="0" fontId="3" fillId="37" borderId="21" xfId="0" applyFont="1" applyFill="1" applyBorder="1"/>
    <xf numFmtId="0" fontId="3" fillId="37" borderId="10" xfId="0" applyFont="1" applyFill="1" applyBorder="1" applyAlignment="1"/>
    <xf numFmtId="0" fontId="3" fillId="37" borderId="21" xfId="0" applyFont="1" applyFill="1" applyBorder="1" applyAlignment="1"/>
    <xf numFmtId="0" fontId="21" fillId="37" borderId="10" xfId="0" applyFont="1" applyFill="1" applyBorder="1" applyAlignment="1"/>
    <xf numFmtId="0" fontId="21" fillId="37" borderId="2" xfId="0" applyFont="1" applyFill="1" applyBorder="1" applyAlignment="1"/>
    <xf numFmtId="0" fontId="3" fillId="37" borderId="20" xfId="0" applyFont="1" applyFill="1" applyBorder="1"/>
    <xf numFmtId="0" fontId="3" fillId="7" borderId="20" xfId="0" applyFont="1" applyFill="1" applyBorder="1"/>
    <xf numFmtId="0" fontId="3" fillId="7" borderId="21" xfId="0" applyFont="1" applyFill="1" applyBorder="1"/>
    <xf numFmtId="0" fontId="3" fillId="7" borderId="10" xfId="0" applyFont="1" applyFill="1" applyBorder="1" applyAlignment="1"/>
    <xf numFmtId="0" fontId="3" fillId="7" borderId="21" xfId="0" applyFont="1" applyFill="1" applyBorder="1" applyAlignment="1"/>
    <xf numFmtId="0" fontId="21" fillId="7" borderId="10" xfId="0" applyFont="1" applyFill="1" applyBorder="1" applyAlignment="1"/>
    <xf numFmtId="0" fontId="21" fillId="7" borderId="2" xfId="0" applyFont="1" applyFill="1" applyBorder="1" applyAlignment="1"/>
    <xf numFmtId="0" fontId="11" fillId="40" borderId="20" xfId="0" applyFont="1" applyFill="1" applyBorder="1" applyAlignment="1"/>
    <xf numFmtId="0" fontId="3" fillId="40" borderId="21" xfId="0" applyFont="1" applyFill="1" applyBorder="1"/>
    <xf numFmtId="0" fontId="3" fillId="40" borderId="10" xfId="0" applyFont="1" applyFill="1" applyBorder="1" applyAlignment="1"/>
    <xf numFmtId="0" fontId="3" fillId="40" borderId="21" xfId="0" applyFont="1" applyFill="1" applyBorder="1" applyAlignment="1"/>
    <xf numFmtId="0" fontId="3" fillId="40" borderId="21" xfId="0" applyFont="1" applyFill="1" applyBorder="1" applyAlignment="1"/>
    <xf numFmtId="0" fontId="3" fillId="40" borderId="10" xfId="0" applyFont="1" applyFill="1" applyBorder="1" applyAlignment="1"/>
    <xf numFmtId="0" fontId="21" fillId="40" borderId="10" xfId="0" applyFont="1" applyFill="1" applyBorder="1" applyAlignment="1"/>
    <xf numFmtId="0" fontId="21" fillId="40" borderId="2" xfId="0" applyFont="1" applyFill="1" applyBorder="1" applyAlignment="1"/>
    <xf numFmtId="0" fontId="21" fillId="38" borderId="10" xfId="0" applyFont="1" applyFill="1" applyBorder="1" applyAlignment="1"/>
    <xf numFmtId="0" fontId="21" fillId="38" borderId="2" xfId="0" applyFont="1" applyFill="1" applyBorder="1" applyAlignment="1"/>
    <xf numFmtId="0" fontId="21" fillId="0" borderId="0" xfId="0" applyFont="1" applyAlignment="1">
      <alignment horizontal="center"/>
    </xf>
    <xf numFmtId="0" fontId="3" fillId="0" borderId="0" xfId="0" applyFont="1"/>
    <xf numFmtId="16" fontId="20" fillId="0" borderId="9" xfId="0" applyNumberFormat="1" applyFont="1" applyBorder="1" applyAlignment="1">
      <alignment horizontal="center"/>
    </xf>
    <xf numFmtId="16" fontId="20" fillId="0" borderId="10" xfId="0" applyNumberFormat="1" applyFont="1" applyBorder="1" applyAlignment="1">
      <alignment horizontal="center"/>
    </xf>
    <xf numFmtId="0" fontId="44" fillId="0" borderId="0" xfId="0" applyFont="1" applyAlignment="1">
      <alignment horizontal="center" vertical="top"/>
    </xf>
    <xf numFmtId="0" fontId="20" fillId="0" borderId="0" xfId="0" applyFont="1" applyAlignment="1"/>
    <xf numFmtId="0" fontId="44" fillId="0" borderId="2" xfId="0" applyFont="1" applyBorder="1" applyAlignment="1">
      <alignment horizontal="center" vertical="top"/>
    </xf>
    <xf numFmtId="0" fontId="20" fillId="0" borderId="2" xfId="0" applyFont="1" applyBorder="1" applyAlignment="1"/>
    <xf numFmtId="167" fontId="20" fillId="0" borderId="2" xfId="0" applyNumberFormat="1" applyFont="1" applyBorder="1" applyAlignment="1">
      <alignment horizontal="right"/>
    </xf>
    <xf numFmtId="167" fontId="20" fillId="0" borderId="2" xfId="0" applyNumberFormat="1" applyFont="1" applyBorder="1" applyAlignment="1">
      <alignment horizontal="right"/>
    </xf>
    <xf numFmtId="169" fontId="20" fillId="0" borderId="2" xfId="0" applyNumberFormat="1" applyFont="1" applyBorder="1" applyAlignment="1">
      <alignment horizontal="right"/>
    </xf>
    <xf numFmtId="0" fontId="11" fillId="9" borderId="0" xfId="0" applyFont="1" applyFill="1"/>
    <xf numFmtId="0" fontId="11" fillId="9" borderId="2" xfId="0" applyFont="1" applyFill="1" applyBorder="1" applyAlignment="1"/>
    <xf numFmtId="14" fontId="3" fillId="0" borderId="2" xfId="0" applyNumberFormat="1" applyFont="1" applyBorder="1" applyAlignment="1"/>
    <xf numFmtId="14" fontId="3" fillId="0" borderId="2" xfId="0" applyNumberFormat="1" applyFont="1" applyBorder="1"/>
    <xf numFmtId="167" fontId="3" fillId="0" borderId="0" xfId="0" applyNumberFormat="1" applyFont="1"/>
    <xf numFmtId="166" fontId="3" fillId="7" borderId="2" xfId="0" applyNumberFormat="1" applyFont="1" applyFill="1" applyBorder="1" applyAlignment="1"/>
    <xf numFmtId="166" fontId="3" fillId="0" borderId="2" xfId="0" applyNumberFormat="1" applyFont="1" applyBorder="1"/>
    <xf numFmtId="0" fontId="3" fillId="0" borderId="2" xfId="0" applyFont="1" applyBorder="1"/>
    <xf numFmtId="166" fontId="3" fillId="0" borderId="0" xfId="0" applyNumberFormat="1" applyFont="1"/>
    <xf numFmtId="0" fontId="48" fillId="10" borderId="0" xfId="0" applyFont="1" applyFill="1" applyAlignment="1">
      <alignment vertical="top"/>
    </xf>
    <xf numFmtId="0" fontId="49" fillId="10" borderId="0" xfId="0" applyFont="1" applyFill="1" applyAlignment="1">
      <alignment vertical="top"/>
    </xf>
    <xf numFmtId="0" fontId="50" fillId="0" borderId="0" xfId="0" applyFont="1" applyAlignment="1"/>
    <xf numFmtId="0" fontId="3" fillId="20" borderId="2" xfId="0" applyFont="1" applyFill="1" applyBorder="1" applyAlignment="1">
      <alignment horizontal="center"/>
    </xf>
    <xf numFmtId="0" fontId="21" fillId="10" borderId="0" xfId="0" applyFont="1" applyFill="1" applyAlignment="1"/>
    <xf numFmtId="0" fontId="21" fillId="10" borderId="0" xfId="0" applyFont="1" applyFill="1" applyAlignment="1">
      <alignment horizontal="right"/>
    </xf>
    <xf numFmtId="0" fontId="3" fillId="20" borderId="2" xfId="0" applyFont="1" applyFill="1" applyBorder="1" applyAlignment="1">
      <alignment horizontal="left"/>
    </xf>
    <xf numFmtId="0" fontId="3" fillId="20" borderId="2" xfId="0" applyFont="1" applyFill="1" applyBorder="1" applyAlignment="1">
      <alignment horizontal="left"/>
    </xf>
    <xf numFmtId="0" fontId="21" fillId="0" borderId="2" xfId="0" applyFont="1" applyBorder="1" applyAlignment="1">
      <alignment horizontal="left"/>
    </xf>
    <xf numFmtId="0" fontId="21" fillId="20" borderId="2" xfId="0" applyFont="1" applyFill="1" applyBorder="1" applyAlignment="1">
      <alignment horizontal="left"/>
    </xf>
    <xf numFmtId="0" fontId="21" fillId="20" borderId="2" xfId="0" applyFont="1" applyFill="1" applyBorder="1" applyAlignment="1">
      <alignment horizontal="left"/>
    </xf>
    <xf numFmtId="166" fontId="3" fillId="16" borderId="2" xfId="0" applyNumberFormat="1" applyFont="1" applyFill="1" applyBorder="1"/>
    <xf numFmtId="0" fontId="21" fillId="15" borderId="2" xfId="0" applyFont="1" applyFill="1" applyBorder="1" applyAlignment="1">
      <alignment horizontal="left"/>
    </xf>
    <xf numFmtId="0" fontId="21" fillId="30" borderId="2" xfId="0" applyFont="1" applyFill="1" applyBorder="1" applyAlignment="1">
      <alignment horizontal="left"/>
    </xf>
    <xf numFmtId="0" fontId="21" fillId="36" borderId="2" xfId="0" applyFont="1" applyFill="1" applyBorder="1" applyAlignment="1">
      <alignment horizontal="left"/>
    </xf>
    <xf numFmtId="0" fontId="21" fillId="20" borderId="2" xfId="0" applyFont="1" applyFill="1" applyBorder="1" applyAlignment="1"/>
    <xf numFmtId="0" fontId="21" fillId="36" borderId="2" xfId="0" applyFont="1" applyFill="1" applyBorder="1" applyAlignment="1"/>
    <xf numFmtId="0" fontId="30" fillId="36" borderId="0" xfId="0" applyFont="1" applyFill="1" applyAlignment="1"/>
    <xf numFmtId="0" fontId="21" fillId="44" borderId="2" xfId="0" applyFont="1" applyFill="1" applyBorder="1" applyAlignment="1">
      <alignment horizontal="left"/>
    </xf>
    <xf numFmtId="0" fontId="21" fillId="9" borderId="2" xfId="0" applyFont="1" applyFill="1" applyBorder="1" applyAlignment="1">
      <alignment horizontal="left"/>
    </xf>
    <xf numFmtId="0" fontId="17" fillId="0" borderId="0" xfId="0" applyFont="1" applyAlignment="1">
      <alignment horizontal="left"/>
    </xf>
    <xf numFmtId="0" fontId="17" fillId="0" borderId="22" xfId="0" applyFont="1" applyBorder="1" applyAlignment="1"/>
    <xf numFmtId="0" fontId="17" fillId="0" borderId="2" xfId="0" applyFont="1" applyBorder="1" applyAlignment="1"/>
    <xf numFmtId="0" fontId="17" fillId="42" borderId="16" xfId="0" applyFont="1" applyFill="1" applyBorder="1" applyAlignment="1"/>
    <xf numFmtId="0" fontId="10" fillId="18" borderId="0" xfId="0" applyFont="1" applyFill="1" applyAlignment="1"/>
    <xf numFmtId="0" fontId="20" fillId="18" borderId="0" xfId="0" applyFont="1" applyFill="1"/>
    <xf numFmtId="0" fontId="20" fillId="18" borderId="0" xfId="0" applyFont="1" applyFill="1" applyAlignment="1"/>
    <xf numFmtId="0" fontId="20" fillId="0" borderId="0" xfId="0" applyFont="1"/>
    <xf numFmtId="0" fontId="20" fillId="18" borderId="0" xfId="0" applyFont="1" applyFill="1"/>
    <xf numFmtId="0" fontId="10" fillId="0" borderId="0" xfId="0" applyFont="1"/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6" fontId="3" fillId="0" borderId="2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166" fontId="3" fillId="0" borderId="0" xfId="0" applyNumberFormat="1" applyFont="1" applyAlignment="1">
      <alignment vertical="center"/>
    </xf>
    <xf numFmtId="0" fontId="4" fillId="24" borderId="0" xfId="0" applyFont="1" applyFill="1" applyAlignment="1"/>
    <xf numFmtId="166" fontId="51" fillId="24" borderId="0" xfId="0" applyNumberFormat="1" applyFont="1" applyFill="1"/>
    <xf numFmtId="0" fontId="11" fillId="24" borderId="0" xfId="0" applyFont="1" applyFill="1" applyAlignment="1"/>
    <xf numFmtId="166" fontId="11" fillId="24" borderId="0" xfId="0" applyNumberFormat="1" applyFont="1" applyFill="1"/>
    <xf numFmtId="21" fontId="19" fillId="0" borderId="0" xfId="0" applyNumberFormat="1" applyFont="1" applyAlignment="1">
      <alignment horizontal="center"/>
    </xf>
    <xf numFmtId="21" fontId="19" fillId="8" borderId="0" xfId="0" applyNumberFormat="1" applyFont="1" applyFill="1" applyAlignment="1"/>
    <xf numFmtId="0" fontId="19" fillId="8" borderId="2" xfId="0" applyFont="1" applyFill="1" applyBorder="1" applyAlignment="1"/>
    <xf numFmtId="21" fontId="21" fillId="0" borderId="0" xfId="0" applyNumberFormat="1" applyFont="1" applyAlignment="1"/>
    <xf numFmtId="21" fontId="21" fillId="0" borderId="0" xfId="0" applyNumberFormat="1" applyFont="1" applyAlignment="1"/>
    <xf numFmtId="0" fontId="21" fillId="8" borderId="2" xfId="0" applyFont="1" applyFill="1" applyBorder="1" applyAlignment="1"/>
    <xf numFmtId="166" fontId="3" fillId="8" borderId="2" xfId="0" applyNumberFormat="1" applyFont="1" applyFill="1" applyBorder="1"/>
    <xf numFmtId="21" fontId="21" fillId="0" borderId="0" xfId="0" applyNumberFormat="1" applyFont="1" applyAlignment="1">
      <alignment horizontal="left"/>
    </xf>
    <xf numFmtId="21" fontId="3" fillId="0" borderId="0" xfId="0" applyNumberFormat="1" applyFont="1"/>
    <xf numFmtId="0" fontId="3" fillId="25" borderId="0" xfId="0" applyFont="1" applyFill="1" applyAlignment="1"/>
    <xf numFmtId="0" fontId="3" fillId="38" borderId="0" xfId="0" applyFont="1" applyFill="1" applyAlignment="1"/>
    <xf numFmtId="21" fontId="19" fillId="31" borderId="0" xfId="0" applyNumberFormat="1" applyFont="1" applyFill="1" applyAlignment="1"/>
    <xf numFmtId="21" fontId="28" fillId="14" borderId="0" xfId="0" applyNumberFormat="1" applyFont="1" applyFill="1" applyAlignment="1"/>
    <xf numFmtId="21" fontId="21" fillId="34" borderId="0" xfId="0" applyNumberFormat="1" applyFont="1" applyFill="1" applyAlignment="1"/>
    <xf numFmtId="21" fontId="19" fillId="35" borderId="0" xfId="0" applyNumberFormat="1" applyFont="1" applyFill="1" applyAlignment="1"/>
    <xf numFmtId="21" fontId="28" fillId="0" borderId="0" xfId="0" applyNumberFormat="1" applyFont="1" applyAlignment="1"/>
    <xf numFmtId="0" fontId="21" fillId="10" borderId="2" xfId="0" applyFont="1" applyFill="1" applyBorder="1" applyAlignment="1">
      <alignment horizontal="right"/>
    </xf>
    <xf numFmtId="21" fontId="52" fillId="0" borderId="0" xfId="0" applyNumberFormat="1" applyFont="1" applyAlignment="1"/>
    <xf numFmtId="0" fontId="52" fillId="0" borderId="0" xfId="0" applyFont="1" applyAlignment="1"/>
    <xf numFmtId="0" fontId="53" fillId="0" borderId="0" xfId="0" applyFont="1" applyAlignment="1"/>
    <xf numFmtId="21" fontId="52" fillId="45" borderId="0" xfId="0" applyNumberFormat="1" applyFont="1" applyFill="1" applyAlignment="1">
      <alignment horizontal="center"/>
    </xf>
    <xf numFmtId="0" fontId="53" fillId="0" borderId="0" xfId="0" applyFont="1" applyAlignment="1"/>
    <xf numFmtId="21" fontId="54" fillId="0" borderId="0" xfId="0" applyNumberFormat="1" applyFont="1" applyAlignment="1"/>
    <xf numFmtId="0" fontId="54" fillId="0" borderId="0" xfId="0" applyFont="1" applyAlignment="1"/>
    <xf numFmtId="21" fontId="53" fillId="0" borderId="0" xfId="0" applyNumberFormat="1" applyFont="1" applyAlignment="1"/>
    <xf numFmtId="21" fontId="53" fillId="0" borderId="0" xfId="0" applyNumberFormat="1" applyFont="1" applyAlignment="1"/>
    <xf numFmtId="21" fontId="21" fillId="3" borderId="0" xfId="0" applyNumberFormat="1" applyFont="1" applyFill="1" applyAlignment="1">
      <alignment horizontal="center"/>
    </xf>
    <xf numFmtId="21" fontId="3" fillId="0" borderId="0" xfId="0" applyNumberFormat="1" applyFont="1" applyAlignment="1"/>
    <xf numFmtId="21" fontId="21" fillId="46" borderId="0" xfId="0" applyNumberFormat="1" applyFont="1" applyFill="1" applyAlignment="1"/>
    <xf numFmtId="0" fontId="21" fillId="46" borderId="0" xfId="0" applyFont="1" applyFill="1" applyAlignment="1"/>
    <xf numFmtId="0" fontId="21" fillId="46" borderId="0" xfId="0" applyFont="1" applyFill="1" applyAlignment="1"/>
    <xf numFmtId="0" fontId="3" fillId="8" borderId="2" xfId="0" applyFont="1" applyFill="1" applyBorder="1"/>
    <xf numFmtId="0" fontId="19" fillId="32" borderId="2" xfId="0" applyFont="1" applyFill="1" applyBorder="1" applyAlignment="1"/>
    <xf numFmtId="0" fontId="19" fillId="0" borderId="2" xfId="0" applyFont="1" applyBorder="1" applyAlignment="1">
      <alignment horizontal="left"/>
    </xf>
    <xf numFmtId="0" fontId="16" fillId="0" borderId="0" xfId="0" applyFont="1" applyAlignment="1"/>
    <xf numFmtId="0" fontId="55" fillId="0" borderId="0" xfId="0" applyFont="1" applyAlignment="1"/>
    <xf numFmtId="167" fontId="56" fillId="0" borderId="0" xfId="0" applyNumberFormat="1" applyFont="1" applyAlignment="1"/>
    <xf numFmtId="167" fontId="55" fillId="0" borderId="0" xfId="0" applyNumberFormat="1" applyFont="1" applyAlignment="1"/>
    <xf numFmtId="166" fontId="57" fillId="0" borderId="0" xfId="0" applyNumberFormat="1" applyFont="1" applyAlignment="1"/>
    <xf numFmtId="0" fontId="55" fillId="0" borderId="0" xfId="0" applyFont="1" applyAlignment="1"/>
    <xf numFmtId="167" fontId="55" fillId="0" borderId="0" xfId="0" applyNumberFormat="1" applyFont="1" applyAlignment="1"/>
    <xf numFmtId="166" fontId="57" fillId="0" borderId="0" xfId="0" applyNumberFormat="1" applyFont="1" applyAlignment="1"/>
    <xf numFmtId="0" fontId="58" fillId="0" borderId="0" xfId="0" applyFont="1" applyAlignment="1"/>
    <xf numFmtId="0" fontId="21" fillId="8" borderId="0" xfId="0" applyFont="1" applyFill="1" applyAlignment="1"/>
    <xf numFmtId="0" fontId="21" fillId="8" borderId="0" xfId="0" applyFont="1" applyFill="1" applyAlignment="1">
      <alignment horizontal="center"/>
    </xf>
    <xf numFmtId="0" fontId="21" fillId="48" borderId="0" xfId="0" applyFont="1" applyFill="1" applyAlignment="1"/>
    <xf numFmtId="0" fontId="21" fillId="48" borderId="0" xfId="0" applyFont="1" applyFill="1" applyAlignment="1">
      <alignment horizontal="center"/>
    </xf>
    <xf numFmtId="20" fontId="21" fillId="0" borderId="0" xfId="0" applyNumberFormat="1" applyFont="1" applyAlignment="1">
      <alignment horizontal="center"/>
    </xf>
    <xf numFmtId="20" fontId="21" fillId="0" borderId="0" xfId="0" applyNumberFormat="1" applyFont="1" applyAlignment="1"/>
    <xf numFmtId="0" fontId="19" fillId="46" borderId="2" xfId="0" applyFont="1" applyFill="1" applyBorder="1" applyAlignment="1"/>
    <xf numFmtId="0" fontId="19" fillId="15" borderId="2" xfId="0" applyFont="1" applyFill="1" applyBorder="1" applyAlignment="1"/>
    <xf numFmtId="0" fontId="19" fillId="0" borderId="2" xfId="0" applyFont="1" applyBorder="1" applyAlignment="1"/>
    <xf numFmtId="0" fontId="59" fillId="0" borderId="2" xfId="0" applyFont="1" applyBorder="1" applyAlignment="1"/>
    <xf numFmtId="170" fontId="21" fillId="0" borderId="2" xfId="0" applyNumberFormat="1" applyFont="1" applyBorder="1" applyAlignment="1"/>
    <xf numFmtId="21" fontId="21" fillId="0" borderId="2" xfId="0" applyNumberFormat="1" applyFont="1" applyBorder="1" applyAlignment="1"/>
    <xf numFmtId="170" fontId="21" fillId="0" borderId="0" xfId="0" applyNumberFormat="1" applyFont="1" applyAlignment="1"/>
    <xf numFmtId="0" fontId="3" fillId="36" borderId="0" xfId="0" applyFont="1" applyFill="1" applyAlignment="1"/>
    <xf numFmtId="0" fontId="21" fillId="47" borderId="2" xfId="0" applyFont="1" applyFill="1" applyBorder="1" applyAlignment="1">
      <alignment horizontal="left"/>
    </xf>
    <xf numFmtId="0" fontId="21" fillId="49" borderId="2" xfId="0" applyFont="1" applyFill="1" applyBorder="1" applyAlignment="1">
      <alignment horizontal="left"/>
    </xf>
    <xf numFmtId="0" fontId="30" fillId="15" borderId="0" xfId="0" applyFont="1" applyFill="1" applyAlignment="1"/>
    <xf numFmtId="0" fontId="21" fillId="45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71" fontId="8" fillId="9" borderId="2" xfId="0" applyNumberFormat="1" applyFont="1" applyFill="1" applyBorder="1" applyAlignment="1">
      <alignment horizontal="center"/>
    </xf>
    <xf numFmtId="0" fontId="62" fillId="9" borderId="0" xfId="0" applyFont="1" applyFill="1" applyAlignment="1">
      <alignment horizontal="center"/>
    </xf>
    <xf numFmtId="0" fontId="62" fillId="8" borderId="0" xfId="0" applyFont="1" applyFill="1"/>
    <xf numFmtId="0" fontId="8" fillId="0" borderId="0" xfId="0" applyFont="1" applyAlignment="1"/>
    <xf numFmtId="0" fontId="62" fillId="0" borderId="0" xfId="0" applyFont="1"/>
    <xf numFmtId="0" fontId="3" fillId="8" borderId="0" xfId="0" applyFont="1" applyFill="1" applyAlignment="1"/>
    <xf numFmtId="0" fontId="3" fillId="9" borderId="0" xfId="0" applyFont="1" applyFill="1"/>
    <xf numFmtId="14" fontId="17" fillId="42" borderId="2" xfId="0" applyNumberFormat="1" applyFont="1" applyFill="1" applyBorder="1" applyAlignment="1">
      <alignment horizontal="center"/>
    </xf>
    <xf numFmtId="0" fontId="17" fillId="42" borderId="2" xfId="0" applyFont="1" applyFill="1" applyBorder="1" applyAlignment="1">
      <alignment horizontal="center"/>
    </xf>
    <xf numFmtId="0" fontId="3" fillId="9" borderId="2" xfId="0" applyFont="1" applyFill="1" applyBorder="1" applyAlignment="1"/>
    <xf numFmtId="14" fontId="17" fillId="10" borderId="2" xfId="0" applyNumberFormat="1" applyFont="1" applyFill="1" applyBorder="1" applyAlignment="1"/>
    <xf numFmtId="0" fontId="17" fillId="9" borderId="2" xfId="0" applyFont="1" applyFill="1" applyBorder="1" applyAlignment="1"/>
    <xf numFmtId="0" fontId="17" fillId="0" borderId="2" xfId="0" applyFont="1" applyBorder="1" applyAlignment="1"/>
    <xf numFmtId="14" fontId="63" fillId="0" borderId="2" xfId="0" applyNumberFormat="1" applyFont="1" applyBorder="1" applyAlignment="1">
      <alignment horizontal="right"/>
    </xf>
    <xf numFmtId="0" fontId="63" fillId="0" borderId="2" xfId="0" applyFont="1" applyBorder="1" applyAlignment="1"/>
    <xf numFmtId="14" fontId="17" fillId="0" borderId="2" xfId="0" applyNumberFormat="1" applyFont="1" applyBorder="1" applyAlignment="1">
      <alignment horizontal="right"/>
    </xf>
    <xf numFmtId="0" fontId="17" fillId="8" borderId="2" xfId="0" applyFont="1" applyFill="1" applyBorder="1" applyAlignment="1"/>
    <xf numFmtId="14" fontId="17" fillId="10" borderId="2" xfId="0" applyNumberFormat="1" applyFont="1" applyFill="1" applyBorder="1" applyAlignment="1">
      <alignment horizontal="right"/>
    </xf>
    <xf numFmtId="0" fontId="64" fillId="0" borderId="2" xfId="0" applyFont="1" applyBorder="1" applyAlignment="1"/>
    <xf numFmtId="14" fontId="3" fillId="10" borderId="2" xfId="0" applyNumberFormat="1" applyFont="1" applyFill="1" applyBorder="1" applyAlignment="1"/>
    <xf numFmtId="14" fontId="65" fillId="10" borderId="2" xfId="0" applyNumberFormat="1" applyFont="1" applyFill="1" applyBorder="1" applyAlignment="1"/>
    <xf numFmtId="14" fontId="65" fillId="10" borderId="2" xfId="0" applyNumberFormat="1" applyFont="1" applyFill="1" applyBorder="1" applyAlignment="1"/>
    <xf numFmtId="14" fontId="3" fillId="10" borderId="2" xfId="0" applyNumberFormat="1" applyFont="1" applyFill="1" applyBorder="1"/>
    <xf numFmtId="0" fontId="14" fillId="0" borderId="9" xfId="0" applyFont="1" applyBorder="1" applyAlignment="1">
      <alignment horizontal="center"/>
    </xf>
    <xf numFmtId="0" fontId="13" fillId="0" borderId="10" xfId="0" applyFont="1" applyBorder="1"/>
    <xf numFmtId="0" fontId="11" fillId="5" borderId="0" xfId="0" applyFont="1" applyFill="1" applyAlignment="1">
      <alignment horizontal="center"/>
    </xf>
    <xf numFmtId="0" fontId="0" fillId="0" borderId="0" xfId="0" applyFont="1" applyAlignment="1"/>
    <xf numFmtId="0" fontId="11" fillId="9" borderId="6" xfId="0" applyFont="1" applyFill="1" applyBorder="1" applyAlignment="1">
      <alignment horizontal="center"/>
    </xf>
    <xf numFmtId="0" fontId="13" fillId="0" borderId="7" xfId="0" applyFont="1" applyBorder="1"/>
    <xf numFmtId="0" fontId="3" fillId="0" borderId="9" xfId="0" applyFont="1" applyBorder="1" applyAlignment="1"/>
    <xf numFmtId="0" fontId="13" fillId="0" borderId="11" xfId="0" applyFont="1" applyBorder="1"/>
    <xf numFmtId="0" fontId="19" fillId="9" borderId="9" xfId="0" applyFont="1" applyFill="1" applyBorder="1" applyAlignment="1">
      <alignment horizontal="center"/>
    </xf>
    <xf numFmtId="0" fontId="11" fillId="9" borderId="9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16" fillId="8" borderId="0" xfId="0" applyFont="1" applyFill="1" applyAlignment="1">
      <alignment horizontal="center"/>
    </xf>
    <xf numFmtId="0" fontId="11" fillId="8" borderId="9" xfId="0" applyFont="1" applyFill="1" applyBorder="1" applyAlignment="1">
      <alignment horizontal="center"/>
    </xf>
    <xf numFmtId="0" fontId="19" fillId="37" borderId="0" xfId="0" applyFont="1" applyFill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0" fontId="13" fillId="0" borderId="4" xfId="0" applyFont="1" applyBorder="1"/>
    <xf numFmtId="0" fontId="13" fillId="0" borderId="5" xfId="0" applyFont="1" applyBorder="1"/>
    <xf numFmtId="0" fontId="13" fillId="0" borderId="15" xfId="0" applyFont="1" applyBorder="1"/>
    <xf numFmtId="0" fontId="13" fillId="0" borderId="14" xfId="0" applyFont="1" applyBorder="1"/>
    <xf numFmtId="0" fontId="13" fillId="0" borderId="16" xfId="0" applyFont="1" applyBorder="1"/>
    <xf numFmtId="0" fontId="3" fillId="10" borderId="9" xfId="0" applyFont="1" applyFill="1" applyBorder="1" applyAlignment="1">
      <alignment horizontal="center"/>
    </xf>
    <xf numFmtId="0" fontId="3" fillId="15" borderId="9" xfId="0" applyFont="1" applyFill="1" applyBorder="1" applyAlignment="1">
      <alignment horizontal="center"/>
    </xf>
    <xf numFmtId="0" fontId="3" fillId="30" borderId="9" xfId="0" applyFont="1" applyFill="1" applyBorder="1" applyAlignment="1">
      <alignment horizontal="center"/>
    </xf>
    <xf numFmtId="0" fontId="3" fillId="36" borderId="9" xfId="0" applyFont="1" applyFill="1" applyBorder="1" applyAlignment="1">
      <alignment horizontal="center"/>
    </xf>
    <xf numFmtId="0" fontId="3" fillId="16" borderId="9" xfId="0" applyFont="1" applyFill="1" applyBorder="1" applyAlignment="1">
      <alignment horizontal="center"/>
    </xf>
    <xf numFmtId="0" fontId="3" fillId="14" borderId="9" xfId="0" applyFont="1" applyFill="1" applyBorder="1" applyAlignment="1">
      <alignment horizontal="center"/>
    </xf>
    <xf numFmtId="0" fontId="31" fillId="41" borderId="9" xfId="0" applyFont="1" applyFill="1" applyBorder="1" applyAlignment="1">
      <alignment horizontal="center"/>
    </xf>
    <xf numFmtId="14" fontId="17" fillId="0" borderId="17" xfId="0" applyNumberFormat="1" applyFont="1" applyBorder="1" applyAlignment="1">
      <alignment horizontal="right"/>
    </xf>
    <xf numFmtId="0" fontId="13" fillId="0" borderId="8" xfId="0" applyFont="1" applyBorder="1"/>
    <xf numFmtId="0" fontId="19" fillId="31" borderId="0" xfId="0" applyFont="1" applyFill="1" applyAlignment="1">
      <alignment horizontal="center"/>
    </xf>
    <xf numFmtId="0" fontId="19" fillId="32" borderId="0" xfId="0" applyFont="1" applyFill="1" applyAlignment="1">
      <alignment horizontal="center"/>
    </xf>
    <xf numFmtId="0" fontId="3" fillId="30" borderId="9" xfId="0" applyFont="1" applyFill="1" applyBorder="1" applyAlignment="1"/>
    <xf numFmtId="0" fontId="3" fillId="36" borderId="9" xfId="0" applyFont="1" applyFill="1" applyBorder="1" applyAlignment="1"/>
    <xf numFmtId="0" fontId="21" fillId="36" borderId="9" xfId="0" applyFont="1" applyFill="1" applyBorder="1" applyAlignment="1">
      <alignment horizontal="center"/>
    </xf>
    <xf numFmtId="0" fontId="21" fillId="8" borderId="9" xfId="0" applyFont="1" applyFill="1" applyBorder="1" applyAlignment="1">
      <alignment horizontal="center"/>
    </xf>
    <xf numFmtId="0" fontId="21" fillId="25" borderId="9" xfId="0" applyFont="1" applyFill="1" applyBorder="1" applyAlignment="1">
      <alignment horizontal="center"/>
    </xf>
    <xf numFmtId="0" fontId="21" fillId="30" borderId="9" xfId="0" applyFont="1" applyFill="1" applyBorder="1" applyAlignment="1">
      <alignment horizontal="center"/>
    </xf>
    <xf numFmtId="0" fontId="19" fillId="32" borderId="9" xfId="0" applyFont="1" applyFill="1" applyBorder="1" applyAlignment="1">
      <alignment horizontal="center"/>
    </xf>
    <xf numFmtId="0" fontId="19" fillId="31" borderId="9" xfId="0" applyFont="1" applyFill="1" applyBorder="1" applyAlignment="1">
      <alignment horizontal="center"/>
    </xf>
    <xf numFmtId="0" fontId="21" fillId="0" borderId="9" xfId="0" applyFont="1" applyBorder="1" applyAlignment="1"/>
    <xf numFmtId="0" fontId="40" fillId="0" borderId="11" xfId="0" applyFont="1" applyBorder="1" applyAlignment="1">
      <alignment horizontal="center"/>
    </xf>
    <xf numFmtId="0" fontId="13" fillId="0" borderId="19" xfId="0" applyFont="1" applyBorder="1"/>
    <xf numFmtId="16" fontId="20" fillId="0" borderId="11" xfId="0" applyNumberFormat="1" applyFont="1" applyBorder="1" applyAlignment="1">
      <alignment horizontal="center"/>
    </xf>
    <xf numFmtId="0" fontId="41" fillId="0" borderId="11" xfId="0" applyFont="1" applyBorder="1" applyAlignment="1">
      <alignment horizontal="center"/>
    </xf>
    <xf numFmtId="0" fontId="20" fillId="40" borderId="9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right" vertical="center"/>
    </xf>
    <xf numFmtId="0" fontId="19" fillId="8" borderId="3" xfId="0" applyFont="1" applyFill="1" applyBorder="1" applyAlignment="1">
      <alignment horizontal="center" vertical="center"/>
    </xf>
    <xf numFmtId="16" fontId="20" fillId="0" borderId="18" xfId="0" applyNumberFormat="1" applyFont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16" fontId="20" fillId="0" borderId="9" xfId="0" applyNumberFormat="1" applyFont="1" applyBorder="1" applyAlignment="1">
      <alignment horizontal="center"/>
    </xf>
    <xf numFmtId="0" fontId="38" fillId="0" borderId="9" xfId="0" applyFont="1" applyBorder="1" applyAlignment="1">
      <alignment horizontal="center"/>
    </xf>
    <xf numFmtId="0" fontId="3" fillId="38" borderId="3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20" fillId="43" borderId="3" xfId="0" applyFont="1" applyFill="1" applyBorder="1" applyAlignment="1">
      <alignment horizontal="center" vertical="center"/>
    </xf>
    <xf numFmtId="0" fontId="13" fillId="0" borderId="6" xfId="0" applyFont="1" applyBorder="1"/>
    <xf numFmtId="0" fontId="20" fillId="36" borderId="3" xfId="0" applyFont="1" applyFill="1" applyBorder="1" applyAlignment="1">
      <alignment horizontal="center" vertical="center"/>
    </xf>
    <xf numFmtId="0" fontId="20" fillId="16" borderId="3" xfId="0" applyFont="1" applyFill="1" applyBorder="1" applyAlignment="1">
      <alignment horizontal="center" vertical="center"/>
    </xf>
    <xf numFmtId="0" fontId="20" fillId="30" borderId="3" xfId="0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0" fontId="20" fillId="37" borderId="3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/>
    </xf>
    <xf numFmtId="0" fontId="20" fillId="43" borderId="9" xfId="0" applyFont="1" applyFill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20" fillId="36" borderId="9" xfId="0" applyFont="1" applyFill="1" applyBorder="1" applyAlignment="1">
      <alignment horizontal="center"/>
    </xf>
    <xf numFmtId="0" fontId="20" fillId="16" borderId="9" xfId="0" applyFont="1" applyFill="1" applyBorder="1" applyAlignment="1">
      <alignment horizontal="center"/>
    </xf>
    <xf numFmtId="0" fontId="20" fillId="30" borderId="9" xfId="0" applyFont="1" applyFill="1" applyBorder="1" applyAlignment="1">
      <alignment horizontal="center"/>
    </xf>
    <xf numFmtId="0" fontId="20" fillId="13" borderId="9" xfId="0" applyFont="1" applyFill="1" applyBorder="1" applyAlignment="1">
      <alignment horizontal="center"/>
    </xf>
    <xf numFmtId="0" fontId="20" fillId="37" borderId="9" xfId="0" applyFont="1" applyFill="1" applyBorder="1" applyAlignment="1">
      <alignment horizontal="center"/>
    </xf>
    <xf numFmtId="0" fontId="44" fillId="8" borderId="9" xfId="0" applyFont="1" applyFill="1" applyBorder="1" applyAlignment="1">
      <alignment horizontal="center" vertical="top"/>
    </xf>
    <xf numFmtId="0" fontId="45" fillId="9" borderId="0" xfId="0" applyFont="1" applyFill="1" applyAlignment="1">
      <alignment horizontal="center"/>
    </xf>
    <xf numFmtId="0" fontId="46" fillId="9" borderId="3" xfId="0" applyFont="1" applyFill="1" applyBorder="1" applyAlignment="1">
      <alignment horizontal="center" vertical="center"/>
    </xf>
    <xf numFmtId="0" fontId="11" fillId="13" borderId="9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7" fillId="8" borderId="0" xfId="0" applyFont="1" applyFill="1" applyAlignment="1">
      <alignment horizontal="center"/>
    </xf>
    <xf numFmtId="0" fontId="3" fillId="44" borderId="9" xfId="0" applyFont="1" applyFill="1" applyBorder="1" applyAlignment="1">
      <alignment horizontal="center"/>
    </xf>
    <xf numFmtId="0" fontId="11" fillId="8" borderId="9" xfId="0" applyFont="1" applyFill="1" applyBorder="1" applyAlignment="1"/>
    <xf numFmtId="21" fontId="21" fillId="47" borderId="0" xfId="0" applyNumberFormat="1" applyFont="1" applyFill="1" applyAlignment="1">
      <alignment horizontal="center"/>
    </xf>
    <xf numFmtId="0" fontId="52" fillId="45" borderId="0" xfId="0" applyFont="1" applyFill="1" applyAlignment="1">
      <alignment horizontal="center"/>
    </xf>
    <xf numFmtId="0" fontId="3" fillId="0" borderId="0" xfId="0" applyFont="1" applyAlignment="1"/>
    <xf numFmtId="0" fontId="21" fillId="30" borderId="0" xfId="0" applyFont="1" applyFill="1" applyAlignment="1">
      <alignment horizontal="center"/>
    </xf>
    <xf numFmtId="0" fontId="21" fillId="3" borderId="0" xfId="0" applyFont="1" applyFill="1" applyAlignment="1">
      <alignment horizontal="center"/>
    </xf>
    <xf numFmtId="0" fontId="21" fillId="32" borderId="9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49" borderId="0" xfId="0" applyFont="1" applyFill="1" applyAlignment="1">
      <alignment horizontal="center"/>
    </xf>
    <xf numFmtId="0" fontId="3" fillId="47" borderId="0" xfId="0" applyFont="1" applyFill="1" applyAlignment="1">
      <alignment horizontal="center"/>
    </xf>
    <xf numFmtId="0" fontId="21" fillId="45" borderId="0" xfId="0" applyFont="1" applyFill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61" fillId="9" borderId="0" xfId="0" applyFont="1" applyFill="1" applyAlignment="1">
      <alignment horizontal="center"/>
    </xf>
    <xf numFmtId="0" fontId="60" fillId="9" borderId="0" xfId="0" applyFont="1" applyFill="1" applyAlignment="1">
      <alignment horizontal="center" vertical="center"/>
    </xf>
    <xf numFmtId="14" fontId="17" fillId="22" borderId="9" xfId="0" applyNumberFormat="1" applyFont="1" applyFill="1" applyBorder="1" applyAlignment="1">
      <alignment horizontal="center"/>
    </xf>
    <xf numFmtId="0" fontId="1" fillId="50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34"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HS25-style" pivot="0" count="4" xr9:uid="{00000000-0011-0000-FFFF-FFFF00000000}">
      <tableStyleElement type="wholeTable" size="0" dxfId="33"/>
      <tableStyleElement type="headerRow" dxfId="32"/>
      <tableStyleElement type="firstRowStripe" dxfId="31"/>
      <tableStyleElement type="secondRowStripe" dxfId="30"/>
    </tableStyle>
    <tableStyle name="HS25-style 2" pivot="0" count="5" xr9:uid="{00000000-0011-0000-FFFF-FFFF01000000}">
      <tableStyleElement type="wholeTable" size="0" dxfId="29"/>
      <tableStyleElement type="headerRow" dxfId="28"/>
      <tableStyleElement type="totalRow" dxfId="27"/>
      <tableStyleElement type="firstRowStripe" dxfId="26"/>
      <tableStyleElement type="secondRow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441961</xdr:colOff>
      <xdr:row>20</xdr:row>
      <xdr:rowOff>0</xdr:rowOff>
    </xdr:from>
    <xdr:ext cx="513079" cy="2032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475481" y="3860800"/>
          <a:ext cx="513079" cy="203200"/>
        </a:xfrm>
        <a:prstGeom prst="rect">
          <a:avLst/>
        </a:prstGeom>
        <a:solidFill>
          <a:srgbClr val="FF7E79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32A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0</xdr:row>
      <xdr:rowOff>28575</xdr:rowOff>
    </xdr:from>
    <xdr:ext cx="1685925" cy="1495425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561975</xdr:colOff>
      <xdr:row>0</xdr:row>
      <xdr:rowOff>28575</xdr:rowOff>
    </xdr:from>
    <xdr:ext cx="2028825" cy="18002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ff" displayName="Staff" ref="A39:F115">
  <tableColumns count="6">
    <tableColumn id="1" xr3:uid="{00000000-0010-0000-0000-000001000000}" name="Staff Names "/>
    <tableColumn id="2" xr3:uid="{00000000-0010-0000-0000-000002000000}" name="Wednesday "/>
    <tableColumn id="3" xr3:uid="{00000000-0010-0000-0000-000003000000}" name="Thursday "/>
    <tableColumn id="4" xr3:uid="{00000000-0010-0000-0000-000004000000}" name="Friday"/>
    <tableColumn id="5" xr3:uid="{00000000-0010-0000-0000-000005000000}" name="Saturday "/>
    <tableColumn id="6" xr3:uid="{00000000-0010-0000-0000-000006000000}" name="Sunday "/>
  </tableColumns>
  <tableStyleInfo name="HS25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kens" displayName="Takens" ref="A118:K133" totalsRowCount="1">
  <tableColumns count="11">
    <tableColumn id="1" xr3:uid="{00000000-0010-0000-0100-000001000000}" name="Trailers "/>
    <tableColumn id="2" xr3:uid="{00000000-0010-0000-0100-000002000000}" name="Wednesday Cash " totalsRowFunction="custom"/>
    <tableColumn id="3" xr3:uid="{00000000-0010-0000-0100-000003000000}" name="Wednesday Card " totalsRowFunction="custom"/>
    <tableColumn id="4" xr3:uid="{00000000-0010-0000-0100-000004000000}" name="Thursday Cash " totalsRowFunction="custom"/>
    <tableColumn id="5" xr3:uid="{00000000-0010-0000-0100-000005000000}" name="Thursday Card " totalsRowFunction="custom"/>
    <tableColumn id="6" xr3:uid="{00000000-0010-0000-0100-000006000000}" name="Friday Cash " totalsRowFunction="custom"/>
    <tableColumn id="7" xr3:uid="{00000000-0010-0000-0100-000007000000}" name="Friday Card " totalsRowFunction="custom"/>
    <tableColumn id="8" xr3:uid="{00000000-0010-0000-0100-000008000000}" name="Saturday Cash " totalsRowFunction="custom"/>
    <tableColumn id="9" xr3:uid="{00000000-0010-0000-0100-000009000000}" name="Saturday Card" totalsRowFunction="custom"/>
    <tableColumn id="10" xr3:uid="{00000000-0010-0000-0100-00000A000000}" name="Sunday Cash" totalsRowFunction="custom"/>
    <tableColumn id="11" xr3:uid="{00000000-0010-0000-0100-00000B000000}" name="Sunday Card" totalsRowFunction="custom"/>
  </tableColumns>
  <tableStyleInfo name="HS25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tullamoreshow.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941"/>
  <sheetViews>
    <sheetView tabSelected="1" workbookViewId="0">
      <selection activeCell="J13" sqref="J13"/>
    </sheetView>
  </sheetViews>
  <sheetFormatPr defaultColWidth="11.21875" defaultRowHeight="15" customHeight="1" x14ac:dyDescent="0.2"/>
  <cols>
    <col min="1" max="1" width="6.65625" customWidth="1"/>
    <col min="2" max="2" width="22.1953125" customWidth="1"/>
    <col min="3" max="3" width="12.453125" customWidth="1"/>
    <col min="4" max="4" width="10.8515625" customWidth="1"/>
    <col min="5" max="5" width="12.328125" customWidth="1"/>
    <col min="6" max="6" width="18" customWidth="1"/>
    <col min="7" max="7" width="12.69921875" customWidth="1"/>
    <col min="8" max="10" width="10.8515625" customWidth="1"/>
    <col min="11" max="11" width="18.6171875" customWidth="1"/>
    <col min="12" max="26" width="10.8515625" customWidth="1"/>
  </cols>
  <sheetData>
    <row r="5" spans="2:9" x14ac:dyDescent="0.2">
      <c r="E5" s="1" t="s">
        <v>0</v>
      </c>
    </row>
    <row r="6" spans="2:9" x14ac:dyDescent="0.2">
      <c r="E6" s="2" t="s">
        <v>1</v>
      </c>
    </row>
    <row r="11" spans="2:9" x14ac:dyDescent="0.2">
      <c r="B11" s="3" t="s">
        <v>2</v>
      </c>
      <c r="C11" s="3" t="s">
        <v>3</v>
      </c>
      <c r="D11" s="3" t="s">
        <v>4</v>
      </c>
      <c r="E11" s="3" t="s">
        <v>5</v>
      </c>
      <c r="F11" s="3" t="s">
        <v>2</v>
      </c>
      <c r="G11" s="3" t="s">
        <v>3</v>
      </c>
      <c r="H11" s="3" t="s">
        <v>4</v>
      </c>
      <c r="I11" s="3" t="s">
        <v>5</v>
      </c>
    </row>
    <row r="12" spans="2:9" x14ac:dyDescent="0.2">
      <c r="B12" s="4"/>
      <c r="C12" s="4"/>
      <c r="D12" s="5" t="s">
        <v>6</v>
      </c>
      <c r="E12" s="5"/>
      <c r="F12" s="4" t="s">
        <v>7</v>
      </c>
      <c r="G12" s="4"/>
      <c r="H12" s="5" t="s">
        <v>6</v>
      </c>
      <c r="I12" s="5"/>
    </row>
    <row r="13" spans="2:9" x14ac:dyDescent="0.2">
      <c r="B13" s="6" t="s">
        <v>8</v>
      </c>
      <c r="C13" s="6"/>
      <c r="D13" s="5"/>
      <c r="E13" s="5"/>
      <c r="F13" s="6" t="s">
        <v>9</v>
      </c>
      <c r="G13" s="6"/>
      <c r="H13" s="5"/>
      <c r="I13" s="5"/>
    </row>
    <row r="14" spans="2:9" x14ac:dyDescent="0.2">
      <c r="B14" s="4" t="s">
        <v>10</v>
      </c>
      <c r="C14" s="4">
        <v>76575</v>
      </c>
      <c r="D14" s="5" t="s">
        <v>11</v>
      </c>
      <c r="E14" s="7" t="s">
        <v>12</v>
      </c>
      <c r="F14" s="8" t="s">
        <v>13</v>
      </c>
      <c r="G14" s="4"/>
      <c r="H14" s="5" t="s">
        <v>14</v>
      </c>
      <c r="I14" s="9" t="s">
        <v>15</v>
      </c>
    </row>
    <row r="15" spans="2:9" x14ac:dyDescent="0.2">
      <c r="B15" s="10" t="s">
        <v>16</v>
      </c>
      <c r="C15" s="10">
        <v>76967</v>
      </c>
      <c r="D15" s="5" t="s">
        <v>17</v>
      </c>
      <c r="E15" s="7" t="s">
        <v>18</v>
      </c>
      <c r="F15" s="10" t="s">
        <v>19</v>
      </c>
      <c r="G15" s="10">
        <v>76964</v>
      </c>
      <c r="H15" s="5" t="s">
        <v>14</v>
      </c>
      <c r="I15" s="9" t="s">
        <v>20</v>
      </c>
    </row>
    <row r="16" spans="2:9" x14ac:dyDescent="0.2">
      <c r="B16" s="8" t="s">
        <v>21</v>
      </c>
      <c r="C16" s="4">
        <v>76972</v>
      </c>
      <c r="D16" s="5" t="s">
        <v>14</v>
      </c>
      <c r="E16" s="7" t="s">
        <v>22</v>
      </c>
      <c r="F16" s="10" t="s">
        <v>23</v>
      </c>
      <c r="G16" s="10">
        <v>76971</v>
      </c>
      <c r="H16" s="5" t="s">
        <v>17</v>
      </c>
      <c r="I16" s="9" t="s">
        <v>20</v>
      </c>
    </row>
    <row r="17" spans="2:9" x14ac:dyDescent="0.2">
      <c r="B17" s="11" t="s">
        <v>24</v>
      </c>
      <c r="C17" s="10"/>
      <c r="D17" s="5" t="s">
        <v>14</v>
      </c>
      <c r="E17" s="7" t="s">
        <v>22</v>
      </c>
      <c r="F17" s="10" t="s">
        <v>25</v>
      </c>
      <c r="G17" s="10"/>
      <c r="H17" s="5" t="s">
        <v>14</v>
      </c>
      <c r="I17" s="9" t="s">
        <v>26</v>
      </c>
    </row>
    <row r="18" spans="2:9" x14ac:dyDescent="0.2">
      <c r="B18" s="4" t="s">
        <v>27</v>
      </c>
      <c r="C18" s="4">
        <v>88122</v>
      </c>
      <c r="D18" s="5" t="s">
        <v>28</v>
      </c>
      <c r="E18" s="7" t="s">
        <v>22</v>
      </c>
      <c r="F18" s="10" t="s">
        <v>29</v>
      </c>
      <c r="G18" s="10">
        <v>76970</v>
      </c>
      <c r="H18" s="5" t="s">
        <v>17</v>
      </c>
      <c r="I18" s="9" t="s">
        <v>26</v>
      </c>
    </row>
    <row r="19" spans="2:9" x14ac:dyDescent="0.2">
      <c r="B19" s="6" t="s">
        <v>30</v>
      </c>
      <c r="C19" s="6"/>
      <c r="D19" s="5"/>
      <c r="E19" s="5"/>
      <c r="F19" s="10" t="s">
        <v>31</v>
      </c>
      <c r="G19" s="10">
        <v>81824</v>
      </c>
      <c r="H19" s="5" t="s">
        <v>17</v>
      </c>
      <c r="I19" s="9" t="s">
        <v>32</v>
      </c>
    </row>
    <row r="20" spans="2:9" x14ac:dyDescent="0.2">
      <c r="B20" s="8" t="s">
        <v>33</v>
      </c>
      <c r="C20" s="4"/>
      <c r="D20" s="12" t="s">
        <v>14</v>
      </c>
      <c r="E20" s="13" t="s">
        <v>18</v>
      </c>
      <c r="F20" s="10" t="s">
        <v>34</v>
      </c>
      <c r="G20" s="10"/>
      <c r="H20" s="5" t="s">
        <v>14</v>
      </c>
      <c r="I20" s="7" t="s">
        <v>26</v>
      </c>
    </row>
    <row r="21" spans="2:9" ht="15.75" customHeight="1" x14ac:dyDescent="0.2">
      <c r="B21" s="10" t="s">
        <v>35</v>
      </c>
      <c r="C21" s="10">
        <v>76968</v>
      </c>
      <c r="D21" s="5" t="s">
        <v>17</v>
      </c>
      <c r="E21" s="14" t="s">
        <v>26</v>
      </c>
      <c r="F21" s="10" t="s">
        <v>36</v>
      </c>
      <c r="G21" s="10">
        <v>98859</v>
      </c>
      <c r="H21" s="5" t="s">
        <v>17</v>
      </c>
      <c r="I21" s="9" t="s">
        <v>37</v>
      </c>
    </row>
    <row r="22" spans="2:9" ht="15.75" customHeight="1" x14ac:dyDescent="0.2">
      <c r="B22" s="4" t="s">
        <v>38</v>
      </c>
      <c r="C22" s="4">
        <v>88124</v>
      </c>
      <c r="D22" s="5" t="s">
        <v>39</v>
      </c>
      <c r="E22" s="7" t="s">
        <v>18</v>
      </c>
      <c r="F22" s="6" t="s">
        <v>40</v>
      </c>
      <c r="G22" s="6"/>
      <c r="H22" s="5"/>
      <c r="I22" s="5"/>
    </row>
    <row r="23" spans="2:9" ht="15.75" customHeight="1" x14ac:dyDescent="0.2">
      <c r="B23" s="8" t="s">
        <v>41</v>
      </c>
      <c r="C23" s="8">
        <v>30923</v>
      </c>
      <c r="D23" s="12" t="s">
        <v>11</v>
      </c>
      <c r="E23" s="15" t="s">
        <v>18</v>
      </c>
      <c r="F23" s="11" t="s">
        <v>42</v>
      </c>
      <c r="G23" s="11">
        <v>118984</v>
      </c>
      <c r="H23" s="12" t="s">
        <v>14</v>
      </c>
      <c r="I23" s="9" t="s">
        <v>43</v>
      </c>
    </row>
    <row r="24" spans="2:9" ht="15.75" customHeight="1" x14ac:dyDescent="0.2">
      <c r="B24" s="11" t="s">
        <v>44</v>
      </c>
      <c r="C24" s="11">
        <v>16535</v>
      </c>
      <c r="D24" s="5" t="s">
        <v>14</v>
      </c>
      <c r="E24" s="7" t="s">
        <v>45</v>
      </c>
      <c r="F24" s="11" t="s">
        <v>46</v>
      </c>
      <c r="G24" s="11">
        <v>118985</v>
      </c>
      <c r="H24" s="12" t="s">
        <v>14</v>
      </c>
      <c r="I24" s="9" t="s">
        <v>43</v>
      </c>
    </row>
    <row r="25" spans="2:9" ht="15.75" customHeight="1" x14ac:dyDescent="0.2">
      <c r="B25" s="10" t="s">
        <v>47</v>
      </c>
      <c r="C25" s="10">
        <v>76963</v>
      </c>
      <c r="D25" s="5" t="s">
        <v>17</v>
      </c>
      <c r="E25" s="7" t="s">
        <v>18</v>
      </c>
      <c r="F25" s="10" t="s">
        <v>49</v>
      </c>
      <c r="G25" s="10">
        <v>81822</v>
      </c>
      <c r="H25" s="5" t="s">
        <v>14</v>
      </c>
      <c r="I25" s="9" t="s">
        <v>43</v>
      </c>
    </row>
    <row r="26" spans="2:9" ht="15.75" customHeight="1" x14ac:dyDescent="0.2">
      <c r="B26" s="11" t="s">
        <v>50</v>
      </c>
      <c r="C26" s="10">
        <v>76966</v>
      </c>
      <c r="D26" s="5" t="s">
        <v>14</v>
      </c>
      <c r="E26" s="7" t="s">
        <v>45</v>
      </c>
      <c r="F26" s="4" t="s">
        <v>51</v>
      </c>
      <c r="G26" s="4">
        <v>75724</v>
      </c>
      <c r="H26" s="5" t="s">
        <v>14</v>
      </c>
      <c r="I26" s="9" t="s">
        <v>43</v>
      </c>
    </row>
    <row r="27" spans="2:9" ht="15.75" customHeight="1" x14ac:dyDescent="0.2">
      <c r="B27" s="10" t="s">
        <v>52</v>
      </c>
      <c r="C27" s="16">
        <v>113714</v>
      </c>
      <c r="D27" s="5" t="s">
        <v>11</v>
      </c>
      <c r="E27" s="7" t="s">
        <v>18</v>
      </c>
      <c r="F27" s="4" t="s">
        <v>53</v>
      </c>
      <c r="G27" s="4">
        <v>76925</v>
      </c>
      <c r="H27" s="5" t="s">
        <v>14</v>
      </c>
      <c r="I27" s="9" t="s">
        <v>43</v>
      </c>
    </row>
    <row r="28" spans="2:9" ht="15.75" customHeight="1" x14ac:dyDescent="0.2">
      <c r="B28" s="4" t="s">
        <v>54</v>
      </c>
      <c r="C28" s="4">
        <v>81939</v>
      </c>
      <c r="D28" s="5" t="s">
        <v>14</v>
      </c>
      <c r="E28" s="7" t="s">
        <v>18</v>
      </c>
      <c r="F28" s="8" t="s">
        <v>55</v>
      </c>
      <c r="G28" s="4">
        <v>76926</v>
      </c>
      <c r="H28" s="5" t="s">
        <v>17</v>
      </c>
      <c r="I28" s="9" t="s">
        <v>43</v>
      </c>
    </row>
    <row r="29" spans="2:9" ht="15.75" customHeight="1" x14ac:dyDescent="0.2">
      <c r="B29" s="11" t="s">
        <v>56</v>
      </c>
      <c r="C29" s="10">
        <v>100979</v>
      </c>
      <c r="D29" s="5" t="s">
        <v>11</v>
      </c>
      <c r="E29" s="620" t="s">
        <v>26</v>
      </c>
      <c r="F29" s="4" t="s">
        <v>57</v>
      </c>
      <c r="G29" s="4">
        <v>76924</v>
      </c>
      <c r="H29" s="5" t="s">
        <v>14</v>
      </c>
      <c r="I29" s="9" t="s">
        <v>43</v>
      </c>
    </row>
    <row r="30" spans="2:9" ht="15.75" customHeight="1" x14ac:dyDescent="0.2">
      <c r="B30" s="10" t="s">
        <v>58</v>
      </c>
      <c r="C30" s="10">
        <v>100979</v>
      </c>
      <c r="D30" s="5" t="s">
        <v>11</v>
      </c>
      <c r="E30" s="15" t="s">
        <v>22</v>
      </c>
      <c r="F30" s="4" t="s">
        <v>59</v>
      </c>
      <c r="G30" s="4">
        <v>76922</v>
      </c>
      <c r="H30" s="5" t="s">
        <v>14</v>
      </c>
      <c r="I30" s="9" t="s">
        <v>60</v>
      </c>
    </row>
    <row r="31" spans="2:9" ht="15.75" customHeight="1" x14ac:dyDescent="0.2">
      <c r="B31" s="4" t="s">
        <v>61</v>
      </c>
      <c r="C31" s="4">
        <v>91759</v>
      </c>
      <c r="D31" s="5" t="s">
        <v>11</v>
      </c>
      <c r="E31" s="7" t="s">
        <v>22</v>
      </c>
      <c r="F31" s="4" t="s">
        <v>62</v>
      </c>
      <c r="G31" s="4">
        <v>81936</v>
      </c>
      <c r="H31" s="5" t="s">
        <v>14</v>
      </c>
      <c r="I31" s="9" t="s">
        <v>60</v>
      </c>
    </row>
    <row r="32" spans="2:9" ht="15.75" customHeight="1" x14ac:dyDescent="0.2">
      <c r="B32" s="6" t="s">
        <v>63</v>
      </c>
      <c r="C32" s="6"/>
      <c r="D32" s="5"/>
      <c r="E32" s="5"/>
      <c r="F32" s="4" t="s">
        <v>64</v>
      </c>
      <c r="G32" s="4">
        <v>76927</v>
      </c>
      <c r="H32" s="5" t="s">
        <v>17</v>
      </c>
      <c r="I32" s="9" t="s">
        <v>60</v>
      </c>
    </row>
    <row r="33" spans="2:9" ht="15.75" customHeight="1" x14ac:dyDescent="0.2">
      <c r="B33" s="10" t="s">
        <v>65</v>
      </c>
      <c r="C33" s="10">
        <v>88120</v>
      </c>
      <c r="D33" s="5" t="s">
        <v>14</v>
      </c>
      <c r="E33" s="7" t="s">
        <v>26</v>
      </c>
      <c r="F33" s="4" t="s">
        <v>66</v>
      </c>
      <c r="G33" s="4">
        <v>76957</v>
      </c>
      <c r="H33" s="5" t="s">
        <v>17</v>
      </c>
      <c r="I33" s="9" t="s">
        <v>60</v>
      </c>
    </row>
    <row r="34" spans="2:9" ht="15.75" customHeight="1" x14ac:dyDescent="0.2">
      <c r="B34" s="10" t="s">
        <v>67</v>
      </c>
      <c r="C34" s="10">
        <v>76961</v>
      </c>
      <c r="D34" s="5" t="s">
        <v>68</v>
      </c>
      <c r="E34" s="9" t="s">
        <v>20</v>
      </c>
      <c r="F34" s="4" t="s">
        <v>69</v>
      </c>
      <c r="G34" s="4">
        <v>76956</v>
      </c>
      <c r="H34" s="5" t="s">
        <v>14</v>
      </c>
      <c r="I34" s="9" t="s">
        <v>60</v>
      </c>
    </row>
    <row r="35" spans="2:9" ht="15.75" customHeight="1" x14ac:dyDescent="0.2">
      <c r="B35" s="4" t="s">
        <v>70</v>
      </c>
      <c r="D35" s="5" t="s">
        <v>68</v>
      </c>
      <c r="E35" s="9" t="s">
        <v>20</v>
      </c>
      <c r="F35" s="4" t="s">
        <v>71</v>
      </c>
      <c r="G35" s="4">
        <v>76959</v>
      </c>
      <c r="H35" s="5" t="s">
        <v>14</v>
      </c>
      <c r="I35" s="9" t="s">
        <v>60</v>
      </c>
    </row>
    <row r="36" spans="2:9" ht="15.75" customHeight="1" x14ac:dyDescent="0.2">
      <c r="B36" s="4" t="s">
        <v>72</v>
      </c>
      <c r="C36" s="4"/>
      <c r="D36" s="5" t="s">
        <v>14</v>
      </c>
      <c r="E36" s="7" t="s">
        <v>26</v>
      </c>
      <c r="F36" s="4" t="s">
        <v>73</v>
      </c>
      <c r="G36" s="4">
        <v>76960</v>
      </c>
      <c r="H36" s="5" t="s">
        <v>14</v>
      </c>
      <c r="I36" s="9" t="s">
        <v>60</v>
      </c>
    </row>
    <row r="37" spans="2:9" ht="15.75" customHeight="1" x14ac:dyDescent="0.2">
      <c r="B37" s="4" t="s">
        <v>74</v>
      </c>
      <c r="C37" s="4">
        <v>76962</v>
      </c>
      <c r="D37" s="5" t="s">
        <v>17</v>
      </c>
      <c r="E37" s="9" t="s">
        <v>20</v>
      </c>
      <c r="F37" s="4" t="s">
        <v>75</v>
      </c>
      <c r="G37" s="4">
        <v>76973</v>
      </c>
      <c r="H37" s="5" t="s">
        <v>11</v>
      </c>
      <c r="I37" s="9" t="s">
        <v>43</v>
      </c>
    </row>
    <row r="38" spans="2:9" ht="15.75" customHeight="1" x14ac:dyDescent="0.2">
      <c r="B38" s="4" t="s">
        <v>76</v>
      </c>
      <c r="C38" s="4"/>
      <c r="D38" s="5" t="s">
        <v>68</v>
      </c>
      <c r="E38" s="9" t="s">
        <v>20</v>
      </c>
      <c r="F38" s="10" t="s">
        <v>77</v>
      </c>
      <c r="G38" s="10">
        <v>78576</v>
      </c>
      <c r="H38" s="5" t="s">
        <v>17</v>
      </c>
      <c r="I38" s="9" t="s">
        <v>43</v>
      </c>
    </row>
    <row r="39" spans="2:9" ht="15.75" customHeight="1" x14ac:dyDescent="0.2">
      <c r="B39" s="4" t="s">
        <v>78</v>
      </c>
      <c r="C39" s="4"/>
      <c r="D39" s="5" t="s">
        <v>17</v>
      </c>
      <c r="E39" s="621" t="s">
        <v>20</v>
      </c>
      <c r="F39" s="4" t="s">
        <v>79</v>
      </c>
      <c r="G39" s="4">
        <v>81823</v>
      </c>
      <c r="H39" s="5" t="s">
        <v>17</v>
      </c>
      <c r="I39" s="9" t="s">
        <v>43</v>
      </c>
    </row>
    <row r="40" spans="2:9" ht="15.75" customHeight="1" x14ac:dyDescent="0.2">
      <c r="B40" s="4" t="s">
        <v>80</v>
      </c>
      <c r="C40" s="4">
        <v>76965</v>
      </c>
      <c r="D40" s="5" t="s">
        <v>14</v>
      </c>
      <c r="E40" s="9" t="s">
        <v>26</v>
      </c>
      <c r="F40" s="4" t="s">
        <v>81</v>
      </c>
      <c r="G40" s="4">
        <v>81935</v>
      </c>
      <c r="H40" s="5" t="s">
        <v>17</v>
      </c>
      <c r="I40" s="9" t="s">
        <v>43</v>
      </c>
    </row>
    <row r="41" spans="2:9" ht="15.75" customHeight="1" x14ac:dyDescent="0.2">
      <c r="B41" s="4" t="s">
        <v>82</v>
      </c>
      <c r="C41" s="4"/>
      <c r="D41" s="5" t="s">
        <v>17</v>
      </c>
      <c r="E41" s="9" t="s">
        <v>26</v>
      </c>
      <c r="F41" s="4" t="s">
        <v>83</v>
      </c>
      <c r="G41" s="4"/>
      <c r="H41" s="5" t="s">
        <v>11</v>
      </c>
      <c r="I41" s="9" t="s">
        <v>84</v>
      </c>
    </row>
    <row r="42" spans="2:9" ht="15.75" customHeight="1" x14ac:dyDescent="0.2">
      <c r="F42" s="6" t="s">
        <v>85</v>
      </c>
      <c r="G42" s="6"/>
      <c r="H42" s="5"/>
      <c r="I42" s="5"/>
    </row>
    <row r="43" spans="2:9" ht="15.75" customHeight="1" x14ac:dyDescent="0.2">
      <c r="F43" s="8" t="s">
        <v>86</v>
      </c>
      <c r="G43" s="4"/>
      <c r="H43" s="5" t="s">
        <v>87</v>
      </c>
      <c r="I43" s="9" t="s">
        <v>32</v>
      </c>
    </row>
    <row r="44" spans="2:9" ht="15.75" customHeight="1" x14ac:dyDescent="0.2">
      <c r="F44" s="8" t="s">
        <v>88</v>
      </c>
      <c r="G44" s="4"/>
      <c r="H44" s="5" t="s">
        <v>87</v>
      </c>
      <c r="I44" s="9" t="s">
        <v>32</v>
      </c>
    </row>
    <row r="45" spans="2:9" ht="15.75" customHeight="1" x14ac:dyDescent="0.2">
      <c r="F45" s="4" t="s">
        <v>89</v>
      </c>
      <c r="G45" s="4"/>
      <c r="H45" s="5" t="s">
        <v>87</v>
      </c>
      <c r="I45" s="9" t="s">
        <v>60</v>
      </c>
    </row>
    <row r="46" spans="2:9" ht="15.75" customHeight="1" x14ac:dyDescent="0.2">
      <c r="F46" s="4" t="s">
        <v>90</v>
      </c>
      <c r="G46" s="4"/>
      <c r="H46" s="5" t="s">
        <v>87</v>
      </c>
      <c r="I46" s="9" t="s">
        <v>60</v>
      </c>
    </row>
    <row r="47" spans="2:9" ht="15.75" customHeight="1" x14ac:dyDescent="0.2">
      <c r="F47" s="4" t="s">
        <v>91</v>
      </c>
      <c r="G47" s="4"/>
      <c r="H47" s="5" t="s">
        <v>87</v>
      </c>
      <c r="I47" s="9" t="s">
        <v>60</v>
      </c>
    </row>
    <row r="48" spans="2:9" ht="15.75" customHeight="1" x14ac:dyDescent="0.2">
      <c r="B48" s="17"/>
      <c r="C48" s="17"/>
      <c r="D48" s="17"/>
      <c r="E48" s="17"/>
    </row>
    <row r="49" spans="2:5" ht="15.75" customHeight="1" x14ac:dyDescent="0.2">
      <c r="B49" s="18"/>
      <c r="C49" s="19"/>
      <c r="D49" s="20"/>
      <c r="E49" s="20"/>
    </row>
    <row r="50" spans="2:5" ht="15.75" customHeight="1" x14ac:dyDescent="0.2">
      <c r="B50" s="19"/>
      <c r="C50" s="19"/>
      <c r="D50" s="20"/>
      <c r="E50" s="20"/>
    </row>
    <row r="51" spans="2:5" ht="15.75" customHeight="1" x14ac:dyDescent="0.2">
      <c r="B51" s="18"/>
      <c r="C51" s="19"/>
      <c r="D51" s="20"/>
      <c r="E51" s="21"/>
    </row>
    <row r="52" spans="2:5" ht="15.75" customHeight="1" x14ac:dyDescent="0.2"/>
    <row r="53" spans="2:5" ht="15.75" customHeight="1" x14ac:dyDescent="0.2"/>
    <row r="54" spans="2:5" ht="15.75" customHeight="1" x14ac:dyDescent="0.2"/>
    <row r="55" spans="2:5" ht="15.75" customHeight="1" x14ac:dyDescent="0.2"/>
    <row r="56" spans="2:5" ht="15.75" customHeight="1" x14ac:dyDescent="0.2"/>
    <row r="57" spans="2:5" ht="15.75" customHeight="1" x14ac:dyDescent="0.2"/>
    <row r="58" spans="2:5" ht="15.75" customHeight="1" x14ac:dyDescent="0.2"/>
    <row r="59" spans="2:5" ht="15.75" customHeight="1" x14ac:dyDescent="0.2"/>
    <row r="60" spans="2:5" ht="15.75" customHeight="1" x14ac:dyDescent="0.2"/>
    <row r="61" spans="2:5" ht="15.75" customHeight="1" x14ac:dyDescent="0.2"/>
    <row r="62" spans="2:5" ht="15.75" customHeight="1" x14ac:dyDescent="0.2"/>
    <row r="63" spans="2:5" ht="15.75" customHeight="1" x14ac:dyDescent="0.2"/>
    <row r="64" spans="2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</sheetData>
  <pageMargins left="0.70866141732283472" right="0.70866141732283472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38"/>
  <sheetViews>
    <sheetView workbookViewId="0"/>
  </sheetViews>
  <sheetFormatPr defaultColWidth="11.21875" defaultRowHeight="15" customHeight="1" x14ac:dyDescent="0.2"/>
  <cols>
    <col min="1" max="1" width="21.578125" customWidth="1"/>
  </cols>
  <sheetData>
    <row r="1" spans="1:9" ht="15" customHeight="1" x14ac:dyDescent="0.3">
      <c r="B1" s="28" t="s">
        <v>118</v>
      </c>
      <c r="C1" s="28" t="s">
        <v>119</v>
      </c>
      <c r="D1" s="28" t="s">
        <v>120</v>
      </c>
      <c r="E1" s="28" t="s">
        <v>121</v>
      </c>
      <c r="F1" s="28" t="s">
        <v>122</v>
      </c>
      <c r="G1" s="28" t="s">
        <v>123</v>
      </c>
      <c r="H1" s="28" t="s">
        <v>124</v>
      </c>
      <c r="I1" s="28" t="s">
        <v>125</v>
      </c>
    </row>
    <row r="2" spans="1:9" x14ac:dyDescent="0.2">
      <c r="A2" s="29" t="s">
        <v>126</v>
      </c>
    </row>
    <row r="3" spans="1:9" x14ac:dyDescent="0.2">
      <c r="A3" s="30" t="s">
        <v>127</v>
      </c>
      <c r="B3" s="31" t="b">
        <v>0</v>
      </c>
      <c r="C3" s="31" t="b">
        <v>0</v>
      </c>
      <c r="D3" s="31" t="b">
        <v>0</v>
      </c>
      <c r="E3" s="31" t="b">
        <v>0</v>
      </c>
      <c r="F3" s="31" t="b">
        <v>0</v>
      </c>
      <c r="G3" s="31" t="b">
        <v>0</v>
      </c>
      <c r="H3" s="31" t="b">
        <v>0</v>
      </c>
      <c r="I3" s="31" t="b">
        <v>0</v>
      </c>
    </row>
    <row r="4" spans="1:9" x14ac:dyDescent="0.2">
      <c r="A4" s="30" t="s">
        <v>128</v>
      </c>
      <c r="B4" s="31" t="b">
        <v>0</v>
      </c>
      <c r="C4" s="31" t="b">
        <v>0</v>
      </c>
      <c r="D4" s="31" t="b">
        <v>0</v>
      </c>
      <c r="E4" s="31" t="b">
        <v>1</v>
      </c>
      <c r="F4" s="31" t="b">
        <v>0</v>
      </c>
      <c r="G4" s="31" t="b">
        <v>0</v>
      </c>
      <c r="H4" s="31" t="b">
        <v>0</v>
      </c>
      <c r="I4" s="31" t="b">
        <v>0</v>
      </c>
    </row>
    <row r="5" spans="1:9" x14ac:dyDescent="0.2">
      <c r="A5" s="30" t="s">
        <v>129</v>
      </c>
      <c r="B5" s="31" t="b">
        <v>1</v>
      </c>
      <c r="C5" s="31" t="b">
        <v>1</v>
      </c>
      <c r="D5" s="31" t="b">
        <v>0</v>
      </c>
      <c r="E5" s="31" t="b">
        <v>1</v>
      </c>
      <c r="F5" s="31" t="b">
        <v>1</v>
      </c>
      <c r="G5" s="31" t="b">
        <v>0</v>
      </c>
      <c r="H5" s="31" t="b">
        <v>0</v>
      </c>
      <c r="I5" s="31" t="b">
        <v>0</v>
      </c>
    </row>
    <row r="6" spans="1:9" x14ac:dyDescent="0.2">
      <c r="A6" s="30" t="s">
        <v>130</v>
      </c>
      <c r="B6" s="31" t="b">
        <v>1</v>
      </c>
      <c r="C6" s="31" t="b">
        <v>0</v>
      </c>
      <c r="D6" s="31" t="b">
        <v>0</v>
      </c>
      <c r="E6" s="31" t="b">
        <v>1</v>
      </c>
      <c r="F6" s="31" t="b">
        <v>0</v>
      </c>
      <c r="G6" s="31" t="b">
        <v>0</v>
      </c>
      <c r="H6" s="31" t="b">
        <v>0</v>
      </c>
      <c r="I6" s="31" t="b">
        <v>0</v>
      </c>
    </row>
    <row r="7" spans="1:9" x14ac:dyDescent="0.2">
      <c r="A7" s="30" t="s">
        <v>131</v>
      </c>
      <c r="B7" s="31" t="b">
        <v>1</v>
      </c>
      <c r="C7" s="31" t="b">
        <v>1</v>
      </c>
      <c r="D7" s="31" t="b">
        <v>0</v>
      </c>
      <c r="E7" s="31" t="b">
        <v>1</v>
      </c>
      <c r="F7" s="31" t="b">
        <v>1</v>
      </c>
      <c r="G7" s="31" t="b">
        <v>0</v>
      </c>
      <c r="H7" s="31" t="b">
        <v>0</v>
      </c>
      <c r="I7" s="31" t="b">
        <v>0</v>
      </c>
    </row>
    <row r="8" spans="1:9" x14ac:dyDescent="0.2">
      <c r="A8" s="32"/>
    </row>
    <row r="9" spans="1:9" x14ac:dyDescent="0.2">
      <c r="A9" s="29" t="s">
        <v>132</v>
      </c>
      <c r="B9" s="31" t="b">
        <v>0</v>
      </c>
      <c r="C9" s="31" t="b">
        <v>0</v>
      </c>
      <c r="D9" s="31" t="b">
        <v>0</v>
      </c>
      <c r="E9" s="31" t="b">
        <v>0</v>
      </c>
      <c r="F9" s="31" t="b">
        <v>0</v>
      </c>
      <c r="G9" s="31" t="b">
        <v>0</v>
      </c>
      <c r="H9" s="31" t="b">
        <v>0</v>
      </c>
      <c r="I9" s="31" t="b">
        <v>0</v>
      </c>
    </row>
    <row r="10" spans="1:9" x14ac:dyDescent="0.2">
      <c r="A10" s="30" t="s">
        <v>133</v>
      </c>
      <c r="B10" s="31" t="b">
        <v>0</v>
      </c>
      <c r="C10" s="31" t="b">
        <v>0</v>
      </c>
      <c r="D10" s="31" t="b">
        <v>0</v>
      </c>
      <c r="E10" s="31" t="b">
        <v>0</v>
      </c>
      <c r="F10" s="31" t="b">
        <v>0</v>
      </c>
      <c r="G10" s="31" t="b">
        <v>0</v>
      </c>
      <c r="H10" s="31" t="b">
        <v>0</v>
      </c>
      <c r="I10" s="31" t="b">
        <v>0</v>
      </c>
    </row>
    <row r="11" spans="1:9" x14ac:dyDescent="0.2">
      <c r="A11" s="30" t="s">
        <v>131</v>
      </c>
      <c r="B11" s="31" t="b">
        <v>0</v>
      </c>
      <c r="C11" s="31" t="b">
        <v>0</v>
      </c>
      <c r="D11" s="31" t="b">
        <v>0</v>
      </c>
      <c r="E11" s="31" t="b">
        <v>0</v>
      </c>
      <c r="F11" s="31" t="b">
        <v>0</v>
      </c>
      <c r="G11" s="31" t="b">
        <v>0</v>
      </c>
      <c r="H11" s="31" t="b">
        <v>0</v>
      </c>
      <c r="I11" s="31" t="b">
        <v>0</v>
      </c>
    </row>
    <row r="12" spans="1:9" x14ac:dyDescent="0.2">
      <c r="A12" s="30" t="s">
        <v>134</v>
      </c>
      <c r="B12" s="31" t="b">
        <v>0</v>
      </c>
      <c r="C12" s="31" t="b">
        <v>0</v>
      </c>
      <c r="D12" s="31" t="b">
        <v>0</v>
      </c>
      <c r="E12" s="31" t="b">
        <v>0</v>
      </c>
      <c r="F12" s="31" t="b">
        <v>0</v>
      </c>
      <c r="G12" s="31" t="b">
        <v>0</v>
      </c>
      <c r="H12" s="31" t="b">
        <v>0</v>
      </c>
      <c r="I12" s="31" t="b">
        <v>0</v>
      </c>
    </row>
    <row r="13" spans="1:9" x14ac:dyDescent="0.2">
      <c r="A13" s="30" t="s">
        <v>134</v>
      </c>
      <c r="B13" s="31" t="b">
        <v>0</v>
      </c>
      <c r="C13" s="31" t="b">
        <v>0</v>
      </c>
      <c r="D13" s="31" t="b">
        <v>0</v>
      </c>
      <c r="E13" s="31" t="b">
        <v>0</v>
      </c>
      <c r="F13" s="31" t="b">
        <v>0</v>
      </c>
      <c r="G13" s="31" t="b">
        <v>0</v>
      </c>
      <c r="H13" s="31" t="b">
        <v>0</v>
      </c>
      <c r="I13" s="31" t="b">
        <v>0</v>
      </c>
    </row>
    <row r="14" spans="1:9" x14ac:dyDescent="0.2">
      <c r="A14" s="30" t="s">
        <v>135</v>
      </c>
      <c r="B14" s="31" t="b">
        <v>0</v>
      </c>
      <c r="C14" s="31" t="b">
        <v>0</v>
      </c>
      <c r="D14" s="31" t="b">
        <v>0</v>
      </c>
      <c r="E14" s="31" t="b">
        <v>0</v>
      </c>
      <c r="F14" s="31" t="b">
        <v>0</v>
      </c>
      <c r="G14" s="31" t="b">
        <v>0</v>
      </c>
      <c r="H14" s="31" t="b">
        <v>0</v>
      </c>
      <c r="I14" s="31" t="b">
        <v>0</v>
      </c>
    </row>
    <row r="15" spans="1:9" x14ac:dyDescent="0.2">
      <c r="A15" s="30" t="s">
        <v>131</v>
      </c>
      <c r="B15" s="31" t="b">
        <v>1</v>
      </c>
      <c r="C15" s="31" t="b">
        <v>0</v>
      </c>
      <c r="D15" s="31" t="b">
        <v>0</v>
      </c>
      <c r="E15" s="31" t="b">
        <v>0</v>
      </c>
      <c r="F15" s="31" t="b">
        <v>0</v>
      </c>
      <c r="G15" s="31" t="b">
        <v>0</v>
      </c>
      <c r="H15" s="31" t="b">
        <v>0</v>
      </c>
      <c r="I15" s="31" t="b">
        <v>0</v>
      </c>
    </row>
    <row r="16" spans="1:9" x14ac:dyDescent="0.2">
      <c r="A16" s="30" t="s">
        <v>134</v>
      </c>
      <c r="B16" s="31" t="b">
        <v>0</v>
      </c>
      <c r="C16" s="31" t="b">
        <v>0</v>
      </c>
      <c r="D16" s="31" t="b">
        <v>0</v>
      </c>
      <c r="E16" s="31" t="b">
        <v>0</v>
      </c>
      <c r="F16" s="31" t="b">
        <v>0</v>
      </c>
      <c r="G16" s="31" t="b">
        <v>0</v>
      </c>
      <c r="H16" s="31" t="b">
        <v>0</v>
      </c>
      <c r="I16" s="31" t="b">
        <v>0</v>
      </c>
    </row>
    <row r="17" spans="1:9" x14ac:dyDescent="0.2">
      <c r="A17" s="32"/>
    </row>
    <row r="18" spans="1:9" x14ac:dyDescent="0.2">
      <c r="A18" s="29" t="s">
        <v>136</v>
      </c>
      <c r="B18" s="31" t="b">
        <v>0</v>
      </c>
      <c r="C18" s="31" t="b">
        <v>0</v>
      </c>
      <c r="D18" s="31" t="b">
        <v>0</v>
      </c>
      <c r="E18" s="31" t="b">
        <v>0</v>
      </c>
      <c r="F18" s="31" t="b">
        <v>0</v>
      </c>
      <c r="G18" s="31" t="b">
        <v>0</v>
      </c>
      <c r="H18" s="31" t="b">
        <v>0</v>
      </c>
      <c r="I18" s="31" t="b">
        <v>0</v>
      </c>
    </row>
    <row r="19" spans="1:9" x14ac:dyDescent="0.2">
      <c r="A19" s="30" t="s">
        <v>137</v>
      </c>
      <c r="B19" s="31" t="b">
        <v>0</v>
      </c>
      <c r="C19" s="31" t="b">
        <v>0</v>
      </c>
      <c r="D19" s="31" t="b">
        <v>0</v>
      </c>
      <c r="E19" s="31" t="b">
        <v>0</v>
      </c>
      <c r="F19" s="31" t="b">
        <v>0</v>
      </c>
      <c r="G19" s="31" t="b">
        <v>0</v>
      </c>
      <c r="H19" s="31" t="b">
        <v>0</v>
      </c>
      <c r="I19" s="31" t="b">
        <v>0</v>
      </c>
    </row>
    <row r="20" spans="1:9" x14ac:dyDescent="0.2">
      <c r="A20" s="30" t="s">
        <v>131</v>
      </c>
      <c r="B20" s="31" t="b">
        <v>1</v>
      </c>
      <c r="C20" s="31" t="b">
        <v>0</v>
      </c>
      <c r="D20" s="31" t="b">
        <v>0</v>
      </c>
      <c r="E20" s="31" t="b">
        <v>0</v>
      </c>
      <c r="F20" s="31" t="b">
        <v>0</v>
      </c>
      <c r="G20" s="31" t="b">
        <v>0</v>
      </c>
      <c r="H20" s="31" t="b">
        <v>0</v>
      </c>
      <c r="I20" s="31" t="b">
        <v>0</v>
      </c>
    </row>
    <row r="21" spans="1:9" x14ac:dyDescent="0.2">
      <c r="A21" s="30" t="s">
        <v>134</v>
      </c>
      <c r="B21" s="31" t="b">
        <v>0</v>
      </c>
      <c r="C21" s="31" t="b">
        <v>0</v>
      </c>
      <c r="D21" s="31" t="b">
        <v>0</v>
      </c>
      <c r="E21" s="31" t="b">
        <v>0</v>
      </c>
      <c r="F21" s="31" t="b">
        <v>0</v>
      </c>
      <c r="G21" s="31" t="b">
        <v>0</v>
      </c>
      <c r="H21" s="31" t="b">
        <v>0</v>
      </c>
      <c r="I21" s="31" t="b">
        <v>0</v>
      </c>
    </row>
    <row r="22" spans="1:9" x14ac:dyDescent="0.2">
      <c r="A22" s="33"/>
    </row>
    <row r="23" spans="1:9" x14ac:dyDescent="0.2">
      <c r="A23" s="34" t="s">
        <v>138</v>
      </c>
      <c r="B23" s="31" t="b">
        <v>0</v>
      </c>
      <c r="C23" s="31" t="b">
        <v>0</v>
      </c>
      <c r="D23" s="31" t="b">
        <v>0</v>
      </c>
      <c r="E23" s="31" t="b">
        <v>0</v>
      </c>
      <c r="F23" s="31" t="b">
        <v>0</v>
      </c>
      <c r="G23" s="31" t="b">
        <v>0</v>
      </c>
      <c r="H23" s="31" t="b">
        <v>0</v>
      </c>
      <c r="I23" s="31" t="b">
        <v>0</v>
      </c>
    </row>
    <row r="24" spans="1:9" x14ac:dyDescent="0.2">
      <c r="A24" s="35" t="s">
        <v>139</v>
      </c>
      <c r="B24" s="31" t="b">
        <v>0</v>
      </c>
      <c r="C24" s="31" t="b">
        <v>0</v>
      </c>
      <c r="D24" s="31" t="b">
        <v>0</v>
      </c>
      <c r="E24" s="31" t="b">
        <v>0</v>
      </c>
      <c r="F24" s="31" t="b">
        <v>0</v>
      </c>
      <c r="G24" s="31" t="b">
        <v>0</v>
      </c>
      <c r="H24" s="31" t="b">
        <v>0</v>
      </c>
      <c r="I24" s="31" t="b">
        <v>0</v>
      </c>
    </row>
    <row r="25" spans="1:9" x14ac:dyDescent="0.2">
      <c r="A25" s="35" t="s">
        <v>140</v>
      </c>
      <c r="B25" s="31" t="b">
        <v>0</v>
      </c>
      <c r="C25" s="31" t="b">
        <v>0</v>
      </c>
      <c r="D25" s="31" t="b">
        <v>0</v>
      </c>
      <c r="E25" s="31" t="b">
        <v>1</v>
      </c>
      <c r="F25" s="31" t="b">
        <v>0</v>
      </c>
      <c r="G25" s="31" t="b">
        <v>0</v>
      </c>
      <c r="H25" s="31" t="b">
        <v>0</v>
      </c>
      <c r="I25" s="31" t="b">
        <v>0</v>
      </c>
    </row>
    <row r="26" spans="1:9" x14ac:dyDescent="0.2">
      <c r="A26" s="35" t="s">
        <v>140</v>
      </c>
      <c r="B26" s="31" t="b">
        <v>0</v>
      </c>
      <c r="C26" s="31" t="b">
        <v>0</v>
      </c>
      <c r="D26" s="31" t="b">
        <v>0</v>
      </c>
      <c r="E26" s="31" t="b">
        <v>1</v>
      </c>
      <c r="F26" s="31" t="b">
        <v>0</v>
      </c>
      <c r="G26" s="31" t="b">
        <v>0</v>
      </c>
      <c r="H26" s="31" t="b">
        <v>0</v>
      </c>
      <c r="I26" s="31" t="b">
        <v>0</v>
      </c>
    </row>
    <row r="27" spans="1:9" x14ac:dyDescent="0.2">
      <c r="A27" s="35" t="s">
        <v>129</v>
      </c>
      <c r="B27" s="31" t="b">
        <v>0</v>
      </c>
      <c r="C27" s="31" t="b">
        <v>0</v>
      </c>
      <c r="D27" s="31" t="b">
        <v>0</v>
      </c>
      <c r="E27" s="31" t="b">
        <v>0</v>
      </c>
      <c r="F27" s="31" t="b">
        <v>0</v>
      </c>
      <c r="G27" s="31" t="b">
        <v>0</v>
      </c>
      <c r="H27" s="31" t="b">
        <v>0</v>
      </c>
      <c r="I27" s="31" t="b">
        <v>0</v>
      </c>
    </row>
    <row r="28" spans="1:9" x14ac:dyDescent="0.2">
      <c r="A28" s="35" t="s">
        <v>141</v>
      </c>
      <c r="B28" s="31" t="b">
        <v>1</v>
      </c>
      <c r="C28" s="31" t="b">
        <v>0</v>
      </c>
      <c r="D28" s="31" t="b">
        <v>0</v>
      </c>
      <c r="E28" s="31" t="b">
        <v>0</v>
      </c>
      <c r="F28" s="31" t="b">
        <v>0</v>
      </c>
      <c r="G28" s="31" t="b">
        <v>0</v>
      </c>
      <c r="H28" s="31" t="b">
        <v>0</v>
      </c>
      <c r="I28" s="31" t="b">
        <v>0</v>
      </c>
    </row>
    <row r="29" spans="1:9" x14ac:dyDescent="0.2">
      <c r="A29" s="35" t="s">
        <v>47</v>
      </c>
      <c r="B29" s="31" t="b">
        <v>0</v>
      </c>
      <c r="C29" s="31" t="b">
        <v>0</v>
      </c>
      <c r="D29" s="31" t="b">
        <v>0</v>
      </c>
      <c r="E29" s="31" t="b">
        <v>0</v>
      </c>
      <c r="F29" s="31" t="b">
        <v>0</v>
      </c>
      <c r="G29" s="31" t="b">
        <v>0</v>
      </c>
      <c r="H29" s="31" t="b">
        <v>0</v>
      </c>
      <c r="I29" s="31" t="b">
        <v>0</v>
      </c>
    </row>
    <row r="30" spans="1:9" x14ac:dyDescent="0.2">
      <c r="A30" s="35" t="s">
        <v>142</v>
      </c>
      <c r="B30" s="31" t="b">
        <v>0</v>
      </c>
      <c r="C30" s="31" t="b">
        <v>0</v>
      </c>
      <c r="D30" s="31" t="b">
        <v>0</v>
      </c>
      <c r="E30" s="31" t="b">
        <v>0</v>
      </c>
      <c r="F30" s="31" t="b">
        <v>0</v>
      </c>
      <c r="G30" s="31" t="b">
        <v>0</v>
      </c>
      <c r="H30" s="31" t="b">
        <v>0</v>
      </c>
      <c r="I30" s="31" t="b">
        <v>0</v>
      </c>
    </row>
    <row r="31" spans="1:9" x14ac:dyDescent="0.2">
      <c r="A31" s="35" t="s">
        <v>143</v>
      </c>
      <c r="B31" s="31" t="b">
        <v>1</v>
      </c>
      <c r="C31" s="31" t="b">
        <v>1</v>
      </c>
      <c r="D31" s="31" t="b">
        <v>0</v>
      </c>
      <c r="E31" s="31" t="b">
        <v>0</v>
      </c>
      <c r="F31" s="31" t="b">
        <v>0</v>
      </c>
      <c r="G31" s="31" t="b">
        <v>0</v>
      </c>
      <c r="H31" s="31" t="b">
        <v>0</v>
      </c>
      <c r="I31" s="31" t="b">
        <v>0</v>
      </c>
    </row>
    <row r="32" spans="1:9" x14ac:dyDescent="0.2">
      <c r="A32" s="35" t="s">
        <v>144</v>
      </c>
      <c r="B32" s="31" t="b">
        <v>1</v>
      </c>
      <c r="C32" s="31" t="b">
        <v>1</v>
      </c>
      <c r="D32" s="31" t="b">
        <v>0</v>
      </c>
      <c r="E32" s="31" t="b">
        <v>1</v>
      </c>
      <c r="F32" s="31" t="b">
        <v>0</v>
      </c>
      <c r="G32" s="31" t="b">
        <v>0</v>
      </c>
      <c r="H32" s="31" t="b">
        <v>0</v>
      </c>
      <c r="I32" s="31" t="b">
        <v>0</v>
      </c>
    </row>
    <row r="33" spans="1:9" x14ac:dyDescent="0.2">
      <c r="A33" s="35" t="s">
        <v>145</v>
      </c>
      <c r="B33" s="31" t="b">
        <v>1</v>
      </c>
      <c r="C33" s="31" t="b">
        <v>1</v>
      </c>
      <c r="D33" s="31" t="b">
        <v>0</v>
      </c>
      <c r="E33" s="31" t="b">
        <v>1</v>
      </c>
      <c r="F33" s="31" t="b">
        <v>0</v>
      </c>
      <c r="G33" s="31" t="b">
        <v>0</v>
      </c>
      <c r="H33" s="31" t="b">
        <v>0</v>
      </c>
      <c r="I33" s="31" t="b">
        <v>0</v>
      </c>
    </row>
    <row r="34" spans="1:9" x14ac:dyDescent="0.2">
      <c r="A34" s="36" t="s">
        <v>134</v>
      </c>
      <c r="B34" s="31" t="b">
        <v>0</v>
      </c>
      <c r="C34" s="31" t="b">
        <v>0</v>
      </c>
      <c r="D34" s="31" t="b">
        <v>0</v>
      </c>
      <c r="E34" s="31" t="b">
        <v>0</v>
      </c>
      <c r="F34" s="31" t="b">
        <v>0</v>
      </c>
      <c r="G34" s="31" t="b">
        <v>0</v>
      </c>
      <c r="H34" s="31" t="b">
        <v>0</v>
      </c>
      <c r="I34" s="31" t="b">
        <v>0</v>
      </c>
    </row>
    <row r="35" spans="1:9" x14ac:dyDescent="0.2">
      <c r="A35" s="35" t="s">
        <v>134</v>
      </c>
      <c r="B35" s="31" t="b">
        <v>0</v>
      </c>
      <c r="C35" s="31" t="b">
        <v>0</v>
      </c>
      <c r="D35" s="31" t="b">
        <v>0</v>
      </c>
      <c r="E35" s="31" t="b">
        <v>0</v>
      </c>
      <c r="F35" s="31" t="b">
        <v>0</v>
      </c>
      <c r="G35" s="31" t="b">
        <v>0</v>
      </c>
      <c r="H35" s="31" t="b">
        <v>0</v>
      </c>
      <c r="I35" s="31" t="b">
        <v>0</v>
      </c>
    </row>
    <row r="36" spans="1:9" x14ac:dyDescent="0.2">
      <c r="A36" s="35" t="s">
        <v>134</v>
      </c>
      <c r="B36" s="31" t="b">
        <v>0</v>
      </c>
      <c r="C36" s="31" t="b">
        <v>0</v>
      </c>
      <c r="D36" s="31" t="b">
        <v>0</v>
      </c>
      <c r="E36" s="31" t="b">
        <v>0</v>
      </c>
      <c r="F36" s="31" t="b">
        <v>0</v>
      </c>
      <c r="G36" s="31" t="b">
        <v>0</v>
      </c>
      <c r="H36" s="31" t="b">
        <v>0</v>
      </c>
      <c r="I36" s="31" t="b">
        <v>0</v>
      </c>
    </row>
    <row r="37" spans="1:9" x14ac:dyDescent="0.2">
      <c r="A37" s="35" t="s">
        <v>146</v>
      </c>
      <c r="B37" s="31" t="b">
        <v>0</v>
      </c>
      <c r="C37" s="31" t="b">
        <v>0</v>
      </c>
      <c r="D37" s="31" t="b">
        <v>0</v>
      </c>
      <c r="E37" s="31" t="b">
        <v>0</v>
      </c>
      <c r="F37" s="31" t="b">
        <v>0</v>
      </c>
      <c r="G37" s="31" t="b">
        <v>0</v>
      </c>
      <c r="H37" s="31" t="b">
        <v>0</v>
      </c>
      <c r="I37" s="31" t="b">
        <v>0</v>
      </c>
    </row>
    <row r="38" spans="1:9" x14ac:dyDescent="0.2">
      <c r="A38" s="35" t="s">
        <v>147</v>
      </c>
      <c r="B38" s="31" t="b">
        <v>0</v>
      </c>
      <c r="C38" s="31" t="b">
        <v>0</v>
      </c>
      <c r="D38" s="31" t="b">
        <v>0</v>
      </c>
      <c r="E38" s="31" t="b">
        <v>0</v>
      </c>
      <c r="F38" s="31" t="b">
        <v>0</v>
      </c>
      <c r="G38" s="31" t="b">
        <v>0</v>
      </c>
      <c r="H38" s="31" t="b">
        <v>0</v>
      </c>
      <c r="I38" s="31" t="b">
        <v>0</v>
      </c>
    </row>
  </sheetData>
  <conditionalFormatting sqref="B3:I7 B9:I16 B18:I21 B23:I38">
    <cfRule type="containsText" dxfId="24" priority="1" operator="containsText" text="FALSE">
      <formula>NOT(ISERROR(SEARCH(("FALSE"),(B3))))</formula>
    </cfRule>
    <cfRule type="containsText" dxfId="23" priority="2" operator="containsText" text="TRUE">
      <formula>NOT(ISERROR(SEARCH(("TRUE"),(B3))))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1.21875" defaultRowHeight="15" customHeight="1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I995"/>
  <sheetViews>
    <sheetView workbookViewId="0">
      <pane xSplit="1" ySplit="2" topLeftCell="B3" activePane="bottomRight" state="frozen"/>
      <selection pane="bottomLeft" activeCell="A3" sqref="A3"/>
      <selection pane="topRight" activeCell="B1" sqref="B1"/>
      <selection pane="bottomRight" activeCell="B3" sqref="B3"/>
    </sheetView>
  </sheetViews>
  <sheetFormatPr defaultColWidth="11.21875" defaultRowHeight="15" customHeight="1" x14ac:dyDescent="0.2"/>
  <cols>
    <col min="1" max="1" width="14.1796875" customWidth="1"/>
    <col min="3" max="3" width="4.3125" customWidth="1"/>
    <col min="4" max="4" width="5.546875" customWidth="1"/>
    <col min="5" max="5" width="7.02734375" customWidth="1"/>
    <col min="6" max="6" width="8.3828125" customWidth="1"/>
    <col min="7" max="7" width="6.28515625" customWidth="1"/>
    <col min="8" max="10" width="4.3125" customWidth="1"/>
    <col min="11" max="35" width="7.51953125" customWidth="1"/>
  </cols>
  <sheetData>
    <row r="1" spans="1:35" x14ac:dyDescent="0.2">
      <c r="A1" s="37"/>
      <c r="B1" s="532" t="s">
        <v>148</v>
      </c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</row>
    <row r="2" spans="1:35" x14ac:dyDescent="0.2">
      <c r="A2" s="38"/>
      <c r="B2" s="39"/>
      <c r="C2" s="40"/>
      <c r="D2" s="40"/>
      <c r="E2" s="40"/>
      <c r="F2" s="40"/>
      <c r="G2" s="40"/>
      <c r="H2" s="40"/>
      <c r="I2" s="40"/>
      <c r="J2" s="40"/>
      <c r="K2" s="41" t="s">
        <v>149</v>
      </c>
      <c r="L2" s="42" t="s">
        <v>150</v>
      </c>
      <c r="M2" s="43" t="s">
        <v>151</v>
      </c>
      <c r="N2" s="43" t="s">
        <v>152</v>
      </c>
      <c r="O2" s="44" t="s">
        <v>153</v>
      </c>
      <c r="P2" s="45" t="s">
        <v>149</v>
      </c>
      <c r="Q2" s="46" t="s">
        <v>150</v>
      </c>
      <c r="R2" s="46" t="s">
        <v>151</v>
      </c>
      <c r="S2" s="46" t="s">
        <v>152</v>
      </c>
      <c r="T2" s="47" t="s">
        <v>153</v>
      </c>
      <c r="U2" s="41" t="s">
        <v>149</v>
      </c>
      <c r="V2" s="42" t="s">
        <v>150</v>
      </c>
      <c r="W2" s="42" t="s">
        <v>151</v>
      </c>
      <c r="X2" s="42" t="s">
        <v>152</v>
      </c>
      <c r="Y2" s="44" t="s">
        <v>153</v>
      </c>
      <c r="Z2" s="45" t="s">
        <v>149</v>
      </c>
      <c r="AA2" s="46" t="s">
        <v>150</v>
      </c>
      <c r="AB2" s="46" t="s">
        <v>151</v>
      </c>
      <c r="AC2" s="46" t="s">
        <v>152</v>
      </c>
      <c r="AD2" s="47" t="s">
        <v>153</v>
      </c>
      <c r="AE2" s="41" t="s">
        <v>149</v>
      </c>
      <c r="AF2" s="42" t="s">
        <v>150</v>
      </c>
      <c r="AG2" s="42" t="s">
        <v>151</v>
      </c>
      <c r="AH2" s="42" t="s">
        <v>152</v>
      </c>
      <c r="AI2" s="44" t="s">
        <v>153</v>
      </c>
    </row>
    <row r="3" spans="1:35" ht="15" customHeight="1" x14ac:dyDescent="0.3">
      <c r="A3" s="48" t="s">
        <v>154</v>
      </c>
      <c r="B3" s="49" t="s">
        <v>155</v>
      </c>
      <c r="C3" s="28" t="s">
        <v>118</v>
      </c>
      <c r="D3" s="28" t="s">
        <v>119</v>
      </c>
      <c r="E3" s="28" t="s">
        <v>120</v>
      </c>
      <c r="F3" s="28" t="s">
        <v>121</v>
      </c>
      <c r="G3" s="28" t="s">
        <v>122</v>
      </c>
      <c r="H3" s="28" t="s">
        <v>123</v>
      </c>
      <c r="I3" s="28" t="s">
        <v>124</v>
      </c>
      <c r="J3" s="28" t="s">
        <v>125</v>
      </c>
      <c r="K3" s="534" t="s">
        <v>100</v>
      </c>
      <c r="L3" s="533"/>
      <c r="M3" s="533"/>
      <c r="N3" s="533"/>
      <c r="O3" s="535"/>
      <c r="P3" s="534" t="s">
        <v>138</v>
      </c>
      <c r="Q3" s="533"/>
      <c r="R3" s="533"/>
      <c r="S3" s="533"/>
      <c r="T3" s="535"/>
      <c r="U3" s="534" t="s">
        <v>156</v>
      </c>
      <c r="V3" s="533"/>
      <c r="W3" s="533"/>
      <c r="X3" s="533"/>
      <c r="Y3" s="535"/>
      <c r="Z3" s="534" t="s">
        <v>126</v>
      </c>
      <c r="AA3" s="533"/>
      <c r="AB3" s="533"/>
      <c r="AC3" s="533"/>
      <c r="AD3" s="535"/>
      <c r="AE3" s="534" t="s">
        <v>132</v>
      </c>
      <c r="AF3" s="533"/>
      <c r="AG3" s="533"/>
      <c r="AH3" s="533"/>
      <c r="AI3" s="535"/>
    </row>
    <row r="4" spans="1:35" x14ac:dyDescent="0.2">
      <c r="A4" s="50" t="s">
        <v>140</v>
      </c>
      <c r="B4" s="51" t="s">
        <v>157</v>
      </c>
      <c r="C4" s="31" t="b">
        <v>0</v>
      </c>
      <c r="D4" s="31" t="b">
        <v>0</v>
      </c>
      <c r="E4" s="31" t="b">
        <v>0</v>
      </c>
      <c r="F4" s="31" t="b">
        <v>0</v>
      </c>
      <c r="G4" s="31" t="b">
        <v>0</v>
      </c>
      <c r="H4" s="31" t="b">
        <v>0</v>
      </c>
      <c r="I4" s="31" t="b">
        <v>0</v>
      </c>
      <c r="J4" s="31" t="b">
        <v>0</v>
      </c>
      <c r="K4" s="52"/>
      <c r="L4" s="52"/>
      <c r="M4" s="52"/>
      <c r="N4" s="52"/>
      <c r="O4" s="52">
        <f>SUM(M4, N4)</f>
        <v>0</v>
      </c>
      <c r="P4" s="52"/>
      <c r="Q4" s="52"/>
      <c r="R4" s="52"/>
      <c r="S4" s="52"/>
      <c r="T4" s="52">
        <f t="shared" ref="T4:T7" si="0">SUM(R4, S4)</f>
        <v>0</v>
      </c>
      <c r="U4" s="52"/>
      <c r="V4" s="53"/>
      <c r="W4" s="52"/>
      <c r="X4" s="52"/>
      <c r="Y4" s="52">
        <f t="shared" ref="Y4:Y17" si="1">SUM(W4:X4)</f>
        <v>0</v>
      </c>
      <c r="Z4" s="52"/>
      <c r="AA4" s="53"/>
      <c r="AB4" s="52"/>
      <c r="AC4" s="52"/>
      <c r="AD4" s="52">
        <f t="shared" ref="AD4:AD17" si="2">SUM(AB4:AC4)</f>
        <v>0</v>
      </c>
      <c r="AE4" s="52"/>
      <c r="AF4" s="53"/>
      <c r="AG4" s="52"/>
      <c r="AH4" s="52"/>
      <c r="AI4" s="52">
        <f t="shared" ref="AI4:AI17" si="3">SUM(AG4:AH4)</f>
        <v>0</v>
      </c>
    </row>
    <row r="5" spans="1:35" x14ac:dyDescent="0.2">
      <c r="A5" s="50" t="s">
        <v>140</v>
      </c>
      <c r="B5" s="51" t="s">
        <v>157</v>
      </c>
      <c r="C5" s="31" t="b">
        <v>0</v>
      </c>
      <c r="D5" s="31" t="b">
        <v>0</v>
      </c>
      <c r="E5" s="31" t="b">
        <v>0</v>
      </c>
      <c r="F5" s="31" t="b">
        <v>0</v>
      </c>
      <c r="G5" s="31" t="b">
        <v>0</v>
      </c>
      <c r="H5" s="31" t="b">
        <v>0</v>
      </c>
      <c r="I5" s="31" t="b">
        <v>0</v>
      </c>
      <c r="J5" s="31" t="b">
        <v>0</v>
      </c>
      <c r="K5" s="54"/>
      <c r="L5" s="52"/>
      <c r="M5" s="52"/>
      <c r="N5" s="52"/>
      <c r="O5" s="52">
        <f t="shared" ref="O5:O7" si="4">SUM(M5, N5)</f>
        <v>0</v>
      </c>
      <c r="P5" s="55"/>
      <c r="Q5" s="52"/>
      <c r="R5" s="52"/>
      <c r="S5" s="52"/>
      <c r="T5" s="52">
        <f t="shared" si="0"/>
        <v>0</v>
      </c>
      <c r="U5" s="55"/>
      <c r="V5" s="53"/>
      <c r="W5" s="52"/>
      <c r="X5" s="52"/>
      <c r="Y5" s="52">
        <f t="shared" si="1"/>
        <v>0</v>
      </c>
      <c r="Z5" s="55"/>
      <c r="AA5" s="53"/>
      <c r="AB5" s="52"/>
      <c r="AC5" s="52"/>
      <c r="AD5" s="52">
        <f t="shared" si="2"/>
        <v>0</v>
      </c>
      <c r="AE5" s="55"/>
      <c r="AF5" s="53"/>
      <c r="AG5" s="52"/>
      <c r="AH5" s="52"/>
      <c r="AI5" s="52">
        <f t="shared" si="3"/>
        <v>0</v>
      </c>
    </row>
    <row r="6" spans="1:35" x14ac:dyDescent="0.2">
      <c r="A6" s="50" t="s">
        <v>129</v>
      </c>
      <c r="B6" s="51" t="s">
        <v>157</v>
      </c>
      <c r="C6" s="31" t="b">
        <v>0</v>
      </c>
      <c r="D6" s="31" t="b">
        <v>0</v>
      </c>
      <c r="E6" s="31" t="b">
        <v>0</v>
      </c>
      <c r="F6" s="31" t="b">
        <v>0</v>
      </c>
      <c r="G6" s="31" t="b">
        <v>0</v>
      </c>
      <c r="H6" s="31" t="b">
        <v>0</v>
      </c>
      <c r="I6" s="31" t="b">
        <v>0</v>
      </c>
      <c r="J6" s="31" t="b">
        <v>0</v>
      </c>
      <c r="K6" s="56"/>
      <c r="L6" s="52"/>
      <c r="M6" s="52"/>
      <c r="N6" s="52"/>
      <c r="O6" s="52">
        <f t="shared" si="4"/>
        <v>0</v>
      </c>
      <c r="P6" s="55"/>
      <c r="Q6" s="52"/>
      <c r="R6" s="52"/>
      <c r="S6" s="52"/>
      <c r="T6" s="52">
        <f t="shared" si="0"/>
        <v>0</v>
      </c>
      <c r="U6" s="55"/>
      <c r="V6" s="53"/>
      <c r="W6" s="52"/>
      <c r="X6" s="52"/>
      <c r="Y6" s="52">
        <f t="shared" si="1"/>
        <v>0</v>
      </c>
      <c r="Z6" s="55"/>
      <c r="AA6" s="53"/>
      <c r="AB6" s="52"/>
      <c r="AC6" s="52"/>
      <c r="AD6" s="52">
        <f t="shared" si="2"/>
        <v>0</v>
      </c>
      <c r="AE6" s="55"/>
      <c r="AF6" s="53"/>
      <c r="AG6" s="52"/>
      <c r="AH6" s="52"/>
      <c r="AI6" s="52">
        <f t="shared" si="3"/>
        <v>0</v>
      </c>
    </row>
    <row r="7" spans="1:35" x14ac:dyDescent="0.2">
      <c r="A7" s="50" t="s">
        <v>141</v>
      </c>
      <c r="B7" s="51" t="s">
        <v>157</v>
      </c>
      <c r="C7" s="31" t="b">
        <v>0</v>
      </c>
      <c r="D7" s="31" t="b">
        <v>0</v>
      </c>
      <c r="E7" s="31" t="b">
        <v>0</v>
      </c>
      <c r="F7" s="31" t="b">
        <v>0</v>
      </c>
      <c r="G7" s="31" t="b">
        <v>0</v>
      </c>
      <c r="H7" s="31" t="b">
        <v>0</v>
      </c>
      <c r="I7" s="31" t="b">
        <v>0</v>
      </c>
      <c r="J7" s="31" t="b">
        <v>0</v>
      </c>
      <c r="K7" s="56"/>
      <c r="L7" s="52"/>
      <c r="M7" s="52"/>
      <c r="N7" s="52"/>
      <c r="O7" s="52">
        <f t="shared" si="4"/>
        <v>0</v>
      </c>
      <c r="P7" s="55"/>
      <c r="Q7" s="53"/>
      <c r="R7" s="52"/>
      <c r="S7" s="52"/>
      <c r="T7" s="52">
        <f t="shared" si="0"/>
        <v>0</v>
      </c>
      <c r="U7" s="55"/>
      <c r="V7" s="53"/>
      <c r="W7" s="52"/>
      <c r="X7" s="52"/>
      <c r="Y7" s="52">
        <f t="shared" si="1"/>
        <v>0</v>
      </c>
      <c r="Z7" s="55"/>
      <c r="AA7" s="53"/>
      <c r="AB7" s="52"/>
      <c r="AC7" s="52"/>
      <c r="AD7" s="52">
        <f t="shared" si="2"/>
        <v>0</v>
      </c>
      <c r="AE7" s="55"/>
      <c r="AF7" s="53"/>
      <c r="AG7" s="52"/>
      <c r="AH7" s="52"/>
      <c r="AI7" s="52">
        <f t="shared" si="3"/>
        <v>0</v>
      </c>
    </row>
    <row r="8" spans="1:35" x14ac:dyDescent="0.2">
      <c r="A8" s="50" t="s">
        <v>47</v>
      </c>
      <c r="B8" s="57" t="s">
        <v>158</v>
      </c>
      <c r="C8" s="31" t="b">
        <v>0</v>
      </c>
      <c r="D8" s="31" t="b">
        <v>0</v>
      </c>
      <c r="E8" s="31" t="b">
        <v>0</v>
      </c>
      <c r="F8" s="31" t="b">
        <v>0</v>
      </c>
      <c r="G8" s="31" t="b">
        <v>0</v>
      </c>
      <c r="H8" s="31" t="b">
        <v>0</v>
      </c>
      <c r="I8" s="31" t="b">
        <v>0</v>
      </c>
      <c r="J8" s="31" t="b">
        <v>0</v>
      </c>
      <c r="K8" s="56"/>
      <c r="L8" s="52"/>
      <c r="M8" s="52"/>
      <c r="N8" s="52"/>
      <c r="O8" s="52">
        <f t="shared" ref="O8:O17" si="5">SUM(M8:N8)</f>
        <v>0</v>
      </c>
      <c r="P8" s="55"/>
      <c r="Q8" s="53"/>
      <c r="R8" s="52"/>
      <c r="S8" s="52"/>
      <c r="T8" s="52">
        <f t="shared" ref="T8:T17" si="6">SUM(R8:S8)</f>
        <v>0</v>
      </c>
      <c r="U8" s="55"/>
      <c r="V8" s="53"/>
      <c r="W8" s="52"/>
      <c r="X8" s="52"/>
      <c r="Y8" s="52">
        <f t="shared" si="1"/>
        <v>0</v>
      </c>
      <c r="Z8" s="55"/>
      <c r="AA8" s="53"/>
      <c r="AB8" s="52"/>
      <c r="AC8" s="52"/>
      <c r="AD8" s="52">
        <f t="shared" si="2"/>
        <v>0</v>
      </c>
      <c r="AE8" s="55"/>
      <c r="AF8" s="53"/>
      <c r="AG8" s="52"/>
      <c r="AH8" s="52"/>
      <c r="AI8" s="52">
        <f t="shared" si="3"/>
        <v>0</v>
      </c>
    </row>
    <row r="9" spans="1:35" x14ac:dyDescent="0.2">
      <c r="A9" s="50" t="s">
        <v>142</v>
      </c>
      <c r="B9" s="57" t="s">
        <v>158</v>
      </c>
      <c r="C9" s="31" t="b">
        <v>0</v>
      </c>
      <c r="D9" s="31" t="b">
        <v>0</v>
      </c>
      <c r="E9" s="31" t="b">
        <v>0</v>
      </c>
      <c r="F9" s="31" t="b">
        <v>0</v>
      </c>
      <c r="G9" s="31" t="b">
        <v>0</v>
      </c>
      <c r="H9" s="31" t="b">
        <v>0</v>
      </c>
      <c r="I9" s="31" t="b">
        <v>0</v>
      </c>
      <c r="J9" s="31" t="b">
        <v>0</v>
      </c>
      <c r="K9" s="56"/>
      <c r="L9" s="52"/>
      <c r="M9" s="52"/>
      <c r="N9" s="52"/>
      <c r="O9" s="52">
        <f t="shared" si="5"/>
        <v>0</v>
      </c>
      <c r="P9" s="55"/>
      <c r="Q9" s="53"/>
      <c r="R9" s="52"/>
      <c r="S9" s="52"/>
      <c r="T9" s="52">
        <f t="shared" si="6"/>
        <v>0</v>
      </c>
      <c r="U9" s="55"/>
      <c r="V9" s="53"/>
      <c r="W9" s="52"/>
      <c r="X9" s="52"/>
      <c r="Y9" s="52">
        <f t="shared" si="1"/>
        <v>0</v>
      </c>
      <c r="Z9" s="55"/>
      <c r="AA9" s="53"/>
      <c r="AB9" s="52"/>
      <c r="AC9" s="52"/>
      <c r="AD9" s="52">
        <f t="shared" si="2"/>
        <v>0</v>
      </c>
      <c r="AE9" s="55"/>
      <c r="AF9" s="53"/>
      <c r="AG9" s="52"/>
      <c r="AH9" s="52"/>
      <c r="AI9" s="52">
        <f t="shared" si="3"/>
        <v>0</v>
      </c>
    </row>
    <row r="10" spans="1:35" x14ac:dyDescent="0.2">
      <c r="A10" s="50" t="s">
        <v>143</v>
      </c>
      <c r="B10" s="58" t="s">
        <v>159</v>
      </c>
      <c r="C10" s="31" t="b">
        <v>0</v>
      </c>
      <c r="D10" s="31" t="b">
        <v>0</v>
      </c>
      <c r="E10" s="31" t="b">
        <v>0</v>
      </c>
      <c r="F10" s="31" t="b">
        <v>0</v>
      </c>
      <c r="G10" s="31" t="b">
        <v>0</v>
      </c>
      <c r="H10" s="31" t="b">
        <v>0</v>
      </c>
      <c r="I10" s="31" t="b">
        <v>0</v>
      </c>
      <c r="J10" s="31" t="b">
        <v>0</v>
      </c>
      <c r="K10" s="56"/>
      <c r="L10" s="52"/>
      <c r="M10" s="52"/>
      <c r="N10" s="52"/>
      <c r="O10" s="52">
        <f t="shared" si="5"/>
        <v>0</v>
      </c>
      <c r="P10" s="55"/>
      <c r="Q10" s="52"/>
      <c r="R10" s="52"/>
      <c r="S10" s="52"/>
      <c r="T10" s="52">
        <f t="shared" si="6"/>
        <v>0</v>
      </c>
      <c r="U10" s="55"/>
      <c r="V10" s="53"/>
      <c r="W10" s="52"/>
      <c r="X10" s="52"/>
      <c r="Y10" s="52">
        <f t="shared" si="1"/>
        <v>0</v>
      </c>
      <c r="Z10" s="55"/>
      <c r="AA10" s="53"/>
      <c r="AB10" s="52"/>
      <c r="AC10" s="52"/>
      <c r="AD10" s="52">
        <f t="shared" si="2"/>
        <v>0</v>
      </c>
      <c r="AE10" s="55"/>
      <c r="AF10" s="53"/>
      <c r="AG10" s="52"/>
      <c r="AH10" s="52"/>
      <c r="AI10" s="52">
        <f t="shared" si="3"/>
        <v>0</v>
      </c>
    </row>
    <row r="11" spans="1:35" x14ac:dyDescent="0.2">
      <c r="A11" s="50" t="s">
        <v>144</v>
      </c>
      <c r="B11" s="58" t="s">
        <v>159</v>
      </c>
      <c r="C11" s="31" t="b">
        <v>0</v>
      </c>
      <c r="D11" s="31" t="b">
        <v>0</v>
      </c>
      <c r="E11" s="31" t="b">
        <v>0</v>
      </c>
      <c r="F11" s="31" t="b">
        <v>0</v>
      </c>
      <c r="G11" s="31" t="b">
        <v>0</v>
      </c>
      <c r="H11" s="31" t="b">
        <v>0</v>
      </c>
      <c r="I11" s="31" t="b">
        <v>0</v>
      </c>
      <c r="J11" s="31" t="b">
        <v>0</v>
      </c>
      <c r="K11" s="56"/>
      <c r="L11" s="52"/>
      <c r="M11" s="52"/>
      <c r="N11" s="52"/>
      <c r="O11" s="52">
        <f t="shared" si="5"/>
        <v>0</v>
      </c>
      <c r="P11" s="55"/>
      <c r="Q11" s="53"/>
      <c r="R11" s="52"/>
      <c r="S11" s="52"/>
      <c r="T11" s="52">
        <f t="shared" si="6"/>
        <v>0</v>
      </c>
      <c r="U11" s="55"/>
      <c r="V11" s="53"/>
      <c r="W11" s="52"/>
      <c r="X11" s="52"/>
      <c r="Y11" s="52">
        <f t="shared" si="1"/>
        <v>0</v>
      </c>
      <c r="Z11" s="55"/>
      <c r="AA11" s="53"/>
      <c r="AB11" s="52"/>
      <c r="AC11" s="52"/>
      <c r="AD11" s="52">
        <f t="shared" si="2"/>
        <v>0</v>
      </c>
      <c r="AE11" s="55"/>
      <c r="AF11" s="53"/>
      <c r="AG11" s="52"/>
      <c r="AH11" s="52"/>
      <c r="AI11" s="52">
        <f t="shared" si="3"/>
        <v>0</v>
      </c>
    </row>
    <row r="12" spans="1:35" x14ac:dyDescent="0.2">
      <c r="A12" s="50" t="s">
        <v>145</v>
      </c>
      <c r="B12" s="58" t="s">
        <v>159</v>
      </c>
      <c r="C12" s="31" t="b">
        <v>0</v>
      </c>
      <c r="D12" s="31" t="b">
        <v>0</v>
      </c>
      <c r="E12" s="31" t="b">
        <v>0</v>
      </c>
      <c r="F12" s="31" t="b">
        <v>0</v>
      </c>
      <c r="G12" s="31" t="b">
        <v>0</v>
      </c>
      <c r="H12" s="31" t="b">
        <v>0</v>
      </c>
      <c r="I12" s="31" t="b">
        <v>0</v>
      </c>
      <c r="J12" s="31" t="b">
        <v>0</v>
      </c>
      <c r="K12" s="56"/>
      <c r="L12" s="52"/>
      <c r="M12" s="52"/>
      <c r="N12" s="52"/>
      <c r="O12" s="52">
        <f t="shared" si="5"/>
        <v>0</v>
      </c>
      <c r="P12" s="55"/>
      <c r="Q12" s="53"/>
      <c r="R12" s="52"/>
      <c r="S12" s="52"/>
      <c r="T12" s="52">
        <f t="shared" si="6"/>
        <v>0</v>
      </c>
      <c r="U12" s="55"/>
      <c r="V12" s="53"/>
      <c r="W12" s="52"/>
      <c r="X12" s="52"/>
      <c r="Y12" s="52">
        <f t="shared" si="1"/>
        <v>0</v>
      </c>
      <c r="Z12" s="55"/>
      <c r="AA12" s="53"/>
      <c r="AB12" s="52"/>
      <c r="AC12" s="52"/>
      <c r="AD12" s="52">
        <f t="shared" si="2"/>
        <v>0</v>
      </c>
      <c r="AE12" s="55"/>
      <c r="AF12" s="53"/>
      <c r="AG12" s="52"/>
      <c r="AH12" s="52"/>
      <c r="AI12" s="52">
        <f t="shared" si="3"/>
        <v>0</v>
      </c>
    </row>
    <row r="13" spans="1:35" x14ac:dyDescent="0.2">
      <c r="A13" s="59" t="s">
        <v>134</v>
      </c>
      <c r="B13" s="60" t="s">
        <v>157</v>
      </c>
      <c r="C13" s="31" t="b">
        <v>0</v>
      </c>
      <c r="D13" s="31" t="b">
        <v>0</v>
      </c>
      <c r="E13" s="31" t="b">
        <v>0</v>
      </c>
      <c r="F13" s="31" t="b">
        <v>0</v>
      </c>
      <c r="G13" s="31" t="b">
        <v>0</v>
      </c>
      <c r="H13" s="31" t="b">
        <v>0</v>
      </c>
      <c r="I13" s="31" t="b">
        <v>0</v>
      </c>
      <c r="J13" s="31" t="b">
        <v>0</v>
      </c>
      <c r="K13" s="56"/>
      <c r="L13" s="52"/>
      <c r="M13" s="52"/>
      <c r="N13" s="52"/>
      <c r="O13" s="52">
        <f t="shared" si="5"/>
        <v>0</v>
      </c>
      <c r="P13" s="55"/>
      <c r="Q13" s="53"/>
      <c r="R13" s="52"/>
      <c r="S13" s="52"/>
      <c r="T13" s="52">
        <f t="shared" si="6"/>
        <v>0</v>
      </c>
      <c r="U13" s="55"/>
      <c r="V13" s="53"/>
      <c r="W13" s="52"/>
      <c r="X13" s="52"/>
      <c r="Y13" s="52">
        <f t="shared" si="1"/>
        <v>0</v>
      </c>
      <c r="Z13" s="55"/>
      <c r="AA13" s="53"/>
      <c r="AB13" s="52"/>
      <c r="AC13" s="52"/>
      <c r="AD13" s="52">
        <f t="shared" si="2"/>
        <v>0</v>
      </c>
      <c r="AE13" s="55"/>
      <c r="AF13" s="53"/>
      <c r="AG13" s="52"/>
      <c r="AH13" s="52"/>
      <c r="AI13" s="52">
        <f t="shared" si="3"/>
        <v>0</v>
      </c>
    </row>
    <row r="14" spans="1:35" x14ac:dyDescent="0.2">
      <c r="A14" s="50" t="s">
        <v>134</v>
      </c>
      <c r="B14" s="60" t="s">
        <v>157</v>
      </c>
      <c r="C14" s="31" t="b">
        <v>0</v>
      </c>
      <c r="D14" s="31" t="b">
        <v>0</v>
      </c>
      <c r="E14" s="31" t="b">
        <v>0</v>
      </c>
      <c r="F14" s="31" t="b">
        <v>0</v>
      </c>
      <c r="G14" s="31" t="b">
        <v>0</v>
      </c>
      <c r="H14" s="31" t="b">
        <v>0</v>
      </c>
      <c r="I14" s="31" t="b">
        <v>0</v>
      </c>
      <c r="J14" s="31" t="b">
        <v>0</v>
      </c>
      <c r="K14" s="61"/>
      <c r="L14" s="53"/>
      <c r="M14" s="53"/>
      <c r="N14" s="53"/>
      <c r="O14" s="52">
        <f t="shared" si="5"/>
        <v>0</v>
      </c>
      <c r="P14" s="62"/>
      <c r="Q14" s="53"/>
      <c r="R14" s="53"/>
      <c r="S14" s="53"/>
      <c r="T14" s="52">
        <f t="shared" si="6"/>
        <v>0</v>
      </c>
      <c r="U14" s="62"/>
      <c r="V14" s="53"/>
      <c r="W14" s="53"/>
      <c r="X14" s="53"/>
      <c r="Y14" s="52">
        <f t="shared" si="1"/>
        <v>0</v>
      </c>
      <c r="Z14" s="55"/>
      <c r="AA14" s="53"/>
      <c r="AB14" s="52"/>
      <c r="AC14" s="53"/>
      <c r="AD14" s="52">
        <f t="shared" si="2"/>
        <v>0</v>
      </c>
      <c r="AE14" s="55"/>
      <c r="AF14" s="53"/>
      <c r="AG14" s="52"/>
      <c r="AH14" s="52"/>
      <c r="AI14" s="52">
        <f t="shared" si="3"/>
        <v>0</v>
      </c>
    </row>
    <row r="15" spans="1:35" x14ac:dyDescent="0.2">
      <c r="A15" s="50" t="s">
        <v>134</v>
      </c>
      <c r="B15" s="60" t="s">
        <v>159</v>
      </c>
      <c r="C15" s="31" t="b">
        <v>0</v>
      </c>
      <c r="D15" s="31" t="b">
        <v>0</v>
      </c>
      <c r="E15" s="31" t="b">
        <v>0</v>
      </c>
      <c r="F15" s="31" t="b">
        <v>0</v>
      </c>
      <c r="G15" s="31" t="b">
        <v>0</v>
      </c>
      <c r="H15" s="31" t="b">
        <v>0</v>
      </c>
      <c r="I15" s="31" t="b">
        <v>0</v>
      </c>
      <c r="J15" s="31" t="b">
        <v>0</v>
      </c>
      <c r="K15" s="61"/>
      <c r="L15" s="53"/>
      <c r="M15" s="53"/>
      <c r="N15" s="53"/>
      <c r="O15" s="52">
        <f t="shared" si="5"/>
        <v>0</v>
      </c>
      <c r="P15" s="62"/>
      <c r="Q15" s="53"/>
      <c r="R15" s="53"/>
      <c r="S15" s="53"/>
      <c r="T15" s="52">
        <f t="shared" si="6"/>
        <v>0</v>
      </c>
      <c r="U15" s="62"/>
      <c r="V15" s="53"/>
      <c r="W15" s="53"/>
      <c r="X15" s="53"/>
      <c r="Y15" s="52">
        <f t="shared" si="1"/>
        <v>0</v>
      </c>
      <c r="Z15" s="55"/>
      <c r="AA15" s="53"/>
      <c r="AB15" s="52"/>
      <c r="AC15" s="53"/>
      <c r="AD15" s="52">
        <f t="shared" si="2"/>
        <v>0</v>
      </c>
      <c r="AE15" s="55"/>
      <c r="AF15" s="53"/>
      <c r="AG15" s="52"/>
      <c r="AH15" s="52"/>
      <c r="AI15" s="52">
        <f t="shared" si="3"/>
        <v>0</v>
      </c>
    </row>
    <row r="16" spans="1:35" x14ac:dyDescent="0.2">
      <c r="A16" s="50" t="s">
        <v>146</v>
      </c>
      <c r="B16" s="63"/>
      <c r="C16" s="31" t="b">
        <v>0</v>
      </c>
      <c r="D16" s="31" t="b">
        <v>0</v>
      </c>
      <c r="E16" s="31" t="b">
        <v>0</v>
      </c>
      <c r="F16" s="31" t="b">
        <v>0</v>
      </c>
      <c r="G16" s="31" t="b">
        <v>0</v>
      </c>
      <c r="H16" s="31" t="b">
        <v>0</v>
      </c>
      <c r="I16" s="31" t="b">
        <v>0</v>
      </c>
      <c r="J16" s="31" t="b">
        <v>0</v>
      </c>
      <c r="K16" s="61"/>
      <c r="L16" s="53"/>
      <c r="M16" s="53"/>
      <c r="N16" s="53"/>
      <c r="O16" s="52">
        <f t="shared" si="5"/>
        <v>0</v>
      </c>
      <c r="P16" s="55"/>
      <c r="Q16" s="53"/>
      <c r="R16" s="52"/>
      <c r="S16" s="52"/>
      <c r="T16" s="52">
        <f t="shared" si="6"/>
        <v>0</v>
      </c>
      <c r="U16" s="62"/>
      <c r="V16" s="53"/>
      <c r="W16" s="52"/>
      <c r="X16" s="52"/>
      <c r="Y16" s="52">
        <f t="shared" si="1"/>
        <v>0</v>
      </c>
      <c r="Z16" s="55"/>
      <c r="AA16" s="53"/>
      <c r="AB16" s="52"/>
      <c r="AC16" s="53"/>
      <c r="AD16" s="52">
        <f t="shared" si="2"/>
        <v>0</v>
      </c>
      <c r="AE16" s="55"/>
      <c r="AF16" s="53"/>
      <c r="AG16" s="52"/>
      <c r="AH16" s="52"/>
      <c r="AI16" s="52">
        <f t="shared" si="3"/>
        <v>0</v>
      </c>
    </row>
    <row r="17" spans="1:35" x14ac:dyDescent="0.2">
      <c r="A17" s="50" t="s">
        <v>147</v>
      </c>
      <c r="B17" s="63"/>
      <c r="C17" s="31" t="b">
        <v>0</v>
      </c>
      <c r="D17" s="31" t="b">
        <v>0</v>
      </c>
      <c r="E17" s="31" t="b">
        <v>0</v>
      </c>
      <c r="F17" s="31" t="b">
        <v>0</v>
      </c>
      <c r="G17" s="31" t="b">
        <v>0</v>
      </c>
      <c r="H17" s="31" t="b">
        <v>0</v>
      </c>
      <c r="I17" s="31" t="b">
        <v>0</v>
      </c>
      <c r="J17" s="31" t="b">
        <v>0</v>
      </c>
      <c r="K17" s="61"/>
      <c r="L17" s="53"/>
      <c r="M17" s="53"/>
      <c r="N17" s="53"/>
      <c r="O17" s="52">
        <f t="shared" si="5"/>
        <v>0</v>
      </c>
      <c r="P17" s="55"/>
      <c r="Q17" s="53"/>
      <c r="R17" s="52"/>
      <c r="S17" s="52"/>
      <c r="T17" s="52">
        <f t="shared" si="6"/>
        <v>0</v>
      </c>
      <c r="U17" s="55"/>
      <c r="V17" s="53"/>
      <c r="W17" s="52"/>
      <c r="X17" s="52"/>
      <c r="Y17" s="52">
        <f t="shared" si="1"/>
        <v>0</v>
      </c>
      <c r="Z17" s="55"/>
      <c r="AA17" s="53"/>
      <c r="AB17" s="52"/>
      <c r="AC17" s="52"/>
      <c r="AD17" s="52">
        <f t="shared" si="2"/>
        <v>0</v>
      </c>
      <c r="AE17" s="55"/>
      <c r="AF17" s="53"/>
      <c r="AG17" s="52"/>
      <c r="AH17" s="52"/>
      <c r="AI17" s="52">
        <f t="shared" si="3"/>
        <v>0</v>
      </c>
    </row>
    <row r="18" spans="1:35" x14ac:dyDescent="0.2">
      <c r="A18" s="64" t="s">
        <v>160</v>
      </c>
      <c r="C18" s="65"/>
      <c r="D18" s="65"/>
      <c r="E18" s="65"/>
      <c r="F18" s="65"/>
      <c r="G18" s="65"/>
      <c r="H18" s="65"/>
      <c r="I18" s="17"/>
      <c r="J18" s="17"/>
      <c r="K18" s="66">
        <f t="shared" ref="K18:AI18" si="7">SUM(K4:K17)</f>
        <v>0</v>
      </c>
      <c r="L18" s="66">
        <f t="shared" si="7"/>
        <v>0</v>
      </c>
      <c r="M18" s="66">
        <f t="shared" si="7"/>
        <v>0</v>
      </c>
      <c r="N18" s="66">
        <f t="shared" si="7"/>
        <v>0</v>
      </c>
      <c r="O18" s="67">
        <f t="shared" si="7"/>
        <v>0</v>
      </c>
      <c r="P18" s="67">
        <f t="shared" si="7"/>
        <v>0</v>
      </c>
      <c r="Q18" s="67">
        <f t="shared" si="7"/>
        <v>0</v>
      </c>
      <c r="R18" s="67">
        <f t="shared" si="7"/>
        <v>0</v>
      </c>
      <c r="S18" s="67">
        <f t="shared" si="7"/>
        <v>0</v>
      </c>
      <c r="T18" s="67">
        <f t="shared" si="7"/>
        <v>0</v>
      </c>
      <c r="U18" s="67">
        <f t="shared" si="7"/>
        <v>0</v>
      </c>
      <c r="V18" s="67">
        <f t="shared" si="7"/>
        <v>0</v>
      </c>
      <c r="W18" s="67">
        <f t="shared" si="7"/>
        <v>0</v>
      </c>
      <c r="X18" s="67">
        <f t="shared" si="7"/>
        <v>0</v>
      </c>
      <c r="Y18" s="67">
        <f t="shared" si="7"/>
        <v>0</v>
      </c>
      <c r="Z18" s="67">
        <f t="shared" si="7"/>
        <v>0</v>
      </c>
      <c r="AA18" s="67">
        <f t="shared" si="7"/>
        <v>0</v>
      </c>
      <c r="AB18" s="67">
        <f t="shared" si="7"/>
        <v>0</v>
      </c>
      <c r="AC18" s="67">
        <f t="shared" si="7"/>
        <v>0</v>
      </c>
      <c r="AD18" s="67">
        <f t="shared" si="7"/>
        <v>0</v>
      </c>
      <c r="AE18" s="67">
        <f t="shared" si="7"/>
        <v>0</v>
      </c>
      <c r="AF18" s="67">
        <f t="shared" si="7"/>
        <v>0</v>
      </c>
      <c r="AG18" s="67">
        <f t="shared" si="7"/>
        <v>0</v>
      </c>
      <c r="AH18" s="67">
        <f t="shared" si="7"/>
        <v>0</v>
      </c>
      <c r="AI18" s="67">
        <f t="shared" si="7"/>
        <v>0</v>
      </c>
    </row>
    <row r="19" spans="1:35" x14ac:dyDescent="0.2">
      <c r="A19" s="68"/>
      <c r="C19" s="65"/>
      <c r="D19" s="65"/>
      <c r="E19" s="65"/>
      <c r="F19" s="65"/>
      <c r="G19" s="65"/>
      <c r="H19" s="65"/>
      <c r="I19" s="65"/>
      <c r="J19" s="65"/>
      <c r="L19" s="65"/>
      <c r="M19" s="69"/>
      <c r="N19" s="69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530" t="s">
        <v>161</v>
      </c>
      <c r="AA19" s="531"/>
      <c r="AB19" s="70"/>
      <c r="AC19" s="70"/>
      <c r="AD19" s="71">
        <f t="shared" ref="AD19:AD22" si="8">SUM(AB19:AC19)</f>
        <v>0</v>
      </c>
      <c r="AE19" s="72"/>
      <c r="AF19" s="72"/>
      <c r="AG19" s="70"/>
      <c r="AH19" s="70"/>
      <c r="AI19" s="71">
        <f t="shared" ref="AI19:AI22" si="9">SUM(AG19:AH19)</f>
        <v>0</v>
      </c>
    </row>
    <row r="20" spans="1:35" x14ac:dyDescent="0.2">
      <c r="A20" s="73" t="s">
        <v>162</v>
      </c>
      <c r="C20" s="65"/>
      <c r="D20" s="65"/>
      <c r="E20" s="65"/>
      <c r="F20" s="65"/>
      <c r="G20" s="65"/>
      <c r="H20" s="65"/>
      <c r="I20" s="65"/>
      <c r="J20" s="65"/>
      <c r="L20" s="65"/>
      <c r="M20" s="69"/>
      <c r="N20" s="69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530" t="s">
        <v>129</v>
      </c>
      <c r="AA20" s="531"/>
      <c r="AB20" s="70"/>
      <c r="AC20" s="70"/>
      <c r="AD20" s="71">
        <f t="shared" si="8"/>
        <v>0</v>
      </c>
      <c r="AE20" s="72"/>
      <c r="AF20" s="72"/>
      <c r="AG20" s="70"/>
      <c r="AH20" s="70"/>
      <c r="AI20" s="71">
        <f t="shared" si="9"/>
        <v>0</v>
      </c>
    </row>
    <row r="21" spans="1:35" x14ac:dyDescent="0.2">
      <c r="A21" s="67">
        <f>SUM(O18, T18, Y18, AD18, AI18)</f>
        <v>0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9"/>
      <c r="N21" s="69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530" t="s">
        <v>163</v>
      </c>
      <c r="AA21" s="531"/>
      <c r="AB21" s="70"/>
      <c r="AC21" s="70"/>
      <c r="AD21" s="71">
        <f t="shared" si="8"/>
        <v>0</v>
      </c>
      <c r="AE21" s="72"/>
      <c r="AF21" s="72"/>
      <c r="AG21" s="70"/>
      <c r="AH21" s="70"/>
      <c r="AI21" s="71">
        <f t="shared" si="9"/>
        <v>0</v>
      </c>
    </row>
    <row r="22" spans="1:35" x14ac:dyDescent="0.2">
      <c r="A22" s="74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9"/>
      <c r="N22" s="69"/>
      <c r="O22" s="65"/>
      <c r="P22" s="65"/>
      <c r="Q22" s="17"/>
      <c r="R22" s="65"/>
      <c r="S22" s="65"/>
      <c r="T22" s="65"/>
      <c r="U22" s="65"/>
      <c r="V22" s="65"/>
      <c r="W22" s="65"/>
      <c r="X22" s="65"/>
      <c r="Y22" s="65"/>
      <c r="Z22" s="530" t="s">
        <v>163</v>
      </c>
      <c r="AA22" s="531"/>
      <c r="AB22" s="70"/>
      <c r="AC22" s="72"/>
      <c r="AD22" s="71">
        <f t="shared" si="8"/>
        <v>0</v>
      </c>
      <c r="AE22" s="72"/>
      <c r="AF22" s="72"/>
      <c r="AG22" s="70"/>
      <c r="AH22" s="70"/>
      <c r="AI22" s="71">
        <f t="shared" si="9"/>
        <v>0</v>
      </c>
    </row>
    <row r="23" spans="1:35" x14ac:dyDescent="0.2">
      <c r="A23" s="75" t="s">
        <v>164</v>
      </c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9"/>
      <c r="N23" s="69"/>
      <c r="O23" s="65"/>
      <c r="P23" s="65"/>
      <c r="Q23" s="17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17" t="s">
        <v>153</v>
      </c>
      <c r="AD23" s="67">
        <f>SUM(AD18:AD22)</f>
        <v>0</v>
      </c>
      <c r="AE23" s="65"/>
      <c r="AF23" s="65"/>
      <c r="AG23" s="65"/>
      <c r="AH23" s="17" t="s">
        <v>165</v>
      </c>
      <c r="AI23" s="67">
        <f>SUM(AI18:AI22)</f>
        <v>0</v>
      </c>
    </row>
    <row r="24" spans="1:35" x14ac:dyDescent="0.2">
      <c r="A24" s="76">
        <f>SUM(K18, P18, U18, Z18, AE18)</f>
        <v>0</v>
      </c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9"/>
      <c r="N24" s="69"/>
      <c r="O24" s="65"/>
      <c r="P24" s="65"/>
      <c r="Q24" s="17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</row>
    <row r="25" spans="1:35" x14ac:dyDescent="0.2">
      <c r="A25" s="74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9"/>
      <c r="N25" s="69"/>
      <c r="O25" s="65"/>
      <c r="P25" s="65"/>
      <c r="Q25" s="17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</row>
    <row r="26" spans="1:35" x14ac:dyDescent="0.2">
      <c r="A26" s="74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9"/>
      <c r="N26" s="69"/>
      <c r="O26" s="65"/>
      <c r="P26" s="65"/>
      <c r="Q26" s="17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</row>
    <row r="27" spans="1:35" x14ac:dyDescent="0.2">
      <c r="A27" s="74"/>
      <c r="C27" s="65"/>
      <c r="D27" s="65"/>
      <c r="E27" s="65"/>
      <c r="F27" s="65"/>
      <c r="G27" s="65"/>
      <c r="H27" s="65"/>
      <c r="I27" s="65"/>
      <c r="J27" s="65"/>
      <c r="K27" s="65"/>
      <c r="L27" s="17"/>
      <c r="M27" s="69"/>
      <c r="N27" s="69"/>
      <c r="O27" s="65"/>
      <c r="P27" s="65"/>
      <c r="Q27" s="17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</row>
    <row r="28" spans="1:35" x14ac:dyDescent="0.2">
      <c r="A28" s="74"/>
      <c r="C28" s="65"/>
      <c r="D28" s="77" t="s">
        <v>166</v>
      </c>
      <c r="E28" s="77" t="s">
        <v>167</v>
      </c>
      <c r="F28" s="77" t="s">
        <v>168</v>
      </c>
      <c r="G28" s="77" t="s">
        <v>169</v>
      </c>
      <c r="H28" s="65"/>
      <c r="I28" s="65"/>
      <c r="J28" s="65"/>
      <c r="K28" s="65"/>
      <c r="L28" s="17"/>
      <c r="M28" s="69"/>
      <c r="N28" s="69"/>
      <c r="O28" s="65"/>
      <c r="P28" s="65"/>
      <c r="Q28" s="17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</row>
    <row r="29" spans="1:35" x14ac:dyDescent="0.2">
      <c r="A29" s="74"/>
      <c r="C29" s="65"/>
      <c r="D29" s="72"/>
      <c r="E29" s="72"/>
      <c r="F29" s="77" t="s">
        <v>170</v>
      </c>
      <c r="G29" s="72"/>
      <c r="H29" s="65"/>
      <c r="I29" s="65"/>
      <c r="J29" s="65"/>
      <c r="K29" s="65"/>
      <c r="L29" s="17"/>
      <c r="M29" s="69"/>
      <c r="N29" s="69"/>
      <c r="O29" s="65"/>
      <c r="P29" s="65"/>
      <c r="Q29" s="17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</row>
    <row r="30" spans="1:35" x14ac:dyDescent="0.2">
      <c r="A30" s="74"/>
      <c r="C30" s="65"/>
      <c r="D30" s="72"/>
      <c r="E30" s="72"/>
      <c r="F30" s="77" t="s">
        <v>171</v>
      </c>
      <c r="G30" s="72"/>
      <c r="H30" s="65"/>
      <c r="I30" s="65"/>
      <c r="J30" s="65"/>
      <c r="K30" s="65"/>
      <c r="L30" s="17"/>
      <c r="M30" s="69"/>
      <c r="N30" s="69"/>
      <c r="O30" s="65"/>
      <c r="P30" s="65"/>
      <c r="Q30" s="17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</row>
    <row r="31" spans="1:35" x14ac:dyDescent="0.2">
      <c r="A31" s="74"/>
      <c r="C31" s="65"/>
      <c r="D31" s="72"/>
      <c r="E31" s="72"/>
      <c r="F31" s="77" t="s">
        <v>172</v>
      </c>
      <c r="G31" s="72"/>
      <c r="H31" s="65"/>
      <c r="I31" s="65"/>
      <c r="J31" s="65"/>
      <c r="K31" s="65"/>
      <c r="L31" s="17"/>
      <c r="M31" s="69"/>
      <c r="N31" s="69"/>
      <c r="O31" s="65"/>
      <c r="P31" s="65"/>
      <c r="Q31" s="17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</row>
    <row r="32" spans="1:35" x14ac:dyDescent="0.2">
      <c r="A32" s="74"/>
      <c r="C32" s="65"/>
      <c r="D32" s="72"/>
      <c r="E32" s="72"/>
      <c r="F32" s="77" t="s">
        <v>173</v>
      </c>
      <c r="G32" s="72"/>
      <c r="H32" s="65"/>
      <c r="I32" s="65"/>
      <c r="J32" s="65"/>
      <c r="K32" s="65"/>
      <c r="L32" s="17"/>
      <c r="M32" s="69"/>
      <c r="N32" s="69"/>
      <c r="O32" s="65"/>
      <c r="P32" s="65"/>
      <c r="Q32" s="17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</row>
    <row r="33" spans="1:35" x14ac:dyDescent="0.2">
      <c r="A33" s="74"/>
      <c r="C33" s="65"/>
      <c r="D33" s="72"/>
      <c r="E33" s="72"/>
      <c r="F33" s="77" t="s">
        <v>174</v>
      </c>
      <c r="G33" s="72"/>
      <c r="H33" s="65"/>
      <c r="I33" s="65"/>
      <c r="J33" s="65"/>
      <c r="K33" s="65"/>
      <c r="L33" s="17"/>
      <c r="M33" s="69"/>
      <c r="N33" s="69"/>
      <c r="O33" s="65"/>
      <c r="P33" s="65"/>
      <c r="Q33" s="17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</row>
    <row r="34" spans="1:35" x14ac:dyDescent="0.2">
      <c r="A34" s="74"/>
      <c r="C34" s="65"/>
      <c r="D34" s="72"/>
      <c r="E34" s="72"/>
      <c r="F34" s="77" t="s">
        <v>173</v>
      </c>
      <c r="G34" s="72"/>
      <c r="H34" s="65"/>
      <c r="I34" s="65"/>
      <c r="J34" s="65"/>
      <c r="K34" s="65"/>
      <c r="L34" s="17"/>
      <c r="M34" s="69"/>
      <c r="N34" s="69"/>
      <c r="O34" s="65"/>
      <c r="P34" s="65"/>
      <c r="Q34" s="17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</row>
    <row r="35" spans="1:35" x14ac:dyDescent="0.2">
      <c r="A35" s="74"/>
      <c r="C35" s="65"/>
      <c r="D35" s="72"/>
      <c r="E35" s="72"/>
      <c r="F35" s="77" t="s">
        <v>175</v>
      </c>
      <c r="G35" s="72"/>
      <c r="H35" s="65"/>
      <c r="I35" s="65"/>
      <c r="J35" s="65"/>
      <c r="K35" s="65"/>
      <c r="L35" s="17"/>
      <c r="M35" s="69"/>
      <c r="N35" s="69"/>
      <c r="O35" s="65"/>
      <c r="P35" s="65"/>
      <c r="Q35" s="17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</row>
    <row r="36" spans="1:35" x14ac:dyDescent="0.2">
      <c r="A36" s="74"/>
      <c r="C36" s="65"/>
      <c r="D36" s="72"/>
      <c r="E36" s="72"/>
      <c r="F36" s="77" t="s">
        <v>176</v>
      </c>
      <c r="G36" s="72"/>
      <c r="H36" s="65"/>
      <c r="I36" s="65"/>
      <c r="J36" s="65"/>
      <c r="K36" s="65"/>
      <c r="L36" s="17"/>
      <c r="M36" s="69"/>
      <c r="N36" s="69"/>
      <c r="O36" s="65"/>
      <c r="P36" s="65"/>
      <c r="Q36" s="17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</row>
    <row r="37" spans="1:35" x14ac:dyDescent="0.2">
      <c r="A37" s="74"/>
      <c r="C37" s="65"/>
      <c r="D37" s="72"/>
      <c r="E37" s="72"/>
      <c r="F37" s="77" t="s">
        <v>176</v>
      </c>
      <c r="G37" s="72"/>
      <c r="H37" s="65"/>
      <c r="I37" s="65"/>
      <c r="J37" s="65"/>
      <c r="K37" s="65"/>
      <c r="L37" s="65"/>
      <c r="M37" s="69"/>
      <c r="N37" s="69"/>
      <c r="O37" s="65"/>
      <c r="P37" s="65"/>
      <c r="Q37" s="17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</row>
    <row r="38" spans="1:35" x14ac:dyDescent="0.2">
      <c r="A38" s="74"/>
      <c r="C38" s="65"/>
      <c r="D38" s="72"/>
      <c r="E38" s="72"/>
      <c r="F38" s="77" t="s">
        <v>177</v>
      </c>
      <c r="G38" s="72"/>
      <c r="H38" s="65"/>
      <c r="I38" s="65"/>
      <c r="J38" s="65"/>
      <c r="K38" s="65"/>
      <c r="L38" s="65"/>
      <c r="M38" s="69"/>
      <c r="N38" s="69"/>
      <c r="O38" s="65"/>
      <c r="P38" s="65"/>
      <c r="Q38" s="17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</row>
    <row r="39" spans="1:35" x14ac:dyDescent="0.2">
      <c r="A39" s="74"/>
      <c r="C39" s="65"/>
      <c r="D39" s="72"/>
      <c r="E39" s="72"/>
      <c r="F39" s="77" t="s">
        <v>178</v>
      </c>
      <c r="G39" s="72"/>
      <c r="H39" s="65"/>
      <c r="I39" s="65"/>
      <c r="J39" s="65"/>
      <c r="K39" s="65"/>
      <c r="L39" s="65"/>
      <c r="M39" s="69"/>
      <c r="N39" s="69"/>
      <c r="O39" s="65"/>
      <c r="P39" s="65"/>
      <c r="Q39" s="17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</row>
    <row r="40" spans="1:35" x14ac:dyDescent="0.2">
      <c r="A40" s="74"/>
      <c r="C40" s="65"/>
      <c r="D40" s="72"/>
      <c r="E40" s="72"/>
      <c r="F40" s="77" t="s">
        <v>179</v>
      </c>
      <c r="G40" s="72"/>
      <c r="H40" s="65"/>
      <c r="I40" s="65"/>
      <c r="J40" s="65"/>
      <c r="K40" s="65"/>
      <c r="L40" s="65"/>
      <c r="M40" s="69"/>
      <c r="N40" s="69"/>
      <c r="O40" s="65"/>
      <c r="P40" s="65"/>
      <c r="Q40" s="17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</row>
    <row r="41" spans="1:35" x14ac:dyDescent="0.2">
      <c r="A41" s="74"/>
      <c r="C41" s="65"/>
      <c r="D41" s="72"/>
      <c r="E41" s="72"/>
      <c r="F41" s="77" t="s">
        <v>180</v>
      </c>
      <c r="G41" s="72"/>
      <c r="H41" s="65"/>
      <c r="I41" s="65"/>
      <c r="J41" s="65"/>
      <c r="K41" s="65"/>
      <c r="L41" s="65"/>
      <c r="M41" s="69"/>
      <c r="N41" s="69"/>
      <c r="O41" s="65"/>
      <c r="P41" s="65"/>
      <c r="Q41" s="17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</row>
    <row r="42" spans="1:35" x14ac:dyDescent="0.2">
      <c r="A42" s="74"/>
      <c r="C42" s="65"/>
      <c r="D42" s="72"/>
      <c r="E42" s="72"/>
      <c r="F42" s="17" t="s">
        <v>181</v>
      </c>
      <c r="G42" s="72"/>
      <c r="H42" s="65"/>
      <c r="I42" s="65"/>
      <c r="J42" s="65"/>
      <c r="K42" s="65"/>
      <c r="L42" s="65"/>
      <c r="M42" s="69"/>
      <c r="N42" s="69"/>
      <c r="O42" s="65"/>
      <c r="P42" s="65"/>
      <c r="Q42" s="17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</row>
    <row r="43" spans="1:35" x14ac:dyDescent="0.2">
      <c r="A43" s="74"/>
      <c r="C43" s="65"/>
      <c r="D43" s="72"/>
      <c r="E43" s="72"/>
      <c r="F43" s="17" t="s">
        <v>182</v>
      </c>
      <c r="G43" s="72"/>
      <c r="H43" s="65"/>
      <c r="I43" s="65"/>
      <c r="J43" s="65"/>
      <c r="K43" s="65"/>
      <c r="L43" s="65"/>
      <c r="M43" s="69"/>
      <c r="N43" s="69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</row>
    <row r="44" spans="1:35" x14ac:dyDescent="0.2">
      <c r="A44" s="74"/>
      <c r="C44" s="65"/>
      <c r="D44" s="72"/>
      <c r="E44" s="72"/>
      <c r="F44" s="17" t="s">
        <v>183</v>
      </c>
      <c r="G44" s="72"/>
      <c r="H44" s="65"/>
      <c r="I44" s="65"/>
      <c r="J44" s="65"/>
      <c r="K44" s="65"/>
      <c r="L44" s="65"/>
      <c r="M44" s="69"/>
      <c r="N44" s="69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</row>
    <row r="45" spans="1:35" x14ac:dyDescent="0.2">
      <c r="A45" s="74"/>
      <c r="C45" s="65"/>
      <c r="D45" s="72"/>
      <c r="E45" s="72"/>
      <c r="F45" s="17" t="s">
        <v>184</v>
      </c>
      <c r="G45" s="72"/>
      <c r="H45" s="65"/>
      <c r="I45" s="65"/>
      <c r="J45" s="65"/>
      <c r="K45" s="65"/>
      <c r="L45" s="65"/>
      <c r="M45" s="69"/>
      <c r="N45" s="69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</row>
    <row r="46" spans="1:35" x14ac:dyDescent="0.2">
      <c r="A46" s="74"/>
      <c r="C46" s="65"/>
      <c r="D46" s="72"/>
      <c r="E46" s="72"/>
      <c r="F46" s="17" t="s">
        <v>185</v>
      </c>
      <c r="G46" s="72"/>
      <c r="H46" s="65"/>
      <c r="I46" s="65"/>
      <c r="J46" s="65"/>
      <c r="K46" s="65"/>
      <c r="L46" s="65"/>
      <c r="M46" s="69"/>
      <c r="N46" s="69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</row>
    <row r="47" spans="1:35" x14ac:dyDescent="0.2">
      <c r="A47" s="74"/>
      <c r="C47" s="65"/>
      <c r="D47" s="72"/>
      <c r="E47" s="72"/>
      <c r="F47" s="17" t="s">
        <v>186</v>
      </c>
      <c r="G47" s="72"/>
      <c r="H47" s="65"/>
      <c r="I47" s="65"/>
      <c r="J47" s="65"/>
      <c r="K47" s="65"/>
      <c r="L47" s="65"/>
      <c r="M47" s="69"/>
      <c r="N47" s="69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</row>
    <row r="48" spans="1:35" x14ac:dyDescent="0.2">
      <c r="A48" s="74"/>
      <c r="C48" s="65"/>
      <c r="D48" s="72"/>
      <c r="E48" s="72"/>
      <c r="F48" s="17" t="s">
        <v>187</v>
      </c>
      <c r="G48" s="72"/>
      <c r="H48" s="65"/>
      <c r="I48" s="65"/>
      <c r="J48" s="65"/>
      <c r="K48" s="65"/>
      <c r="L48" s="65"/>
      <c r="M48" s="69"/>
      <c r="N48" s="69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</row>
    <row r="49" spans="1:35" x14ac:dyDescent="0.2">
      <c r="A49" s="74"/>
      <c r="C49" s="65"/>
      <c r="D49" s="72"/>
      <c r="E49" s="72"/>
      <c r="F49" s="17" t="s">
        <v>188</v>
      </c>
      <c r="G49" s="72"/>
      <c r="H49" s="65"/>
      <c r="I49" s="65"/>
      <c r="J49" s="65"/>
      <c r="K49" s="65"/>
      <c r="L49" s="65"/>
      <c r="M49" s="69"/>
      <c r="N49" s="69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</row>
    <row r="50" spans="1:35" x14ac:dyDescent="0.2">
      <c r="A50" s="74"/>
      <c r="C50" s="65"/>
      <c r="D50" s="72"/>
      <c r="E50" s="72"/>
      <c r="F50" s="17" t="s">
        <v>189</v>
      </c>
      <c r="G50" s="72"/>
      <c r="H50" s="65"/>
      <c r="I50" s="65"/>
      <c r="J50" s="65"/>
      <c r="K50" s="65"/>
      <c r="L50" s="65"/>
      <c r="M50" s="69"/>
      <c r="N50" s="69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</row>
    <row r="51" spans="1:35" x14ac:dyDescent="0.2">
      <c r="A51" s="74"/>
      <c r="C51" s="65"/>
      <c r="D51" s="72"/>
      <c r="E51" s="72"/>
      <c r="F51" s="17" t="s">
        <v>190</v>
      </c>
      <c r="G51" s="72"/>
      <c r="H51" s="65"/>
      <c r="I51" s="65"/>
      <c r="J51" s="65"/>
      <c r="K51" s="65"/>
      <c r="L51" s="65"/>
      <c r="M51" s="69"/>
      <c r="N51" s="69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</row>
    <row r="52" spans="1:35" x14ac:dyDescent="0.2">
      <c r="A52" s="74"/>
      <c r="C52" s="65"/>
      <c r="D52" s="72"/>
      <c r="E52" s="72"/>
      <c r="F52" s="17" t="s">
        <v>191</v>
      </c>
      <c r="G52" s="72"/>
      <c r="H52" s="65"/>
      <c r="I52" s="65"/>
      <c r="J52" s="65"/>
      <c r="K52" s="65"/>
      <c r="L52" s="65"/>
      <c r="M52" s="69"/>
      <c r="N52" s="69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</row>
    <row r="53" spans="1:35" x14ac:dyDescent="0.2">
      <c r="A53" s="74"/>
      <c r="C53" s="65"/>
      <c r="D53" s="72"/>
      <c r="E53" s="72"/>
      <c r="F53" s="17" t="s">
        <v>192</v>
      </c>
      <c r="G53" s="72"/>
      <c r="H53" s="65"/>
      <c r="I53" s="65"/>
      <c r="J53" s="65"/>
      <c r="K53" s="65"/>
      <c r="L53" s="65"/>
      <c r="M53" s="69"/>
      <c r="N53" s="69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</row>
    <row r="54" spans="1:35" x14ac:dyDescent="0.2">
      <c r="A54" s="74"/>
      <c r="C54" s="65"/>
      <c r="D54" s="72"/>
      <c r="E54" s="72"/>
      <c r="F54" s="17" t="s">
        <v>193</v>
      </c>
      <c r="G54" s="72"/>
      <c r="H54" s="65"/>
      <c r="I54" s="65"/>
      <c r="J54" s="65"/>
      <c r="K54" s="65"/>
      <c r="L54" s="65"/>
      <c r="M54" s="69"/>
      <c r="N54" s="69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</row>
    <row r="55" spans="1:35" x14ac:dyDescent="0.2">
      <c r="A55" s="74"/>
      <c r="C55" s="65"/>
      <c r="D55" s="72"/>
      <c r="E55" s="72"/>
      <c r="F55" s="17" t="s">
        <v>194</v>
      </c>
      <c r="G55" s="72"/>
      <c r="H55" s="65"/>
      <c r="I55" s="65"/>
      <c r="J55" s="65"/>
      <c r="K55" s="65"/>
      <c r="L55" s="65"/>
      <c r="M55" s="69"/>
      <c r="N55" s="69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</row>
    <row r="56" spans="1:35" x14ac:dyDescent="0.2">
      <c r="A56" s="74"/>
      <c r="C56" s="65"/>
      <c r="D56" s="72"/>
      <c r="E56" s="72"/>
      <c r="F56" s="17" t="s">
        <v>195</v>
      </c>
      <c r="G56" s="72"/>
      <c r="H56" s="65"/>
      <c r="I56" s="65"/>
      <c r="J56" s="65"/>
      <c r="K56" s="65"/>
      <c r="L56" s="65"/>
      <c r="M56" s="69"/>
      <c r="N56" s="69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</row>
    <row r="57" spans="1:35" x14ac:dyDescent="0.2">
      <c r="A57" s="74"/>
      <c r="C57" s="65"/>
      <c r="D57" s="72"/>
      <c r="E57" s="72"/>
      <c r="F57" s="17" t="s">
        <v>196</v>
      </c>
      <c r="G57" s="72"/>
      <c r="H57" s="65"/>
      <c r="I57" s="65"/>
      <c r="J57" s="65"/>
      <c r="K57" s="65"/>
      <c r="L57" s="65"/>
      <c r="M57" s="69"/>
      <c r="N57" s="69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</row>
    <row r="58" spans="1:35" x14ac:dyDescent="0.2">
      <c r="A58" s="74"/>
      <c r="C58" s="65"/>
      <c r="D58" s="72"/>
      <c r="E58" s="72"/>
      <c r="F58" s="17" t="s">
        <v>197</v>
      </c>
      <c r="G58" s="72"/>
      <c r="H58" s="65"/>
      <c r="I58" s="65"/>
      <c r="J58" s="65"/>
      <c r="K58" s="65"/>
      <c r="L58" s="65"/>
      <c r="M58" s="69"/>
      <c r="N58" s="69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</row>
    <row r="59" spans="1:35" x14ac:dyDescent="0.2">
      <c r="A59" s="74"/>
      <c r="C59" s="65"/>
      <c r="D59" s="72"/>
      <c r="E59" s="65"/>
      <c r="F59" s="65"/>
      <c r="G59" s="65"/>
      <c r="H59" s="65"/>
      <c r="I59" s="65"/>
      <c r="J59" s="65"/>
      <c r="K59" s="65"/>
      <c r="L59" s="65"/>
      <c r="M59" s="69"/>
      <c r="N59" s="69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</row>
    <row r="60" spans="1:35" x14ac:dyDescent="0.2">
      <c r="A60" s="74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9"/>
      <c r="N60" s="69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</row>
    <row r="61" spans="1:35" x14ac:dyDescent="0.2">
      <c r="A61" s="74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9"/>
      <c r="N61" s="69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</row>
    <row r="62" spans="1:35" x14ac:dyDescent="0.2">
      <c r="A62" s="74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9"/>
      <c r="N62" s="69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</row>
    <row r="63" spans="1:35" x14ac:dyDescent="0.2">
      <c r="A63" s="74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9"/>
      <c r="N63" s="69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</row>
    <row r="64" spans="1:35" x14ac:dyDescent="0.2">
      <c r="A64" s="74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9"/>
      <c r="N64" s="69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</row>
    <row r="65" spans="1:35" x14ac:dyDescent="0.2">
      <c r="A65" s="74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9"/>
      <c r="N65" s="69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</row>
    <row r="66" spans="1:35" x14ac:dyDescent="0.2">
      <c r="A66" s="74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9"/>
      <c r="N66" s="69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</row>
    <row r="67" spans="1:35" x14ac:dyDescent="0.2">
      <c r="A67" s="74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9"/>
      <c r="N67" s="69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</row>
    <row r="68" spans="1:35" x14ac:dyDescent="0.2">
      <c r="A68" s="74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9"/>
      <c r="N68" s="69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</row>
    <row r="69" spans="1:35" x14ac:dyDescent="0.2">
      <c r="A69" s="74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9"/>
      <c r="N69" s="69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</row>
    <row r="70" spans="1:35" x14ac:dyDescent="0.2">
      <c r="A70" s="74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9"/>
      <c r="N70" s="69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</row>
    <row r="71" spans="1:35" x14ac:dyDescent="0.2">
      <c r="A71" s="74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9"/>
      <c r="N71" s="69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</row>
    <row r="72" spans="1:35" x14ac:dyDescent="0.2">
      <c r="A72" s="74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9"/>
      <c r="N72" s="69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</row>
    <row r="73" spans="1:35" x14ac:dyDescent="0.2">
      <c r="A73" s="74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9"/>
      <c r="N73" s="69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</row>
    <row r="74" spans="1:35" x14ac:dyDescent="0.2">
      <c r="A74" s="74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9"/>
      <c r="N74" s="69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</row>
    <row r="75" spans="1:35" x14ac:dyDescent="0.2">
      <c r="A75" s="74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9"/>
      <c r="N75" s="69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</row>
    <row r="76" spans="1:35" x14ac:dyDescent="0.2">
      <c r="A76" s="74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9"/>
      <c r="N76" s="69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</row>
    <row r="77" spans="1:35" x14ac:dyDescent="0.2">
      <c r="A77" s="74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9"/>
      <c r="N77" s="69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</row>
    <row r="78" spans="1:35" x14ac:dyDescent="0.2">
      <c r="A78" s="74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9"/>
      <c r="N78" s="69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</row>
    <row r="79" spans="1:35" x14ac:dyDescent="0.2">
      <c r="A79" s="74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9"/>
      <c r="N79" s="69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</row>
    <row r="80" spans="1:35" x14ac:dyDescent="0.2">
      <c r="A80" s="74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9"/>
      <c r="N80" s="69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</row>
    <row r="81" spans="1:35" x14ac:dyDescent="0.2">
      <c r="A81" s="74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9"/>
      <c r="N81" s="69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</row>
    <row r="82" spans="1:35" x14ac:dyDescent="0.2">
      <c r="A82" s="74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9"/>
      <c r="N82" s="69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</row>
    <row r="83" spans="1:35" x14ac:dyDescent="0.2">
      <c r="A83" s="74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9"/>
      <c r="N83" s="69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</row>
    <row r="84" spans="1:35" x14ac:dyDescent="0.2">
      <c r="A84" s="74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9"/>
      <c r="N84" s="69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</row>
    <row r="85" spans="1:35" x14ac:dyDescent="0.2">
      <c r="A85" s="74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9"/>
      <c r="N85" s="69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</row>
    <row r="86" spans="1:35" x14ac:dyDescent="0.2">
      <c r="A86" s="74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9"/>
      <c r="N86" s="69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</row>
    <row r="87" spans="1:35" x14ac:dyDescent="0.2">
      <c r="A87" s="74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9"/>
      <c r="N87" s="69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</row>
    <row r="88" spans="1:35" x14ac:dyDescent="0.2">
      <c r="A88" s="74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9"/>
      <c r="N88" s="69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</row>
    <row r="89" spans="1:35" x14ac:dyDescent="0.2">
      <c r="A89" s="74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9"/>
      <c r="N89" s="69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</row>
    <row r="90" spans="1:35" x14ac:dyDescent="0.2">
      <c r="A90" s="74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9"/>
      <c r="N90" s="69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</row>
    <row r="91" spans="1:35" x14ac:dyDescent="0.2">
      <c r="A91" s="74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9"/>
      <c r="N91" s="69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</row>
    <row r="92" spans="1:35" x14ac:dyDescent="0.2">
      <c r="A92" s="74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9"/>
      <c r="N92" s="69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</row>
    <row r="93" spans="1:35" x14ac:dyDescent="0.2">
      <c r="A93" s="74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9"/>
      <c r="N93" s="69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</row>
    <row r="94" spans="1:35" x14ac:dyDescent="0.2">
      <c r="A94" s="74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9"/>
      <c r="N94" s="69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</row>
    <row r="95" spans="1:35" x14ac:dyDescent="0.2">
      <c r="A95" s="74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9"/>
      <c r="N95" s="69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</row>
    <row r="96" spans="1:35" x14ac:dyDescent="0.2">
      <c r="A96" s="74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9"/>
      <c r="N96" s="69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</row>
    <row r="97" spans="1:35" x14ac:dyDescent="0.2">
      <c r="A97" s="74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9"/>
      <c r="N97" s="69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</row>
    <row r="98" spans="1:35" x14ac:dyDescent="0.2">
      <c r="A98" s="74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9"/>
      <c r="N98" s="69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</row>
    <row r="99" spans="1:35" x14ac:dyDescent="0.2">
      <c r="A99" s="74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9"/>
      <c r="N99" s="69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</row>
    <row r="100" spans="1:35" x14ac:dyDescent="0.2">
      <c r="A100" s="74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9"/>
      <c r="N100" s="69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</row>
    <row r="101" spans="1:35" x14ac:dyDescent="0.2">
      <c r="A101" s="74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9"/>
      <c r="N101" s="69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</row>
    <row r="102" spans="1:35" x14ac:dyDescent="0.2">
      <c r="A102" s="74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9"/>
      <c r="N102" s="69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</row>
    <row r="103" spans="1:35" x14ac:dyDescent="0.2">
      <c r="A103" s="74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9"/>
      <c r="N103" s="69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</row>
    <row r="104" spans="1:35" x14ac:dyDescent="0.2">
      <c r="A104" s="74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9"/>
      <c r="N104" s="69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</row>
    <row r="105" spans="1:35" x14ac:dyDescent="0.2">
      <c r="A105" s="74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9"/>
      <c r="N105" s="69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</row>
    <row r="106" spans="1:35" x14ac:dyDescent="0.2">
      <c r="A106" s="74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9"/>
      <c r="N106" s="69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</row>
    <row r="107" spans="1:35" x14ac:dyDescent="0.2">
      <c r="A107" s="74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9"/>
      <c r="N107" s="69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</row>
    <row r="108" spans="1:35" x14ac:dyDescent="0.2">
      <c r="A108" s="74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9"/>
      <c r="N108" s="69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</row>
    <row r="109" spans="1:35" x14ac:dyDescent="0.2">
      <c r="A109" s="74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9"/>
      <c r="N109" s="69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</row>
    <row r="110" spans="1:35" x14ac:dyDescent="0.2">
      <c r="A110" s="74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9"/>
      <c r="N110" s="69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</row>
    <row r="111" spans="1:35" x14ac:dyDescent="0.2">
      <c r="A111" s="74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9"/>
      <c r="N111" s="69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</row>
    <row r="112" spans="1:35" x14ac:dyDescent="0.2">
      <c r="A112" s="74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9"/>
      <c r="N112" s="69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</row>
    <row r="113" spans="1:35" x14ac:dyDescent="0.2">
      <c r="A113" s="74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9"/>
      <c r="N113" s="69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</row>
    <row r="114" spans="1:35" x14ac:dyDescent="0.2">
      <c r="A114" s="74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9"/>
      <c r="N114" s="69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</row>
    <row r="115" spans="1:35" x14ac:dyDescent="0.2">
      <c r="A115" s="74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9"/>
      <c r="N115" s="69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</row>
    <row r="116" spans="1:35" x14ac:dyDescent="0.2">
      <c r="A116" s="74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9"/>
      <c r="N116" s="69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</row>
    <row r="117" spans="1:35" x14ac:dyDescent="0.2">
      <c r="A117" s="74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9"/>
      <c r="N117" s="69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</row>
    <row r="118" spans="1:35" x14ac:dyDescent="0.2">
      <c r="A118" s="74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9"/>
      <c r="N118" s="69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</row>
    <row r="119" spans="1:35" x14ac:dyDescent="0.2">
      <c r="A119" s="74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9"/>
      <c r="N119" s="69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</row>
    <row r="120" spans="1:35" x14ac:dyDescent="0.2">
      <c r="A120" s="74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9"/>
      <c r="N120" s="69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</row>
    <row r="121" spans="1:35" x14ac:dyDescent="0.2">
      <c r="A121" s="74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9"/>
      <c r="N121" s="69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</row>
    <row r="122" spans="1:35" x14ac:dyDescent="0.2">
      <c r="A122" s="74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9"/>
      <c r="N122" s="69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</row>
    <row r="123" spans="1:35" x14ac:dyDescent="0.2">
      <c r="A123" s="74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9"/>
      <c r="N123" s="69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</row>
    <row r="124" spans="1:35" x14ac:dyDescent="0.2">
      <c r="A124" s="74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9"/>
      <c r="N124" s="69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</row>
    <row r="125" spans="1:35" x14ac:dyDescent="0.2">
      <c r="A125" s="74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9"/>
      <c r="N125" s="69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</row>
    <row r="126" spans="1:35" x14ac:dyDescent="0.2">
      <c r="A126" s="74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9"/>
      <c r="N126" s="69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</row>
    <row r="127" spans="1:35" x14ac:dyDescent="0.2">
      <c r="A127" s="74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9"/>
      <c r="N127" s="69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</row>
    <row r="128" spans="1:35" x14ac:dyDescent="0.2">
      <c r="A128" s="74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9"/>
      <c r="N128" s="69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</row>
    <row r="129" spans="1:35" x14ac:dyDescent="0.2">
      <c r="A129" s="74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9"/>
      <c r="N129" s="69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</row>
    <row r="130" spans="1:35" x14ac:dyDescent="0.2">
      <c r="A130" s="74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9"/>
      <c r="N130" s="69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</row>
    <row r="131" spans="1:35" x14ac:dyDescent="0.2">
      <c r="A131" s="74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9"/>
      <c r="N131" s="69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</row>
    <row r="132" spans="1:35" x14ac:dyDescent="0.2">
      <c r="A132" s="74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9"/>
      <c r="N132" s="69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</row>
    <row r="133" spans="1:35" x14ac:dyDescent="0.2">
      <c r="A133" s="74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9"/>
      <c r="N133" s="69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</row>
    <row r="134" spans="1:35" x14ac:dyDescent="0.2">
      <c r="A134" s="74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9"/>
      <c r="N134" s="69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</row>
    <row r="135" spans="1:35" x14ac:dyDescent="0.2">
      <c r="A135" s="74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9"/>
      <c r="N135" s="69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</row>
    <row r="136" spans="1:35" x14ac:dyDescent="0.2">
      <c r="A136" s="74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9"/>
      <c r="N136" s="69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</row>
    <row r="137" spans="1:35" x14ac:dyDescent="0.2">
      <c r="A137" s="74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9"/>
      <c r="N137" s="69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</row>
    <row r="138" spans="1:35" x14ac:dyDescent="0.2">
      <c r="A138" s="74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9"/>
      <c r="N138" s="69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</row>
    <row r="139" spans="1:35" x14ac:dyDescent="0.2">
      <c r="A139" s="74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9"/>
      <c r="N139" s="69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</row>
    <row r="140" spans="1:35" x14ac:dyDescent="0.2">
      <c r="A140" s="74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9"/>
      <c r="N140" s="69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</row>
    <row r="141" spans="1:35" x14ac:dyDescent="0.2">
      <c r="A141" s="74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9"/>
      <c r="N141" s="69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</row>
    <row r="142" spans="1:35" x14ac:dyDescent="0.2">
      <c r="A142" s="74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9"/>
      <c r="N142" s="69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</row>
    <row r="143" spans="1:35" x14ac:dyDescent="0.2">
      <c r="A143" s="74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9"/>
      <c r="N143" s="69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</row>
    <row r="144" spans="1:35" x14ac:dyDescent="0.2">
      <c r="A144" s="74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9"/>
      <c r="N144" s="69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</row>
    <row r="145" spans="1:35" x14ac:dyDescent="0.2">
      <c r="A145" s="74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9"/>
      <c r="N145" s="69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</row>
    <row r="146" spans="1:35" x14ac:dyDescent="0.2">
      <c r="A146" s="74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9"/>
      <c r="N146" s="69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</row>
    <row r="147" spans="1:35" x14ac:dyDescent="0.2">
      <c r="A147" s="74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9"/>
      <c r="N147" s="69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</row>
    <row r="148" spans="1:35" x14ac:dyDescent="0.2">
      <c r="A148" s="74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9"/>
      <c r="N148" s="69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</row>
    <row r="149" spans="1:35" x14ac:dyDescent="0.2">
      <c r="A149" s="74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9"/>
      <c r="N149" s="69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</row>
    <row r="150" spans="1:35" x14ac:dyDescent="0.2">
      <c r="A150" s="74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9"/>
      <c r="N150" s="69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</row>
    <row r="151" spans="1:35" x14ac:dyDescent="0.2">
      <c r="A151" s="74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9"/>
      <c r="N151" s="69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</row>
    <row r="152" spans="1:35" x14ac:dyDescent="0.2">
      <c r="A152" s="74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9"/>
      <c r="N152" s="69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</row>
    <row r="153" spans="1:35" x14ac:dyDescent="0.2">
      <c r="A153" s="74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9"/>
      <c r="N153" s="69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</row>
    <row r="154" spans="1:35" x14ac:dyDescent="0.2">
      <c r="A154" s="74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9"/>
      <c r="N154" s="69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</row>
    <row r="155" spans="1:35" x14ac:dyDescent="0.2">
      <c r="A155" s="74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9"/>
      <c r="N155" s="69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</row>
    <row r="156" spans="1:35" x14ac:dyDescent="0.2">
      <c r="A156" s="74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9"/>
      <c r="N156" s="69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</row>
    <row r="157" spans="1:35" x14ac:dyDescent="0.2">
      <c r="A157" s="74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9"/>
      <c r="N157" s="69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</row>
    <row r="158" spans="1:35" x14ac:dyDescent="0.2">
      <c r="A158" s="74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9"/>
      <c r="N158" s="69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</row>
    <row r="159" spans="1:35" x14ac:dyDescent="0.2">
      <c r="A159" s="74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9"/>
      <c r="N159" s="69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</row>
    <row r="160" spans="1:35" x14ac:dyDescent="0.2">
      <c r="A160" s="74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9"/>
      <c r="N160" s="69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</row>
    <row r="161" spans="1:35" x14ac:dyDescent="0.2">
      <c r="A161" s="74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9"/>
      <c r="N161" s="69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</row>
    <row r="162" spans="1:35" x14ac:dyDescent="0.2">
      <c r="A162" s="74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9"/>
      <c r="N162" s="69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</row>
    <row r="163" spans="1:35" x14ac:dyDescent="0.2">
      <c r="A163" s="74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9"/>
      <c r="N163" s="69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</row>
    <row r="164" spans="1:35" x14ac:dyDescent="0.2">
      <c r="A164" s="74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9"/>
      <c r="N164" s="69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</row>
    <row r="165" spans="1:35" x14ac:dyDescent="0.2">
      <c r="A165" s="74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9"/>
      <c r="N165" s="69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</row>
    <row r="166" spans="1:35" x14ac:dyDescent="0.2">
      <c r="A166" s="74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9"/>
      <c r="N166" s="69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</row>
    <row r="167" spans="1:35" x14ac:dyDescent="0.2">
      <c r="A167" s="74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9"/>
      <c r="N167" s="69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</row>
    <row r="168" spans="1:35" x14ac:dyDescent="0.2">
      <c r="A168" s="74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9"/>
      <c r="N168" s="69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</row>
    <row r="169" spans="1:35" x14ac:dyDescent="0.2">
      <c r="A169" s="74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9"/>
      <c r="N169" s="69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</row>
    <row r="170" spans="1:35" x14ac:dyDescent="0.2">
      <c r="A170" s="74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9"/>
      <c r="N170" s="69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</row>
    <row r="171" spans="1:35" x14ac:dyDescent="0.2">
      <c r="A171" s="74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9"/>
      <c r="N171" s="69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</row>
    <row r="172" spans="1:35" x14ac:dyDescent="0.2">
      <c r="A172" s="74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9"/>
      <c r="N172" s="69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</row>
    <row r="173" spans="1:35" x14ac:dyDescent="0.2">
      <c r="A173" s="74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9"/>
      <c r="N173" s="69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</row>
    <row r="174" spans="1:35" x14ac:dyDescent="0.2">
      <c r="A174" s="74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9"/>
      <c r="N174" s="69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</row>
    <row r="175" spans="1:35" x14ac:dyDescent="0.2">
      <c r="A175" s="74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9"/>
      <c r="N175" s="69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</row>
    <row r="176" spans="1:35" x14ac:dyDescent="0.2">
      <c r="A176" s="74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9"/>
      <c r="N176" s="69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</row>
    <row r="177" spans="1:35" x14ac:dyDescent="0.2">
      <c r="A177" s="74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9"/>
      <c r="N177" s="69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</row>
    <row r="178" spans="1:35" x14ac:dyDescent="0.2">
      <c r="A178" s="74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9"/>
      <c r="N178" s="69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</row>
    <row r="179" spans="1:35" x14ac:dyDescent="0.2">
      <c r="A179" s="74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9"/>
      <c r="N179" s="69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</row>
    <row r="180" spans="1:35" x14ac:dyDescent="0.2">
      <c r="A180" s="74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9"/>
      <c r="N180" s="69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</row>
    <row r="181" spans="1:35" x14ac:dyDescent="0.2">
      <c r="A181" s="74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9"/>
      <c r="N181" s="69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</row>
    <row r="182" spans="1:35" x14ac:dyDescent="0.2">
      <c r="A182" s="74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9"/>
      <c r="N182" s="69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</row>
    <row r="183" spans="1:35" x14ac:dyDescent="0.2">
      <c r="A183" s="74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9"/>
      <c r="N183" s="69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</row>
    <row r="184" spans="1:35" x14ac:dyDescent="0.2">
      <c r="A184" s="74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9"/>
      <c r="N184" s="69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</row>
    <row r="185" spans="1:35" x14ac:dyDescent="0.2">
      <c r="A185" s="74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9"/>
      <c r="N185" s="69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</row>
    <row r="186" spans="1:35" x14ac:dyDescent="0.2">
      <c r="A186" s="74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9"/>
      <c r="N186" s="69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</row>
    <row r="187" spans="1:35" x14ac:dyDescent="0.2">
      <c r="A187" s="74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9"/>
      <c r="N187" s="69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</row>
    <row r="188" spans="1:35" x14ac:dyDescent="0.2">
      <c r="A188" s="74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9"/>
      <c r="N188" s="69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</row>
    <row r="189" spans="1:35" x14ac:dyDescent="0.2">
      <c r="A189" s="74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9"/>
      <c r="N189" s="69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</row>
    <row r="190" spans="1:35" x14ac:dyDescent="0.2">
      <c r="A190" s="74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9"/>
      <c r="N190" s="69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</row>
    <row r="191" spans="1:35" x14ac:dyDescent="0.2">
      <c r="A191" s="74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9"/>
      <c r="N191" s="69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</row>
    <row r="192" spans="1:35" x14ac:dyDescent="0.2">
      <c r="A192" s="74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9"/>
      <c r="N192" s="69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</row>
    <row r="193" spans="1:35" x14ac:dyDescent="0.2">
      <c r="A193" s="74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9"/>
      <c r="N193" s="69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</row>
    <row r="194" spans="1:35" x14ac:dyDescent="0.2">
      <c r="A194" s="74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9"/>
      <c r="N194" s="69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</row>
    <row r="195" spans="1:35" x14ac:dyDescent="0.2">
      <c r="A195" s="74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9"/>
      <c r="N195" s="69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</row>
    <row r="196" spans="1:35" x14ac:dyDescent="0.2">
      <c r="A196" s="74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9"/>
      <c r="N196" s="69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</row>
    <row r="197" spans="1:35" x14ac:dyDescent="0.2">
      <c r="A197" s="74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9"/>
      <c r="N197" s="69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</row>
    <row r="198" spans="1:35" x14ac:dyDescent="0.2">
      <c r="A198" s="74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9"/>
      <c r="N198" s="69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</row>
    <row r="199" spans="1:35" x14ac:dyDescent="0.2">
      <c r="A199" s="74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9"/>
      <c r="N199" s="69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</row>
    <row r="200" spans="1:35" x14ac:dyDescent="0.2">
      <c r="A200" s="74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9"/>
      <c r="N200" s="69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</row>
    <row r="201" spans="1:35" x14ac:dyDescent="0.2">
      <c r="A201" s="74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9"/>
      <c r="N201" s="69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</row>
    <row r="202" spans="1:35" x14ac:dyDescent="0.2">
      <c r="A202" s="74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9"/>
      <c r="N202" s="69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</row>
    <row r="203" spans="1:35" x14ac:dyDescent="0.2">
      <c r="A203" s="74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9"/>
      <c r="N203" s="69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</row>
    <row r="204" spans="1:35" x14ac:dyDescent="0.2">
      <c r="A204" s="74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9"/>
      <c r="N204" s="69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</row>
    <row r="205" spans="1:35" x14ac:dyDescent="0.2">
      <c r="A205" s="74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9"/>
      <c r="N205" s="69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</row>
    <row r="206" spans="1:35" x14ac:dyDescent="0.2">
      <c r="A206" s="74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9"/>
      <c r="N206" s="69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</row>
    <row r="207" spans="1:35" x14ac:dyDescent="0.2">
      <c r="A207" s="74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9"/>
      <c r="N207" s="69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</row>
    <row r="208" spans="1:35" x14ac:dyDescent="0.2">
      <c r="A208" s="74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9"/>
      <c r="N208" s="69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</row>
    <row r="209" spans="1:35" x14ac:dyDescent="0.2">
      <c r="A209" s="74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9"/>
      <c r="N209" s="69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</row>
    <row r="210" spans="1:35" x14ac:dyDescent="0.2">
      <c r="A210" s="74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9"/>
      <c r="N210" s="69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</row>
    <row r="211" spans="1:35" x14ac:dyDescent="0.2">
      <c r="A211" s="74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9"/>
      <c r="N211" s="69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</row>
    <row r="212" spans="1:35" x14ac:dyDescent="0.2">
      <c r="A212" s="74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9"/>
      <c r="N212" s="69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</row>
    <row r="213" spans="1:35" x14ac:dyDescent="0.2">
      <c r="A213" s="74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9"/>
      <c r="N213" s="69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</row>
    <row r="214" spans="1:35" x14ac:dyDescent="0.2">
      <c r="A214" s="74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9"/>
      <c r="N214" s="69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</row>
    <row r="215" spans="1:35" x14ac:dyDescent="0.2">
      <c r="A215" s="74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9"/>
      <c r="N215" s="69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</row>
    <row r="216" spans="1:35" x14ac:dyDescent="0.2">
      <c r="A216" s="74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9"/>
      <c r="N216" s="69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</row>
    <row r="217" spans="1:35" x14ac:dyDescent="0.2">
      <c r="A217" s="74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9"/>
      <c r="N217" s="69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</row>
    <row r="218" spans="1:35" x14ac:dyDescent="0.2">
      <c r="A218" s="74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9"/>
      <c r="N218" s="69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</row>
    <row r="219" spans="1:35" x14ac:dyDescent="0.2">
      <c r="A219" s="74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9"/>
      <c r="N219" s="69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</row>
    <row r="220" spans="1:35" x14ac:dyDescent="0.2">
      <c r="A220" s="74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9"/>
      <c r="N220" s="69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</row>
    <row r="221" spans="1:35" x14ac:dyDescent="0.2">
      <c r="A221" s="74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9"/>
      <c r="N221" s="69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</row>
    <row r="222" spans="1:35" x14ac:dyDescent="0.2">
      <c r="A222" s="74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9"/>
      <c r="N222" s="69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</row>
    <row r="223" spans="1:35" x14ac:dyDescent="0.2">
      <c r="A223" s="74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9"/>
      <c r="N223" s="69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</row>
    <row r="224" spans="1:35" x14ac:dyDescent="0.2">
      <c r="A224" s="74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9"/>
      <c r="N224" s="69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</row>
    <row r="225" spans="1:35" x14ac:dyDescent="0.2">
      <c r="A225" s="74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9"/>
      <c r="N225" s="69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</row>
    <row r="226" spans="1:35" x14ac:dyDescent="0.2">
      <c r="A226" s="74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9"/>
      <c r="N226" s="69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</row>
    <row r="227" spans="1:35" x14ac:dyDescent="0.2">
      <c r="A227" s="74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9"/>
      <c r="N227" s="69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</row>
    <row r="228" spans="1:35" x14ac:dyDescent="0.2">
      <c r="A228" s="74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9"/>
      <c r="N228" s="69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</row>
    <row r="229" spans="1:35" x14ac:dyDescent="0.2">
      <c r="A229" s="74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9"/>
      <c r="N229" s="69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</row>
    <row r="230" spans="1:35" x14ac:dyDescent="0.2">
      <c r="A230" s="74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9"/>
      <c r="N230" s="69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</row>
    <row r="231" spans="1:35" x14ac:dyDescent="0.2">
      <c r="A231" s="74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9"/>
      <c r="N231" s="69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</row>
    <row r="232" spans="1:35" x14ac:dyDescent="0.2">
      <c r="A232" s="74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9"/>
      <c r="N232" s="69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</row>
    <row r="233" spans="1:35" x14ac:dyDescent="0.2">
      <c r="A233" s="74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9"/>
      <c r="N233" s="69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</row>
    <row r="234" spans="1:35" x14ac:dyDescent="0.2">
      <c r="A234" s="74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9"/>
      <c r="N234" s="69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</row>
    <row r="235" spans="1:35" x14ac:dyDescent="0.2">
      <c r="A235" s="74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9"/>
      <c r="N235" s="69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</row>
    <row r="236" spans="1:35" x14ac:dyDescent="0.2">
      <c r="A236" s="74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9"/>
      <c r="N236" s="69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</row>
    <row r="237" spans="1:35" x14ac:dyDescent="0.2">
      <c r="A237" s="74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9"/>
      <c r="N237" s="69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</row>
    <row r="238" spans="1:35" x14ac:dyDescent="0.2">
      <c r="A238" s="74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9"/>
      <c r="N238" s="69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</row>
    <row r="239" spans="1:35" x14ac:dyDescent="0.2">
      <c r="A239" s="74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9"/>
      <c r="N239" s="69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</row>
    <row r="240" spans="1:35" x14ac:dyDescent="0.2">
      <c r="A240" s="74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9"/>
      <c r="N240" s="69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</row>
    <row r="241" spans="1:35" x14ac:dyDescent="0.2">
      <c r="A241" s="74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9"/>
      <c r="N241" s="69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</row>
    <row r="242" spans="1:35" x14ac:dyDescent="0.2">
      <c r="A242" s="74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9"/>
      <c r="N242" s="69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</row>
    <row r="243" spans="1:35" x14ac:dyDescent="0.2">
      <c r="A243" s="74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9"/>
      <c r="N243" s="69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</row>
    <row r="244" spans="1:35" x14ac:dyDescent="0.2">
      <c r="A244" s="74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9"/>
      <c r="N244" s="69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</row>
    <row r="245" spans="1:35" x14ac:dyDescent="0.2">
      <c r="A245" s="74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9"/>
      <c r="N245" s="69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</row>
    <row r="246" spans="1:35" x14ac:dyDescent="0.2">
      <c r="A246" s="74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9"/>
      <c r="N246" s="69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</row>
    <row r="247" spans="1:35" x14ac:dyDescent="0.2">
      <c r="A247" s="74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9"/>
      <c r="N247" s="69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</row>
    <row r="248" spans="1:35" x14ac:dyDescent="0.2">
      <c r="A248" s="74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9"/>
      <c r="N248" s="69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</row>
    <row r="249" spans="1:35" x14ac:dyDescent="0.2">
      <c r="A249" s="74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9"/>
      <c r="N249" s="69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</row>
    <row r="250" spans="1:35" x14ac:dyDescent="0.2">
      <c r="A250" s="74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9"/>
      <c r="N250" s="69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</row>
    <row r="251" spans="1:35" x14ac:dyDescent="0.2">
      <c r="A251" s="74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9"/>
      <c r="N251" s="69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</row>
    <row r="252" spans="1:35" x14ac:dyDescent="0.2">
      <c r="A252" s="74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9"/>
      <c r="N252" s="69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</row>
    <row r="253" spans="1:35" x14ac:dyDescent="0.2">
      <c r="A253" s="74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9"/>
      <c r="N253" s="69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</row>
    <row r="254" spans="1:35" x14ac:dyDescent="0.2">
      <c r="A254" s="74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9"/>
      <c r="N254" s="69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</row>
    <row r="255" spans="1:35" x14ac:dyDescent="0.2">
      <c r="A255" s="74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9"/>
      <c r="N255" s="69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</row>
    <row r="256" spans="1:35" x14ac:dyDescent="0.2">
      <c r="A256" s="74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9"/>
      <c r="N256" s="69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</row>
    <row r="257" spans="1:35" x14ac:dyDescent="0.2">
      <c r="A257" s="74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9"/>
      <c r="N257" s="69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</row>
    <row r="258" spans="1:35" x14ac:dyDescent="0.2">
      <c r="A258" s="74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9"/>
      <c r="N258" s="69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</row>
    <row r="259" spans="1:35" x14ac:dyDescent="0.2">
      <c r="A259" s="74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9"/>
      <c r="N259" s="69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</row>
    <row r="260" spans="1:35" x14ac:dyDescent="0.2">
      <c r="A260" s="74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9"/>
      <c r="N260" s="69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</row>
    <row r="261" spans="1:35" x14ac:dyDescent="0.2">
      <c r="A261" s="74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9"/>
      <c r="N261" s="69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</row>
    <row r="262" spans="1:35" x14ac:dyDescent="0.2">
      <c r="A262" s="74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9"/>
      <c r="N262" s="69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</row>
    <row r="263" spans="1:35" x14ac:dyDescent="0.2">
      <c r="A263" s="74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9"/>
      <c r="N263" s="69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</row>
    <row r="264" spans="1:35" x14ac:dyDescent="0.2">
      <c r="A264" s="74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9"/>
      <c r="N264" s="69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</row>
    <row r="265" spans="1:35" x14ac:dyDescent="0.2">
      <c r="A265" s="74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9"/>
      <c r="N265" s="69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</row>
    <row r="266" spans="1:35" x14ac:dyDescent="0.2">
      <c r="A266" s="74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9"/>
      <c r="N266" s="69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</row>
    <row r="267" spans="1:35" x14ac:dyDescent="0.2">
      <c r="A267" s="74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9"/>
      <c r="N267" s="69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</row>
    <row r="268" spans="1:35" x14ac:dyDescent="0.2">
      <c r="A268" s="74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9"/>
      <c r="N268" s="69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</row>
    <row r="269" spans="1:35" x14ac:dyDescent="0.2">
      <c r="A269" s="74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9"/>
      <c r="N269" s="69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</row>
    <row r="270" spans="1:35" x14ac:dyDescent="0.2">
      <c r="A270" s="74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9"/>
      <c r="N270" s="69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</row>
    <row r="271" spans="1:35" x14ac:dyDescent="0.2">
      <c r="A271" s="74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9"/>
      <c r="N271" s="69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</row>
    <row r="272" spans="1:35" x14ac:dyDescent="0.2">
      <c r="A272" s="74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9"/>
      <c r="N272" s="69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</row>
    <row r="273" spans="1:35" x14ac:dyDescent="0.2">
      <c r="A273" s="74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9"/>
      <c r="N273" s="69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</row>
    <row r="274" spans="1:35" x14ac:dyDescent="0.2">
      <c r="A274" s="74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9"/>
      <c r="N274" s="69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</row>
    <row r="275" spans="1:35" x14ac:dyDescent="0.2">
      <c r="A275" s="74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9"/>
      <c r="N275" s="69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</row>
    <row r="276" spans="1:35" x14ac:dyDescent="0.2">
      <c r="A276" s="74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9"/>
      <c r="N276" s="69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</row>
    <row r="277" spans="1:35" x14ac:dyDescent="0.2">
      <c r="A277" s="74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9"/>
      <c r="N277" s="69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</row>
    <row r="278" spans="1:35" x14ac:dyDescent="0.2">
      <c r="A278" s="74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9"/>
      <c r="N278" s="69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</row>
    <row r="279" spans="1:35" x14ac:dyDescent="0.2">
      <c r="A279" s="74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9"/>
      <c r="N279" s="69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</row>
    <row r="280" spans="1:35" x14ac:dyDescent="0.2">
      <c r="A280" s="74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9"/>
      <c r="N280" s="69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</row>
    <row r="281" spans="1:35" x14ac:dyDescent="0.2">
      <c r="A281" s="74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9"/>
      <c r="N281" s="69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5"/>
    </row>
    <row r="282" spans="1:35" x14ac:dyDescent="0.2">
      <c r="A282" s="74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9"/>
      <c r="N282" s="69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</row>
    <row r="283" spans="1:35" x14ac:dyDescent="0.2">
      <c r="A283" s="74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9"/>
      <c r="N283" s="69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</row>
    <row r="284" spans="1:35" x14ac:dyDescent="0.2">
      <c r="A284" s="74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9"/>
      <c r="N284" s="69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</row>
    <row r="285" spans="1:35" x14ac:dyDescent="0.2">
      <c r="A285" s="74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9"/>
      <c r="N285" s="69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</row>
    <row r="286" spans="1:35" x14ac:dyDescent="0.2">
      <c r="A286" s="74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9"/>
      <c r="N286" s="69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</row>
    <row r="287" spans="1:35" x14ac:dyDescent="0.2">
      <c r="A287" s="74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9"/>
      <c r="N287" s="69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</row>
    <row r="288" spans="1:35" x14ac:dyDescent="0.2">
      <c r="A288" s="74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9"/>
      <c r="N288" s="69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</row>
    <row r="289" spans="1:35" x14ac:dyDescent="0.2">
      <c r="A289" s="74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9"/>
      <c r="N289" s="69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</row>
    <row r="290" spans="1:35" x14ac:dyDescent="0.2">
      <c r="A290" s="74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9"/>
      <c r="N290" s="69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</row>
    <row r="291" spans="1:35" x14ac:dyDescent="0.2">
      <c r="A291" s="74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9"/>
      <c r="N291" s="69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</row>
    <row r="292" spans="1:35" x14ac:dyDescent="0.2">
      <c r="A292" s="74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9"/>
      <c r="N292" s="69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</row>
    <row r="293" spans="1:35" x14ac:dyDescent="0.2">
      <c r="A293" s="74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9"/>
      <c r="N293" s="69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</row>
    <row r="294" spans="1:35" x14ac:dyDescent="0.2">
      <c r="A294" s="74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9"/>
      <c r="N294" s="69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</row>
    <row r="295" spans="1:35" x14ac:dyDescent="0.2">
      <c r="A295" s="74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9"/>
      <c r="N295" s="69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</row>
    <row r="296" spans="1:35" x14ac:dyDescent="0.2">
      <c r="A296" s="74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9"/>
      <c r="N296" s="69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</row>
    <row r="297" spans="1:35" x14ac:dyDescent="0.2">
      <c r="A297" s="74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9"/>
      <c r="N297" s="69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</row>
    <row r="298" spans="1:35" x14ac:dyDescent="0.2">
      <c r="A298" s="74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9"/>
      <c r="N298" s="69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</row>
    <row r="299" spans="1:35" x14ac:dyDescent="0.2">
      <c r="A299" s="74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9"/>
      <c r="N299" s="69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</row>
    <row r="300" spans="1:35" x14ac:dyDescent="0.2">
      <c r="A300" s="74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9"/>
      <c r="N300" s="69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</row>
    <row r="301" spans="1:35" x14ac:dyDescent="0.2">
      <c r="A301" s="74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9"/>
      <c r="N301" s="69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</row>
    <row r="302" spans="1:35" x14ac:dyDescent="0.2">
      <c r="A302" s="74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9"/>
      <c r="N302" s="69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</row>
    <row r="303" spans="1:35" x14ac:dyDescent="0.2">
      <c r="A303" s="74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9"/>
      <c r="N303" s="69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</row>
    <row r="304" spans="1:35" x14ac:dyDescent="0.2">
      <c r="A304" s="74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9"/>
      <c r="N304" s="69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</row>
    <row r="305" spans="1:35" x14ac:dyDescent="0.2">
      <c r="A305" s="74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9"/>
      <c r="N305" s="69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</row>
    <row r="306" spans="1:35" x14ac:dyDescent="0.2">
      <c r="A306" s="74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9"/>
      <c r="N306" s="69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</row>
    <row r="307" spans="1:35" x14ac:dyDescent="0.2">
      <c r="A307" s="74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9"/>
      <c r="N307" s="69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</row>
    <row r="308" spans="1:35" x14ac:dyDescent="0.2">
      <c r="A308" s="74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9"/>
      <c r="N308" s="69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</row>
    <row r="309" spans="1:35" x14ac:dyDescent="0.2">
      <c r="A309" s="74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9"/>
      <c r="N309" s="69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</row>
    <row r="310" spans="1:35" x14ac:dyDescent="0.2">
      <c r="A310" s="74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9"/>
      <c r="N310" s="69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</row>
    <row r="311" spans="1:35" x14ac:dyDescent="0.2">
      <c r="A311" s="74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9"/>
      <c r="N311" s="69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</row>
    <row r="312" spans="1:35" x14ac:dyDescent="0.2">
      <c r="A312" s="74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9"/>
      <c r="N312" s="69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</row>
    <row r="313" spans="1:35" x14ac:dyDescent="0.2">
      <c r="A313" s="74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9"/>
      <c r="N313" s="69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</row>
    <row r="314" spans="1:35" x14ac:dyDescent="0.2">
      <c r="A314" s="74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9"/>
      <c r="N314" s="69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</row>
    <row r="315" spans="1:35" x14ac:dyDescent="0.2">
      <c r="A315" s="74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9"/>
      <c r="N315" s="69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</row>
    <row r="316" spans="1:35" x14ac:dyDescent="0.2">
      <c r="A316" s="74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9"/>
      <c r="N316" s="69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</row>
    <row r="317" spans="1:35" x14ac:dyDescent="0.2">
      <c r="A317" s="74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9"/>
      <c r="N317" s="69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</row>
    <row r="318" spans="1:35" x14ac:dyDescent="0.2">
      <c r="A318" s="74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9"/>
      <c r="N318" s="69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</row>
    <row r="319" spans="1:35" x14ac:dyDescent="0.2">
      <c r="A319" s="74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9"/>
      <c r="N319" s="69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</row>
    <row r="320" spans="1:35" x14ac:dyDescent="0.2">
      <c r="A320" s="74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9"/>
      <c r="N320" s="69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</row>
    <row r="321" spans="1:35" x14ac:dyDescent="0.2">
      <c r="A321" s="74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9"/>
      <c r="N321" s="69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</row>
    <row r="322" spans="1:35" x14ac:dyDescent="0.2">
      <c r="A322" s="74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9"/>
      <c r="N322" s="69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</row>
    <row r="323" spans="1:35" x14ac:dyDescent="0.2">
      <c r="A323" s="74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9"/>
      <c r="N323" s="69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</row>
    <row r="324" spans="1:35" x14ac:dyDescent="0.2">
      <c r="A324" s="74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9"/>
      <c r="N324" s="69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</row>
    <row r="325" spans="1:35" x14ac:dyDescent="0.2">
      <c r="A325" s="74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9"/>
      <c r="N325" s="69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</row>
    <row r="326" spans="1:35" x14ac:dyDescent="0.2">
      <c r="A326" s="74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9"/>
      <c r="N326" s="69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</row>
    <row r="327" spans="1:35" x14ac:dyDescent="0.2">
      <c r="A327" s="74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9"/>
      <c r="N327" s="69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</row>
    <row r="328" spans="1:35" x14ac:dyDescent="0.2">
      <c r="A328" s="74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9"/>
      <c r="N328" s="69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</row>
    <row r="329" spans="1:35" x14ac:dyDescent="0.2">
      <c r="A329" s="74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9"/>
      <c r="N329" s="69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</row>
    <row r="330" spans="1:35" x14ac:dyDescent="0.2">
      <c r="A330" s="74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9"/>
      <c r="N330" s="69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</row>
    <row r="331" spans="1:35" x14ac:dyDescent="0.2">
      <c r="A331" s="74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9"/>
      <c r="N331" s="69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</row>
    <row r="332" spans="1:35" x14ac:dyDescent="0.2">
      <c r="A332" s="74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9"/>
      <c r="N332" s="69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</row>
    <row r="333" spans="1:35" x14ac:dyDescent="0.2">
      <c r="A333" s="74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9"/>
      <c r="N333" s="69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</row>
    <row r="334" spans="1:35" x14ac:dyDescent="0.2">
      <c r="A334" s="74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9"/>
      <c r="N334" s="69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</row>
    <row r="335" spans="1:35" x14ac:dyDescent="0.2">
      <c r="A335" s="74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9"/>
      <c r="N335" s="69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/>
    </row>
    <row r="336" spans="1:35" x14ac:dyDescent="0.2">
      <c r="A336" s="74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9"/>
      <c r="N336" s="69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</row>
    <row r="337" spans="1:35" x14ac:dyDescent="0.2">
      <c r="A337" s="74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9"/>
      <c r="N337" s="69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</row>
    <row r="338" spans="1:35" x14ac:dyDescent="0.2">
      <c r="A338" s="74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9"/>
      <c r="N338" s="69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</row>
    <row r="339" spans="1:35" x14ac:dyDescent="0.2">
      <c r="A339" s="74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9"/>
      <c r="N339" s="69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</row>
    <row r="340" spans="1:35" x14ac:dyDescent="0.2">
      <c r="A340" s="74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9"/>
      <c r="N340" s="69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</row>
    <row r="341" spans="1:35" x14ac:dyDescent="0.2">
      <c r="A341" s="74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9"/>
      <c r="N341" s="69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</row>
    <row r="342" spans="1:35" x14ac:dyDescent="0.2">
      <c r="A342" s="74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9"/>
      <c r="N342" s="69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</row>
    <row r="343" spans="1:35" x14ac:dyDescent="0.2">
      <c r="A343" s="74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9"/>
      <c r="N343" s="69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</row>
    <row r="344" spans="1:35" x14ac:dyDescent="0.2">
      <c r="A344" s="74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9"/>
      <c r="N344" s="69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</row>
    <row r="345" spans="1:35" x14ac:dyDescent="0.2">
      <c r="A345" s="74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9"/>
      <c r="N345" s="69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</row>
    <row r="346" spans="1:35" x14ac:dyDescent="0.2">
      <c r="A346" s="74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9"/>
      <c r="N346" s="69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</row>
    <row r="347" spans="1:35" x14ac:dyDescent="0.2">
      <c r="A347" s="74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9"/>
      <c r="N347" s="69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</row>
    <row r="348" spans="1:35" x14ac:dyDescent="0.2">
      <c r="A348" s="74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9"/>
      <c r="N348" s="69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</row>
    <row r="349" spans="1:35" x14ac:dyDescent="0.2">
      <c r="A349" s="74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9"/>
      <c r="N349" s="69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</row>
    <row r="350" spans="1:35" x14ac:dyDescent="0.2">
      <c r="A350" s="74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9"/>
      <c r="N350" s="69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</row>
    <row r="351" spans="1:35" x14ac:dyDescent="0.2">
      <c r="A351" s="74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9"/>
      <c r="N351" s="69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</row>
    <row r="352" spans="1:35" x14ac:dyDescent="0.2">
      <c r="A352" s="74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9"/>
      <c r="N352" s="69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</row>
    <row r="353" spans="1:35" x14ac:dyDescent="0.2">
      <c r="A353" s="74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9"/>
      <c r="N353" s="69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</row>
    <row r="354" spans="1:35" x14ac:dyDescent="0.2">
      <c r="A354" s="74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9"/>
      <c r="N354" s="69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</row>
    <row r="355" spans="1:35" x14ac:dyDescent="0.2">
      <c r="A355" s="74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9"/>
      <c r="N355" s="69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</row>
    <row r="356" spans="1:35" x14ac:dyDescent="0.2">
      <c r="A356" s="74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9"/>
      <c r="N356" s="69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</row>
    <row r="357" spans="1:35" x14ac:dyDescent="0.2">
      <c r="A357" s="74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9"/>
      <c r="N357" s="69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</row>
    <row r="358" spans="1:35" x14ac:dyDescent="0.2">
      <c r="A358" s="74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9"/>
      <c r="N358" s="69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</row>
    <row r="359" spans="1:35" x14ac:dyDescent="0.2">
      <c r="A359" s="74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9"/>
      <c r="N359" s="69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</row>
    <row r="360" spans="1:35" x14ac:dyDescent="0.2">
      <c r="A360" s="74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9"/>
      <c r="N360" s="69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</row>
    <row r="361" spans="1:35" x14ac:dyDescent="0.2">
      <c r="A361" s="74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9"/>
      <c r="N361" s="69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</row>
    <row r="362" spans="1:35" x14ac:dyDescent="0.2">
      <c r="A362" s="74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9"/>
      <c r="N362" s="69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</row>
    <row r="363" spans="1:35" x14ac:dyDescent="0.2">
      <c r="A363" s="74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9"/>
      <c r="N363" s="69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</row>
    <row r="364" spans="1:35" x14ac:dyDescent="0.2">
      <c r="A364" s="74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9"/>
      <c r="N364" s="69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</row>
    <row r="365" spans="1:35" x14ac:dyDescent="0.2">
      <c r="A365" s="74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9"/>
      <c r="N365" s="69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</row>
    <row r="366" spans="1:35" x14ac:dyDescent="0.2">
      <c r="A366" s="74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9"/>
      <c r="N366" s="69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</row>
    <row r="367" spans="1:35" x14ac:dyDescent="0.2">
      <c r="A367" s="74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9"/>
      <c r="N367" s="69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</row>
    <row r="368" spans="1:35" x14ac:dyDescent="0.2">
      <c r="A368" s="74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9"/>
      <c r="N368" s="69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</row>
    <row r="369" spans="1:35" x14ac:dyDescent="0.2">
      <c r="A369" s="74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9"/>
      <c r="N369" s="69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</row>
    <row r="370" spans="1:35" x14ac:dyDescent="0.2">
      <c r="A370" s="74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9"/>
      <c r="N370" s="69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</row>
    <row r="371" spans="1:35" x14ac:dyDescent="0.2">
      <c r="A371" s="74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9"/>
      <c r="N371" s="69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</row>
    <row r="372" spans="1:35" x14ac:dyDescent="0.2">
      <c r="A372" s="74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9"/>
      <c r="N372" s="69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</row>
    <row r="373" spans="1:35" x14ac:dyDescent="0.2">
      <c r="A373" s="74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9"/>
      <c r="N373" s="69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</row>
    <row r="374" spans="1:35" x14ac:dyDescent="0.2">
      <c r="A374" s="74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9"/>
      <c r="N374" s="69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</row>
    <row r="375" spans="1:35" x14ac:dyDescent="0.2">
      <c r="A375" s="74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9"/>
      <c r="N375" s="69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</row>
    <row r="376" spans="1:35" x14ac:dyDescent="0.2">
      <c r="A376" s="74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9"/>
      <c r="N376" s="69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</row>
    <row r="377" spans="1:35" x14ac:dyDescent="0.2">
      <c r="A377" s="74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9"/>
      <c r="N377" s="69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</row>
    <row r="378" spans="1:35" x14ac:dyDescent="0.2">
      <c r="A378" s="74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9"/>
      <c r="N378" s="69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</row>
    <row r="379" spans="1:35" x14ac:dyDescent="0.2">
      <c r="A379" s="74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9"/>
      <c r="N379" s="69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</row>
    <row r="380" spans="1:35" x14ac:dyDescent="0.2">
      <c r="A380" s="74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9"/>
      <c r="N380" s="69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</row>
    <row r="381" spans="1:35" x14ac:dyDescent="0.2">
      <c r="A381" s="74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9"/>
      <c r="N381" s="69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</row>
    <row r="382" spans="1:35" x14ac:dyDescent="0.2">
      <c r="A382" s="74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9"/>
      <c r="N382" s="69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</row>
    <row r="383" spans="1:35" x14ac:dyDescent="0.2">
      <c r="A383" s="74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9"/>
      <c r="N383" s="69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</row>
    <row r="384" spans="1:35" x14ac:dyDescent="0.2">
      <c r="A384" s="74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9"/>
      <c r="N384" s="69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</row>
    <row r="385" spans="1:35" x14ac:dyDescent="0.2">
      <c r="A385" s="74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9"/>
      <c r="N385" s="69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</row>
    <row r="386" spans="1:35" x14ac:dyDescent="0.2">
      <c r="A386" s="74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9"/>
      <c r="N386" s="69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</row>
    <row r="387" spans="1:35" x14ac:dyDescent="0.2">
      <c r="A387" s="74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9"/>
      <c r="N387" s="69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</row>
    <row r="388" spans="1:35" x14ac:dyDescent="0.2">
      <c r="A388" s="74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9"/>
      <c r="N388" s="69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</row>
    <row r="389" spans="1:35" x14ac:dyDescent="0.2">
      <c r="A389" s="74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9"/>
      <c r="N389" s="69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</row>
    <row r="390" spans="1:35" x14ac:dyDescent="0.2">
      <c r="A390" s="74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9"/>
      <c r="N390" s="69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</row>
    <row r="391" spans="1:35" x14ac:dyDescent="0.2">
      <c r="A391" s="74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9"/>
      <c r="N391" s="69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</row>
    <row r="392" spans="1:35" x14ac:dyDescent="0.2">
      <c r="A392" s="74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9"/>
      <c r="N392" s="69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</row>
    <row r="393" spans="1:35" x14ac:dyDescent="0.2">
      <c r="A393" s="74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9"/>
      <c r="N393" s="69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</row>
    <row r="394" spans="1:35" x14ac:dyDescent="0.2">
      <c r="A394" s="74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9"/>
      <c r="N394" s="69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</row>
    <row r="395" spans="1:35" x14ac:dyDescent="0.2">
      <c r="A395" s="74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9"/>
      <c r="N395" s="69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</row>
    <row r="396" spans="1:35" x14ac:dyDescent="0.2">
      <c r="A396" s="74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9"/>
      <c r="N396" s="69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</row>
    <row r="397" spans="1:35" x14ac:dyDescent="0.2">
      <c r="A397" s="74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9"/>
      <c r="N397" s="69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</row>
    <row r="398" spans="1:35" x14ac:dyDescent="0.2">
      <c r="A398" s="74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9"/>
      <c r="N398" s="69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</row>
    <row r="399" spans="1:35" x14ac:dyDescent="0.2">
      <c r="A399" s="74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9"/>
      <c r="N399" s="69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</row>
    <row r="400" spans="1:35" x14ac:dyDescent="0.2">
      <c r="A400" s="74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9"/>
      <c r="N400" s="69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</row>
    <row r="401" spans="1:35" x14ac:dyDescent="0.2">
      <c r="A401" s="74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9"/>
      <c r="N401" s="69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</row>
    <row r="402" spans="1:35" x14ac:dyDescent="0.2">
      <c r="A402" s="74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9"/>
      <c r="N402" s="69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</row>
    <row r="403" spans="1:35" x14ac:dyDescent="0.2">
      <c r="A403" s="74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9"/>
      <c r="N403" s="69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</row>
    <row r="404" spans="1:35" x14ac:dyDescent="0.2">
      <c r="A404" s="74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9"/>
      <c r="N404" s="69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</row>
    <row r="405" spans="1:35" x14ac:dyDescent="0.2">
      <c r="A405" s="74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9"/>
      <c r="N405" s="69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</row>
    <row r="406" spans="1:35" x14ac:dyDescent="0.2">
      <c r="A406" s="74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9"/>
      <c r="N406" s="69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</row>
    <row r="407" spans="1:35" x14ac:dyDescent="0.2">
      <c r="A407" s="74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9"/>
      <c r="N407" s="69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</row>
    <row r="408" spans="1:35" x14ac:dyDescent="0.2">
      <c r="A408" s="74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9"/>
      <c r="N408" s="69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</row>
    <row r="409" spans="1:35" x14ac:dyDescent="0.2">
      <c r="A409" s="74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9"/>
      <c r="N409" s="69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</row>
    <row r="410" spans="1:35" x14ac:dyDescent="0.2">
      <c r="A410" s="74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9"/>
      <c r="N410" s="69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</row>
    <row r="411" spans="1:35" x14ac:dyDescent="0.2">
      <c r="A411" s="74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9"/>
      <c r="N411" s="69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</row>
    <row r="412" spans="1:35" x14ac:dyDescent="0.2">
      <c r="A412" s="74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9"/>
      <c r="N412" s="69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</row>
    <row r="413" spans="1:35" x14ac:dyDescent="0.2">
      <c r="A413" s="74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9"/>
      <c r="N413" s="69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</row>
    <row r="414" spans="1:35" x14ac:dyDescent="0.2">
      <c r="A414" s="74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9"/>
      <c r="N414" s="69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</row>
    <row r="415" spans="1:35" x14ac:dyDescent="0.2">
      <c r="A415" s="74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9"/>
      <c r="N415" s="69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</row>
    <row r="416" spans="1:35" x14ac:dyDescent="0.2">
      <c r="A416" s="74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9"/>
      <c r="N416" s="69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</row>
    <row r="417" spans="1:35" x14ac:dyDescent="0.2">
      <c r="A417" s="74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9"/>
      <c r="N417" s="69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</row>
    <row r="418" spans="1:35" x14ac:dyDescent="0.2">
      <c r="A418" s="74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9"/>
      <c r="N418" s="69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</row>
    <row r="419" spans="1:35" x14ac:dyDescent="0.2">
      <c r="A419" s="74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9"/>
      <c r="N419" s="69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</row>
    <row r="420" spans="1:35" x14ac:dyDescent="0.2">
      <c r="A420" s="74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9"/>
      <c r="N420" s="69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</row>
    <row r="421" spans="1:35" x14ac:dyDescent="0.2">
      <c r="A421" s="74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9"/>
      <c r="N421" s="69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</row>
    <row r="422" spans="1:35" x14ac:dyDescent="0.2">
      <c r="A422" s="74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9"/>
      <c r="N422" s="69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</row>
    <row r="423" spans="1:35" x14ac:dyDescent="0.2">
      <c r="A423" s="74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9"/>
      <c r="N423" s="69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</row>
    <row r="424" spans="1:35" x14ac:dyDescent="0.2">
      <c r="A424" s="74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9"/>
      <c r="N424" s="69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</row>
    <row r="425" spans="1:35" x14ac:dyDescent="0.2">
      <c r="A425" s="74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9"/>
      <c r="N425" s="69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</row>
    <row r="426" spans="1:35" x14ac:dyDescent="0.2">
      <c r="A426" s="74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9"/>
      <c r="N426" s="69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</row>
    <row r="427" spans="1:35" x14ac:dyDescent="0.2">
      <c r="A427" s="74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9"/>
      <c r="N427" s="69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</row>
    <row r="428" spans="1:35" x14ac:dyDescent="0.2">
      <c r="A428" s="74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9"/>
      <c r="N428" s="69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</row>
    <row r="429" spans="1:35" x14ac:dyDescent="0.2">
      <c r="A429" s="74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9"/>
      <c r="N429" s="69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</row>
    <row r="430" spans="1:35" x14ac:dyDescent="0.2">
      <c r="A430" s="74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9"/>
      <c r="N430" s="69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</row>
    <row r="431" spans="1:35" x14ac:dyDescent="0.2">
      <c r="A431" s="74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9"/>
      <c r="N431" s="69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</row>
    <row r="432" spans="1:35" x14ac:dyDescent="0.2">
      <c r="A432" s="74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9"/>
      <c r="N432" s="69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</row>
    <row r="433" spans="1:35" x14ac:dyDescent="0.2">
      <c r="A433" s="74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9"/>
      <c r="N433" s="69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65"/>
      <c r="AF433" s="65"/>
      <c r="AG433" s="65"/>
      <c r="AH433" s="65"/>
      <c r="AI433" s="65"/>
    </row>
    <row r="434" spans="1:35" x14ac:dyDescent="0.2">
      <c r="A434" s="74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9"/>
      <c r="N434" s="69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</row>
    <row r="435" spans="1:35" x14ac:dyDescent="0.2">
      <c r="A435" s="74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9"/>
      <c r="N435" s="69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</row>
    <row r="436" spans="1:35" x14ac:dyDescent="0.2">
      <c r="A436" s="74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9"/>
      <c r="N436" s="69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</row>
    <row r="437" spans="1:35" x14ac:dyDescent="0.2">
      <c r="A437" s="74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9"/>
      <c r="N437" s="69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65"/>
      <c r="AF437" s="65"/>
      <c r="AG437" s="65"/>
      <c r="AH437" s="65"/>
      <c r="AI437" s="65"/>
    </row>
    <row r="438" spans="1:35" x14ac:dyDescent="0.2">
      <c r="A438" s="74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9"/>
      <c r="N438" s="69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</row>
    <row r="439" spans="1:35" x14ac:dyDescent="0.2">
      <c r="A439" s="74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9"/>
      <c r="N439" s="69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65"/>
      <c r="AF439" s="65"/>
      <c r="AG439" s="65"/>
      <c r="AH439" s="65"/>
      <c r="AI439" s="65"/>
    </row>
    <row r="440" spans="1:35" x14ac:dyDescent="0.2">
      <c r="A440" s="74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9"/>
      <c r="N440" s="69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</row>
    <row r="441" spans="1:35" x14ac:dyDescent="0.2">
      <c r="A441" s="74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9"/>
      <c r="N441" s="69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65"/>
      <c r="AG441" s="65"/>
      <c r="AH441" s="65"/>
      <c r="AI441" s="65"/>
    </row>
    <row r="442" spans="1:35" x14ac:dyDescent="0.2">
      <c r="A442" s="74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9"/>
      <c r="N442" s="69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</row>
    <row r="443" spans="1:35" x14ac:dyDescent="0.2">
      <c r="A443" s="74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9"/>
      <c r="N443" s="69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65"/>
      <c r="AF443" s="65"/>
      <c r="AG443" s="65"/>
      <c r="AH443" s="65"/>
      <c r="AI443" s="65"/>
    </row>
    <row r="444" spans="1:35" x14ac:dyDescent="0.2">
      <c r="A444" s="74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9"/>
      <c r="N444" s="69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</row>
    <row r="445" spans="1:35" x14ac:dyDescent="0.2">
      <c r="A445" s="74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9"/>
      <c r="N445" s="69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</row>
    <row r="446" spans="1:35" x14ac:dyDescent="0.2">
      <c r="A446" s="74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9"/>
      <c r="N446" s="69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</row>
    <row r="447" spans="1:35" x14ac:dyDescent="0.2">
      <c r="A447" s="74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9"/>
      <c r="N447" s="69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</row>
    <row r="448" spans="1:35" x14ac:dyDescent="0.2">
      <c r="A448" s="74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9"/>
      <c r="N448" s="69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</row>
    <row r="449" spans="1:35" x14ac:dyDescent="0.2">
      <c r="A449" s="74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9"/>
      <c r="N449" s="69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</row>
    <row r="450" spans="1:35" x14ac:dyDescent="0.2">
      <c r="A450" s="74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9"/>
      <c r="N450" s="69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</row>
    <row r="451" spans="1:35" x14ac:dyDescent="0.2">
      <c r="A451" s="74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9"/>
      <c r="N451" s="69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</row>
    <row r="452" spans="1:35" x14ac:dyDescent="0.2">
      <c r="A452" s="74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9"/>
      <c r="N452" s="69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</row>
    <row r="453" spans="1:35" x14ac:dyDescent="0.2">
      <c r="A453" s="74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9"/>
      <c r="N453" s="69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</row>
    <row r="454" spans="1:35" x14ac:dyDescent="0.2">
      <c r="A454" s="74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9"/>
      <c r="N454" s="69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</row>
    <row r="455" spans="1:35" x14ac:dyDescent="0.2">
      <c r="A455" s="74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9"/>
      <c r="N455" s="69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65"/>
      <c r="AF455" s="65"/>
      <c r="AG455" s="65"/>
      <c r="AH455" s="65"/>
      <c r="AI455" s="65"/>
    </row>
    <row r="456" spans="1:35" x14ac:dyDescent="0.2">
      <c r="A456" s="74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9"/>
      <c r="N456" s="69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</row>
    <row r="457" spans="1:35" x14ac:dyDescent="0.2">
      <c r="A457" s="74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9"/>
      <c r="N457" s="69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65"/>
      <c r="AF457" s="65"/>
      <c r="AG457" s="65"/>
      <c r="AH457" s="65"/>
      <c r="AI457" s="65"/>
    </row>
    <row r="458" spans="1:35" x14ac:dyDescent="0.2">
      <c r="A458" s="74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9"/>
      <c r="N458" s="69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</row>
    <row r="459" spans="1:35" x14ac:dyDescent="0.2">
      <c r="A459" s="74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9"/>
      <c r="N459" s="69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</row>
    <row r="460" spans="1:35" x14ac:dyDescent="0.2">
      <c r="A460" s="74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9"/>
      <c r="N460" s="69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</row>
    <row r="461" spans="1:35" x14ac:dyDescent="0.2">
      <c r="A461" s="74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9"/>
      <c r="N461" s="69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65"/>
      <c r="AF461" s="65"/>
      <c r="AG461" s="65"/>
      <c r="AH461" s="65"/>
      <c r="AI461" s="65"/>
    </row>
    <row r="462" spans="1:35" x14ac:dyDescent="0.2">
      <c r="A462" s="74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9"/>
      <c r="N462" s="69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</row>
    <row r="463" spans="1:35" x14ac:dyDescent="0.2">
      <c r="A463" s="74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9"/>
      <c r="N463" s="69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65"/>
      <c r="AF463" s="65"/>
      <c r="AG463" s="65"/>
      <c r="AH463" s="65"/>
      <c r="AI463" s="65"/>
    </row>
    <row r="464" spans="1:35" x14ac:dyDescent="0.2">
      <c r="A464" s="74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9"/>
      <c r="N464" s="69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</row>
    <row r="465" spans="1:35" x14ac:dyDescent="0.2">
      <c r="A465" s="74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9"/>
      <c r="N465" s="69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65"/>
      <c r="AF465" s="65"/>
      <c r="AG465" s="65"/>
      <c r="AH465" s="65"/>
      <c r="AI465" s="65"/>
    </row>
    <row r="466" spans="1:35" x14ac:dyDescent="0.2">
      <c r="A466" s="74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9"/>
      <c r="N466" s="69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</row>
    <row r="467" spans="1:35" x14ac:dyDescent="0.2">
      <c r="A467" s="74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9"/>
      <c r="N467" s="69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65"/>
      <c r="AF467" s="65"/>
      <c r="AG467" s="65"/>
      <c r="AH467" s="65"/>
      <c r="AI467" s="65"/>
    </row>
    <row r="468" spans="1:35" x14ac:dyDescent="0.2">
      <c r="A468" s="74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9"/>
      <c r="N468" s="69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</row>
    <row r="469" spans="1:35" x14ac:dyDescent="0.2">
      <c r="A469" s="74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9"/>
      <c r="N469" s="69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  <c r="AE469" s="65"/>
      <c r="AF469" s="65"/>
      <c r="AG469" s="65"/>
      <c r="AH469" s="65"/>
      <c r="AI469" s="65"/>
    </row>
    <row r="470" spans="1:35" x14ac:dyDescent="0.2">
      <c r="A470" s="74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9"/>
      <c r="N470" s="69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</row>
    <row r="471" spans="1:35" x14ac:dyDescent="0.2">
      <c r="A471" s="74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9"/>
      <c r="N471" s="69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</row>
    <row r="472" spans="1:35" x14ac:dyDescent="0.2">
      <c r="A472" s="74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9"/>
      <c r="N472" s="69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</row>
    <row r="473" spans="1:35" x14ac:dyDescent="0.2">
      <c r="A473" s="74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9"/>
      <c r="N473" s="69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  <c r="AE473" s="65"/>
      <c r="AF473" s="65"/>
      <c r="AG473" s="65"/>
      <c r="AH473" s="65"/>
      <c r="AI473" s="65"/>
    </row>
    <row r="474" spans="1:35" x14ac:dyDescent="0.2">
      <c r="A474" s="74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9"/>
      <c r="N474" s="69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</row>
    <row r="475" spans="1:35" x14ac:dyDescent="0.2">
      <c r="A475" s="74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9"/>
      <c r="N475" s="69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</row>
    <row r="476" spans="1:35" x14ac:dyDescent="0.2">
      <c r="A476" s="74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9"/>
      <c r="N476" s="69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</row>
    <row r="477" spans="1:35" x14ac:dyDescent="0.2">
      <c r="A477" s="74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9"/>
      <c r="N477" s="69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</row>
    <row r="478" spans="1:35" x14ac:dyDescent="0.2">
      <c r="A478" s="74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9"/>
      <c r="N478" s="69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</row>
    <row r="479" spans="1:35" x14ac:dyDescent="0.2">
      <c r="A479" s="74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9"/>
      <c r="N479" s="69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</row>
    <row r="480" spans="1:35" x14ac:dyDescent="0.2">
      <c r="A480" s="74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9"/>
      <c r="N480" s="69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</row>
    <row r="481" spans="1:35" x14ac:dyDescent="0.2">
      <c r="A481" s="74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9"/>
      <c r="N481" s="69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</row>
    <row r="482" spans="1:35" x14ac:dyDescent="0.2">
      <c r="A482" s="74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9"/>
      <c r="N482" s="69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</row>
    <row r="483" spans="1:35" x14ac:dyDescent="0.2">
      <c r="A483" s="74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9"/>
      <c r="N483" s="69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</row>
    <row r="484" spans="1:35" x14ac:dyDescent="0.2">
      <c r="A484" s="74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9"/>
      <c r="N484" s="69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</row>
    <row r="485" spans="1:35" x14ac:dyDescent="0.2">
      <c r="A485" s="74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9"/>
      <c r="N485" s="69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  <c r="AE485" s="65"/>
      <c r="AF485" s="65"/>
      <c r="AG485" s="65"/>
      <c r="AH485" s="65"/>
      <c r="AI485" s="65"/>
    </row>
    <row r="486" spans="1:35" x14ac:dyDescent="0.2">
      <c r="A486" s="74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9"/>
      <c r="N486" s="69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</row>
    <row r="487" spans="1:35" x14ac:dyDescent="0.2">
      <c r="A487" s="74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9"/>
      <c r="N487" s="69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  <c r="AE487" s="65"/>
      <c r="AF487" s="65"/>
      <c r="AG487" s="65"/>
      <c r="AH487" s="65"/>
      <c r="AI487" s="65"/>
    </row>
    <row r="488" spans="1:35" x14ac:dyDescent="0.2">
      <c r="A488" s="74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9"/>
      <c r="N488" s="69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</row>
    <row r="489" spans="1:35" x14ac:dyDescent="0.2">
      <c r="A489" s="74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9"/>
      <c r="N489" s="69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</row>
    <row r="490" spans="1:35" x14ac:dyDescent="0.2">
      <c r="A490" s="74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9"/>
      <c r="N490" s="69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</row>
    <row r="491" spans="1:35" x14ac:dyDescent="0.2">
      <c r="A491" s="74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9"/>
      <c r="N491" s="69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</row>
    <row r="492" spans="1:35" x14ac:dyDescent="0.2">
      <c r="A492" s="74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9"/>
      <c r="N492" s="69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</row>
    <row r="493" spans="1:35" x14ac:dyDescent="0.2">
      <c r="A493" s="74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9"/>
      <c r="N493" s="69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</row>
    <row r="494" spans="1:35" x14ac:dyDescent="0.2">
      <c r="A494" s="74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9"/>
      <c r="N494" s="69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</row>
    <row r="495" spans="1:35" x14ac:dyDescent="0.2">
      <c r="A495" s="74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9"/>
      <c r="N495" s="69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</row>
    <row r="496" spans="1:35" x14ac:dyDescent="0.2">
      <c r="A496" s="74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9"/>
      <c r="N496" s="69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</row>
    <row r="497" spans="1:35" x14ac:dyDescent="0.2">
      <c r="A497" s="74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9"/>
      <c r="N497" s="69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</row>
    <row r="498" spans="1:35" x14ac:dyDescent="0.2">
      <c r="A498" s="74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9"/>
      <c r="N498" s="69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</row>
    <row r="499" spans="1:35" x14ac:dyDescent="0.2">
      <c r="A499" s="74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9"/>
      <c r="N499" s="69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</row>
    <row r="500" spans="1:35" x14ac:dyDescent="0.2">
      <c r="A500" s="74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9"/>
      <c r="N500" s="69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</row>
    <row r="501" spans="1:35" x14ac:dyDescent="0.2">
      <c r="A501" s="74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9"/>
      <c r="N501" s="69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</row>
    <row r="502" spans="1:35" x14ac:dyDescent="0.2">
      <c r="A502" s="74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9"/>
      <c r="N502" s="69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</row>
    <row r="503" spans="1:35" x14ac:dyDescent="0.2">
      <c r="A503" s="74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9"/>
      <c r="N503" s="69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</row>
    <row r="504" spans="1:35" x14ac:dyDescent="0.2">
      <c r="A504" s="74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9"/>
      <c r="N504" s="69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</row>
    <row r="505" spans="1:35" x14ac:dyDescent="0.2">
      <c r="A505" s="74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9"/>
      <c r="N505" s="69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</row>
    <row r="506" spans="1:35" x14ac:dyDescent="0.2">
      <c r="A506" s="74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9"/>
      <c r="N506" s="69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</row>
    <row r="507" spans="1:35" x14ac:dyDescent="0.2">
      <c r="A507" s="74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9"/>
      <c r="N507" s="69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</row>
    <row r="508" spans="1:35" x14ac:dyDescent="0.2">
      <c r="A508" s="74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9"/>
      <c r="N508" s="69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</row>
    <row r="509" spans="1:35" x14ac:dyDescent="0.2">
      <c r="A509" s="74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9"/>
      <c r="N509" s="69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</row>
    <row r="510" spans="1:35" x14ac:dyDescent="0.2">
      <c r="A510" s="74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9"/>
      <c r="N510" s="69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</row>
    <row r="511" spans="1:35" x14ac:dyDescent="0.2">
      <c r="A511" s="74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9"/>
      <c r="N511" s="69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</row>
    <row r="512" spans="1:35" x14ac:dyDescent="0.2">
      <c r="A512" s="74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9"/>
      <c r="N512" s="69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</row>
    <row r="513" spans="1:35" x14ac:dyDescent="0.2">
      <c r="A513" s="74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9"/>
      <c r="N513" s="69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</row>
    <row r="514" spans="1:35" x14ac:dyDescent="0.2">
      <c r="A514" s="74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9"/>
      <c r="N514" s="69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</row>
    <row r="515" spans="1:35" x14ac:dyDescent="0.2">
      <c r="A515" s="74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9"/>
      <c r="N515" s="69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</row>
    <row r="516" spans="1:35" x14ac:dyDescent="0.2">
      <c r="A516" s="74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9"/>
      <c r="N516" s="69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</row>
    <row r="517" spans="1:35" x14ac:dyDescent="0.2">
      <c r="A517" s="74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9"/>
      <c r="N517" s="69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</row>
    <row r="518" spans="1:35" x14ac:dyDescent="0.2">
      <c r="A518" s="74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9"/>
      <c r="N518" s="69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</row>
    <row r="519" spans="1:35" x14ac:dyDescent="0.2">
      <c r="A519" s="74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9"/>
      <c r="N519" s="69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</row>
    <row r="520" spans="1:35" x14ac:dyDescent="0.2">
      <c r="A520" s="74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9"/>
      <c r="N520" s="69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</row>
    <row r="521" spans="1:35" x14ac:dyDescent="0.2">
      <c r="A521" s="74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9"/>
      <c r="N521" s="69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</row>
    <row r="522" spans="1:35" x14ac:dyDescent="0.2">
      <c r="A522" s="74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9"/>
      <c r="N522" s="69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</row>
    <row r="523" spans="1:35" x14ac:dyDescent="0.2">
      <c r="A523" s="74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9"/>
      <c r="N523" s="69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</row>
    <row r="524" spans="1:35" x14ac:dyDescent="0.2">
      <c r="A524" s="74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9"/>
      <c r="N524" s="69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</row>
    <row r="525" spans="1:35" x14ac:dyDescent="0.2">
      <c r="A525" s="74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9"/>
      <c r="N525" s="69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</row>
    <row r="526" spans="1:35" x14ac:dyDescent="0.2">
      <c r="A526" s="74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9"/>
      <c r="N526" s="69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</row>
    <row r="527" spans="1:35" x14ac:dyDescent="0.2">
      <c r="A527" s="74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9"/>
      <c r="N527" s="69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</row>
    <row r="528" spans="1:35" x14ac:dyDescent="0.2">
      <c r="A528" s="74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9"/>
      <c r="N528" s="69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</row>
    <row r="529" spans="1:35" x14ac:dyDescent="0.2">
      <c r="A529" s="74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9"/>
      <c r="N529" s="69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</row>
    <row r="530" spans="1:35" x14ac:dyDescent="0.2">
      <c r="A530" s="74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9"/>
      <c r="N530" s="69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</row>
    <row r="531" spans="1:35" x14ac:dyDescent="0.2">
      <c r="A531" s="74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9"/>
      <c r="N531" s="69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</row>
    <row r="532" spans="1:35" x14ac:dyDescent="0.2">
      <c r="A532" s="74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9"/>
      <c r="N532" s="69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</row>
    <row r="533" spans="1:35" x14ac:dyDescent="0.2">
      <c r="A533" s="74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9"/>
      <c r="N533" s="69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</row>
    <row r="534" spans="1:35" x14ac:dyDescent="0.2">
      <c r="A534" s="74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9"/>
      <c r="N534" s="69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</row>
    <row r="535" spans="1:35" x14ac:dyDescent="0.2">
      <c r="A535" s="74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9"/>
      <c r="N535" s="69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</row>
    <row r="536" spans="1:35" x14ac:dyDescent="0.2">
      <c r="A536" s="74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9"/>
      <c r="N536" s="69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</row>
    <row r="537" spans="1:35" x14ac:dyDescent="0.2">
      <c r="A537" s="74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9"/>
      <c r="N537" s="69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</row>
    <row r="538" spans="1:35" x14ac:dyDescent="0.2">
      <c r="A538" s="74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9"/>
      <c r="N538" s="69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</row>
    <row r="539" spans="1:35" x14ac:dyDescent="0.2">
      <c r="A539" s="74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9"/>
      <c r="N539" s="69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</row>
    <row r="540" spans="1:35" x14ac:dyDescent="0.2">
      <c r="A540" s="74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9"/>
      <c r="N540" s="69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</row>
    <row r="541" spans="1:35" x14ac:dyDescent="0.2">
      <c r="A541" s="74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9"/>
      <c r="N541" s="69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</row>
    <row r="542" spans="1:35" x14ac:dyDescent="0.2">
      <c r="A542" s="74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9"/>
      <c r="N542" s="69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</row>
    <row r="543" spans="1:35" x14ac:dyDescent="0.2">
      <c r="A543" s="74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9"/>
      <c r="N543" s="69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</row>
    <row r="544" spans="1:35" x14ac:dyDescent="0.2">
      <c r="A544" s="74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9"/>
      <c r="N544" s="69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</row>
    <row r="545" spans="1:35" x14ac:dyDescent="0.2">
      <c r="A545" s="74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9"/>
      <c r="N545" s="69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</row>
    <row r="546" spans="1:35" x14ac:dyDescent="0.2">
      <c r="A546" s="74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9"/>
      <c r="N546" s="69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</row>
    <row r="547" spans="1:35" x14ac:dyDescent="0.2">
      <c r="A547" s="74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9"/>
      <c r="N547" s="69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</row>
    <row r="548" spans="1:35" x14ac:dyDescent="0.2">
      <c r="A548" s="74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9"/>
      <c r="N548" s="69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</row>
    <row r="549" spans="1:35" x14ac:dyDescent="0.2">
      <c r="A549" s="74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9"/>
      <c r="N549" s="69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</row>
    <row r="550" spans="1:35" x14ac:dyDescent="0.2">
      <c r="A550" s="74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9"/>
      <c r="N550" s="69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</row>
    <row r="551" spans="1:35" x14ac:dyDescent="0.2">
      <c r="A551" s="74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9"/>
      <c r="N551" s="69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</row>
    <row r="552" spans="1:35" x14ac:dyDescent="0.2">
      <c r="A552" s="74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9"/>
      <c r="N552" s="69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</row>
    <row r="553" spans="1:35" x14ac:dyDescent="0.2">
      <c r="A553" s="74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9"/>
      <c r="N553" s="69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</row>
    <row r="554" spans="1:35" x14ac:dyDescent="0.2">
      <c r="A554" s="74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9"/>
      <c r="N554" s="69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</row>
    <row r="555" spans="1:35" x14ac:dyDescent="0.2">
      <c r="A555" s="74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9"/>
      <c r="N555" s="69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</row>
    <row r="556" spans="1:35" x14ac:dyDescent="0.2">
      <c r="A556" s="74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9"/>
      <c r="N556" s="69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</row>
    <row r="557" spans="1:35" x14ac:dyDescent="0.2">
      <c r="A557" s="74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9"/>
      <c r="N557" s="69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</row>
    <row r="558" spans="1:35" x14ac:dyDescent="0.2">
      <c r="A558" s="74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9"/>
      <c r="N558" s="69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</row>
    <row r="559" spans="1:35" x14ac:dyDescent="0.2">
      <c r="A559" s="74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9"/>
      <c r="N559" s="69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</row>
    <row r="560" spans="1:35" x14ac:dyDescent="0.2">
      <c r="A560" s="74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9"/>
      <c r="N560" s="69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</row>
    <row r="561" spans="1:35" x14ac:dyDescent="0.2">
      <c r="A561" s="74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9"/>
      <c r="N561" s="69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</row>
    <row r="562" spans="1:35" x14ac:dyDescent="0.2">
      <c r="A562" s="74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9"/>
      <c r="N562" s="69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</row>
    <row r="563" spans="1:35" x14ac:dyDescent="0.2">
      <c r="A563" s="74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9"/>
      <c r="N563" s="69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</row>
    <row r="564" spans="1:35" x14ac:dyDescent="0.2">
      <c r="A564" s="74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9"/>
      <c r="N564" s="69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</row>
    <row r="565" spans="1:35" x14ac:dyDescent="0.2">
      <c r="A565" s="74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9"/>
      <c r="N565" s="69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</row>
    <row r="566" spans="1:35" x14ac:dyDescent="0.2">
      <c r="A566" s="74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9"/>
      <c r="N566" s="69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</row>
    <row r="567" spans="1:35" x14ac:dyDescent="0.2">
      <c r="A567" s="74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9"/>
      <c r="N567" s="69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</row>
    <row r="568" spans="1:35" x14ac:dyDescent="0.2">
      <c r="A568" s="74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9"/>
      <c r="N568" s="69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</row>
    <row r="569" spans="1:35" x14ac:dyDescent="0.2">
      <c r="A569" s="74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9"/>
      <c r="N569" s="69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</row>
    <row r="570" spans="1:35" x14ac:dyDescent="0.2">
      <c r="A570" s="74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9"/>
      <c r="N570" s="69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</row>
    <row r="571" spans="1:35" x14ac:dyDescent="0.2">
      <c r="A571" s="74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9"/>
      <c r="N571" s="69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</row>
    <row r="572" spans="1:35" x14ac:dyDescent="0.2">
      <c r="A572" s="74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9"/>
      <c r="N572" s="69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</row>
    <row r="573" spans="1:35" x14ac:dyDescent="0.2">
      <c r="A573" s="74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9"/>
      <c r="N573" s="69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</row>
    <row r="574" spans="1:35" x14ac:dyDescent="0.2">
      <c r="A574" s="74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9"/>
      <c r="N574" s="69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</row>
    <row r="575" spans="1:35" x14ac:dyDescent="0.2">
      <c r="A575" s="74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9"/>
      <c r="N575" s="69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</row>
    <row r="576" spans="1:35" x14ac:dyDescent="0.2">
      <c r="A576" s="74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9"/>
      <c r="N576" s="69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</row>
    <row r="577" spans="1:35" x14ac:dyDescent="0.2">
      <c r="A577" s="74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9"/>
      <c r="N577" s="69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</row>
    <row r="578" spans="1:35" x14ac:dyDescent="0.2">
      <c r="A578" s="74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9"/>
      <c r="N578" s="69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</row>
    <row r="579" spans="1:35" x14ac:dyDescent="0.2">
      <c r="A579" s="74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9"/>
      <c r="N579" s="69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</row>
    <row r="580" spans="1:35" x14ac:dyDescent="0.2">
      <c r="A580" s="74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9"/>
      <c r="N580" s="69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</row>
    <row r="581" spans="1:35" x14ac:dyDescent="0.2">
      <c r="A581" s="74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9"/>
      <c r="N581" s="69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</row>
    <row r="582" spans="1:35" x14ac:dyDescent="0.2">
      <c r="A582" s="74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9"/>
      <c r="N582" s="69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</row>
    <row r="583" spans="1:35" x14ac:dyDescent="0.2">
      <c r="A583" s="74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9"/>
      <c r="N583" s="69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</row>
    <row r="584" spans="1:35" x14ac:dyDescent="0.2">
      <c r="A584" s="74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9"/>
      <c r="N584" s="69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</row>
    <row r="585" spans="1:35" x14ac:dyDescent="0.2">
      <c r="A585" s="74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9"/>
      <c r="N585" s="69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</row>
    <row r="586" spans="1:35" x14ac:dyDescent="0.2">
      <c r="A586" s="74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9"/>
      <c r="N586" s="69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</row>
    <row r="587" spans="1:35" x14ac:dyDescent="0.2">
      <c r="A587" s="74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9"/>
      <c r="N587" s="69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</row>
    <row r="588" spans="1:35" x14ac:dyDescent="0.2">
      <c r="A588" s="74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9"/>
      <c r="N588" s="69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</row>
    <row r="589" spans="1:35" x14ac:dyDescent="0.2">
      <c r="A589" s="74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9"/>
      <c r="N589" s="69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</row>
    <row r="590" spans="1:35" x14ac:dyDescent="0.2">
      <c r="A590" s="74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9"/>
      <c r="N590" s="69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</row>
    <row r="591" spans="1:35" x14ac:dyDescent="0.2">
      <c r="A591" s="74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9"/>
      <c r="N591" s="69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</row>
    <row r="592" spans="1:35" x14ac:dyDescent="0.2">
      <c r="A592" s="74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9"/>
      <c r="N592" s="69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</row>
    <row r="593" spans="1:35" x14ac:dyDescent="0.2">
      <c r="A593" s="74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9"/>
      <c r="N593" s="69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</row>
    <row r="594" spans="1:35" x14ac:dyDescent="0.2">
      <c r="A594" s="74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9"/>
      <c r="N594" s="69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</row>
    <row r="595" spans="1:35" x14ac:dyDescent="0.2">
      <c r="A595" s="74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9"/>
      <c r="N595" s="69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</row>
    <row r="596" spans="1:35" x14ac:dyDescent="0.2">
      <c r="A596" s="74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9"/>
      <c r="N596" s="69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</row>
    <row r="597" spans="1:35" x14ac:dyDescent="0.2">
      <c r="A597" s="74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9"/>
      <c r="N597" s="69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</row>
    <row r="598" spans="1:35" x14ac:dyDescent="0.2">
      <c r="A598" s="74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9"/>
      <c r="N598" s="69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</row>
    <row r="599" spans="1:35" x14ac:dyDescent="0.2">
      <c r="A599" s="74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9"/>
      <c r="N599" s="69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</row>
    <row r="600" spans="1:35" x14ac:dyDescent="0.2">
      <c r="A600" s="74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9"/>
      <c r="N600" s="69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</row>
    <row r="601" spans="1:35" x14ac:dyDescent="0.2">
      <c r="A601" s="74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9"/>
      <c r="N601" s="69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</row>
    <row r="602" spans="1:35" x14ac:dyDescent="0.2">
      <c r="A602" s="74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9"/>
      <c r="N602" s="69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</row>
    <row r="603" spans="1:35" x14ac:dyDescent="0.2">
      <c r="A603" s="74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9"/>
      <c r="N603" s="69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</row>
    <row r="604" spans="1:35" x14ac:dyDescent="0.2">
      <c r="A604" s="74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9"/>
      <c r="N604" s="69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</row>
    <row r="605" spans="1:35" x14ac:dyDescent="0.2">
      <c r="A605" s="74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9"/>
      <c r="N605" s="69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</row>
    <row r="606" spans="1:35" x14ac:dyDescent="0.2">
      <c r="A606" s="74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9"/>
      <c r="N606" s="69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</row>
    <row r="607" spans="1:35" x14ac:dyDescent="0.2">
      <c r="A607" s="74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9"/>
      <c r="N607" s="69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</row>
    <row r="608" spans="1:35" x14ac:dyDescent="0.2">
      <c r="A608" s="74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9"/>
      <c r="N608" s="69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</row>
    <row r="609" spans="1:35" x14ac:dyDescent="0.2">
      <c r="A609" s="74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9"/>
      <c r="N609" s="69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</row>
    <row r="610" spans="1:35" x14ac:dyDescent="0.2">
      <c r="A610" s="74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9"/>
      <c r="N610" s="69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</row>
    <row r="611" spans="1:35" x14ac:dyDescent="0.2">
      <c r="A611" s="74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9"/>
      <c r="N611" s="69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</row>
    <row r="612" spans="1:35" x14ac:dyDescent="0.2">
      <c r="A612" s="74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9"/>
      <c r="N612" s="69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</row>
    <row r="613" spans="1:35" x14ac:dyDescent="0.2">
      <c r="A613" s="74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9"/>
      <c r="N613" s="69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</row>
    <row r="614" spans="1:35" x14ac:dyDescent="0.2">
      <c r="A614" s="74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9"/>
      <c r="N614" s="69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</row>
    <row r="615" spans="1:35" x14ac:dyDescent="0.2">
      <c r="A615" s="74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9"/>
      <c r="N615" s="69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</row>
    <row r="616" spans="1:35" x14ac:dyDescent="0.2">
      <c r="A616" s="74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9"/>
      <c r="N616" s="69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</row>
    <row r="617" spans="1:35" x14ac:dyDescent="0.2">
      <c r="A617" s="74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9"/>
      <c r="N617" s="69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</row>
    <row r="618" spans="1:35" x14ac:dyDescent="0.2">
      <c r="A618" s="74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9"/>
      <c r="N618" s="69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</row>
    <row r="619" spans="1:35" x14ac:dyDescent="0.2">
      <c r="A619" s="74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9"/>
      <c r="N619" s="69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</row>
    <row r="620" spans="1:35" x14ac:dyDescent="0.2">
      <c r="A620" s="74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9"/>
      <c r="N620" s="69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</row>
    <row r="621" spans="1:35" x14ac:dyDescent="0.2">
      <c r="A621" s="74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9"/>
      <c r="N621" s="69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</row>
    <row r="622" spans="1:35" x14ac:dyDescent="0.2">
      <c r="A622" s="74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9"/>
      <c r="N622" s="69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</row>
    <row r="623" spans="1:35" x14ac:dyDescent="0.2">
      <c r="A623" s="74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9"/>
      <c r="N623" s="69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</row>
    <row r="624" spans="1:35" x14ac:dyDescent="0.2">
      <c r="A624" s="74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9"/>
      <c r="N624" s="69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</row>
    <row r="625" spans="1:35" x14ac:dyDescent="0.2">
      <c r="A625" s="74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9"/>
      <c r="N625" s="69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</row>
    <row r="626" spans="1:35" x14ac:dyDescent="0.2">
      <c r="A626" s="74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9"/>
      <c r="N626" s="69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</row>
    <row r="627" spans="1:35" x14ac:dyDescent="0.2">
      <c r="A627" s="74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9"/>
      <c r="N627" s="69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</row>
    <row r="628" spans="1:35" x14ac:dyDescent="0.2">
      <c r="A628" s="74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9"/>
      <c r="N628" s="69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</row>
    <row r="629" spans="1:35" x14ac:dyDescent="0.2">
      <c r="A629" s="74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9"/>
      <c r="N629" s="69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</row>
    <row r="630" spans="1:35" x14ac:dyDescent="0.2">
      <c r="A630" s="74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9"/>
      <c r="N630" s="69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</row>
    <row r="631" spans="1:35" x14ac:dyDescent="0.2">
      <c r="A631" s="74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9"/>
      <c r="N631" s="69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</row>
    <row r="632" spans="1:35" x14ac:dyDescent="0.2">
      <c r="A632" s="74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9"/>
      <c r="N632" s="69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</row>
    <row r="633" spans="1:35" x14ac:dyDescent="0.2">
      <c r="A633" s="74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9"/>
      <c r="N633" s="69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</row>
    <row r="634" spans="1:35" x14ac:dyDescent="0.2">
      <c r="A634" s="74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9"/>
      <c r="N634" s="69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</row>
    <row r="635" spans="1:35" x14ac:dyDescent="0.2">
      <c r="A635" s="74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9"/>
      <c r="N635" s="69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</row>
    <row r="636" spans="1:35" x14ac:dyDescent="0.2">
      <c r="A636" s="74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9"/>
      <c r="N636" s="69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</row>
    <row r="637" spans="1:35" x14ac:dyDescent="0.2">
      <c r="A637" s="74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9"/>
      <c r="N637" s="69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</row>
    <row r="638" spans="1:35" x14ac:dyDescent="0.2">
      <c r="A638" s="74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9"/>
      <c r="N638" s="69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</row>
    <row r="639" spans="1:35" x14ac:dyDescent="0.2">
      <c r="A639" s="74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9"/>
      <c r="N639" s="69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</row>
    <row r="640" spans="1:35" x14ac:dyDescent="0.2">
      <c r="A640" s="74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9"/>
      <c r="N640" s="69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</row>
    <row r="641" spans="1:35" x14ac:dyDescent="0.2">
      <c r="A641" s="74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9"/>
      <c r="N641" s="69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</row>
    <row r="642" spans="1:35" x14ac:dyDescent="0.2">
      <c r="A642" s="74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9"/>
      <c r="N642" s="69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</row>
    <row r="643" spans="1:35" x14ac:dyDescent="0.2">
      <c r="A643" s="74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9"/>
      <c r="N643" s="69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</row>
    <row r="644" spans="1:35" x14ac:dyDescent="0.2">
      <c r="A644" s="74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9"/>
      <c r="N644" s="69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</row>
    <row r="645" spans="1:35" x14ac:dyDescent="0.2">
      <c r="A645" s="74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9"/>
      <c r="N645" s="69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</row>
    <row r="646" spans="1:35" x14ac:dyDescent="0.2">
      <c r="A646" s="74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9"/>
      <c r="N646" s="69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</row>
    <row r="647" spans="1:35" x14ac:dyDescent="0.2">
      <c r="A647" s="74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9"/>
      <c r="N647" s="69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</row>
    <row r="648" spans="1:35" x14ac:dyDescent="0.2">
      <c r="A648" s="74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9"/>
      <c r="N648" s="69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</row>
    <row r="649" spans="1:35" x14ac:dyDescent="0.2">
      <c r="A649" s="74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9"/>
      <c r="N649" s="69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</row>
    <row r="650" spans="1:35" x14ac:dyDescent="0.2">
      <c r="A650" s="74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9"/>
      <c r="N650" s="69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</row>
    <row r="651" spans="1:35" x14ac:dyDescent="0.2">
      <c r="A651" s="74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9"/>
      <c r="N651" s="69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</row>
    <row r="652" spans="1:35" x14ac:dyDescent="0.2">
      <c r="A652" s="74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9"/>
      <c r="N652" s="69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</row>
    <row r="653" spans="1:35" x14ac:dyDescent="0.2">
      <c r="A653" s="74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9"/>
      <c r="N653" s="69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</row>
    <row r="654" spans="1:35" x14ac:dyDescent="0.2">
      <c r="A654" s="74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9"/>
      <c r="N654" s="69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</row>
    <row r="655" spans="1:35" x14ac:dyDescent="0.2">
      <c r="A655" s="74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9"/>
      <c r="N655" s="69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</row>
    <row r="656" spans="1:35" x14ac:dyDescent="0.2">
      <c r="A656" s="74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9"/>
      <c r="N656" s="69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</row>
    <row r="657" spans="1:35" x14ac:dyDescent="0.2">
      <c r="A657" s="74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9"/>
      <c r="N657" s="69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</row>
    <row r="658" spans="1:35" x14ac:dyDescent="0.2">
      <c r="A658" s="74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9"/>
      <c r="N658" s="69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</row>
    <row r="659" spans="1:35" x14ac:dyDescent="0.2">
      <c r="A659" s="74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9"/>
      <c r="N659" s="69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</row>
    <row r="660" spans="1:35" x14ac:dyDescent="0.2">
      <c r="A660" s="74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9"/>
      <c r="N660" s="69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</row>
    <row r="661" spans="1:35" x14ac:dyDescent="0.2">
      <c r="A661" s="74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9"/>
      <c r="N661" s="69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</row>
    <row r="662" spans="1:35" x14ac:dyDescent="0.2">
      <c r="A662" s="74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9"/>
      <c r="N662" s="69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</row>
    <row r="663" spans="1:35" x14ac:dyDescent="0.2">
      <c r="A663" s="74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9"/>
      <c r="N663" s="69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</row>
    <row r="664" spans="1:35" x14ac:dyDescent="0.2">
      <c r="A664" s="74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9"/>
      <c r="N664" s="69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</row>
    <row r="665" spans="1:35" x14ac:dyDescent="0.2">
      <c r="A665" s="74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9"/>
      <c r="N665" s="69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</row>
    <row r="666" spans="1:35" x14ac:dyDescent="0.2">
      <c r="A666" s="74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9"/>
      <c r="N666" s="69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</row>
    <row r="667" spans="1:35" x14ac:dyDescent="0.2">
      <c r="A667" s="74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9"/>
      <c r="N667" s="69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</row>
    <row r="668" spans="1:35" x14ac:dyDescent="0.2">
      <c r="A668" s="74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9"/>
      <c r="N668" s="69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</row>
    <row r="669" spans="1:35" x14ac:dyDescent="0.2">
      <c r="A669" s="74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9"/>
      <c r="N669" s="69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</row>
    <row r="670" spans="1:35" x14ac:dyDescent="0.2">
      <c r="A670" s="74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9"/>
      <c r="N670" s="69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</row>
    <row r="671" spans="1:35" x14ac:dyDescent="0.2">
      <c r="A671" s="74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9"/>
      <c r="N671" s="69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</row>
    <row r="672" spans="1:35" x14ac:dyDescent="0.2">
      <c r="A672" s="74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9"/>
      <c r="N672" s="69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</row>
    <row r="673" spans="1:35" x14ac:dyDescent="0.2">
      <c r="A673" s="74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9"/>
      <c r="N673" s="69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</row>
    <row r="674" spans="1:35" x14ac:dyDescent="0.2">
      <c r="A674" s="74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9"/>
      <c r="N674" s="69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</row>
    <row r="675" spans="1:35" x14ac:dyDescent="0.2">
      <c r="A675" s="74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9"/>
      <c r="N675" s="69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</row>
    <row r="676" spans="1:35" x14ac:dyDescent="0.2">
      <c r="A676" s="74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9"/>
      <c r="N676" s="69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</row>
    <row r="677" spans="1:35" x14ac:dyDescent="0.2">
      <c r="A677" s="74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9"/>
      <c r="N677" s="69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</row>
    <row r="678" spans="1:35" x14ac:dyDescent="0.2">
      <c r="A678" s="74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9"/>
      <c r="N678" s="69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</row>
    <row r="679" spans="1:35" x14ac:dyDescent="0.2">
      <c r="A679" s="74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9"/>
      <c r="N679" s="69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</row>
    <row r="680" spans="1:35" x14ac:dyDescent="0.2">
      <c r="A680" s="74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9"/>
      <c r="N680" s="69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</row>
    <row r="681" spans="1:35" x14ac:dyDescent="0.2">
      <c r="A681" s="74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9"/>
      <c r="N681" s="69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</row>
    <row r="682" spans="1:35" x14ac:dyDescent="0.2">
      <c r="A682" s="74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9"/>
      <c r="N682" s="69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</row>
    <row r="683" spans="1:35" x14ac:dyDescent="0.2">
      <c r="A683" s="74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9"/>
      <c r="N683" s="69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</row>
    <row r="684" spans="1:35" x14ac:dyDescent="0.2">
      <c r="A684" s="74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9"/>
      <c r="N684" s="69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</row>
    <row r="685" spans="1:35" x14ac:dyDescent="0.2">
      <c r="A685" s="74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9"/>
      <c r="N685" s="69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</row>
    <row r="686" spans="1:35" x14ac:dyDescent="0.2">
      <c r="A686" s="74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9"/>
      <c r="N686" s="69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</row>
    <row r="687" spans="1:35" x14ac:dyDescent="0.2">
      <c r="A687" s="74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9"/>
      <c r="N687" s="69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</row>
    <row r="688" spans="1:35" x14ac:dyDescent="0.2">
      <c r="A688" s="74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9"/>
      <c r="N688" s="69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</row>
    <row r="689" spans="1:35" x14ac:dyDescent="0.2">
      <c r="A689" s="74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9"/>
      <c r="N689" s="69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</row>
    <row r="690" spans="1:35" x14ac:dyDescent="0.2">
      <c r="A690" s="74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9"/>
      <c r="N690" s="69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</row>
    <row r="691" spans="1:35" x14ac:dyDescent="0.2">
      <c r="A691" s="74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9"/>
      <c r="N691" s="69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</row>
    <row r="692" spans="1:35" x14ac:dyDescent="0.2">
      <c r="A692" s="74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9"/>
      <c r="N692" s="69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</row>
    <row r="693" spans="1:35" x14ac:dyDescent="0.2">
      <c r="A693" s="74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9"/>
      <c r="N693" s="69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</row>
    <row r="694" spans="1:35" x14ac:dyDescent="0.2">
      <c r="A694" s="74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9"/>
      <c r="N694" s="69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</row>
    <row r="695" spans="1:35" x14ac:dyDescent="0.2">
      <c r="A695" s="74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9"/>
      <c r="N695" s="69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</row>
    <row r="696" spans="1:35" x14ac:dyDescent="0.2">
      <c r="A696" s="74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9"/>
      <c r="N696" s="69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</row>
    <row r="697" spans="1:35" x14ac:dyDescent="0.2">
      <c r="A697" s="74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9"/>
      <c r="N697" s="69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</row>
    <row r="698" spans="1:35" x14ac:dyDescent="0.2">
      <c r="A698" s="74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9"/>
      <c r="N698" s="69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</row>
    <row r="699" spans="1:35" x14ac:dyDescent="0.2">
      <c r="A699" s="74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9"/>
      <c r="N699" s="69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</row>
    <row r="700" spans="1:35" x14ac:dyDescent="0.2">
      <c r="A700" s="74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9"/>
      <c r="N700" s="69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</row>
    <row r="701" spans="1:35" x14ac:dyDescent="0.2">
      <c r="A701" s="74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9"/>
      <c r="N701" s="69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  <c r="AG701" s="65"/>
      <c r="AH701" s="65"/>
      <c r="AI701" s="65"/>
    </row>
    <row r="702" spans="1:35" x14ac:dyDescent="0.2">
      <c r="A702" s="74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9"/>
      <c r="N702" s="69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</row>
    <row r="703" spans="1:35" x14ac:dyDescent="0.2">
      <c r="A703" s="74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9"/>
      <c r="N703" s="69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65"/>
      <c r="AG703" s="65"/>
      <c r="AH703" s="65"/>
      <c r="AI703" s="65"/>
    </row>
    <row r="704" spans="1:35" x14ac:dyDescent="0.2">
      <c r="A704" s="74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9"/>
      <c r="N704" s="69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</row>
    <row r="705" spans="1:35" x14ac:dyDescent="0.2">
      <c r="A705" s="74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9"/>
      <c r="N705" s="69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65"/>
      <c r="AG705" s="65"/>
      <c r="AH705" s="65"/>
      <c r="AI705" s="65"/>
    </row>
    <row r="706" spans="1:35" x14ac:dyDescent="0.2">
      <c r="A706" s="74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9"/>
      <c r="N706" s="69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</row>
    <row r="707" spans="1:35" x14ac:dyDescent="0.2">
      <c r="A707" s="74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9"/>
      <c r="N707" s="69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65"/>
      <c r="AG707" s="65"/>
      <c r="AH707" s="65"/>
      <c r="AI707" s="65"/>
    </row>
    <row r="708" spans="1:35" x14ac:dyDescent="0.2">
      <c r="A708" s="74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9"/>
      <c r="N708" s="69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</row>
    <row r="709" spans="1:35" x14ac:dyDescent="0.2">
      <c r="A709" s="74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9"/>
      <c r="N709" s="69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  <c r="AG709" s="65"/>
      <c r="AH709" s="65"/>
      <c r="AI709" s="65"/>
    </row>
    <row r="710" spans="1:35" x14ac:dyDescent="0.2">
      <c r="A710" s="74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9"/>
      <c r="N710" s="69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</row>
    <row r="711" spans="1:35" x14ac:dyDescent="0.2">
      <c r="A711" s="74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9"/>
      <c r="N711" s="69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</row>
    <row r="712" spans="1:35" x14ac:dyDescent="0.2">
      <c r="A712" s="74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9"/>
      <c r="N712" s="69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</row>
    <row r="713" spans="1:35" x14ac:dyDescent="0.2">
      <c r="A713" s="74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9"/>
      <c r="N713" s="69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65"/>
      <c r="AG713" s="65"/>
      <c r="AH713" s="65"/>
      <c r="AI713" s="65"/>
    </row>
    <row r="714" spans="1:35" x14ac:dyDescent="0.2">
      <c r="A714" s="74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9"/>
      <c r="N714" s="69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5"/>
      <c r="AF714" s="65"/>
      <c r="AG714" s="65"/>
      <c r="AH714" s="65"/>
      <c r="AI714" s="65"/>
    </row>
    <row r="715" spans="1:35" x14ac:dyDescent="0.2">
      <c r="A715" s="74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9"/>
      <c r="N715" s="69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  <c r="AG715" s="65"/>
      <c r="AH715" s="65"/>
      <c r="AI715" s="65"/>
    </row>
    <row r="716" spans="1:35" x14ac:dyDescent="0.2">
      <c r="A716" s="74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9"/>
      <c r="N716" s="69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65"/>
      <c r="AG716" s="65"/>
      <c r="AH716" s="65"/>
      <c r="AI716" s="65"/>
    </row>
    <row r="717" spans="1:35" x14ac:dyDescent="0.2">
      <c r="A717" s="74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9"/>
      <c r="N717" s="69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65"/>
      <c r="AG717" s="65"/>
      <c r="AH717" s="65"/>
      <c r="AI717" s="65"/>
    </row>
    <row r="718" spans="1:35" x14ac:dyDescent="0.2">
      <c r="A718" s="74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9"/>
      <c r="N718" s="69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</row>
    <row r="719" spans="1:35" x14ac:dyDescent="0.2">
      <c r="A719" s="74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9"/>
      <c r="N719" s="69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65"/>
      <c r="AG719" s="65"/>
      <c r="AH719" s="65"/>
      <c r="AI719" s="65"/>
    </row>
    <row r="720" spans="1:35" x14ac:dyDescent="0.2">
      <c r="A720" s="74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9"/>
      <c r="N720" s="69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</row>
    <row r="721" spans="1:35" x14ac:dyDescent="0.2">
      <c r="A721" s="74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9"/>
      <c r="N721" s="69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65"/>
      <c r="AG721" s="65"/>
      <c r="AH721" s="65"/>
      <c r="AI721" s="65"/>
    </row>
    <row r="722" spans="1:35" x14ac:dyDescent="0.2">
      <c r="A722" s="74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9"/>
      <c r="N722" s="69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5"/>
      <c r="AF722" s="65"/>
      <c r="AG722" s="65"/>
      <c r="AH722" s="65"/>
      <c r="AI722" s="65"/>
    </row>
    <row r="723" spans="1:35" x14ac:dyDescent="0.2">
      <c r="A723" s="74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9"/>
      <c r="N723" s="69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65"/>
      <c r="AG723" s="65"/>
      <c r="AH723" s="65"/>
      <c r="AI723" s="65"/>
    </row>
    <row r="724" spans="1:35" x14ac:dyDescent="0.2">
      <c r="A724" s="74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9"/>
      <c r="N724" s="69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</row>
    <row r="725" spans="1:35" x14ac:dyDescent="0.2">
      <c r="A725" s="74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9"/>
      <c r="N725" s="69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65"/>
      <c r="AG725" s="65"/>
      <c r="AH725" s="65"/>
      <c r="AI725" s="65"/>
    </row>
    <row r="726" spans="1:35" x14ac:dyDescent="0.2">
      <c r="A726" s="74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9"/>
      <c r="N726" s="69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65"/>
    </row>
    <row r="727" spans="1:35" x14ac:dyDescent="0.2">
      <c r="A727" s="74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9"/>
      <c r="N727" s="69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</row>
    <row r="728" spans="1:35" x14ac:dyDescent="0.2">
      <c r="A728" s="74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9"/>
      <c r="N728" s="69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</row>
    <row r="729" spans="1:35" x14ac:dyDescent="0.2">
      <c r="A729" s="74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9"/>
      <c r="N729" s="69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65"/>
    </row>
    <row r="730" spans="1:35" x14ac:dyDescent="0.2">
      <c r="A730" s="74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9"/>
      <c r="N730" s="69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5"/>
      <c r="AF730" s="65"/>
      <c r="AG730" s="65"/>
      <c r="AH730" s="65"/>
      <c r="AI730" s="65"/>
    </row>
    <row r="731" spans="1:35" x14ac:dyDescent="0.2">
      <c r="A731" s="74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9"/>
      <c r="N731" s="69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65"/>
      <c r="AG731" s="65"/>
      <c r="AH731" s="65"/>
      <c r="AI731" s="65"/>
    </row>
    <row r="732" spans="1:35" x14ac:dyDescent="0.2">
      <c r="A732" s="74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9"/>
      <c r="N732" s="69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</row>
    <row r="733" spans="1:35" x14ac:dyDescent="0.2">
      <c r="A733" s="74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9"/>
      <c r="N733" s="69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</row>
    <row r="734" spans="1:35" x14ac:dyDescent="0.2">
      <c r="A734" s="74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9"/>
      <c r="N734" s="69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</row>
    <row r="735" spans="1:35" x14ac:dyDescent="0.2">
      <c r="A735" s="74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9"/>
      <c r="N735" s="69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65"/>
      <c r="AG735" s="65"/>
      <c r="AH735" s="65"/>
      <c r="AI735" s="65"/>
    </row>
    <row r="736" spans="1:35" x14ac:dyDescent="0.2">
      <c r="A736" s="74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9"/>
      <c r="N736" s="69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</row>
    <row r="737" spans="1:35" x14ac:dyDescent="0.2">
      <c r="A737" s="74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9"/>
      <c r="N737" s="69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65"/>
      <c r="AG737" s="65"/>
      <c r="AH737" s="65"/>
      <c r="AI737" s="65"/>
    </row>
    <row r="738" spans="1:35" x14ac:dyDescent="0.2">
      <c r="A738" s="74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9"/>
      <c r="N738" s="69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  <c r="AE738" s="65"/>
      <c r="AF738" s="65"/>
      <c r="AG738" s="65"/>
      <c r="AH738" s="65"/>
      <c r="AI738" s="65"/>
    </row>
    <row r="739" spans="1:35" x14ac:dyDescent="0.2">
      <c r="A739" s="74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9"/>
      <c r="N739" s="69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  <c r="AE739" s="65"/>
      <c r="AF739" s="65"/>
      <c r="AG739" s="65"/>
      <c r="AH739" s="65"/>
      <c r="AI739" s="65"/>
    </row>
    <row r="740" spans="1:35" x14ac:dyDescent="0.2">
      <c r="A740" s="74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9"/>
      <c r="N740" s="69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  <c r="AE740" s="65"/>
      <c r="AF740" s="65"/>
      <c r="AG740" s="65"/>
      <c r="AH740" s="65"/>
      <c r="AI740" s="65"/>
    </row>
    <row r="741" spans="1:35" x14ac:dyDescent="0.2">
      <c r="A741" s="74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9"/>
      <c r="N741" s="69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  <c r="AE741" s="65"/>
      <c r="AF741" s="65"/>
      <c r="AG741" s="65"/>
      <c r="AH741" s="65"/>
      <c r="AI741" s="65"/>
    </row>
    <row r="742" spans="1:35" x14ac:dyDescent="0.2">
      <c r="A742" s="74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9"/>
      <c r="N742" s="69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  <c r="AE742" s="65"/>
      <c r="AF742" s="65"/>
      <c r="AG742" s="65"/>
      <c r="AH742" s="65"/>
      <c r="AI742" s="65"/>
    </row>
    <row r="743" spans="1:35" x14ac:dyDescent="0.2">
      <c r="A743" s="74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9"/>
      <c r="N743" s="69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  <c r="AE743" s="65"/>
      <c r="AF743" s="65"/>
      <c r="AG743" s="65"/>
      <c r="AH743" s="65"/>
      <c r="AI743" s="65"/>
    </row>
    <row r="744" spans="1:35" x14ac:dyDescent="0.2">
      <c r="A744" s="74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9"/>
      <c r="N744" s="69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  <c r="AE744" s="65"/>
      <c r="AF744" s="65"/>
      <c r="AG744" s="65"/>
      <c r="AH744" s="65"/>
      <c r="AI744" s="65"/>
    </row>
    <row r="745" spans="1:35" x14ac:dyDescent="0.2">
      <c r="A745" s="74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9"/>
      <c r="N745" s="69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  <c r="AE745" s="65"/>
      <c r="AF745" s="65"/>
      <c r="AG745" s="65"/>
      <c r="AH745" s="65"/>
      <c r="AI745" s="65"/>
    </row>
    <row r="746" spans="1:35" x14ac:dyDescent="0.2">
      <c r="A746" s="74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9"/>
      <c r="N746" s="69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  <c r="AE746" s="65"/>
      <c r="AF746" s="65"/>
      <c r="AG746" s="65"/>
      <c r="AH746" s="65"/>
      <c r="AI746" s="65"/>
    </row>
    <row r="747" spans="1:35" x14ac:dyDescent="0.2">
      <c r="A747" s="74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9"/>
      <c r="N747" s="69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  <c r="AE747" s="65"/>
      <c r="AF747" s="65"/>
      <c r="AG747" s="65"/>
      <c r="AH747" s="65"/>
      <c r="AI747" s="65"/>
    </row>
    <row r="748" spans="1:35" x14ac:dyDescent="0.2">
      <c r="A748" s="74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9"/>
      <c r="N748" s="69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  <c r="AE748" s="65"/>
      <c r="AF748" s="65"/>
      <c r="AG748" s="65"/>
      <c r="AH748" s="65"/>
      <c r="AI748" s="65"/>
    </row>
    <row r="749" spans="1:35" x14ac:dyDescent="0.2">
      <c r="A749" s="74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9"/>
      <c r="N749" s="69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  <c r="AE749" s="65"/>
      <c r="AF749" s="65"/>
      <c r="AG749" s="65"/>
      <c r="AH749" s="65"/>
      <c r="AI749" s="65"/>
    </row>
    <row r="750" spans="1:35" x14ac:dyDescent="0.2">
      <c r="A750" s="74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9"/>
      <c r="N750" s="69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  <c r="AE750" s="65"/>
      <c r="AF750" s="65"/>
      <c r="AG750" s="65"/>
      <c r="AH750" s="65"/>
      <c r="AI750" s="65"/>
    </row>
    <row r="751" spans="1:35" x14ac:dyDescent="0.2">
      <c r="A751" s="74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9"/>
      <c r="N751" s="69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  <c r="AE751" s="65"/>
      <c r="AF751" s="65"/>
      <c r="AG751" s="65"/>
      <c r="AH751" s="65"/>
      <c r="AI751" s="65"/>
    </row>
    <row r="752" spans="1:35" x14ac:dyDescent="0.2">
      <c r="A752" s="74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9"/>
      <c r="N752" s="69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  <c r="AE752" s="65"/>
      <c r="AF752" s="65"/>
      <c r="AG752" s="65"/>
      <c r="AH752" s="65"/>
      <c r="AI752" s="65"/>
    </row>
    <row r="753" spans="1:35" x14ac:dyDescent="0.2">
      <c r="A753" s="74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9"/>
      <c r="N753" s="69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  <c r="AE753" s="65"/>
      <c r="AF753" s="65"/>
      <c r="AG753" s="65"/>
      <c r="AH753" s="65"/>
      <c r="AI753" s="65"/>
    </row>
    <row r="754" spans="1:35" x14ac:dyDescent="0.2">
      <c r="A754" s="74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9"/>
      <c r="N754" s="69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  <c r="AE754" s="65"/>
      <c r="AF754" s="65"/>
      <c r="AG754" s="65"/>
      <c r="AH754" s="65"/>
      <c r="AI754" s="65"/>
    </row>
    <row r="755" spans="1:35" x14ac:dyDescent="0.2">
      <c r="A755" s="74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9"/>
      <c r="N755" s="69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  <c r="AE755" s="65"/>
      <c r="AF755" s="65"/>
      <c r="AG755" s="65"/>
      <c r="AH755" s="65"/>
      <c r="AI755" s="65"/>
    </row>
    <row r="756" spans="1:35" x14ac:dyDescent="0.2">
      <c r="A756" s="74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9"/>
      <c r="N756" s="69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  <c r="AE756" s="65"/>
      <c r="AF756" s="65"/>
      <c r="AG756" s="65"/>
      <c r="AH756" s="65"/>
      <c r="AI756" s="65"/>
    </row>
    <row r="757" spans="1:35" x14ac:dyDescent="0.2">
      <c r="A757" s="74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9"/>
      <c r="N757" s="69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  <c r="AE757" s="65"/>
      <c r="AF757" s="65"/>
      <c r="AG757" s="65"/>
      <c r="AH757" s="65"/>
      <c r="AI757" s="65"/>
    </row>
    <row r="758" spans="1:35" x14ac:dyDescent="0.2">
      <c r="A758" s="74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9"/>
      <c r="N758" s="69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  <c r="AE758" s="65"/>
      <c r="AF758" s="65"/>
      <c r="AG758" s="65"/>
      <c r="AH758" s="65"/>
      <c r="AI758" s="65"/>
    </row>
    <row r="759" spans="1:35" x14ac:dyDescent="0.2">
      <c r="A759" s="74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9"/>
      <c r="N759" s="69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  <c r="AE759" s="65"/>
      <c r="AF759" s="65"/>
      <c r="AG759" s="65"/>
      <c r="AH759" s="65"/>
      <c r="AI759" s="65"/>
    </row>
    <row r="760" spans="1:35" x14ac:dyDescent="0.2">
      <c r="A760" s="74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9"/>
      <c r="N760" s="69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  <c r="AE760" s="65"/>
      <c r="AF760" s="65"/>
      <c r="AG760" s="65"/>
      <c r="AH760" s="65"/>
      <c r="AI760" s="65"/>
    </row>
    <row r="761" spans="1:35" x14ac:dyDescent="0.2">
      <c r="A761" s="74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9"/>
      <c r="N761" s="69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  <c r="AE761" s="65"/>
      <c r="AF761" s="65"/>
      <c r="AG761" s="65"/>
      <c r="AH761" s="65"/>
      <c r="AI761" s="65"/>
    </row>
    <row r="762" spans="1:35" x14ac:dyDescent="0.2">
      <c r="A762" s="74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9"/>
      <c r="N762" s="69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  <c r="AE762" s="65"/>
      <c r="AF762" s="65"/>
      <c r="AG762" s="65"/>
      <c r="AH762" s="65"/>
      <c r="AI762" s="65"/>
    </row>
    <row r="763" spans="1:35" x14ac:dyDescent="0.2">
      <c r="A763" s="74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9"/>
      <c r="N763" s="69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  <c r="AE763" s="65"/>
      <c r="AF763" s="65"/>
      <c r="AG763" s="65"/>
      <c r="AH763" s="65"/>
      <c r="AI763" s="65"/>
    </row>
    <row r="764" spans="1:35" x14ac:dyDescent="0.2">
      <c r="A764" s="74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9"/>
      <c r="N764" s="69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  <c r="AE764" s="65"/>
      <c r="AF764" s="65"/>
      <c r="AG764" s="65"/>
      <c r="AH764" s="65"/>
      <c r="AI764" s="65"/>
    </row>
    <row r="765" spans="1:35" x14ac:dyDescent="0.2">
      <c r="A765" s="74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9"/>
      <c r="N765" s="69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  <c r="AE765" s="65"/>
      <c r="AF765" s="65"/>
      <c r="AG765" s="65"/>
      <c r="AH765" s="65"/>
      <c r="AI765" s="65"/>
    </row>
    <row r="766" spans="1:35" x14ac:dyDescent="0.2">
      <c r="A766" s="74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9"/>
      <c r="N766" s="69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  <c r="AE766" s="65"/>
      <c r="AF766" s="65"/>
      <c r="AG766" s="65"/>
      <c r="AH766" s="65"/>
      <c r="AI766" s="65"/>
    </row>
    <row r="767" spans="1:35" x14ac:dyDescent="0.2">
      <c r="A767" s="74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9"/>
      <c r="N767" s="69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  <c r="AE767" s="65"/>
      <c r="AF767" s="65"/>
      <c r="AG767" s="65"/>
      <c r="AH767" s="65"/>
      <c r="AI767" s="65"/>
    </row>
    <row r="768" spans="1:35" x14ac:dyDescent="0.2">
      <c r="A768" s="74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9"/>
      <c r="N768" s="69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  <c r="AE768" s="65"/>
      <c r="AF768" s="65"/>
      <c r="AG768" s="65"/>
      <c r="AH768" s="65"/>
      <c r="AI768" s="65"/>
    </row>
    <row r="769" spans="1:35" x14ac:dyDescent="0.2">
      <c r="A769" s="74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9"/>
      <c r="N769" s="69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65"/>
      <c r="AG769" s="65"/>
      <c r="AH769" s="65"/>
      <c r="AI769" s="65"/>
    </row>
    <row r="770" spans="1:35" x14ac:dyDescent="0.2">
      <c r="A770" s="74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9"/>
      <c r="N770" s="69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  <c r="AE770" s="65"/>
      <c r="AF770" s="65"/>
      <c r="AG770" s="65"/>
      <c r="AH770" s="65"/>
      <c r="AI770" s="65"/>
    </row>
    <row r="771" spans="1:35" x14ac:dyDescent="0.2">
      <c r="A771" s="74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9"/>
      <c r="N771" s="69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  <c r="AE771" s="65"/>
      <c r="AF771" s="65"/>
      <c r="AG771" s="65"/>
      <c r="AH771" s="65"/>
      <c r="AI771" s="65"/>
    </row>
    <row r="772" spans="1:35" x14ac:dyDescent="0.2">
      <c r="A772" s="74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9"/>
      <c r="N772" s="69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  <c r="AE772" s="65"/>
      <c r="AF772" s="65"/>
      <c r="AG772" s="65"/>
      <c r="AH772" s="65"/>
      <c r="AI772" s="65"/>
    </row>
    <row r="773" spans="1:35" x14ac:dyDescent="0.2">
      <c r="A773" s="74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9"/>
      <c r="N773" s="69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  <c r="AE773" s="65"/>
      <c r="AF773" s="65"/>
      <c r="AG773" s="65"/>
      <c r="AH773" s="65"/>
      <c r="AI773" s="65"/>
    </row>
    <row r="774" spans="1:35" x14ac:dyDescent="0.2">
      <c r="A774" s="74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9"/>
      <c r="N774" s="69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  <c r="AE774" s="65"/>
      <c r="AF774" s="65"/>
      <c r="AG774" s="65"/>
      <c r="AH774" s="65"/>
      <c r="AI774" s="65"/>
    </row>
    <row r="775" spans="1:35" x14ac:dyDescent="0.2">
      <c r="A775" s="74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9"/>
      <c r="N775" s="69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  <c r="AE775" s="65"/>
      <c r="AF775" s="65"/>
      <c r="AG775" s="65"/>
      <c r="AH775" s="65"/>
      <c r="AI775" s="65"/>
    </row>
    <row r="776" spans="1:35" x14ac:dyDescent="0.2">
      <c r="A776" s="74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9"/>
      <c r="N776" s="69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  <c r="AE776" s="65"/>
      <c r="AF776" s="65"/>
      <c r="AG776" s="65"/>
      <c r="AH776" s="65"/>
      <c r="AI776" s="65"/>
    </row>
    <row r="777" spans="1:35" x14ac:dyDescent="0.2">
      <c r="A777" s="74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9"/>
      <c r="N777" s="69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  <c r="AE777" s="65"/>
      <c r="AF777" s="65"/>
      <c r="AG777" s="65"/>
      <c r="AH777" s="65"/>
      <c r="AI777" s="65"/>
    </row>
    <row r="778" spans="1:35" x14ac:dyDescent="0.2">
      <c r="A778" s="74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9"/>
      <c r="N778" s="69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  <c r="AE778" s="65"/>
      <c r="AF778" s="65"/>
      <c r="AG778" s="65"/>
      <c r="AH778" s="65"/>
      <c r="AI778" s="65"/>
    </row>
    <row r="779" spans="1:35" x14ac:dyDescent="0.2">
      <c r="A779" s="74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9"/>
      <c r="N779" s="69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  <c r="AE779" s="65"/>
      <c r="AF779" s="65"/>
      <c r="AG779" s="65"/>
      <c r="AH779" s="65"/>
      <c r="AI779" s="65"/>
    </row>
    <row r="780" spans="1:35" x14ac:dyDescent="0.2">
      <c r="A780" s="74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9"/>
      <c r="N780" s="69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  <c r="AE780" s="65"/>
      <c r="AF780" s="65"/>
      <c r="AG780" s="65"/>
      <c r="AH780" s="65"/>
      <c r="AI780" s="65"/>
    </row>
    <row r="781" spans="1:35" x14ac:dyDescent="0.2">
      <c r="A781" s="74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9"/>
      <c r="N781" s="69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  <c r="AE781" s="65"/>
      <c r="AF781" s="65"/>
      <c r="AG781" s="65"/>
      <c r="AH781" s="65"/>
      <c r="AI781" s="65"/>
    </row>
    <row r="782" spans="1:35" x14ac:dyDescent="0.2">
      <c r="A782" s="74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9"/>
      <c r="N782" s="69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  <c r="AE782" s="65"/>
      <c r="AF782" s="65"/>
      <c r="AG782" s="65"/>
      <c r="AH782" s="65"/>
      <c r="AI782" s="65"/>
    </row>
    <row r="783" spans="1:35" x14ac:dyDescent="0.2">
      <c r="A783" s="74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9"/>
      <c r="N783" s="69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  <c r="AE783" s="65"/>
      <c r="AF783" s="65"/>
      <c r="AG783" s="65"/>
      <c r="AH783" s="65"/>
      <c r="AI783" s="65"/>
    </row>
    <row r="784" spans="1:35" x14ac:dyDescent="0.2">
      <c r="A784" s="74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9"/>
      <c r="N784" s="69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  <c r="AE784" s="65"/>
      <c r="AF784" s="65"/>
      <c r="AG784" s="65"/>
      <c r="AH784" s="65"/>
      <c r="AI784" s="65"/>
    </row>
    <row r="785" spans="1:35" x14ac:dyDescent="0.2">
      <c r="A785" s="74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9"/>
      <c r="N785" s="69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  <c r="AE785" s="65"/>
      <c r="AF785" s="65"/>
      <c r="AG785" s="65"/>
      <c r="AH785" s="65"/>
      <c r="AI785" s="65"/>
    </row>
    <row r="786" spans="1:35" x14ac:dyDescent="0.2">
      <c r="A786" s="74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9"/>
      <c r="N786" s="69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  <c r="AE786" s="65"/>
      <c r="AF786" s="65"/>
      <c r="AG786" s="65"/>
      <c r="AH786" s="65"/>
      <c r="AI786" s="65"/>
    </row>
    <row r="787" spans="1:35" x14ac:dyDescent="0.2">
      <c r="A787" s="74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9"/>
      <c r="N787" s="69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  <c r="AE787" s="65"/>
      <c r="AF787" s="65"/>
      <c r="AG787" s="65"/>
      <c r="AH787" s="65"/>
      <c r="AI787" s="65"/>
    </row>
    <row r="788" spans="1:35" x14ac:dyDescent="0.2">
      <c r="A788" s="74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9"/>
      <c r="N788" s="69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  <c r="AE788" s="65"/>
      <c r="AF788" s="65"/>
      <c r="AG788" s="65"/>
      <c r="AH788" s="65"/>
      <c r="AI788" s="65"/>
    </row>
    <row r="789" spans="1:35" x14ac:dyDescent="0.2">
      <c r="A789" s="74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9"/>
      <c r="N789" s="69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  <c r="AE789" s="65"/>
      <c r="AF789" s="65"/>
      <c r="AG789" s="65"/>
      <c r="AH789" s="65"/>
      <c r="AI789" s="65"/>
    </row>
    <row r="790" spans="1:35" x14ac:dyDescent="0.2">
      <c r="A790" s="74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9"/>
      <c r="N790" s="69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  <c r="AE790" s="65"/>
      <c r="AF790" s="65"/>
      <c r="AG790" s="65"/>
      <c r="AH790" s="65"/>
      <c r="AI790" s="65"/>
    </row>
    <row r="791" spans="1:35" x14ac:dyDescent="0.2">
      <c r="A791" s="74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9"/>
      <c r="N791" s="69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  <c r="AE791" s="65"/>
      <c r="AF791" s="65"/>
      <c r="AG791" s="65"/>
      <c r="AH791" s="65"/>
      <c r="AI791" s="65"/>
    </row>
    <row r="792" spans="1:35" x14ac:dyDescent="0.2">
      <c r="A792" s="74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9"/>
      <c r="N792" s="69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  <c r="AE792" s="65"/>
      <c r="AF792" s="65"/>
      <c r="AG792" s="65"/>
      <c r="AH792" s="65"/>
      <c r="AI792" s="65"/>
    </row>
    <row r="793" spans="1:35" x14ac:dyDescent="0.2">
      <c r="A793" s="74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9"/>
      <c r="N793" s="69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  <c r="AE793" s="65"/>
      <c r="AF793" s="65"/>
      <c r="AG793" s="65"/>
      <c r="AH793" s="65"/>
      <c r="AI793" s="65"/>
    </row>
    <row r="794" spans="1:35" x14ac:dyDescent="0.2">
      <c r="A794" s="74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9"/>
      <c r="N794" s="69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  <c r="AE794" s="65"/>
      <c r="AF794" s="65"/>
      <c r="AG794" s="65"/>
      <c r="AH794" s="65"/>
      <c r="AI794" s="65"/>
    </row>
    <row r="795" spans="1:35" x14ac:dyDescent="0.2">
      <c r="A795" s="74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9"/>
      <c r="N795" s="69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  <c r="AE795" s="65"/>
      <c r="AF795" s="65"/>
      <c r="AG795" s="65"/>
      <c r="AH795" s="65"/>
      <c r="AI795" s="65"/>
    </row>
    <row r="796" spans="1:35" x14ac:dyDescent="0.2">
      <c r="A796" s="74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9"/>
      <c r="N796" s="69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  <c r="AE796" s="65"/>
      <c r="AF796" s="65"/>
      <c r="AG796" s="65"/>
      <c r="AH796" s="65"/>
      <c r="AI796" s="65"/>
    </row>
    <row r="797" spans="1:35" x14ac:dyDescent="0.2">
      <c r="A797" s="74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9"/>
      <c r="N797" s="69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  <c r="AE797" s="65"/>
      <c r="AF797" s="65"/>
      <c r="AG797" s="65"/>
      <c r="AH797" s="65"/>
      <c r="AI797" s="65"/>
    </row>
    <row r="798" spans="1:35" x14ac:dyDescent="0.2">
      <c r="A798" s="74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9"/>
      <c r="N798" s="69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  <c r="AE798" s="65"/>
      <c r="AF798" s="65"/>
      <c r="AG798" s="65"/>
      <c r="AH798" s="65"/>
      <c r="AI798" s="65"/>
    </row>
    <row r="799" spans="1:35" x14ac:dyDescent="0.2">
      <c r="A799" s="74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9"/>
      <c r="N799" s="69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  <c r="AE799" s="65"/>
      <c r="AF799" s="65"/>
      <c r="AG799" s="65"/>
      <c r="AH799" s="65"/>
      <c r="AI799" s="65"/>
    </row>
    <row r="800" spans="1:35" x14ac:dyDescent="0.2">
      <c r="A800" s="74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9"/>
      <c r="N800" s="69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  <c r="AE800" s="65"/>
      <c r="AF800" s="65"/>
      <c r="AG800" s="65"/>
      <c r="AH800" s="65"/>
      <c r="AI800" s="65"/>
    </row>
    <row r="801" spans="1:35" x14ac:dyDescent="0.2">
      <c r="A801" s="74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9"/>
      <c r="N801" s="69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  <c r="AE801" s="65"/>
      <c r="AF801" s="65"/>
      <c r="AG801" s="65"/>
      <c r="AH801" s="65"/>
      <c r="AI801" s="65"/>
    </row>
    <row r="802" spans="1:35" x14ac:dyDescent="0.2">
      <c r="A802" s="74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9"/>
      <c r="N802" s="69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  <c r="AE802" s="65"/>
      <c r="AF802" s="65"/>
      <c r="AG802" s="65"/>
      <c r="AH802" s="65"/>
      <c r="AI802" s="65"/>
    </row>
    <row r="803" spans="1:35" x14ac:dyDescent="0.2">
      <c r="A803" s="74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9"/>
      <c r="N803" s="69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  <c r="AE803" s="65"/>
      <c r="AF803" s="65"/>
      <c r="AG803" s="65"/>
      <c r="AH803" s="65"/>
      <c r="AI803" s="65"/>
    </row>
    <row r="804" spans="1:35" x14ac:dyDescent="0.2">
      <c r="A804" s="74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9"/>
      <c r="N804" s="69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  <c r="AE804" s="65"/>
      <c r="AF804" s="65"/>
      <c r="AG804" s="65"/>
      <c r="AH804" s="65"/>
      <c r="AI804" s="65"/>
    </row>
    <row r="805" spans="1:35" x14ac:dyDescent="0.2">
      <c r="A805" s="74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9"/>
      <c r="N805" s="69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  <c r="AE805" s="65"/>
      <c r="AF805" s="65"/>
      <c r="AG805" s="65"/>
      <c r="AH805" s="65"/>
      <c r="AI805" s="65"/>
    </row>
    <row r="806" spans="1:35" x14ac:dyDescent="0.2">
      <c r="A806" s="74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9"/>
      <c r="N806" s="69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  <c r="AE806" s="65"/>
      <c r="AF806" s="65"/>
      <c r="AG806" s="65"/>
      <c r="AH806" s="65"/>
      <c r="AI806" s="65"/>
    </row>
    <row r="807" spans="1:35" x14ac:dyDescent="0.2">
      <c r="A807" s="74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9"/>
      <c r="N807" s="69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  <c r="AE807" s="65"/>
      <c r="AF807" s="65"/>
      <c r="AG807" s="65"/>
      <c r="AH807" s="65"/>
      <c r="AI807" s="65"/>
    </row>
    <row r="808" spans="1:35" x14ac:dyDescent="0.2">
      <c r="A808" s="74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9"/>
      <c r="N808" s="69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  <c r="AE808" s="65"/>
      <c r="AF808" s="65"/>
      <c r="AG808" s="65"/>
      <c r="AH808" s="65"/>
      <c r="AI808" s="65"/>
    </row>
    <row r="809" spans="1:35" x14ac:dyDescent="0.2">
      <c r="A809" s="74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9"/>
      <c r="N809" s="69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  <c r="AE809" s="65"/>
      <c r="AF809" s="65"/>
      <c r="AG809" s="65"/>
      <c r="AH809" s="65"/>
      <c r="AI809" s="65"/>
    </row>
    <row r="810" spans="1:35" x14ac:dyDescent="0.2">
      <c r="A810" s="74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9"/>
      <c r="N810" s="69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  <c r="AE810" s="65"/>
      <c r="AF810" s="65"/>
      <c r="AG810" s="65"/>
      <c r="AH810" s="65"/>
      <c r="AI810" s="65"/>
    </row>
    <row r="811" spans="1:35" x14ac:dyDescent="0.2">
      <c r="A811" s="74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9"/>
      <c r="N811" s="69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  <c r="AE811" s="65"/>
      <c r="AF811" s="65"/>
      <c r="AG811" s="65"/>
      <c r="AH811" s="65"/>
      <c r="AI811" s="65"/>
    </row>
    <row r="812" spans="1:35" x14ac:dyDescent="0.2">
      <c r="A812" s="74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9"/>
      <c r="N812" s="69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  <c r="AE812" s="65"/>
      <c r="AF812" s="65"/>
      <c r="AG812" s="65"/>
      <c r="AH812" s="65"/>
      <c r="AI812" s="65"/>
    </row>
    <row r="813" spans="1:35" x14ac:dyDescent="0.2">
      <c r="A813" s="74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9"/>
      <c r="N813" s="69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  <c r="AE813" s="65"/>
      <c r="AF813" s="65"/>
      <c r="AG813" s="65"/>
      <c r="AH813" s="65"/>
      <c r="AI813" s="65"/>
    </row>
    <row r="814" spans="1:35" x14ac:dyDescent="0.2">
      <c r="A814" s="74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9"/>
      <c r="N814" s="69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  <c r="AE814" s="65"/>
      <c r="AF814" s="65"/>
      <c r="AG814" s="65"/>
      <c r="AH814" s="65"/>
      <c r="AI814" s="65"/>
    </row>
    <row r="815" spans="1:35" x14ac:dyDescent="0.2">
      <c r="A815" s="74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9"/>
      <c r="N815" s="69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  <c r="AE815" s="65"/>
      <c r="AF815" s="65"/>
      <c r="AG815" s="65"/>
      <c r="AH815" s="65"/>
      <c r="AI815" s="65"/>
    </row>
    <row r="816" spans="1:35" x14ac:dyDescent="0.2">
      <c r="A816" s="74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9"/>
      <c r="N816" s="69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  <c r="AE816" s="65"/>
      <c r="AF816" s="65"/>
      <c r="AG816" s="65"/>
      <c r="AH816" s="65"/>
      <c r="AI816" s="65"/>
    </row>
    <row r="817" spans="1:35" x14ac:dyDescent="0.2">
      <c r="A817" s="74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9"/>
      <c r="N817" s="69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  <c r="AE817" s="65"/>
      <c r="AF817" s="65"/>
      <c r="AG817" s="65"/>
      <c r="AH817" s="65"/>
      <c r="AI817" s="65"/>
    </row>
    <row r="818" spans="1:35" x14ac:dyDescent="0.2">
      <c r="A818" s="74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9"/>
      <c r="N818" s="69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  <c r="AE818" s="65"/>
      <c r="AF818" s="65"/>
      <c r="AG818" s="65"/>
      <c r="AH818" s="65"/>
      <c r="AI818" s="65"/>
    </row>
    <row r="819" spans="1:35" x14ac:dyDescent="0.2">
      <c r="A819" s="74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9"/>
      <c r="N819" s="69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  <c r="AE819" s="65"/>
      <c r="AF819" s="65"/>
      <c r="AG819" s="65"/>
      <c r="AH819" s="65"/>
      <c r="AI819" s="65"/>
    </row>
    <row r="820" spans="1:35" x14ac:dyDescent="0.2">
      <c r="A820" s="74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9"/>
      <c r="N820" s="69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  <c r="AE820" s="65"/>
      <c r="AF820" s="65"/>
      <c r="AG820" s="65"/>
      <c r="AH820" s="65"/>
      <c r="AI820" s="65"/>
    </row>
    <row r="821" spans="1:35" x14ac:dyDescent="0.2">
      <c r="A821" s="74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9"/>
      <c r="N821" s="69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  <c r="AE821" s="65"/>
      <c r="AF821" s="65"/>
      <c r="AG821" s="65"/>
      <c r="AH821" s="65"/>
      <c r="AI821" s="65"/>
    </row>
    <row r="822" spans="1:35" x14ac:dyDescent="0.2">
      <c r="A822" s="74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9"/>
      <c r="N822" s="69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65"/>
      <c r="AG822" s="65"/>
      <c r="AH822" s="65"/>
      <c r="AI822" s="65"/>
    </row>
    <row r="823" spans="1:35" x14ac:dyDescent="0.2">
      <c r="A823" s="74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9"/>
      <c r="N823" s="69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  <c r="AE823" s="65"/>
      <c r="AF823" s="65"/>
      <c r="AG823" s="65"/>
      <c r="AH823" s="65"/>
      <c r="AI823" s="65"/>
    </row>
    <row r="824" spans="1:35" x14ac:dyDescent="0.2">
      <c r="A824" s="74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9"/>
      <c r="N824" s="69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  <c r="AE824" s="65"/>
      <c r="AF824" s="65"/>
      <c r="AG824" s="65"/>
      <c r="AH824" s="65"/>
      <c r="AI824" s="65"/>
    </row>
    <row r="825" spans="1:35" x14ac:dyDescent="0.2">
      <c r="A825" s="74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9"/>
      <c r="N825" s="69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  <c r="AE825" s="65"/>
      <c r="AF825" s="65"/>
      <c r="AG825" s="65"/>
      <c r="AH825" s="65"/>
      <c r="AI825" s="65"/>
    </row>
    <row r="826" spans="1:35" x14ac:dyDescent="0.2">
      <c r="A826" s="74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9"/>
      <c r="N826" s="69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  <c r="AE826" s="65"/>
      <c r="AF826" s="65"/>
      <c r="AG826" s="65"/>
      <c r="AH826" s="65"/>
      <c r="AI826" s="65"/>
    </row>
    <row r="827" spans="1:35" x14ac:dyDescent="0.2">
      <c r="A827" s="74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9"/>
      <c r="N827" s="69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  <c r="AE827" s="65"/>
      <c r="AF827" s="65"/>
      <c r="AG827" s="65"/>
      <c r="AH827" s="65"/>
      <c r="AI827" s="65"/>
    </row>
    <row r="828" spans="1:35" x14ac:dyDescent="0.2">
      <c r="A828" s="74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9"/>
      <c r="N828" s="69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  <c r="AE828" s="65"/>
      <c r="AF828" s="65"/>
      <c r="AG828" s="65"/>
      <c r="AH828" s="65"/>
      <c r="AI828" s="65"/>
    </row>
    <row r="829" spans="1:35" x14ac:dyDescent="0.2">
      <c r="A829" s="74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9"/>
      <c r="N829" s="69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  <c r="AE829" s="65"/>
      <c r="AF829" s="65"/>
      <c r="AG829" s="65"/>
      <c r="AH829" s="65"/>
      <c r="AI829" s="65"/>
    </row>
    <row r="830" spans="1:35" x14ac:dyDescent="0.2">
      <c r="A830" s="74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9"/>
      <c r="N830" s="69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  <c r="AE830" s="65"/>
      <c r="AF830" s="65"/>
      <c r="AG830" s="65"/>
      <c r="AH830" s="65"/>
      <c r="AI830" s="65"/>
    </row>
    <row r="831" spans="1:35" x14ac:dyDescent="0.2">
      <c r="A831" s="74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9"/>
      <c r="N831" s="69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  <c r="AE831" s="65"/>
      <c r="AF831" s="65"/>
      <c r="AG831" s="65"/>
      <c r="AH831" s="65"/>
      <c r="AI831" s="65"/>
    </row>
    <row r="832" spans="1:35" x14ac:dyDescent="0.2">
      <c r="A832" s="74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9"/>
      <c r="N832" s="69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  <c r="AE832" s="65"/>
      <c r="AF832" s="65"/>
      <c r="AG832" s="65"/>
      <c r="AH832" s="65"/>
      <c r="AI832" s="65"/>
    </row>
    <row r="833" spans="1:35" x14ac:dyDescent="0.2">
      <c r="A833" s="74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9"/>
      <c r="N833" s="69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  <c r="AE833" s="65"/>
      <c r="AF833" s="65"/>
      <c r="AG833" s="65"/>
      <c r="AH833" s="65"/>
      <c r="AI833" s="65"/>
    </row>
    <row r="834" spans="1:35" x14ac:dyDescent="0.2">
      <c r="A834" s="74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9"/>
      <c r="N834" s="69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  <c r="AE834" s="65"/>
      <c r="AF834" s="65"/>
      <c r="AG834" s="65"/>
      <c r="AH834" s="65"/>
      <c r="AI834" s="65"/>
    </row>
    <row r="835" spans="1:35" x14ac:dyDescent="0.2">
      <c r="A835" s="74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9"/>
      <c r="N835" s="69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  <c r="AE835" s="65"/>
      <c r="AF835" s="65"/>
      <c r="AG835" s="65"/>
      <c r="AH835" s="65"/>
      <c r="AI835" s="65"/>
    </row>
    <row r="836" spans="1:35" x14ac:dyDescent="0.2">
      <c r="A836" s="74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9"/>
      <c r="N836" s="69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  <c r="AE836" s="65"/>
      <c r="AF836" s="65"/>
      <c r="AG836" s="65"/>
      <c r="AH836" s="65"/>
      <c r="AI836" s="65"/>
    </row>
    <row r="837" spans="1:35" x14ac:dyDescent="0.2">
      <c r="A837" s="74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9"/>
      <c r="N837" s="69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  <c r="AE837" s="65"/>
      <c r="AF837" s="65"/>
      <c r="AG837" s="65"/>
      <c r="AH837" s="65"/>
      <c r="AI837" s="65"/>
    </row>
    <row r="838" spans="1:35" x14ac:dyDescent="0.2">
      <c r="A838" s="74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9"/>
      <c r="N838" s="69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  <c r="AE838" s="65"/>
      <c r="AF838" s="65"/>
      <c r="AG838" s="65"/>
      <c r="AH838" s="65"/>
      <c r="AI838" s="65"/>
    </row>
    <row r="839" spans="1:35" x14ac:dyDescent="0.2">
      <c r="A839" s="74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9"/>
      <c r="N839" s="69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  <c r="AE839" s="65"/>
      <c r="AF839" s="65"/>
      <c r="AG839" s="65"/>
      <c r="AH839" s="65"/>
      <c r="AI839" s="65"/>
    </row>
    <row r="840" spans="1:35" x14ac:dyDescent="0.2">
      <c r="A840" s="74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9"/>
      <c r="N840" s="69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  <c r="AE840" s="65"/>
      <c r="AF840" s="65"/>
      <c r="AG840" s="65"/>
      <c r="AH840" s="65"/>
      <c r="AI840" s="65"/>
    </row>
    <row r="841" spans="1:35" x14ac:dyDescent="0.2">
      <c r="A841" s="74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9"/>
      <c r="N841" s="69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  <c r="AE841" s="65"/>
      <c r="AF841" s="65"/>
      <c r="AG841" s="65"/>
      <c r="AH841" s="65"/>
      <c r="AI841" s="65"/>
    </row>
    <row r="842" spans="1:35" x14ac:dyDescent="0.2">
      <c r="A842" s="74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9"/>
      <c r="N842" s="69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  <c r="AE842" s="65"/>
      <c r="AF842" s="65"/>
      <c r="AG842" s="65"/>
      <c r="AH842" s="65"/>
      <c r="AI842" s="65"/>
    </row>
    <row r="843" spans="1:35" x14ac:dyDescent="0.2">
      <c r="A843" s="74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9"/>
      <c r="N843" s="69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  <c r="AE843" s="65"/>
      <c r="AF843" s="65"/>
      <c r="AG843" s="65"/>
      <c r="AH843" s="65"/>
      <c r="AI843" s="65"/>
    </row>
    <row r="844" spans="1:35" x14ac:dyDescent="0.2">
      <c r="A844" s="74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9"/>
      <c r="N844" s="69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  <c r="AE844" s="65"/>
      <c r="AF844" s="65"/>
      <c r="AG844" s="65"/>
      <c r="AH844" s="65"/>
      <c r="AI844" s="65"/>
    </row>
    <row r="845" spans="1:35" x14ac:dyDescent="0.2">
      <c r="A845" s="74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9"/>
      <c r="N845" s="69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  <c r="AE845" s="65"/>
      <c r="AF845" s="65"/>
      <c r="AG845" s="65"/>
      <c r="AH845" s="65"/>
      <c r="AI845" s="65"/>
    </row>
    <row r="846" spans="1:35" x14ac:dyDescent="0.2">
      <c r="A846" s="74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9"/>
      <c r="N846" s="69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  <c r="AE846" s="65"/>
      <c r="AF846" s="65"/>
      <c r="AG846" s="65"/>
      <c r="AH846" s="65"/>
      <c r="AI846" s="65"/>
    </row>
    <row r="847" spans="1:35" x14ac:dyDescent="0.2">
      <c r="A847" s="74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9"/>
      <c r="N847" s="69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  <c r="AE847" s="65"/>
      <c r="AF847" s="65"/>
      <c r="AG847" s="65"/>
      <c r="AH847" s="65"/>
      <c r="AI847" s="65"/>
    </row>
    <row r="848" spans="1:35" x14ac:dyDescent="0.2">
      <c r="A848" s="74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9"/>
      <c r="N848" s="69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  <c r="AE848" s="65"/>
      <c r="AF848" s="65"/>
      <c r="AG848" s="65"/>
      <c r="AH848" s="65"/>
      <c r="AI848" s="65"/>
    </row>
    <row r="849" spans="1:35" x14ac:dyDescent="0.2">
      <c r="A849" s="74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9"/>
      <c r="N849" s="69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  <c r="AE849" s="65"/>
      <c r="AF849" s="65"/>
      <c r="AG849" s="65"/>
      <c r="AH849" s="65"/>
      <c r="AI849" s="65"/>
    </row>
    <row r="850" spans="1:35" x14ac:dyDescent="0.2">
      <c r="A850" s="74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9"/>
      <c r="N850" s="69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  <c r="AE850" s="65"/>
      <c r="AF850" s="65"/>
      <c r="AG850" s="65"/>
      <c r="AH850" s="65"/>
      <c r="AI850" s="65"/>
    </row>
    <row r="851" spans="1:35" x14ac:dyDescent="0.2">
      <c r="A851" s="74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9"/>
      <c r="N851" s="69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  <c r="AE851" s="65"/>
      <c r="AF851" s="65"/>
      <c r="AG851" s="65"/>
      <c r="AH851" s="65"/>
      <c r="AI851" s="65"/>
    </row>
    <row r="852" spans="1:35" x14ac:dyDescent="0.2">
      <c r="A852" s="74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9"/>
      <c r="N852" s="69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  <c r="AE852" s="65"/>
      <c r="AF852" s="65"/>
      <c r="AG852" s="65"/>
      <c r="AH852" s="65"/>
      <c r="AI852" s="65"/>
    </row>
    <row r="853" spans="1:35" x14ac:dyDescent="0.2">
      <c r="A853" s="74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9"/>
      <c r="N853" s="69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  <c r="AE853" s="65"/>
      <c r="AF853" s="65"/>
      <c r="AG853" s="65"/>
      <c r="AH853" s="65"/>
      <c r="AI853" s="65"/>
    </row>
    <row r="854" spans="1:35" x14ac:dyDescent="0.2">
      <c r="A854" s="74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9"/>
      <c r="N854" s="69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  <c r="AE854" s="65"/>
      <c r="AF854" s="65"/>
      <c r="AG854" s="65"/>
      <c r="AH854" s="65"/>
      <c r="AI854" s="65"/>
    </row>
    <row r="855" spans="1:35" x14ac:dyDescent="0.2">
      <c r="A855" s="74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9"/>
      <c r="N855" s="69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  <c r="AE855" s="65"/>
      <c r="AF855" s="65"/>
      <c r="AG855" s="65"/>
      <c r="AH855" s="65"/>
      <c r="AI855" s="65"/>
    </row>
    <row r="856" spans="1:35" x14ac:dyDescent="0.2">
      <c r="A856" s="74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9"/>
      <c r="N856" s="69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  <c r="AE856" s="65"/>
      <c r="AF856" s="65"/>
      <c r="AG856" s="65"/>
      <c r="AH856" s="65"/>
      <c r="AI856" s="65"/>
    </row>
    <row r="857" spans="1:35" x14ac:dyDescent="0.2">
      <c r="A857" s="74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9"/>
      <c r="N857" s="69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  <c r="AE857" s="65"/>
      <c r="AF857" s="65"/>
      <c r="AG857" s="65"/>
      <c r="AH857" s="65"/>
      <c r="AI857" s="65"/>
    </row>
    <row r="858" spans="1:35" x14ac:dyDescent="0.2">
      <c r="A858" s="74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9"/>
      <c r="N858" s="69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  <c r="AE858" s="65"/>
      <c r="AF858" s="65"/>
      <c r="AG858" s="65"/>
      <c r="AH858" s="65"/>
      <c r="AI858" s="65"/>
    </row>
    <row r="859" spans="1:35" x14ac:dyDescent="0.2">
      <c r="A859" s="74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9"/>
      <c r="N859" s="69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  <c r="AE859" s="65"/>
      <c r="AF859" s="65"/>
      <c r="AG859" s="65"/>
      <c r="AH859" s="65"/>
      <c r="AI859" s="65"/>
    </row>
    <row r="860" spans="1:35" x14ac:dyDescent="0.2">
      <c r="A860" s="74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9"/>
      <c r="N860" s="69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  <c r="AE860" s="65"/>
      <c r="AF860" s="65"/>
      <c r="AG860" s="65"/>
      <c r="AH860" s="65"/>
      <c r="AI860" s="65"/>
    </row>
    <row r="861" spans="1:35" x14ac:dyDescent="0.2">
      <c r="A861" s="74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9"/>
      <c r="N861" s="69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  <c r="AE861" s="65"/>
      <c r="AF861" s="65"/>
      <c r="AG861" s="65"/>
      <c r="AH861" s="65"/>
      <c r="AI861" s="65"/>
    </row>
    <row r="862" spans="1:35" x14ac:dyDescent="0.2">
      <c r="A862" s="74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9"/>
      <c r="N862" s="69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</row>
    <row r="863" spans="1:35" x14ac:dyDescent="0.2">
      <c r="A863" s="74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9"/>
      <c r="N863" s="69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  <c r="AE863" s="65"/>
      <c r="AF863" s="65"/>
      <c r="AG863" s="65"/>
      <c r="AH863" s="65"/>
      <c r="AI863" s="65"/>
    </row>
    <row r="864" spans="1:35" x14ac:dyDescent="0.2">
      <c r="A864" s="74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9"/>
      <c r="N864" s="69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  <c r="AE864" s="65"/>
      <c r="AF864" s="65"/>
      <c r="AG864" s="65"/>
      <c r="AH864" s="65"/>
      <c r="AI864" s="65"/>
    </row>
    <row r="865" spans="1:35" x14ac:dyDescent="0.2">
      <c r="A865" s="74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9"/>
      <c r="N865" s="69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  <c r="AE865" s="65"/>
      <c r="AF865" s="65"/>
      <c r="AG865" s="65"/>
      <c r="AH865" s="65"/>
      <c r="AI865" s="65"/>
    </row>
    <row r="866" spans="1:35" x14ac:dyDescent="0.2">
      <c r="A866" s="74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9"/>
      <c r="N866" s="69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  <c r="AE866" s="65"/>
      <c r="AF866" s="65"/>
      <c r="AG866" s="65"/>
      <c r="AH866" s="65"/>
      <c r="AI866" s="65"/>
    </row>
    <row r="867" spans="1:35" x14ac:dyDescent="0.2">
      <c r="A867" s="74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9"/>
      <c r="N867" s="69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  <c r="AE867" s="65"/>
      <c r="AF867" s="65"/>
      <c r="AG867" s="65"/>
      <c r="AH867" s="65"/>
      <c r="AI867" s="65"/>
    </row>
    <row r="868" spans="1:35" x14ac:dyDescent="0.2">
      <c r="A868" s="74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9"/>
      <c r="N868" s="69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  <c r="AE868" s="65"/>
      <c r="AF868" s="65"/>
      <c r="AG868" s="65"/>
      <c r="AH868" s="65"/>
      <c r="AI868" s="65"/>
    </row>
    <row r="869" spans="1:35" x14ac:dyDescent="0.2">
      <c r="A869" s="74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9"/>
      <c r="N869" s="69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  <c r="AE869" s="65"/>
      <c r="AF869" s="65"/>
      <c r="AG869" s="65"/>
      <c r="AH869" s="65"/>
      <c r="AI869" s="65"/>
    </row>
    <row r="870" spans="1:35" x14ac:dyDescent="0.2">
      <c r="A870" s="74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9"/>
      <c r="N870" s="69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  <c r="AE870" s="65"/>
      <c r="AF870" s="65"/>
      <c r="AG870" s="65"/>
      <c r="AH870" s="65"/>
      <c r="AI870" s="65"/>
    </row>
    <row r="871" spans="1:35" x14ac:dyDescent="0.2">
      <c r="A871" s="74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9"/>
      <c r="N871" s="69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  <c r="AE871" s="65"/>
      <c r="AF871" s="65"/>
      <c r="AG871" s="65"/>
      <c r="AH871" s="65"/>
      <c r="AI871" s="65"/>
    </row>
    <row r="872" spans="1:35" x14ac:dyDescent="0.2">
      <c r="A872" s="74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9"/>
      <c r="N872" s="69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  <c r="AE872" s="65"/>
      <c r="AF872" s="65"/>
      <c r="AG872" s="65"/>
      <c r="AH872" s="65"/>
      <c r="AI872" s="65"/>
    </row>
    <row r="873" spans="1:35" x14ac:dyDescent="0.2">
      <c r="A873" s="74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9"/>
      <c r="N873" s="69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  <c r="AE873" s="65"/>
      <c r="AF873" s="65"/>
      <c r="AG873" s="65"/>
      <c r="AH873" s="65"/>
      <c r="AI873" s="65"/>
    </row>
    <row r="874" spans="1:35" x14ac:dyDescent="0.2">
      <c r="A874" s="74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9"/>
      <c r="N874" s="69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  <c r="AE874" s="65"/>
      <c r="AF874" s="65"/>
      <c r="AG874" s="65"/>
      <c r="AH874" s="65"/>
      <c r="AI874" s="65"/>
    </row>
    <row r="875" spans="1:35" x14ac:dyDescent="0.2">
      <c r="A875" s="74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9"/>
      <c r="N875" s="69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65"/>
      <c r="AG875" s="65"/>
      <c r="AH875" s="65"/>
      <c r="AI875" s="65"/>
    </row>
    <row r="876" spans="1:35" x14ac:dyDescent="0.2">
      <c r="A876" s="74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9"/>
      <c r="N876" s="69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  <c r="AE876" s="65"/>
      <c r="AF876" s="65"/>
      <c r="AG876" s="65"/>
      <c r="AH876" s="65"/>
      <c r="AI876" s="65"/>
    </row>
    <row r="877" spans="1:35" x14ac:dyDescent="0.2">
      <c r="A877" s="74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9"/>
      <c r="N877" s="69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  <c r="AE877" s="65"/>
      <c r="AF877" s="65"/>
      <c r="AG877" s="65"/>
      <c r="AH877" s="65"/>
      <c r="AI877" s="65"/>
    </row>
    <row r="878" spans="1:35" x14ac:dyDescent="0.2">
      <c r="A878" s="74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9"/>
      <c r="N878" s="69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  <c r="AE878" s="65"/>
      <c r="AF878" s="65"/>
      <c r="AG878" s="65"/>
      <c r="AH878" s="65"/>
      <c r="AI878" s="65"/>
    </row>
    <row r="879" spans="1:35" x14ac:dyDescent="0.2">
      <c r="A879" s="74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9"/>
      <c r="N879" s="69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  <c r="AE879" s="65"/>
      <c r="AF879" s="65"/>
      <c r="AG879" s="65"/>
      <c r="AH879" s="65"/>
      <c r="AI879" s="65"/>
    </row>
    <row r="880" spans="1:35" x14ac:dyDescent="0.2">
      <c r="A880" s="74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9"/>
      <c r="N880" s="69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  <c r="AE880" s="65"/>
      <c r="AF880" s="65"/>
      <c r="AG880" s="65"/>
      <c r="AH880" s="65"/>
      <c r="AI880" s="65"/>
    </row>
    <row r="881" spans="1:35" x14ac:dyDescent="0.2">
      <c r="A881" s="74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9"/>
      <c r="N881" s="69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  <c r="AD881" s="65"/>
      <c r="AE881" s="65"/>
      <c r="AF881" s="65"/>
      <c r="AG881" s="65"/>
      <c r="AH881" s="65"/>
      <c r="AI881" s="65"/>
    </row>
    <row r="882" spans="1:35" x14ac:dyDescent="0.2">
      <c r="A882" s="74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9"/>
      <c r="N882" s="69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  <c r="AD882" s="65"/>
      <c r="AE882" s="65"/>
      <c r="AF882" s="65"/>
      <c r="AG882" s="65"/>
      <c r="AH882" s="65"/>
      <c r="AI882" s="65"/>
    </row>
    <row r="883" spans="1:35" x14ac:dyDescent="0.2">
      <c r="A883" s="74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9"/>
      <c r="N883" s="69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  <c r="AD883" s="65"/>
      <c r="AE883" s="65"/>
      <c r="AF883" s="65"/>
      <c r="AG883" s="65"/>
      <c r="AH883" s="65"/>
      <c r="AI883" s="65"/>
    </row>
    <row r="884" spans="1:35" x14ac:dyDescent="0.2">
      <c r="A884" s="74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9"/>
      <c r="N884" s="69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  <c r="AD884" s="65"/>
      <c r="AE884" s="65"/>
      <c r="AF884" s="65"/>
      <c r="AG884" s="65"/>
      <c r="AH884" s="65"/>
      <c r="AI884" s="65"/>
    </row>
    <row r="885" spans="1:35" x14ac:dyDescent="0.2">
      <c r="A885" s="74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9"/>
      <c r="N885" s="69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  <c r="AD885" s="65"/>
      <c r="AE885" s="65"/>
      <c r="AF885" s="65"/>
      <c r="AG885" s="65"/>
      <c r="AH885" s="65"/>
      <c r="AI885" s="65"/>
    </row>
    <row r="886" spans="1:35" x14ac:dyDescent="0.2">
      <c r="A886" s="74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9"/>
      <c r="N886" s="69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  <c r="AD886" s="65"/>
      <c r="AE886" s="65"/>
      <c r="AF886" s="65"/>
      <c r="AG886" s="65"/>
      <c r="AH886" s="65"/>
      <c r="AI886" s="65"/>
    </row>
    <row r="887" spans="1:35" x14ac:dyDescent="0.2">
      <c r="A887" s="74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9"/>
      <c r="N887" s="69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  <c r="AD887" s="65"/>
      <c r="AE887" s="65"/>
      <c r="AF887" s="65"/>
      <c r="AG887" s="65"/>
      <c r="AH887" s="65"/>
      <c r="AI887" s="65"/>
    </row>
    <row r="888" spans="1:35" x14ac:dyDescent="0.2">
      <c r="A888" s="74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9"/>
      <c r="N888" s="69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  <c r="AD888" s="65"/>
      <c r="AE888" s="65"/>
      <c r="AF888" s="65"/>
      <c r="AG888" s="65"/>
      <c r="AH888" s="65"/>
      <c r="AI888" s="65"/>
    </row>
    <row r="889" spans="1:35" x14ac:dyDescent="0.2">
      <c r="A889" s="74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9"/>
      <c r="N889" s="69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  <c r="AD889" s="65"/>
      <c r="AE889" s="65"/>
      <c r="AF889" s="65"/>
      <c r="AG889" s="65"/>
      <c r="AH889" s="65"/>
      <c r="AI889" s="65"/>
    </row>
    <row r="890" spans="1:35" x14ac:dyDescent="0.2">
      <c r="A890" s="74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9"/>
      <c r="N890" s="69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  <c r="AD890" s="65"/>
      <c r="AE890" s="65"/>
      <c r="AF890" s="65"/>
      <c r="AG890" s="65"/>
      <c r="AH890" s="65"/>
      <c r="AI890" s="65"/>
    </row>
    <row r="891" spans="1:35" x14ac:dyDescent="0.2">
      <c r="A891" s="74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9"/>
      <c r="N891" s="69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  <c r="AD891" s="65"/>
      <c r="AE891" s="65"/>
      <c r="AF891" s="65"/>
      <c r="AG891" s="65"/>
      <c r="AH891" s="65"/>
      <c r="AI891" s="65"/>
    </row>
    <row r="892" spans="1:35" x14ac:dyDescent="0.2">
      <c r="A892" s="74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9"/>
      <c r="N892" s="69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  <c r="AD892" s="65"/>
      <c r="AE892" s="65"/>
      <c r="AF892" s="65"/>
      <c r="AG892" s="65"/>
      <c r="AH892" s="65"/>
      <c r="AI892" s="65"/>
    </row>
    <row r="893" spans="1:35" x14ac:dyDescent="0.2">
      <c r="A893" s="74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9"/>
      <c r="N893" s="69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  <c r="AD893" s="65"/>
      <c r="AE893" s="65"/>
      <c r="AF893" s="65"/>
      <c r="AG893" s="65"/>
      <c r="AH893" s="65"/>
      <c r="AI893" s="65"/>
    </row>
    <row r="894" spans="1:35" x14ac:dyDescent="0.2">
      <c r="A894" s="74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9"/>
      <c r="N894" s="69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  <c r="AD894" s="65"/>
      <c r="AE894" s="65"/>
      <c r="AF894" s="65"/>
      <c r="AG894" s="65"/>
      <c r="AH894" s="65"/>
      <c r="AI894" s="65"/>
    </row>
    <row r="895" spans="1:35" x14ac:dyDescent="0.2">
      <c r="A895" s="74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9"/>
      <c r="N895" s="69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  <c r="AD895" s="65"/>
      <c r="AE895" s="65"/>
      <c r="AF895" s="65"/>
      <c r="AG895" s="65"/>
      <c r="AH895" s="65"/>
      <c r="AI895" s="65"/>
    </row>
    <row r="896" spans="1:35" x14ac:dyDescent="0.2">
      <c r="A896" s="74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9"/>
      <c r="N896" s="69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  <c r="AD896" s="65"/>
      <c r="AE896" s="65"/>
      <c r="AF896" s="65"/>
      <c r="AG896" s="65"/>
      <c r="AH896" s="65"/>
      <c r="AI896" s="65"/>
    </row>
    <row r="897" spans="1:35" x14ac:dyDescent="0.2">
      <c r="A897" s="74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9"/>
      <c r="N897" s="69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  <c r="AD897" s="65"/>
      <c r="AE897" s="65"/>
      <c r="AF897" s="65"/>
      <c r="AG897" s="65"/>
      <c r="AH897" s="65"/>
      <c r="AI897" s="65"/>
    </row>
    <row r="898" spans="1:35" x14ac:dyDescent="0.2">
      <c r="A898" s="74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9"/>
      <c r="N898" s="69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  <c r="AD898" s="65"/>
      <c r="AE898" s="65"/>
      <c r="AF898" s="65"/>
      <c r="AG898" s="65"/>
      <c r="AH898" s="65"/>
      <c r="AI898" s="65"/>
    </row>
    <row r="899" spans="1:35" x14ac:dyDescent="0.2">
      <c r="A899" s="74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9"/>
      <c r="N899" s="69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  <c r="AD899" s="65"/>
      <c r="AE899" s="65"/>
      <c r="AF899" s="65"/>
      <c r="AG899" s="65"/>
      <c r="AH899" s="65"/>
      <c r="AI899" s="65"/>
    </row>
    <row r="900" spans="1:35" x14ac:dyDescent="0.2">
      <c r="A900" s="74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9"/>
      <c r="N900" s="69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  <c r="AD900" s="65"/>
      <c r="AE900" s="65"/>
      <c r="AF900" s="65"/>
      <c r="AG900" s="65"/>
      <c r="AH900" s="65"/>
      <c r="AI900" s="65"/>
    </row>
    <row r="901" spans="1:35" x14ac:dyDescent="0.2">
      <c r="A901" s="74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9"/>
      <c r="N901" s="69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  <c r="AD901" s="65"/>
      <c r="AE901" s="65"/>
      <c r="AF901" s="65"/>
      <c r="AG901" s="65"/>
      <c r="AH901" s="65"/>
      <c r="AI901" s="65"/>
    </row>
    <row r="902" spans="1:35" x14ac:dyDescent="0.2">
      <c r="A902" s="74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9"/>
      <c r="N902" s="69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  <c r="AD902" s="65"/>
      <c r="AE902" s="65"/>
      <c r="AF902" s="65"/>
      <c r="AG902" s="65"/>
      <c r="AH902" s="65"/>
      <c r="AI902" s="65"/>
    </row>
    <row r="903" spans="1:35" x14ac:dyDescent="0.2">
      <c r="A903" s="74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9"/>
      <c r="N903" s="69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  <c r="AD903" s="65"/>
      <c r="AE903" s="65"/>
      <c r="AF903" s="65"/>
      <c r="AG903" s="65"/>
      <c r="AH903" s="65"/>
      <c r="AI903" s="65"/>
    </row>
    <row r="904" spans="1:35" x14ac:dyDescent="0.2">
      <c r="A904" s="74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9"/>
      <c r="N904" s="69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  <c r="AD904" s="65"/>
      <c r="AE904" s="65"/>
      <c r="AF904" s="65"/>
      <c r="AG904" s="65"/>
      <c r="AH904" s="65"/>
      <c r="AI904" s="65"/>
    </row>
    <row r="905" spans="1:35" x14ac:dyDescent="0.2">
      <c r="A905" s="74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9"/>
      <c r="N905" s="69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  <c r="AD905" s="65"/>
      <c r="AE905" s="65"/>
      <c r="AF905" s="65"/>
      <c r="AG905" s="65"/>
      <c r="AH905" s="65"/>
      <c r="AI905" s="65"/>
    </row>
    <row r="906" spans="1:35" x14ac:dyDescent="0.2">
      <c r="A906" s="74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9"/>
      <c r="N906" s="69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  <c r="AD906" s="65"/>
      <c r="AE906" s="65"/>
      <c r="AF906" s="65"/>
      <c r="AG906" s="65"/>
      <c r="AH906" s="65"/>
      <c r="AI906" s="65"/>
    </row>
    <row r="907" spans="1:35" x14ac:dyDescent="0.2">
      <c r="A907" s="74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9"/>
      <c r="N907" s="69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  <c r="AD907" s="65"/>
      <c r="AE907" s="65"/>
      <c r="AF907" s="65"/>
      <c r="AG907" s="65"/>
      <c r="AH907" s="65"/>
      <c r="AI907" s="65"/>
    </row>
    <row r="908" spans="1:35" x14ac:dyDescent="0.2">
      <c r="A908" s="74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9"/>
      <c r="N908" s="69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  <c r="AD908" s="65"/>
      <c r="AE908" s="65"/>
      <c r="AF908" s="65"/>
      <c r="AG908" s="65"/>
      <c r="AH908" s="65"/>
      <c r="AI908" s="65"/>
    </row>
    <row r="909" spans="1:35" x14ac:dyDescent="0.2">
      <c r="A909" s="74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9"/>
      <c r="N909" s="69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  <c r="AD909" s="65"/>
      <c r="AE909" s="65"/>
      <c r="AF909" s="65"/>
      <c r="AG909" s="65"/>
      <c r="AH909" s="65"/>
      <c r="AI909" s="65"/>
    </row>
    <row r="910" spans="1:35" x14ac:dyDescent="0.2">
      <c r="A910" s="74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9"/>
      <c r="N910" s="69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  <c r="AD910" s="65"/>
      <c r="AE910" s="65"/>
      <c r="AF910" s="65"/>
      <c r="AG910" s="65"/>
      <c r="AH910" s="65"/>
      <c r="AI910" s="65"/>
    </row>
    <row r="911" spans="1:35" x14ac:dyDescent="0.2">
      <c r="A911" s="74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9"/>
      <c r="N911" s="69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  <c r="AD911" s="65"/>
      <c r="AE911" s="65"/>
      <c r="AF911" s="65"/>
      <c r="AG911" s="65"/>
      <c r="AH911" s="65"/>
      <c r="AI911" s="65"/>
    </row>
    <row r="912" spans="1:35" x14ac:dyDescent="0.2">
      <c r="A912" s="74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9"/>
      <c r="N912" s="69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  <c r="AD912" s="65"/>
      <c r="AE912" s="65"/>
      <c r="AF912" s="65"/>
      <c r="AG912" s="65"/>
      <c r="AH912" s="65"/>
      <c r="AI912" s="65"/>
    </row>
    <row r="913" spans="1:35" x14ac:dyDescent="0.2">
      <c r="A913" s="74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9"/>
      <c r="N913" s="69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  <c r="AD913" s="65"/>
      <c r="AE913" s="65"/>
      <c r="AF913" s="65"/>
      <c r="AG913" s="65"/>
      <c r="AH913" s="65"/>
      <c r="AI913" s="65"/>
    </row>
    <row r="914" spans="1:35" x14ac:dyDescent="0.2">
      <c r="A914" s="74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9"/>
      <c r="N914" s="69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  <c r="AD914" s="65"/>
      <c r="AE914" s="65"/>
      <c r="AF914" s="65"/>
      <c r="AG914" s="65"/>
      <c r="AH914" s="65"/>
      <c r="AI914" s="65"/>
    </row>
    <row r="915" spans="1:35" x14ac:dyDescent="0.2">
      <c r="A915" s="74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9"/>
      <c r="N915" s="69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  <c r="AD915" s="65"/>
      <c r="AE915" s="65"/>
      <c r="AF915" s="65"/>
      <c r="AG915" s="65"/>
      <c r="AH915" s="65"/>
      <c r="AI915" s="65"/>
    </row>
    <row r="916" spans="1:35" x14ac:dyDescent="0.2">
      <c r="A916" s="74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9"/>
      <c r="N916" s="69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  <c r="AD916" s="65"/>
      <c r="AE916" s="65"/>
      <c r="AF916" s="65"/>
      <c r="AG916" s="65"/>
      <c r="AH916" s="65"/>
      <c r="AI916" s="65"/>
    </row>
    <row r="917" spans="1:35" x14ac:dyDescent="0.2">
      <c r="A917" s="74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9"/>
      <c r="N917" s="69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  <c r="AD917" s="65"/>
      <c r="AE917" s="65"/>
      <c r="AF917" s="65"/>
      <c r="AG917" s="65"/>
      <c r="AH917" s="65"/>
      <c r="AI917" s="65"/>
    </row>
    <row r="918" spans="1:35" x14ac:dyDescent="0.2">
      <c r="A918" s="74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9"/>
      <c r="N918" s="69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  <c r="AD918" s="65"/>
      <c r="AE918" s="65"/>
      <c r="AF918" s="65"/>
      <c r="AG918" s="65"/>
      <c r="AH918" s="65"/>
      <c r="AI918" s="65"/>
    </row>
    <row r="919" spans="1:35" x14ac:dyDescent="0.2">
      <c r="A919" s="74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9"/>
      <c r="N919" s="69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  <c r="AD919" s="65"/>
      <c r="AE919" s="65"/>
      <c r="AF919" s="65"/>
      <c r="AG919" s="65"/>
      <c r="AH919" s="65"/>
      <c r="AI919" s="65"/>
    </row>
    <row r="920" spans="1:35" x14ac:dyDescent="0.2">
      <c r="A920" s="74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9"/>
      <c r="N920" s="69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  <c r="AD920" s="65"/>
      <c r="AE920" s="65"/>
      <c r="AF920" s="65"/>
      <c r="AG920" s="65"/>
      <c r="AH920" s="65"/>
      <c r="AI920" s="65"/>
    </row>
    <row r="921" spans="1:35" x14ac:dyDescent="0.2">
      <c r="A921" s="74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9"/>
      <c r="N921" s="69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  <c r="AD921" s="65"/>
      <c r="AE921" s="65"/>
      <c r="AF921" s="65"/>
      <c r="AG921" s="65"/>
      <c r="AH921" s="65"/>
      <c r="AI921" s="65"/>
    </row>
    <row r="922" spans="1:35" x14ac:dyDescent="0.2">
      <c r="A922" s="74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9"/>
      <c r="N922" s="69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  <c r="AD922" s="65"/>
      <c r="AE922" s="65"/>
      <c r="AF922" s="65"/>
      <c r="AG922" s="65"/>
      <c r="AH922" s="65"/>
      <c r="AI922" s="65"/>
    </row>
    <row r="923" spans="1:35" x14ac:dyDescent="0.2">
      <c r="A923" s="74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9"/>
      <c r="N923" s="69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  <c r="AD923" s="65"/>
      <c r="AE923" s="65"/>
      <c r="AF923" s="65"/>
      <c r="AG923" s="65"/>
      <c r="AH923" s="65"/>
      <c r="AI923" s="65"/>
    </row>
    <row r="924" spans="1:35" x14ac:dyDescent="0.2">
      <c r="A924" s="74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9"/>
      <c r="N924" s="69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  <c r="AD924" s="65"/>
      <c r="AE924" s="65"/>
      <c r="AF924" s="65"/>
      <c r="AG924" s="65"/>
      <c r="AH924" s="65"/>
      <c r="AI924" s="65"/>
    </row>
    <row r="925" spans="1:35" x14ac:dyDescent="0.2">
      <c r="A925" s="74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9"/>
      <c r="N925" s="69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  <c r="AD925" s="65"/>
      <c r="AE925" s="65"/>
      <c r="AF925" s="65"/>
      <c r="AG925" s="65"/>
      <c r="AH925" s="65"/>
      <c r="AI925" s="65"/>
    </row>
    <row r="926" spans="1:35" x14ac:dyDescent="0.2">
      <c r="A926" s="74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9"/>
      <c r="N926" s="69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  <c r="AB926" s="65"/>
      <c r="AC926" s="65"/>
      <c r="AD926" s="65"/>
      <c r="AE926" s="65"/>
      <c r="AF926" s="65"/>
      <c r="AG926" s="65"/>
      <c r="AH926" s="65"/>
      <c r="AI926" s="65"/>
    </row>
    <row r="927" spans="1:35" x14ac:dyDescent="0.2">
      <c r="A927" s="74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9"/>
      <c r="N927" s="69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  <c r="AD927" s="65"/>
      <c r="AE927" s="65"/>
      <c r="AF927" s="65"/>
      <c r="AG927" s="65"/>
      <c r="AH927" s="65"/>
      <c r="AI927" s="65"/>
    </row>
    <row r="928" spans="1:35" x14ac:dyDescent="0.2">
      <c r="A928" s="74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9"/>
      <c r="N928" s="69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65"/>
      <c r="AG928" s="65"/>
      <c r="AH928" s="65"/>
      <c r="AI928" s="65"/>
    </row>
    <row r="929" spans="1:35" x14ac:dyDescent="0.2">
      <c r="A929" s="74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9"/>
      <c r="N929" s="69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  <c r="AD929" s="65"/>
      <c r="AE929" s="65"/>
      <c r="AF929" s="65"/>
      <c r="AG929" s="65"/>
      <c r="AH929" s="65"/>
      <c r="AI929" s="65"/>
    </row>
    <row r="930" spans="1:35" x14ac:dyDescent="0.2">
      <c r="A930" s="74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9"/>
      <c r="N930" s="69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  <c r="AD930" s="65"/>
      <c r="AE930" s="65"/>
      <c r="AF930" s="65"/>
      <c r="AG930" s="65"/>
      <c r="AH930" s="65"/>
      <c r="AI930" s="65"/>
    </row>
    <row r="931" spans="1:35" x14ac:dyDescent="0.2">
      <c r="A931" s="74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9"/>
      <c r="N931" s="69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  <c r="AD931" s="65"/>
      <c r="AE931" s="65"/>
      <c r="AF931" s="65"/>
      <c r="AG931" s="65"/>
      <c r="AH931" s="65"/>
      <c r="AI931" s="65"/>
    </row>
    <row r="932" spans="1:35" x14ac:dyDescent="0.2">
      <c r="A932" s="74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9"/>
      <c r="N932" s="69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  <c r="AD932" s="65"/>
      <c r="AE932" s="65"/>
      <c r="AF932" s="65"/>
      <c r="AG932" s="65"/>
      <c r="AH932" s="65"/>
      <c r="AI932" s="65"/>
    </row>
    <row r="933" spans="1:35" x14ac:dyDescent="0.2">
      <c r="A933" s="74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9"/>
      <c r="N933" s="69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  <c r="AB933" s="65"/>
      <c r="AC933" s="65"/>
      <c r="AD933" s="65"/>
      <c r="AE933" s="65"/>
      <c r="AF933" s="65"/>
      <c r="AG933" s="65"/>
      <c r="AH933" s="65"/>
      <c r="AI933" s="65"/>
    </row>
    <row r="934" spans="1:35" x14ac:dyDescent="0.2">
      <c r="A934" s="74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9"/>
      <c r="N934" s="69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  <c r="AB934" s="65"/>
      <c r="AC934" s="65"/>
      <c r="AD934" s="65"/>
      <c r="AE934" s="65"/>
      <c r="AF934" s="65"/>
      <c r="AG934" s="65"/>
      <c r="AH934" s="65"/>
      <c r="AI934" s="65"/>
    </row>
    <row r="935" spans="1:35" x14ac:dyDescent="0.2">
      <c r="A935" s="74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9"/>
      <c r="N935" s="69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  <c r="AB935" s="65"/>
      <c r="AC935" s="65"/>
      <c r="AD935" s="65"/>
      <c r="AE935" s="65"/>
      <c r="AF935" s="65"/>
      <c r="AG935" s="65"/>
      <c r="AH935" s="65"/>
      <c r="AI935" s="65"/>
    </row>
    <row r="936" spans="1:35" x14ac:dyDescent="0.2">
      <c r="A936" s="74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9"/>
      <c r="N936" s="69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  <c r="AB936" s="65"/>
      <c r="AC936" s="65"/>
      <c r="AD936" s="65"/>
      <c r="AE936" s="65"/>
      <c r="AF936" s="65"/>
      <c r="AG936" s="65"/>
      <c r="AH936" s="65"/>
      <c r="AI936" s="65"/>
    </row>
    <row r="937" spans="1:35" x14ac:dyDescent="0.2">
      <c r="A937" s="74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9"/>
      <c r="N937" s="69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  <c r="AB937" s="65"/>
      <c r="AC937" s="65"/>
      <c r="AD937" s="65"/>
      <c r="AE937" s="65"/>
      <c r="AF937" s="65"/>
      <c r="AG937" s="65"/>
      <c r="AH937" s="65"/>
      <c r="AI937" s="65"/>
    </row>
    <row r="938" spans="1:35" x14ac:dyDescent="0.2">
      <c r="A938" s="74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9"/>
      <c r="N938" s="69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  <c r="AB938" s="65"/>
      <c r="AC938" s="65"/>
      <c r="AD938" s="65"/>
      <c r="AE938" s="65"/>
      <c r="AF938" s="65"/>
      <c r="AG938" s="65"/>
      <c r="AH938" s="65"/>
      <c r="AI938" s="65"/>
    </row>
    <row r="939" spans="1:35" x14ac:dyDescent="0.2">
      <c r="A939" s="74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9"/>
      <c r="N939" s="69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  <c r="AB939" s="65"/>
      <c r="AC939" s="65"/>
      <c r="AD939" s="65"/>
      <c r="AE939" s="65"/>
      <c r="AF939" s="65"/>
      <c r="AG939" s="65"/>
      <c r="AH939" s="65"/>
      <c r="AI939" s="65"/>
    </row>
    <row r="940" spans="1:35" x14ac:dyDescent="0.2">
      <c r="A940" s="74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9"/>
      <c r="N940" s="69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  <c r="AB940" s="65"/>
      <c r="AC940" s="65"/>
      <c r="AD940" s="65"/>
      <c r="AE940" s="65"/>
      <c r="AF940" s="65"/>
      <c r="AG940" s="65"/>
      <c r="AH940" s="65"/>
      <c r="AI940" s="65"/>
    </row>
    <row r="941" spans="1:35" x14ac:dyDescent="0.2">
      <c r="A941" s="74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9"/>
      <c r="N941" s="69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  <c r="AB941" s="65"/>
      <c r="AC941" s="65"/>
      <c r="AD941" s="65"/>
      <c r="AE941" s="65"/>
      <c r="AF941" s="65"/>
      <c r="AG941" s="65"/>
      <c r="AH941" s="65"/>
      <c r="AI941" s="65"/>
    </row>
    <row r="942" spans="1:35" x14ac:dyDescent="0.2">
      <c r="A942" s="74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9"/>
      <c r="N942" s="69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  <c r="AB942" s="65"/>
      <c r="AC942" s="65"/>
      <c r="AD942" s="65"/>
      <c r="AE942" s="65"/>
      <c r="AF942" s="65"/>
      <c r="AG942" s="65"/>
      <c r="AH942" s="65"/>
      <c r="AI942" s="65"/>
    </row>
    <row r="943" spans="1:35" x14ac:dyDescent="0.2">
      <c r="A943" s="74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9"/>
      <c r="N943" s="69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  <c r="AB943" s="65"/>
      <c r="AC943" s="65"/>
      <c r="AD943" s="65"/>
      <c r="AE943" s="65"/>
      <c r="AF943" s="65"/>
      <c r="AG943" s="65"/>
      <c r="AH943" s="65"/>
      <c r="AI943" s="65"/>
    </row>
    <row r="944" spans="1:35" x14ac:dyDescent="0.2">
      <c r="A944" s="74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9"/>
      <c r="N944" s="69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  <c r="AB944" s="65"/>
      <c r="AC944" s="65"/>
      <c r="AD944" s="65"/>
      <c r="AE944" s="65"/>
      <c r="AF944" s="65"/>
      <c r="AG944" s="65"/>
      <c r="AH944" s="65"/>
      <c r="AI944" s="65"/>
    </row>
    <row r="945" spans="1:35" x14ac:dyDescent="0.2">
      <c r="A945" s="74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9"/>
      <c r="N945" s="69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  <c r="AB945" s="65"/>
      <c r="AC945" s="65"/>
      <c r="AD945" s="65"/>
      <c r="AE945" s="65"/>
      <c r="AF945" s="65"/>
      <c r="AG945" s="65"/>
      <c r="AH945" s="65"/>
      <c r="AI945" s="65"/>
    </row>
    <row r="946" spans="1:35" x14ac:dyDescent="0.2">
      <c r="A946" s="74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9"/>
      <c r="N946" s="69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  <c r="AB946" s="65"/>
      <c r="AC946" s="65"/>
      <c r="AD946" s="65"/>
      <c r="AE946" s="65"/>
      <c r="AF946" s="65"/>
      <c r="AG946" s="65"/>
      <c r="AH946" s="65"/>
      <c r="AI946" s="65"/>
    </row>
    <row r="947" spans="1:35" x14ac:dyDescent="0.2">
      <c r="A947" s="74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9"/>
      <c r="N947" s="69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  <c r="AB947" s="65"/>
      <c r="AC947" s="65"/>
      <c r="AD947" s="65"/>
      <c r="AE947" s="65"/>
      <c r="AF947" s="65"/>
      <c r="AG947" s="65"/>
      <c r="AH947" s="65"/>
      <c r="AI947" s="65"/>
    </row>
    <row r="948" spans="1:35" x14ac:dyDescent="0.2">
      <c r="A948" s="74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9"/>
      <c r="N948" s="69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  <c r="AB948" s="65"/>
      <c r="AC948" s="65"/>
      <c r="AD948" s="65"/>
      <c r="AE948" s="65"/>
      <c r="AF948" s="65"/>
      <c r="AG948" s="65"/>
      <c r="AH948" s="65"/>
      <c r="AI948" s="65"/>
    </row>
    <row r="949" spans="1:35" x14ac:dyDescent="0.2">
      <c r="A949" s="74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9"/>
      <c r="N949" s="69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  <c r="AB949" s="65"/>
      <c r="AC949" s="65"/>
      <c r="AD949" s="65"/>
      <c r="AE949" s="65"/>
      <c r="AF949" s="65"/>
      <c r="AG949" s="65"/>
      <c r="AH949" s="65"/>
      <c r="AI949" s="65"/>
    </row>
    <row r="950" spans="1:35" x14ac:dyDescent="0.2">
      <c r="A950" s="74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9"/>
      <c r="N950" s="69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  <c r="AB950" s="65"/>
      <c r="AC950" s="65"/>
      <c r="AD950" s="65"/>
      <c r="AE950" s="65"/>
      <c r="AF950" s="65"/>
      <c r="AG950" s="65"/>
      <c r="AH950" s="65"/>
      <c r="AI950" s="65"/>
    </row>
    <row r="951" spans="1:35" x14ac:dyDescent="0.2">
      <c r="A951" s="74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9"/>
      <c r="N951" s="69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  <c r="AB951" s="65"/>
      <c r="AC951" s="65"/>
      <c r="AD951" s="65"/>
      <c r="AE951" s="65"/>
      <c r="AF951" s="65"/>
      <c r="AG951" s="65"/>
      <c r="AH951" s="65"/>
      <c r="AI951" s="65"/>
    </row>
    <row r="952" spans="1:35" x14ac:dyDescent="0.2">
      <c r="A952" s="74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9"/>
      <c r="N952" s="69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  <c r="AB952" s="65"/>
      <c r="AC952" s="65"/>
      <c r="AD952" s="65"/>
      <c r="AE952" s="65"/>
      <c r="AF952" s="65"/>
      <c r="AG952" s="65"/>
      <c r="AH952" s="65"/>
      <c r="AI952" s="65"/>
    </row>
    <row r="953" spans="1:35" x14ac:dyDescent="0.2">
      <c r="A953" s="74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9"/>
      <c r="N953" s="69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  <c r="AB953" s="65"/>
      <c r="AC953" s="65"/>
      <c r="AD953" s="65"/>
      <c r="AE953" s="65"/>
      <c r="AF953" s="65"/>
      <c r="AG953" s="65"/>
      <c r="AH953" s="65"/>
      <c r="AI953" s="65"/>
    </row>
    <row r="954" spans="1:35" x14ac:dyDescent="0.2">
      <c r="A954" s="74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9"/>
      <c r="N954" s="69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  <c r="AB954" s="65"/>
      <c r="AC954" s="65"/>
      <c r="AD954" s="65"/>
      <c r="AE954" s="65"/>
      <c r="AF954" s="65"/>
      <c r="AG954" s="65"/>
      <c r="AH954" s="65"/>
      <c r="AI954" s="65"/>
    </row>
    <row r="955" spans="1:35" x14ac:dyDescent="0.2">
      <c r="A955" s="74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9"/>
      <c r="N955" s="69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  <c r="AB955" s="65"/>
      <c r="AC955" s="65"/>
      <c r="AD955" s="65"/>
      <c r="AE955" s="65"/>
      <c r="AF955" s="65"/>
      <c r="AG955" s="65"/>
      <c r="AH955" s="65"/>
      <c r="AI955" s="65"/>
    </row>
    <row r="956" spans="1:35" x14ac:dyDescent="0.2">
      <c r="A956" s="74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9"/>
      <c r="N956" s="69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  <c r="AB956" s="65"/>
      <c r="AC956" s="65"/>
      <c r="AD956" s="65"/>
      <c r="AE956" s="65"/>
      <c r="AF956" s="65"/>
      <c r="AG956" s="65"/>
      <c r="AH956" s="65"/>
      <c r="AI956" s="65"/>
    </row>
    <row r="957" spans="1:35" x14ac:dyDescent="0.2">
      <c r="A957" s="74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9"/>
      <c r="N957" s="69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  <c r="AB957" s="65"/>
      <c r="AC957" s="65"/>
      <c r="AD957" s="65"/>
      <c r="AE957" s="65"/>
      <c r="AF957" s="65"/>
      <c r="AG957" s="65"/>
      <c r="AH957" s="65"/>
      <c r="AI957" s="65"/>
    </row>
    <row r="958" spans="1:35" x14ac:dyDescent="0.2">
      <c r="A958" s="74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9"/>
      <c r="N958" s="69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  <c r="AB958" s="65"/>
      <c r="AC958" s="65"/>
      <c r="AD958" s="65"/>
      <c r="AE958" s="65"/>
      <c r="AF958" s="65"/>
      <c r="AG958" s="65"/>
      <c r="AH958" s="65"/>
      <c r="AI958" s="65"/>
    </row>
    <row r="959" spans="1:35" x14ac:dyDescent="0.2">
      <c r="A959" s="74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9"/>
      <c r="N959" s="69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  <c r="AB959" s="65"/>
      <c r="AC959" s="65"/>
      <c r="AD959" s="65"/>
      <c r="AE959" s="65"/>
      <c r="AF959" s="65"/>
      <c r="AG959" s="65"/>
      <c r="AH959" s="65"/>
      <c r="AI959" s="65"/>
    </row>
    <row r="960" spans="1:35" x14ac:dyDescent="0.2">
      <c r="A960" s="74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9"/>
      <c r="N960" s="69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  <c r="AB960" s="65"/>
      <c r="AC960" s="65"/>
      <c r="AD960" s="65"/>
      <c r="AE960" s="65"/>
      <c r="AF960" s="65"/>
      <c r="AG960" s="65"/>
      <c r="AH960" s="65"/>
      <c r="AI960" s="65"/>
    </row>
    <row r="961" spans="1:35" x14ac:dyDescent="0.2">
      <c r="A961" s="74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9"/>
      <c r="N961" s="69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  <c r="AB961" s="65"/>
      <c r="AC961" s="65"/>
      <c r="AD961" s="65"/>
      <c r="AE961" s="65"/>
      <c r="AF961" s="65"/>
      <c r="AG961" s="65"/>
      <c r="AH961" s="65"/>
      <c r="AI961" s="65"/>
    </row>
    <row r="962" spans="1:35" x14ac:dyDescent="0.2">
      <c r="A962" s="74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9"/>
      <c r="N962" s="69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  <c r="AB962" s="65"/>
      <c r="AC962" s="65"/>
      <c r="AD962" s="65"/>
      <c r="AE962" s="65"/>
      <c r="AF962" s="65"/>
      <c r="AG962" s="65"/>
      <c r="AH962" s="65"/>
      <c r="AI962" s="65"/>
    </row>
    <row r="963" spans="1:35" x14ac:dyDescent="0.2">
      <c r="A963" s="74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9"/>
      <c r="N963" s="69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  <c r="AB963" s="65"/>
      <c r="AC963" s="65"/>
      <c r="AD963" s="65"/>
      <c r="AE963" s="65"/>
      <c r="AF963" s="65"/>
      <c r="AG963" s="65"/>
      <c r="AH963" s="65"/>
      <c r="AI963" s="65"/>
    </row>
    <row r="964" spans="1:35" x14ac:dyDescent="0.2">
      <c r="A964" s="74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9"/>
      <c r="N964" s="69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  <c r="AB964" s="65"/>
      <c r="AC964" s="65"/>
      <c r="AD964" s="65"/>
      <c r="AE964" s="65"/>
      <c r="AF964" s="65"/>
      <c r="AG964" s="65"/>
      <c r="AH964" s="65"/>
      <c r="AI964" s="65"/>
    </row>
    <row r="965" spans="1:35" x14ac:dyDescent="0.2">
      <c r="A965" s="74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9"/>
      <c r="N965" s="69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  <c r="AB965" s="65"/>
      <c r="AC965" s="65"/>
      <c r="AD965" s="65"/>
      <c r="AE965" s="65"/>
      <c r="AF965" s="65"/>
      <c r="AG965" s="65"/>
      <c r="AH965" s="65"/>
      <c r="AI965" s="65"/>
    </row>
    <row r="966" spans="1:35" x14ac:dyDescent="0.2">
      <c r="A966" s="74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9"/>
      <c r="N966" s="69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  <c r="AB966" s="65"/>
      <c r="AC966" s="65"/>
      <c r="AD966" s="65"/>
      <c r="AE966" s="65"/>
      <c r="AF966" s="65"/>
      <c r="AG966" s="65"/>
      <c r="AH966" s="65"/>
      <c r="AI966" s="65"/>
    </row>
    <row r="967" spans="1:35" x14ac:dyDescent="0.2">
      <c r="A967" s="74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9"/>
      <c r="N967" s="69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  <c r="AB967" s="65"/>
      <c r="AC967" s="65"/>
      <c r="AD967" s="65"/>
      <c r="AE967" s="65"/>
      <c r="AF967" s="65"/>
      <c r="AG967" s="65"/>
      <c r="AH967" s="65"/>
      <c r="AI967" s="65"/>
    </row>
    <row r="968" spans="1:35" x14ac:dyDescent="0.2">
      <c r="A968" s="74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9"/>
      <c r="N968" s="69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  <c r="AB968" s="65"/>
      <c r="AC968" s="65"/>
      <c r="AD968" s="65"/>
      <c r="AE968" s="65"/>
      <c r="AF968" s="65"/>
      <c r="AG968" s="65"/>
      <c r="AH968" s="65"/>
      <c r="AI968" s="65"/>
    </row>
    <row r="969" spans="1:35" x14ac:dyDescent="0.2">
      <c r="A969" s="74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9"/>
      <c r="N969" s="69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  <c r="AB969" s="65"/>
      <c r="AC969" s="65"/>
      <c r="AD969" s="65"/>
      <c r="AE969" s="65"/>
      <c r="AF969" s="65"/>
      <c r="AG969" s="65"/>
      <c r="AH969" s="65"/>
      <c r="AI969" s="65"/>
    </row>
    <row r="970" spans="1:35" x14ac:dyDescent="0.2">
      <c r="A970" s="74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9"/>
      <c r="N970" s="69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  <c r="AB970" s="65"/>
      <c r="AC970" s="65"/>
      <c r="AD970" s="65"/>
      <c r="AE970" s="65"/>
      <c r="AF970" s="65"/>
      <c r="AG970" s="65"/>
      <c r="AH970" s="65"/>
      <c r="AI970" s="65"/>
    </row>
    <row r="971" spans="1:35" x14ac:dyDescent="0.2">
      <c r="A971" s="74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9"/>
      <c r="N971" s="69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  <c r="AB971" s="65"/>
      <c r="AC971" s="65"/>
      <c r="AD971" s="65"/>
      <c r="AE971" s="65"/>
      <c r="AF971" s="65"/>
      <c r="AG971" s="65"/>
      <c r="AH971" s="65"/>
      <c r="AI971" s="65"/>
    </row>
    <row r="972" spans="1:35" x14ac:dyDescent="0.2">
      <c r="A972" s="74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9"/>
      <c r="N972" s="69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  <c r="AB972" s="65"/>
      <c r="AC972" s="65"/>
      <c r="AD972" s="65"/>
      <c r="AE972" s="65"/>
      <c r="AF972" s="65"/>
      <c r="AG972" s="65"/>
      <c r="AH972" s="65"/>
      <c r="AI972" s="65"/>
    </row>
    <row r="973" spans="1:35" x14ac:dyDescent="0.2">
      <c r="A973" s="74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9"/>
      <c r="N973" s="69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  <c r="AB973" s="65"/>
      <c r="AC973" s="65"/>
      <c r="AD973" s="65"/>
      <c r="AE973" s="65"/>
      <c r="AF973" s="65"/>
      <c r="AG973" s="65"/>
      <c r="AH973" s="65"/>
      <c r="AI973" s="65"/>
    </row>
    <row r="974" spans="1:35" x14ac:dyDescent="0.2">
      <c r="A974" s="74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9"/>
      <c r="N974" s="69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  <c r="AB974" s="65"/>
      <c r="AC974" s="65"/>
      <c r="AD974" s="65"/>
      <c r="AE974" s="65"/>
      <c r="AF974" s="65"/>
      <c r="AG974" s="65"/>
      <c r="AH974" s="65"/>
      <c r="AI974" s="65"/>
    </row>
    <row r="975" spans="1:35" x14ac:dyDescent="0.2">
      <c r="A975" s="74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9"/>
      <c r="N975" s="69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  <c r="AB975" s="65"/>
      <c r="AC975" s="65"/>
      <c r="AD975" s="65"/>
      <c r="AE975" s="65"/>
      <c r="AF975" s="65"/>
      <c r="AG975" s="65"/>
      <c r="AH975" s="65"/>
      <c r="AI975" s="65"/>
    </row>
    <row r="976" spans="1:35" x14ac:dyDescent="0.2">
      <c r="A976" s="74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9"/>
      <c r="N976" s="69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  <c r="AB976" s="65"/>
      <c r="AC976" s="65"/>
      <c r="AD976" s="65"/>
      <c r="AE976" s="65"/>
      <c r="AF976" s="65"/>
      <c r="AG976" s="65"/>
      <c r="AH976" s="65"/>
      <c r="AI976" s="65"/>
    </row>
    <row r="977" spans="1:35" x14ac:dyDescent="0.2">
      <c r="A977" s="74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9"/>
      <c r="N977" s="69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  <c r="AB977" s="65"/>
      <c r="AC977" s="65"/>
      <c r="AD977" s="65"/>
      <c r="AE977" s="65"/>
      <c r="AF977" s="65"/>
      <c r="AG977" s="65"/>
      <c r="AH977" s="65"/>
      <c r="AI977" s="65"/>
    </row>
    <row r="978" spans="1:35" x14ac:dyDescent="0.2">
      <c r="A978" s="74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9"/>
      <c r="N978" s="69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  <c r="AB978" s="65"/>
      <c r="AC978" s="65"/>
      <c r="AD978" s="65"/>
      <c r="AE978" s="65"/>
      <c r="AF978" s="65"/>
      <c r="AG978" s="65"/>
      <c r="AH978" s="65"/>
      <c r="AI978" s="65"/>
    </row>
    <row r="979" spans="1:35" x14ac:dyDescent="0.2">
      <c r="A979" s="74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9"/>
      <c r="N979" s="69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  <c r="AB979" s="65"/>
      <c r="AC979" s="65"/>
      <c r="AD979" s="65"/>
      <c r="AE979" s="65"/>
      <c r="AF979" s="65"/>
      <c r="AG979" s="65"/>
      <c r="AH979" s="65"/>
      <c r="AI979" s="65"/>
    </row>
    <row r="980" spans="1:35" x14ac:dyDescent="0.2">
      <c r="A980" s="74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9"/>
      <c r="N980" s="69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  <c r="AB980" s="65"/>
      <c r="AC980" s="65"/>
      <c r="AD980" s="65"/>
      <c r="AE980" s="65"/>
      <c r="AF980" s="65"/>
      <c r="AG980" s="65"/>
      <c r="AH980" s="65"/>
      <c r="AI980" s="65"/>
    </row>
    <row r="981" spans="1:35" x14ac:dyDescent="0.2">
      <c r="A981" s="74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9"/>
      <c r="N981" s="69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65"/>
      <c r="AG981" s="65"/>
      <c r="AH981" s="65"/>
      <c r="AI981" s="65"/>
    </row>
    <row r="982" spans="1:35" x14ac:dyDescent="0.2">
      <c r="A982" s="74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9"/>
      <c r="N982" s="69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  <c r="AB982" s="65"/>
      <c r="AC982" s="65"/>
      <c r="AD982" s="65"/>
      <c r="AE982" s="65"/>
      <c r="AF982" s="65"/>
      <c r="AG982" s="65"/>
      <c r="AH982" s="65"/>
      <c r="AI982" s="65"/>
    </row>
    <row r="983" spans="1:35" x14ac:dyDescent="0.2">
      <c r="A983" s="74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9"/>
      <c r="N983" s="69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  <c r="AB983" s="65"/>
      <c r="AC983" s="65"/>
      <c r="AD983" s="65"/>
      <c r="AE983" s="65"/>
      <c r="AF983" s="65"/>
      <c r="AG983" s="65"/>
      <c r="AH983" s="65"/>
      <c r="AI983" s="65"/>
    </row>
    <row r="984" spans="1:35" x14ac:dyDescent="0.2">
      <c r="A984" s="74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9"/>
      <c r="N984" s="69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  <c r="AB984" s="65"/>
      <c r="AC984" s="65"/>
      <c r="AD984" s="65"/>
      <c r="AE984" s="65"/>
      <c r="AF984" s="65"/>
      <c r="AG984" s="65"/>
      <c r="AH984" s="65"/>
      <c r="AI984" s="65"/>
    </row>
    <row r="985" spans="1:35" x14ac:dyDescent="0.2">
      <c r="A985" s="74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9"/>
      <c r="N985" s="69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  <c r="AB985" s="65"/>
      <c r="AC985" s="65"/>
      <c r="AD985" s="65"/>
      <c r="AE985" s="65"/>
      <c r="AF985" s="65"/>
      <c r="AG985" s="65"/>
      <c r="AH985" s="65"/>
      <c r="AI985" s="65"/>
    </row>
    <row r="986" spans="1:35" x14ac:dyDescent="0.2">
      <c r="A986" s="74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9"/>
      <c r="N986" s="69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  <c r="AB986" s="65"/>
      <c r="AC986" s="65"/>
      <c r="AD986" s="65"/>
      <c r="AE986" s="65"/>
      <c r="AF986" s="65"/>
      <c r="AG986" s="65"/>
      <c r="AH986" s="65"/>
      <c r="AI986" s="65"/>
    </row>
    <row r="987" spans="1:35" x14ac:dyDescent="0.2">
      <c r="A987" s="74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9"/>
      <c r="N987" s="69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  <c r="AB987" s="65"/>
      <c r="AC987" s="65"/>
      <c r="AD987" s="65"/>
      <c r="AE987" s="65"/>
      <c r="AF987" s="65"/>
      <c r="AG987" s="65"/>
      <c r="AH987" s="65"/>
      <c r="AI987" s="65"/>
    </row>
    <row r="988" spans="1:35" x14ac:dyDescent="0.2">
      <c r="A988" s="74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9"/>
      <c r="N988" s="69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  <c r="AB988" s="65"/>
      <c r="AC988" s="65"/>
      <c r="AD988" s="65"/>
      <c r="AE988" s="65"/>
      <c r="AF988" s="65"/>
      <c r="AG988" s="65"/>
      <c r="AH988" s="65"/>
      <c r="AI988" s="65"/>
    </row>
    <row r="989" spans="1:35" x14ac:dyDescent="0.2">
      <c r="A989" s="74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9"/>
      <c r="N989" s="69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  <c r="AB989" s="65"/>
      <c r="AC989" s="65"/>
      <c r="AD989" s="65"/>
      <c r="AE989" s="65"/>
      <c r="AF989" s="65"/>
      <c r="AG989" s="65"/>
      <c r="AH989" s="65"/>
      <c r="AI989" s="65"/>
    </row>
    <row r="990" spans="1:35" x14ac:dyDescent="0.2">
      <c r="A990" s="74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9"/>
      <c r="N990" s="69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  <c r="AB990" s="65"/>
      <c r="AC990" s="65"/>
      <c r="AD990" s="65"/>
      <c r="AE990" s="65"/>
      <c r="AF990" s="65"/>
      <c r="AG990" s="65"/>
      <c r="AH990" s="65"/>
      <c r="AI990" s="65"/>
    </row>
    <row r="991" spans="1:35" x14ac:dyDescent="0.2">
      <c r="A991" s="74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9"/>
      <c r="N991" s="69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  <c r="AB991" s="65"/>
      <c r="AC991" s="65"/>
      <c r="AD991" s="65"/>
      <c r="AE991" s="65"/>
      <c r="AF991" s="65"/>
      <c r="AG991" s="65"/>
      <c r="AH991" s="65"/>
      <c r="AI991" s="65"/>
    </row>
    <row r="992" spans="1:35" x14ac:dyDescent="0.2">
      <c r="A992" s="74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9"/>
      <c r="N992" s="69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  <c r="AB992" s="65"/>
      <c r="AC992" s="65"/>
      <c r="AD992" s="65"/>
      <c r="AE992" s="65"/>
      <c r="AF992" s="65"/>
      <c r="AG992" s="65"/>
      <c r="AH992" s="65"/>
      <c r="AI992" s="65"/>
    </row>
    <row r="993" spans="1:35" x14ac:dyDescent="0.2">
      <c r="A993" s="74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9"/>
      <c r="N993" s="69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  <c r="AB993" s="65"/>
      <c r="AC993" s="65"/>
      <c r="AD993" s="65"/>
      <c r="AE993" s="65"/>
      <c r="AF993" s="65"/>
      <c r="AG993" s="65"/>
      <c r="AH993" s="65"/>
      <c r="AI993" s="65"/>
    </row>
    <row r="994" spans="1:35" x14ac:dyDescent="0.2">
      <c r="A994" s="74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9"/>
      <c r="N994" s="69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  <c r="AB994" s="65"/>
      <c r="AC994" s="65"/>
      <c r="AD994" s="65"/>
      <c r="AE994" s="65"/>
      <c r="AF994" s="65"/>
      <c r="AG994" s="65"/>
      <c r="AH994" s="65"/>
      <c r="AI994" s="65"/>
    </row>
    <row r="995" spans="1:35" x14ac:dyDescent="0.2">
      <c r="A995" s="74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9"/>
      <c r="N995" s="69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  <c r="AB995" s="65"/>
      <c r="AC995" s="65"/>
      <c r="AD995" s="65"/>
      <c r="AE995" s="65"/>
      <c r="AF995" s="65"/>
      <c r="AG995" s="65"/>
      <c r="AH995" s="65"/>
      <c r="AI995" s="65"/>
    </row>
  </sheetData>
  <mergeCells count="10">
    <mergeCell ref="Z20:AA20"/>
    <mergeCell ref="Z21:AA21"/>
    <mergeCell ref="Z22:AA22"/>
    <mergeCell ref="B1:AI1"/>
    <mergeCell ref="K3:O3"/>
    <mergeCell ref="P3:T3"/>
    <mergeCell ref="U3:Y3"/>
    <mergeCell ref="Z3:AD3"/>
    <mergeCell ref="AE3:AI3"/>
    <mergeCell ref="Z19:AA19"/>
  </mergeCells>
  <conditionalFormatting sqref="C4:J17">
    <cfRule type="containsText" dxfId="22" priority="1" operator="containsText" text="FALSE">
      <formula>NOT(ISERROR(SEARCH(("FALSE"),(C4))))</formula>
    </cfRule>
    <cfRule type="containsText" dxfId="21" priority="2" operator="containsText" text="TRUE">
      <formula>NOT(ISERROR(SEARCH(("TRUE"),(C4))))</formula>
    </cfRule>
  </conditionalFormatting>
  <conditionalFormatting sqref="K4:K18 P4:P18 U4:U18 Z4:Z18 AE4:AE18">
    <cfRule type="cellIs" dxfId="20" priority="3" operator="greaterThan">
      <formula>O4</formula>
    </cfRule>
    <cfRule type="cellIs" dxfId="19" priority="6" operator="lessThan">
      <formula>O4</formula>
    </cfRule>
  </conditionalFormatting>
  <conditionalFormatting sqref="O4:O17 T4:T17 Y4:Y17 AD4:AD17 AI4:AI17">
    <cfRule type="cellIs" dxfId="18" priority="4" operator="lessThan">
      <formula>K4</formula>
    </cfRule>
  </conditionalFormatting>
  <conditionalFormatting sqref="O4:O18 T4:T18 Y4:Y18 AD4:AD18 AI4:AI18">
    <cfRule type="cellIs" dxfId="17" priority="7" operator="greaterThan">
      <formula>K4</formula>
    </cfRule>
  </conditionalFormatting>
  <conditionalFormatting sqref="O18 T18 Y18 AD18 AI18">
    <cfRule type="cellIs" dxfId="16" priority="8" operator="lessThan">
      <formula>K18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H18"/>
  <sheetViews>
    <sheetView workbookViewId="0"/>
  </sheetViews>
  <sheetFormatPr defaultColWidth="11.21875" defaultRowHeight="15" customHeight="1" x14ac:dyDescent="0.2"/>
  <cols>
    <col min="1" max="1" width="16.15234375" customWidth="1"/>
    <col min="6" max="6" width="14.0546875" customWidth="1"/>
  </cols>
  <sheetData>
    <row r="2" spans="1:8" x14ac:dyDescent="0.2">
      <c r="A2" s="3" t="s">
        <v>2</v>
      </c>
      <c r="B2" s="3" t="s">
        <v>3</v>
      </c>
      <c r="C2" s="3" t="s">
        <v>4</v>
      </c>
      <c r="D2" s="3" t="s">
        <v>5</v>
      </c>
      <c r="E2" s="24" t="s">
        <v>93</v>
      </c>
      <c r="F2" s="24" t="s">
        <v>94</v>
      </c>
      <c r="G2" s="24" t="s">
        <v>95</v>
      </c>
      <c r="H2" s="24" t="s">
        <v>96</v>
      </c>
    </row>
    <row r="3" spans="1:8" x14ac:dyDescent="0.2">
      <c r="A3" s="4"/>
      <c r="B3" s="4"/>
      <c r="C3" s="5" t="s">
        <v>6</v>
      </c>
      <c r="D3" s="5"/>
      <c r="E3" s="23"/>
      <c r="F3" s="25"/>
      <c r="G3" s="23"/>
      <c r="H3" s="23"/>
    </row>
    <row r="4" spans="1:8" x14ac:dyDescent="0.2">
      <c r="A4" s="4" t="s">
        <v>27</v>
      </c>
      <c r="B4" s="4">
        <v>88122</v>
      </c>
      <c r="C4" s="5" t="s">
        <v>28</v>
      </c>
      <c r="D4" s="7" t="s">
        <v>22</v>
      </c>
      <c r="E4" s="22" t="s">
        <v>97</v>
      </c>
      <c r="F4" s="26" t="s">
        <v>98</v>
      </c>
      <c r="G4" s="22" t="s">
        <v>99</v>
      </c>
      <c r="H4" s="22" t="s">
        <v>100</v>
      </c>
    </row>
    <row r="5" spans="1:8" x14ac:dyDescent="0.2">
      <c r="A5" s="11" t="s">
        <v>44</v>
      </c>
      <c r="B5" s="11">
        <v>16535</v>
      </c>
      <c r="C5" s="5" t="s">
        <v>14</v>
      </c>
      <c r="D5" s="7" t="s">
        <v>45</v>
      </c>
      <c r="E5" s="22" t="s">
        <v>101</v>
      </c>
      <c r="F5" s="26">
        <v>1</v>
      </c>
      <c r="G5" s="22" t="s">
        <v>102</v>
      </c>
      <c r="H5" s="22" t="s">
        <v>103</v>
      </c>
    </row>
    <row r="6" spans="1:8" x14ac:dyDescent="0.2">
      <c r="A6" s="10" t="s">
        <v>47</v>
      </c>
      <c r="B6" s="10">
        <v>76963</v>
      </c>
      <c r="C6" s="5" t="s">
        <v>17</v>
      </c>
      <c r="D6" s="7" t="s">
        <v>48</v>
      </c>
      <c r="E6" s="22" t="s">
        <v>101</v>
      </c>
      <c r="F6" s="26" t="s">
        <v>104</v>
      </c>
      <c r="G6" s="22" t="s">
        <v>105</v>
      </c>
      <c r="H6" s="22" t="s">
        <v>103</v>
      </c>
    </row>
    <row r="7" spans="1:8" x14ac:dyDescent="0.2">
      <c r="A7" s="10" t="s">
        <v>65</v>
      </c>
      <c r="B7" s="10">
        <v>88120</v>
      </c>
      <c r="C7" s="5" t="s">
        <v>14</v>
      </c>
      <c r="D7" s="7" t="s">
        <v>26</v>
      </c>
      <c r="E7" s="22" t="s">
        <v>101</v>
      </c>
      <c r="F7" s="26" t="s">
        <v>106</v>
      </c>
      <c r="G7" s="22" t="s">
        <v>107</v>
      </c>
      <c r="H7" s="22" t="s">
        <v>103</v>
      </c>
    </row>
    <row r="8" spans="1:8" x14ac:dyDescent="0.2">
      <c r="A8" s="10" t="s">
        <v>67</v>
      </c>
      <c r="B8" s="10">
        <v>76961</v>
      </c>
      <c r="C8" s="5" t="s">
        <v>68</v>
      </c>
      <c r="D8" s="27" t="s">
        <v>48</v>
      </c>
      <c r="E8" s="22" t="s">
        <v>101</v>
      </c>
      <c r="F8" s="26" t="s">
        <v>113</v>
      </c>
      <c r="G8" s="22" t="s">
        <v>107</v>
      </c>
      <c r="H8" s="22" t="s">
        <v>103</v>
      </c>
    </row>
    <row r="9" spans="1:8" x14ac:dyDescent="0.2">
      <c r="A9" s="10" t="s">
        <v>19</v>
      </c>
      <c r="B9" s="10">
        <v>76964</v>
      </c>
      <c r="C9" s="5" t="s">
        <v>14</v>
      </c>
      <c r="D9" s="27" t="s">
        <v>48</v>
      </c>
      <c r="E9" s="22" t="s">
        <v>101</v>
      </c>
      <c r="F9" s="26" t="s">
        <v>108</v>
      </c>
      <c r="G9" s="22" t="s">
        <v>105</v>
      </c>
      <c r="H9" s="22" t="s">
        <v>103</v>
      </c>
    </row>
    <row r="10" spans="1:8" x14ac:dyDescent="0.2">
      <c r="A10" s="4" t="s">
        <v>54</v>
      </c>
      <c r="B10" s="4">
        <v>81939</v>
      </c>
      <c r="C10" s="5" t="s">
        <v>14</v>
      </c>
      <c r="D10" s="15" t="s">
        <v>18</v>
      </c>
      <c r="E10" s="22" t="s">
        <v>101</v>
      </c>
      <c r="F10" s="26" t="s">
        <v>109</v>
      </c>
      <c r="G10" s="22" t="s">
        <v>110</v>
      </c>
      <c r="H10" s="22" t="s">
        <v>103</v>
      </c>
    </row>
    <row r="11" spans="1:8" x14ac:dyDescent="0.2">
      <c r="A11" s="8" t="s">
        <v>41</v>
      </c>
      <c r="B11" s="8">
        <v>30923</v>
      </c>
      <c r="C11" s="12" t="s">
        <v>11</v>
      </c>
      <c r="D11" s="7" t="s">
        <v>22</v>
      </c>
      <c r="E11" s="22" t="s">
        <v>111</v>
      </c>
      <c r="F11" s="26"/>
      <c r="G11" s="22" t="s">
        <v>102</v>
      </c>
      <c r="H11" s="22" t="s">
        <v>103</v>
      </c>
    </row>
    <row r="12" spans="1:8" x14ac:dyDescent="0.2">
      <c r="A12" s="4" t="s">
        <v>79</v>
      </c>
      <c r="B12" s="4">
        <v>81823</v>
      </c>
      <c r="C12" s="5" t="s">
        <v>17</v>
      </c>
      <c r="D12" s="27" t="s">
        <v>48</v>
      </c>
      <c r="E12" s="22" t="s">
        <v>111</v>
      </c>
      <c r="F12" s="26"/>
      <c r="G12" s="22" t="s">
        <v>102</v>
      </c>
      <c r="H12" s="22" t="s">
        <v>100</v>
      </c>
    </row>
    <row r="13" spans="1:8" x14ac:dyDescent="0.2">
      <c r="A13" s="8" t="s">
        <v>21</v>
      </c>
      <c r="B13" s="4">
        <v>76972</v>
      </c>
      <c r="C13" s="5" t="s">
        <v>14</v>
      </c>
      <c r="D13" s="7" t="s">
        <v>22</v>
      </c>
      <c r="E13" s="22" t="s">
        <v>112</v>
      </c>
      <c r="F13" s="26" t="s">
        <v>113</v>
      </c>
      <c r="G13" s="22" t="s">
        <v>107</v>
      </c>
      <c r="H13" s="22" t="s">
        <v>100</v>
      </c>
    </row>
    <row r="14" spans="1:8" x14ac:dyDescent="0.2">
      <c r="A14" s="10" t="s">
        <v>34</v>
      </c>
      <c r="B14" s="10">
        <v>98859</v>
      </c>
      <c r="C14" s="5" t="s">
        <v>14</v>
      </c>
      <c r="D14" s="7" t="s">
        <v>26</v>
      </c>
      <c r="E14" s="22" t="s">
        <v>101</v>
      </c>
      <c r="F14" s="26" t="s">
        <v>114</v>
      </c>
      <c r="G14" s="22" t="s">
        <v>99</v>
      </c>
      <c r="H14" s="22" t="s">
        <v>103</v>
      </c>
    </row>
    <row r="15" spans="1:8" x14ac:dyDescent="0.2">
      <c r="A15" s="4" t="s">
        <v>75</v>
      </c>
      <c r="B15" s="4">
        <v>76973</v>
      </c>
      <c r="C15" s="5" t="s">
        <v>11</v>
      </c>
      <c r="D15" s="9" t="s">
        <v>43</v>
      </c>
      <c r="E15" s="22" t="s">
        <v>111</v>
      </c>
      <c r="F15" s="25"/>
      <c r="G15" s="22" t="s">
        <v>102</v>
      </c>
      <c r="H15" s="22" t="s">
        <v>100</v>
      </c>
    </row>
    <row r="16" spans="1:8" x14ac:dyDescent="0.2">
      <c r="A16" s="8" t="s">
        <v>115</v>
      </c>
      <c r="B16" s="4">
        <v>76962</v>
      </c>
      <c r="C16" s="5" t="s">
        <v>17</v>
      </c>
      <c r="D16" s="9" t="s">
        <v>20</v>
      </c>
      <c r="E16" s="22" t="s">
        <v>101</v>
      </c>
      <c r="F16" s="26" t="s">
        <v>116</v>
      </c>
      <c r="G16" s="22" t="s">
        <v>99</v>
      </c>
      <c r="H16" s="22" t="s">
        <v>103</v>
      </c>
    </row>
    <row r="17" spans="1:8" x14ac:dyDescent="0.2">
      <c r="A17" s="10" t="s">
        <v>29</v>
      </c>
      <c r="B17" s="10">
        <v>76970</v>
      </c>
      <c r="C17" s="5" t="s">
        <v>17</v>
      </c>
      <c r="D17" s="9" t="s">
        <v>26</v>
      </c>
      <c r="E17" s="22" t="s">
        <v>101</v>
      </c>
      <c r="F17" s="26" t="s">
        <v>117</v>
      </c>
      <c r="G17" s="22" t="s">
        <v>110</v>
      </c>
      <c r="H17" s="22" t="s">
        <v>103</v>
      </c>
    </row>
    <row r="18" spans="1:8" x14ac:dyDescent="0.2">
      <c r="A18" s="10" t="s">
        <v>31</v>
      </c>
      <c r="B18" s="10">
        <v>81824</v>
      </c>
      <c r="C18" s="5" t="s">
        <v>17</v>
      </c>
      <c r="D18" s="9" t="s">
        <v>32</v>
      </c>
      <c r="E18" s="22" t="s">
        <v>101</v>
      </c>
      <c r="F18" s="26" t="s">
        <v>117</v>
      </c>
      <c r="G18" s="22" t="s">
        <v>110</v>
      </c>
      <c r="H18" s="22" t="s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64"/>
  <sheetViews>
    <sheetView workbookViewId="0"/>
  </sheetViews>
  <sheetFormatPr defaultColWidth="11.21875" defaultRowHeight="15" customHeight="1" x14ac:dyDescent="0.2"/>
  <cols>
    <col min="1" max="1" width="16.76953125" customWidth="1"/>
  </cols>
  <sheetData>
    <row r="1" spans="1:15" x14ac:dyDescent="0.2">
      <c r="A1" s="538" t="s">
        <v>198</v>
      </c>
      <c r="B1" s="537"/>
      <c r="C1" s="537"/>
      <c r="D1" s="537"/>
      <c r="E1" s="537"/>
      <c r="F1" s="537"/>
      <c r="G1" s="537"/>
      <c r="H1" s="531"/>
      <c r="I1" s="539" t="s">
        <v>199</v>
      </c>
      <c r="J1" s="537"/>
      <c r="K1" s="537"/>
      <c r="L1" s="537"/>
      <c r="M1" s="537"/>
      <c r="N1" s="537"/>
      <c r="O1" s="531"/>
    </row>
    <row r="2" spans="1:15" x14ac:dyDescent="0.2">
      <c r="A2" s="78" t="s">
        <v>200</v>
      </c>
      <c r="B2" s="78" t="s">
        <v>201</v>
      </c>
      <c r="C2" s="79" t="s">
        <v>119</v>
      </c>
      <c r="D2" s="79" t="s">
        <v>202</v>
      </c>
      <c r="E2" s="79" t="s">
        <v>121</v>
      </c>
      <c r="F2" s="79" t="s">
        <v>203</v>
      </c>
      <c r="G2" s="79" t="s">
        <v>125</v>
      </c>
      <c r="H2" s="79" t="s">
        <v>204</v>
      </c>
      <c r="I2" s="80" t="s">
        <v>205</v>
      </c>
      <c r="J2" s="80" t="s">
        <v>142</v>
      </c>
      <c r="K2" s="80" t="s">
        <v>206</v>
      </c>
      <c r="L2" s="80" t="s">
        <v>207</v>
      </c>
      <c r="M2" s="80" t="s">
        <v>143</v>
      </c>
      <c r="N2" s="80" t="s">
        <v>208</v>
      </c>
      <c r="O2" s="80" t="s">
        <v>209</v>
      </c>
    </row>
    <row r="3" spans="1:15" x14ac:dyDescent="0.2">
      <c r="A3" s="81" t="s">
        <v>210</v>
      </c>
      <c r="B3" s="82" t="s">
        <v>211</v>
      </c>
      <c r="C3" s="83" t="b">
        <v>0</v>
      </c>
      <c r="D3" s="84" t="b">
        <v>0</v>
      </c>
      <c r="E3" s="83" t="b">
        <v>0</v>
      </c>
      <c r="F3" s="85" t="b">
        <v>0</v>
      </c>
      <c r="G3" s="86" t="b">
        <v>0</v>
      </c>
      <c r="H3" s="86" t="b">
        <v>0</v>
      </c>
      <c r="I3" s="22" t="b">
        <v>1</v>
      </c>
      <c r="J3" s="22" t="b">
        <v>1</v>
      </c>
      <c r="K3" s="23" t="b">
        <v>0</v>
      </c>
      <c r="L3" s="23" t="b">
        <v>0</v>
      </c>
      <c r="M3" s="83" t="b">
        <v>1</v>
      </c>
      <c r="N3" s="85" t="b">
        <v>0</v>
      </c>
      <c r="O3" s="22" t="b">
        <v>1</v>
      </c>
    </row>
    <row r="4" spans="1:15" x14ac:dyDescent="0.2">
      <c r="A4" s="81" t="s">
        <v>212</v>
      </c>
      <c r="B4" s="82" t="s">
        <v>213</v>
      </c>
      <c r="C4" s="83" t="b">
        <v>1</v>
      </c>
      <c r="D4" s="84" t="b">
        <v>0</v>
      </c>
      <c r="E4" s="85" t="b">
        <v>0</v>
      </c>
      <c r="F4" s="85" t="b">
        <v>0</v>
      </c>
      <c r="G4" s="86" t="b">
        <v>0</v>
      </c>
      <c r="H4" s="86" t="b">
        <v>0</v>
      </c>
      <c r="I4" s="22" t="b">
        <v>1</v>
      </c>
      <c r="J4" s="22" t="b">
        <v>1</v>
      </c>
      <c r="K4" s="23" t="b">
        <v>0</v>
      </c>
      <c r="L4" s="23" t="b">
        <v>0</v>
      </c>
      <c r="M4" s="83" t="b">
        <v>1</v>
      </c>
      <c r="N4" s="85" t="b">
        <v>0</v>
      </c>
      <c r="O4" s="22" t="b">
        <v>1</v>
      </c>
    </row>
    <row r="5" spans="1:15" x14ac:dyDescent="0.2">
      <c r="A5" s="81" t="s">
        <v>214</v>
      </c>
      <c r="B5" s="82" t="s">
        <v>213</v>
      </c>
      <c r="C5" s="83" t="b">
        <v>1</v>
      </c>
      <c r="D5" s="86" t="b">
        <v>0</v>
      </c>
      <c r="E5" s="85" t="b">
        <v>0</v>
      </c>
      <c r="F5" s="85" t="b">
        <v>0</v>
      </c>
      <c r="G5" s="86" t="b">
        <v>0</v>
      </c>
      <c r="H5" s="86" t="b">
        <v>0</v>
      </c>
      <c r="I5" s="22" t="b">
        <v>1</v>
      </c>
      <c r="J5" s="22" t="b">
        <v>1</v>
      </c>
      <c r="K5" s="23" t="b">
        <v>0</v>
      </c>
      <c r="L5" s="23" t="b">
        <v>0</v>
      </c>
      <c r="M5" s="83" t="b">
        <v>1</v>
      </c>
      <c r="N5" s="85" t="b">
        <v>0</v>
      </c>
      <c r="O5" s="22" t="b">
        <v>1</v>
      </c>
    </row>
    <row r="6" spans="1:15" x14ac:dyDescent="0.2">
      <c r="A6" s="81" t="s">
        <v>44</v>
      </c>
      <c r="B6" s="87" t="s">
        <v>213</v>
      </c>
      <c r="C6" s="83" t="b">
        <v>1</v>
      </c>
      <c r="D6" s="86" t="b">
        <v>0</v>
      </c>
      <c r="E6" s="83" t="b">
        <v>0</v>
      </c>
      <c r="F6" s="83" t="b">
        <v>0</v>
      </c>
      <c r="G6" s="86" t="b">
        <v>0</v>
      </c>
      <c r="H6" s="86" t="b">
        <v>0</v>
      </c>
      <c r="I6" s="22" t="b">
        <v>1</v>
      </c>
      <c r="J6" s="22" t="b">
        <v>1</v>
      </c>
      <c r="K6" s="23" t="b">
        <v>0</v>
      </c>
      <c r="L6" s="23" t="b">
        <v>0</v>
      </c>
      <c r="M6" s="83" t="b">
        <v>1</v>
      </c>
      <c r="N6" s="85" t="b">
        <v>0</v>
      </c>
      <c r="O6" s="22" t="b">
        <v>1</v>
      </c>
    </row>
    <row r="7" spans="1:15" x14ac:dyDescent="0.2">
      <c r="A7" s="81" t="s">
        <v>215</v>
      </c>
      <c r="B7" s="87" t="s">
        <v>216</v>
      </c>
      <c r="C7" s="83" t="b">
        <v>0</v>
      </c>
      <c r="D7" s="84" t="b">
        <v>0</v>
      </c>
      <c r="E7" s="83" t="b">
        <v>0</v>
      </c>
      <c r="F7" s="85" t="b">
        <v>0</v>
      </c>
      <c r="G7" s="86" t="b">
        <v>0</v>
      </c>
      <c r="H7" s="86" t="b">
        <v>0</v>
      </c>
      <c r="I7" s="22" t="b">
        <v>1</v>
      </c>
      <c r="J7" s="22" t="b">
        <v>1</v>
      </c>
      <c r="K7" s="23" t="b">
        <v>0</v>
      </c>
      <c r="L7" s="23" t="b">
        <v>0</v>
      </c>
      <c r="M7" s="83" t="b">
        <v>1</v>
      </c>
      <c r="N7" s="85" t="b">
        <v>0</v>
      </c>
      <c r="O7" s="22" t="b">
        <v>1</v>
      </c>
    </row>
    <row r="8" spans="1:15" x14ac:dyDescent="0.2">
      <c r="A8" s="81" t="s">
        <v>217</v>
      </c>
      <c r="B8" s="82" t="s">
        <v>157</v>
      </c>
      <c r="C8" s="83" t="b">
        <v>1</v>
      </c>
      <c r="D8" s="84" t="b">
        <v>0</v>
      </c>
      <c r="E8" s="83" t="b">
        <v>0</v>
      </c>
      <c r="F8" s="83" t="b">
        <v>0</v>
      </c>
      <c r="G8" s="84" t="b">
        <v>0</v>
      </c>
      <c r="H8" s="86" t="b">
        <v>0</v>
      </c>
      <c r="I8" s="22" t="b">
        <v>1</v>
      </c>
      <c r="J8" s="22" t="b">
        <v>1</v>
      </c>
      <c r="K8" s="23" t="b">
        <v>0</v>
      </c>
      <c r="L8" s="23" t="b">
        <v>0</v>
      </c>
      <c r="M8" s="83" t="b">
        <v>1</v>
      </c>
      <c r="N8" s="85" t="b">
        <v>0</v>
      </c>
      <c r="O8" s="22" t="b">
        <v>1</v>
      </c>
    </row>
    <row r="9" spans="1:15" x14ac:dyDescent="0.2">
      <c r="A9" s="81" t="s">
        <v>218</v>
      </c>
      <c r="B9" s="82" t="s">
        <v>157</v>
      </c>
      <c r="C9" s="83" t="b">
        <v>1</v>
      </c>
      <c r="D9" s="84" t="b">
        <v>0</v>
      </c>
      <c r="E9" s="83" t="b">
        <v>0</v>
      </c>
      <c r="F9" s="85" t="b">
        <v>0</v>
      </c>
      <c r="G9" s="86" t="b">
        <v>0</v>
      </c>
      <c r="H9" s="86" t="b">
        <v>0</v>
      </c>
      <c r="I9" s="22" t="b">
        <v>1</v>
      </c>
      <c r="J9" s="22" t="b">
        <v>1</v>
      </c>
      <c r="K9" s="23" t="b">
        <v>0</v>
      </c>
      <c r="L9" s="23" t="b">
        <v>0</v>
      </c>
      <c r="M9" s="83" t="b">
        <v>1</v>
      </c>
      <c r="N9" s="85" t="b">
        <v>0</v>
      </c>
      <c r="O9" s="22" t="b">
        <v>1</v>
      </c>
    </row>
    <row r="10" spans="1:15" x14ac:dyDescent="0.2">
      <c r="A10" s="81" t="s">
        <v>219</v>
      </c>
      <c r="B10" s="82" t="s">
        <v>220</v>
      </c>
      <c r="C10" s="83" t="b">
        <v>0</v>
      </c>
      <c r="D10" s="84" t="b">
        <v>0</v>
      </c>
      <c r="E10" s="83" t="b">
        <v>0</v>
      </c>
      <c r="F10" s="83" t="b">
        <v>0</v>
      </c>
      <c r="G10" s="84" t="b">
        <v>0</v>
      </c>
      <c r="H10" s="86" t="b">
        <v>0</v>
      </c>
      <c r="I10" s="22" t="b">
        <v>1</v>
      </c>
      <c r="J10" s="22" t="b">
        <v>1</v>
      </c>
      <c r="K10" s="23" t="b">
        <v>0</v>
      </c>
      <c r="L10" s="23" t="b">
        <v>0</v>
      </c>
      <c r="M10" s="83" t="b">
        <v>1</v>
      </c>
      <c r="N10" s="85" t="b">
        <v>0</v>
      </c>
      <c r="O10" s="22" t="b">
        <v>1</v>
      </c>
    </row>
    <row r="11" spans="1:15" x14ac:dyDescent="0.2">
      <c r="A11" s="81" t="s">
        <v>221</v>
      </c>
      <c r="B11" s="82" t="s">
        <v>220</v>
      </c>
      <c r="C11" s="83" t="b">
        <v>1</v>
      </c>
      <c r="D11" s="84" t="b">
        <v>0</v>
      </c>
      <c r="E11" s="83" t="b">
        <v>0</v>
      </c>
      <c r="F11" s="85" t="b">
        <v>0</v>
      </c>
      <c r="G11" s="86" t="b">
        <v>0</v>
      </c>
      <c r="H11" s="86" t="b">
        <v>0</v>
      </c>
      <c r="I11" s="22" t="b">
        <v>1</v>
      </c>
      <c r="J11" s="22" t="b">
        <v>1</v>
      </c>
      <c r="K11" s="23" t="b">
        <v>0</v>
      </c>
      <c r="L11" s="23" t="b">
        <v>0</v>
      </c>
      <c r="M11" s="83" t="b">
        <v>1</v>
      </c>
      <c r="N11" s="85" t="b">
        <v>0</v>
      </c>
      <c r="O11" s="22" t="b">
        <v>1</v>
      </c>
    </row>
    <row r="12" spans="1:15" x14ac:dyDescent="0.2">
      <c r="A12" s="81" t="s">
        <v>128</v>
      </c>
      <c r="B12" s="82" t="s">
        <v>222</v>
      </c>
      <c r="C12" s="83" t="b">
        <v>1</v>
      </c>
      <c r="D12" s="84" t="b">
        <v>0</v>
      </c>
      <c r="E12" s="83" t="b">
        <v>0</v>
      </c>
      <c r="F12" s="83" t="b">
        <v>0</v>
      </c>
      <c r="G12" s="86" t="b">
        <v>0</v>
      </c>
      <c r="H12" s="86" t="b">
        <v>0</v>
      </c>
      <c r="I12" s="22" t="b">
        <v>1</v>
      </c>
      <c r="J12" s="22" t="b">
        <v>1</v>
      </c>
      <c r="K12" s="23" t="b">
        <v>0</v>
      </c>
      <c r="L12" s="23" t="b">
        <v>0</v>
      </c>
      <c r="M12" s="83" t="b">
        <v>1</v>
      </c>
      <c r="N12" s="85" t="b">
        <v>0</v>
      </c>
      <c r="O12" s="22" t="b">
        <v>1</v>
      </c>
    </row>
    <row r="13" spans="1:15" x14ac:dyDescent="0.2">
      <c r="A13" s="81" t="s">
        <v>223</v>
      </c>
      <c r="B13" s="82" t="s">
        <v>222</v>
      </c>
      <c r="C13" s="83" t="b">
        <v>1</v>
      </c>
      <c r="D13" s="84" t="b">
        <v>0</v>
      </c>
      <c r="E13" s="83" t="b">
        <v>0</v>
      </c>
      <c r="F13" s="85" t="b">
        <v>0</v>
      </c>
      <c r="G13" s="86" t="b">
        <v>0</v>
      </c>
      <c r="H13" s="86" t="b">
        <v>0</v>
      </c>
      <c r="I13" s="22" t="b">
        <v>1</v>
      </c>
      <c r="J13" s="22" t="b">
        <v>1</v>
      </c>
      <c r="K13" s="23" t="b">
        <v>0</v>
      </c>
      <c r="L13" s="23" t="b">
        <v>0</v>
      </c>
      <c r="M13" s="83" t="b">
        <v>1</v>
      </c>
      <c r="N13" s="85" t="b">
        <v>0</v>
      </c>
      <c r="O13" s="22" t="b">
        <v>1</v>
      </c>
    </row>
    <row r="14" spans="1:15" x14ac:dyDescent="0.2">
      <c r="A14" s="88" t="s">
        <v>224</v>
      </c>
      <c r="B14" s="89" t="s">
        <v>222</v>
      </c>
      <c r="C14" s="83" t="b">
        <v>0</v>
      </c>
      <c r="D14" s="84" t="b">
        <v>0</v>
      </c>
      <c r="E14" s="83" t="b">
        <v>0</v>
      </c>
      <c r="F14" s="85" t="b">
        <v>0</v>
      </c>
      <c r="G14" s="84" t="b">
        <v>0</v>
      </c>
      <c r="H14" s="86" t="b">
        <v>0</v>
      </c>
      <c r="I14" s="22" t="b">
        <v>1</v>
      </c>
      <c r="J14" s="22" t="b">
        <v>1</v>
      </c>
      <c r="K14" s="23" t="b">
        <v>0</v>
      </c>
      <c r="L14" s="23" t="b">
        <v>0</v>
      </c>
      <c r="M14" s="83" t="b">
        <v>1</v>
      </c>
      <c r="N14" s="85" t="b">
        <v>0</v>
      </c>
      <c r="O14" s="22" t="b">
        <v>1</v>
      </c>
    </row>
    <row r="15" spans="1:15" x14ac:dyDescent="0.2">
      <c r="A15" s="90"/>
      <c r="B15" s="90"/>
      <c r="C15" s="91"/>
      <c r="D15" s="92"/>
      <c r="E15" s="91"/>
      <c r="F15" s="40"/>
      <c r="G15" s="39"/>
      <c r="H15" s="39"/>
      <c r="I15" s="93"/>
      <c r="J15" s="93"/>
      <c r="M15" s="91"/>
      <c r="N15" s="40"/>
      <c r="O15" s="93"/>
    </row>
    <row r="16" spans="1:15" x14ac:dyDescent="0.2">
      <c r="A16" s="90"/>
      <c r="B16" s="90"/>
      <c r="C16" s="91"/>
      <c r="D16" s="92"/>
      <c r="E16" s="91"/>
      <c r="F16" s="91"/>
      <c r="G16" s="39"/>
      <c r="H16" s="39"/>
      <c r="I16" s="93"/>
      <c r="J16" s="93"/>
      <c r="M16" s="91"/>
      <c r="N16" s="40"/>
      <c r="O16" s="93"/>
    </row>
    <row r="17" spans="1:15" x14ac:dyDescent="0.2">
      <c r="A17" s="90"/>
      <c r="B17" s="90"/>
      <c r="C17" s="91"/>
      <c r="D17" s="92"/>
      <c r="E17" s="91"/>
      <c r="F17" s="40"/>
      <c r="G17" s="39"/>
      <c r="H17" s="39"/>
      <c r="I17" s="93"/>
      <c r="J17" s="93"/>
      <c r="M17" s="91"/>
      <c r="N17" s="40"/>
      <c r="O17" s="93"/>
    </row>
    <row r="18" spans="1:15" x14ac:dyDescent="0.2">
      <c r="A18" s="540" t="s">
        <v>225</v>
      </c>
      <c r="B18" s="537"/>
      <c r="C18" s="537"/>
      <c r="D18" s="537"/>
      <c r="E18" s="537"/>
      <c r="F18" s="531"/>
      <c r="G18" s="92"/>
      <c r="H18" s="39"/>
      <c r="I18" s="93"/>
      <c r="J18" s="93"/>
      <c r="M18" s="91"/>
      <c r="N18" s="40"/>
      <c r="O18" s="93"/>
    </row>
    <row r="19" spans="1:15" x14ac:dyDescent="0.2">
      <c r="A19" s="23"/>
      <c r="B19" s="23"/>
      <c r="C19" s="23"/>
      <c r="D19" s="23"/>
      <c r="E19" s="23"/>
      <c r="F19" s="23"/>
      <c r="G19" s="39"/>
      <c r="H19" s="39"/>
      <c r="I19" s="93"/>
      <c r="J19" s="93"/>
      <c r="M19" s="91"/>
      <c r="N19" s="40"/>
      <c r="O19" s="93"/>
    </row>
    <row r="20" spans="1:15" x14ac:dyDescent="0.2">
      <c r="A20" s="536"/>
      <c r="B20" s="537"/>
      <c r="C20" s="537"/>
      <c r="D20" s="537"/>
      <c r="E20" s="537"/>
      <c r="F20" s="531"/>
      <c r="G20" s="92"/>
      <c r="H20" s="39"/>
      <c r="I20" s="93"/>
      <c r="J20" s="93"/>
      <c r="M20" s="91"/>
      <c r="N20" s="91"/>
      <c r="O20" s="93"/>
    </row>
    <row r="21" spans="1:15" x14ac:dyDescent="0.2">
      <c r="A21" s="23"/>
      <c r="B21" s="23"/>
      <c r="C21" s="23"/>
      <c r="D21" s="23"/>
      <c r="E21" s="23"/>
      <c r="F21" s="23"/>
      <c r="G21" s="92"/>
      <c r="H21" s="39"/>
      <c r="I21" s="93"/>
      <c r="J21" s="93"/>
      <c r="M21" s="91"/>
      <c r="N21" s="40"/>
      <c r="O21" s="93"/>
    </row>
    <row r="22" spans="1:15" x14ac:dyDescent="0.2">
      <c r="A22" s="536"/>
      <c r="B22" s="537"/>
      <c r="C22" s="537"/>
      <c r="D22" s="537"/>
      <c r="E22" s="537"/>
      <c r="F22" s="531"/>
    </row>
    <row r="23" spans="1:15" x14ac:dyDescent="0.2">
      <c r="A23" s="23"/>
      <c r="B23" s="23"/>
      <c r="C23" s="23"/>
      <c r="D23" s="23"/>
      <c r="E23" s="23"/>
      <c r="F23" s="23"/>
    </row>
    <row r="24" spans="1:15" x14ac:dyDescent="0.2">
      <c r="A24" s="536"/>
      <c r="B24" s="537"/>
      <c r="C24" s="537"/>
      <c r="D24" s="537"/>
      <c r="E24" s="537"/>
      <c r="F24" s="531"/>
    </row>
    <row r="25" spans="1:15" x14ac:dyDescent="0.2">
      <c r="A25" s="23"/>
      <c r="B25" s="23"/>
      <c r="C25" s="23"/>
      <c r="D25" s="23"/>
      <c r="E25" s="23"/>
      <c r="F25" s="23"/>
    </row>
    <row r="26" spans="1:15" x14ac:dyDescent="0.2">
      <c r="A26" s="536"/>
      <c r="B26" s="537"/>
      <c r="C26" s="537"/>
      <c r="D26" s="537"/>
      <c r="E26" s="537"/>
      <c r="F26" s="531"/>
    </row>
    <row r="27" spans="1:15" x14ac:dyDescent="0.2">
      <c r="A27" s="23"/>
      <c r="B27" s="23"/>
      <c r="C27" s="23"/>
      <c r="D27" s="23"/>
      <c r="E27" s="23"/>
      <c r="F27" s="23"/>
    </row>
    <row r="28" spans="1:15" x14ac:dyDescent="0.2">
      <c r="A28" s="536"/>
      <c r="B28" s="537"/>
      <c r="C28" s="537"/>
      <c r="D28" s="537"/>
      <c r="E28" s="537"/>
      <c r="F28" s="531"/>
    </row>
    <row r="29" spans="1:15" x14ac:dyDescent="0.2">
      <c r="A29" s="23"/>
      <c r="B29" s="23"/>
      <c r="C29" s="23"/>
      <c r="D29" s="23"/>
      <c r="E29" s="23"/>
      <c r="F29" s="23"/>
    </row>
    <row r="30" spans="1:15" x14ac:dyDescent="0.2">
      <c r="A30" s="536"/>
      <c r="B30" s="537"/>
      <c r="C30" s="537"/>
      <c r="D30" s="537"/>
      <c r="E30" s="537"/>
      <c r="F30" s="531"/>
    </row>
    <row r="31" spans="1:15" x14ac:dyDescent="0.2">
      <c r="A31" s="23"/>
      <c r="B31" s="23"/>
      <c r="C31" s="23"/>
      <c r="D31" s="23"/>
      <c r="E31" s="23"/>
      <c r="F31" s="23"/>
    </row>
    <row r="32" spans="1:15" x14ac:dyDescent="0.2">
      <c r="A32" s="536"/>
      <c r="B32" s="537"/>
      <c r="C32" s="537"/>
      <c r="D32" s="537"/>
      <c r="E32" s="537"/>
      <c r="F32" s="531"/>
    </row>
    <row r="35" spans="1:9" x14ac:dyDescent="0.2">
      <c r="C35" s="541" t="s">
        <v>226</v>
      </c>
      <c r="D35" s="533"/>
      <c r="E35" s="533"/>
      <c r="F35" s="533"/>
      <c r="G35" s="533"/>
      <c r="H35" s="533"/>
      <c r="I35" s="533"/>
    </row>
    <row r="36" spans="1:9" x14ac:dyDescent="0.2">
      <c r="A36" s="78" t="s">
        <v>200</v>
      </c>
      <c r="B36" s="78" t="s">
        <v>201</v>
      </c>
      <c r="C36" s="93">
        <v>1</v>
      </c>
      <c r="D36" s="93">
        <v>2</v>
      </c>
      <c r="E36" s="93">
        <v>3</v>
      </c>
      <c r="F36" s="93">
        <v>4</v>
      </c>
      <c r="G36" s="93">
        <v>5</v>
      </c>
      <c r="H36" s="93">
        <v>6</v>
      </c>
      <c r="I36" s="93">
        <v>7</v>
      </c>
    </row>
    <row r="37" spans="1:9" x14ac:dyDescent="0.2">
      <c r="A37" s="81" t="s">
        <v>210</v>
      </c>
      <c r="B37" s="82" t="s">
        <v>211</v>
      </c>
      <c r="C37" s="94" t="s">
        <v>227</v>
      </c>
      <c r="D37" s="94" t="s">
        <v>184</v>
      </c>
    </row>
    <row r="38" spans="1:9" x14ac:dyDescent="0.2">
      <c r="A38" s="81" t="s">
        <v>130</v>
      </c>
      <c r="B38" s="82" t="s">
        <v>213</v>
      </c>
      <c r="C38" s="94" t="s">
        <v>228</v>
      </c>
      <c r="D38" s="94" t="s">
        <v>229</v>
      </c>
      <c r="E38" s="94" t="s">
        <v>230</v>
      </c>
      <c r="F38" s="94"/>
    </row>
    <row r="39" spans="1:9" x14ac:dyDescent="0.2">
      <c r="A39" s="81" t="s">
        <v>214</v>
      </c>
      <c r="B39" s="82" t="s">
        <v>213</v>
      </c>
      <c r="C39" s="94" t="s">
        <v>231</v>
      </c>
      <c r="D39" s="94" t="s">
        <v>232</v>
      </c>
      <c r="E39" s="94"/>
      <c r="F39" s="94" t="s">
        <v>233</v>
      </c>
      <c r="G39" s="94" t="s">
        <v>234</v>
      </c>
    </row>
    <row r="40" spans="1:9" x14ac:dyDescent="0.2">
      <c r="A40" s="81" t="s">
        <v>44</v>
      </c>
      <c r="B40" s="95" t="s">
        <v>213</v>
      </c>
      <c r="C40" s="94" t="s">
        <v>232</v>
      </c>
      <c r="D40" s="94" t="s">
        <v>235</v>
      </c>
      <c r="E40" s="94" t="s">
        <v>236</v>
      </c>
      <c r="F40" s="96"/>
    </row>
    <row r="41" spans="1:9" x14ac:dyDescent="0.2">
      <c r="A41" s="81" t="s">
        <v>215</v>
      </c>
      <c r="B41" s="95" t="s">
        <v>216</v>
      </c>
      <c r="C41" s="94" t="s">
        <v>237</v>
      </c>
      <c r="D41" s="94" t="s">
        <v>184</v>
      </c>
    </row>
    <row r="42" spans="1:9" x14ac:dyDescent="0.2">
      <c r="A42" s="81" t="s">
        <v>217</v>
      </c>
      <c r="B42" s="82" t="s">
        <v>157</v>
      </c>
      <c r="C42" s="94" t="s">
        <v>238</v>
      </c>
      <c r="D42" s="94" t="s">
        <v>176</v>
      </c>
      <c r="E42" s="94" t="s">
        <v>239</v>
      </c>
    </row>
    <row r="43" spans="1:9" x14ac:dyDescent="0.2">
      <c r="A43" s="81" t="s">
        <v>218</v>
      </c>
      <c r="B43" s="82" t="s">
        <v>157</v>
      </c>
      <c r="C43" s="94" t="s">
        <v>240</v>
      </c>
      <c r="D43" s="94" t="s">
        <v>241</v>
      </c>
      <c r="E43" s="94" t="s">
        <v>242</v>
      </c>
    </row>
    <row r="44" spans="1:9" x14ac:dyDescent="0.2">
      <c r="A44" s="81" t="s">
        <v>219</v>
      </c>
      <c r="B44" s="82" t="s">
        <v>220</v>
      </c>
      <c r="C44" s="94" t="s">
        <v>243</v>
      </c>
      <c r="D44" s="94" t="s">
        <v>244</v>
      </c>
      <c r="E44" s="94" t="s">
        <v>245</v>
      </c>
    </row>
    <row r="45" spans="1:9" x14ac:dyDescent="0.2">
      <c r="A45" s="81" t="s">
        <v>221</v>
      </c>
      <c r="B45" s="82" t="s">
        <v>220</v>
      </c>
      <c r="C45" s="94" t="s">
        <v>246</v>
      </c>
      <c r="D45" s="94" t="s">
        <v>247</v>
      </c>
      <c r="E45" s="94" t="s">
        <v>248</v>
      </c>
      <c r="F45" s="94"/>
    </row>
    <row r="46" spans="1:9" x14ac:dyDescent="0.2">
      <c r="A46" s="81" t="s">
        <v>128</v>
      </c>
      <c r="B46" s="82" t="s">
        <v>222</v>
      </c>
      <c r="C46" s="94" t="s">
        <v>249</v>
      </c>
      <c r="D46" s="94"/>
      <c r="E46" s="94" t="s">
        <v>250</v>
      </c>
      <c r="F46" s="94" t="s">
        <v>251</v>
      </c>
      <c r="G46" s="94" t="s">
        <v>179</v>
      </c>
    </row>
    <row r="47" spans="1:9" x14ac:dyDescent="0.2">
      <c r="A47" s="81" t="s">
        <v>223</v>
      </c>
      <c r="B47" s="82" t="s">
        <v>222</v>
      </c>
      <c r="C47" s="94" t="s">
        <v>178</v>
      </c>
      <c r="D47" s="94" t="s">
        <v>252</v>
      </c>
      <c r="E47" s="94" t="s">
        <v>253</v>
      </c>
      <c r="F47" s="94" t="s">
        <v>254</v>
      </c>
      <c r="G47" s="94" t="s">
        <v>255</v>
      </c>
      <c r="H47" s="94" t="s">
        <v>256</v>
      </c>
      <c r="I47" s="94" t="s">
        <v>257</v>
      </c>
    </row>
    <row r="48" spans="1:9" x14ac:dyDescent="0.2">
      <c r="A48" s="88" t="s">
        <v>224</v>
      </c>
      <c r="B48" s="89" t="s">
        <v>222</v>
      </c>
      <c r="C48" s="94" t="s">
        <v>258</v>
      </c>
      <c r="D48" s="94" t="s">
        <v>259</v>
      </c>
      <c r="E48" s="94"/>
    </row>
    <row r="51" spans="1:12" x14ac:dyDescent="0.2">
      <c r="A51" s="542" t="s">
        <v>260</v>
      </c>
      <c r="B51" s="531"/>
      <c r="F51" s="541" t="s">
        <v>226</v>
      </c>
      <c r="G51" s="533"/>
      <c r="H51" s="533"/>
      <c r="I51" s="533"/>
      <c r="J51" s="533"/>
      <c r="K51" s="533"/>
      <c r="L51" s="533"/>
    </row>
    <row r="52" spans="1:12" x14ac:dyDescent="0.2">
      <c r="A52" s="22" t="s">
        <v>261</v>
      </c>
      <c r="B52" s="22" t="s">
        <v>262</v>
      </c>
      <c r="D52" s="78" t="s">
        <v>200</v>
      </c>
      <c r="E52" s="78" t="s">
        <v>201</v>
      </c>
      <c r="F52" s="93">
        <v>1</v>
      </c>
      <c r="G52" s="93">
        <v>2</v>
      </c>
      <c r="H52" s="93">
        <v>3</v>
      </c>
      <c r="I52" s="93">
        <v>4</v>
      </c>
      <c r="J52" s="93">
        <v>5</v>
      </c>
      <c r="K52" s="93">
        <v>6</v>
      </c>
      <c r="L52" s="93">
        <v>7</v>
      </c>
    </row>
    <row r="53" spans="1:12" x14ac:dyDescent="0.2">
      <c r="A53" s="22" t="s">
        <v>263</v>
      </c>
      <c r="B53" s="22" t="s">
        <v>264</v>
      </c>
      <c r="D53" s="81" t="s">
        <v>210</v>
      </c>
      <c r="E53" s="82" t="s">
        <v>211</v>
      </c>
      <c r="F53" s="93"/>
      <c r="G53" s="93"/>
    </row>
    <row r="54" spans="1:12" x14ac:dyDescent="0.2">
      <c r="A54" s="22" t="s">
        <v>265</v>
      </c>
      <c r="B54" s="22" t="s">
        <v>262</v>
      </c>
      <c r="D54" s="81" t="s">
        <v>130</v>
      </c>
      <c r="E54" s="82" t="s">
        <v>213</v>
      </c>
      <c r="F54" s="94" t="s">
        <v>266</v>
      </c>
      <c r="G54" s="94" t="s">
        <v>176</v>
      </c>
      <c r="H54" s="94" t="s">
        <v>267</v>
      </c>
    </row>
    <row r="55" spans="1:12" x14ac:dyDescent="0.2">
      <c r="A55" s="22" t="s">
        <v>268</v>
      </c>
      <c r="B55" s="22" t="s">
        <v>264</v>
      </c>
      <c r="D55" s="81" t="s">
        <v>214</v>
      </c>
      <c r="E55" s="82" t="s">
        <v>213</v>
      </c>
      <c r="F55" s="94" t="s">
        <v>172</v>
      </c>
      <c r="G55" s="94" t="s">
        <v>171</v>
      </c>
      <c r="H55" s="94" t="s">
        <v>173</v>
      </c>
      <c r="I55" s="94" t="s">
        <v>233</v>
      </c>
    </row>
    <row r="56" spans="1:12" x14ac:dyDescent="0.2">
      <c r="A56" s="22" t="s">
        <v>247</v>
      </c>
      <c r="B56" s="22" t="s">
        <v>269</v>
      </c>
      <c r="D56" s="81" t="s">
        <v>44</v>
      </c>
      <c r="E56" s="95" t="s">
        <v>213</v>
      </c>
      <c r="F56" s="93" t="s">
        <v>270</v>
      </c>
      <c r="G56" s="93" t="s">
        <v>173</v>
      </c>
      <c r="H56" s="93" t="s">
        <v>271</v>
      </c>
    </row>
    <row r="57" spans="1:12" x14ac:dyDescent="0.2">
      <c r="A57" s="22" t="s">
        <v>272</v>
      </c>
      <c r="B57" s="22" t="s">
        <v>269</v>
      </c>
      <c r="D57" s="81" t="s">
        <v>215</v>
      </c>
      <c r="E57" s="95" t="s">
        <v>216</v>
      </c>
      <c r="F57" s="94" t="s">
        <v>183</v>
      </c>
      <c r="G57" s="94" t="s">
        <v>184</v>
      </c>
    </row>
    <row r="58" spans="1:12" x14ac:dyDescent="0.2">
      <c r="A58" s="22" t="s">
        <v>273</v>
      </c>
      <c r="B58" s="22" t="s">
        <v>264</v>
      </c>
      <c r="C58" s="93" t="s">
        <v>274</v>
      </c>
      <c r="D58" s="81" t="s">
        <v>217</v>
      </c>
      <c r="E58" s="82" t="s">
        <v>157</v>
      </c>
      <c r="F58" s="94" t="s">
        <v>275</v>
      </c>
      <c r="G58" s="94" t="s">
        <v>276</v>
      </c>
      <c r="H58" s="94" t="s">
        <v>277</v>
      </c>
    </row>
    <row r="59" spans="1:12" x14ac:dyDescent="0.2">
      <c r="A59" s="22" t="s">
        <v>258</v>
      </c>
      <c r="B59" s="22" t="s">
        <v>278</v>
      </c>
      <c r="C59" s="93" t="s">
        <v>274</v>
      </c>
      <c r="D59" s="81" t="s">
        <v>218</v>
      </c>
      <c r="E59" s="82" t="s">
        <v>157</v>
      </c>
      <c r="F59" s="94" t="s">
        <v>279</v>
      </c>
      <c r="G59" s="94" t="s">
        <v>241</v>
      </c>
      <c r="H59" s="94" t="s">
        <v>180</v>
      </c>
    </row>
    <row r="60" spans="1:12" x14ac:dyDescent="0.2">
      <c r="A60" s="22" t="s">
        <v>280</v>
      </c>
      <c r="B60" s="22" t="s">
        <v>281</v>
      </c>
      <c r="D60" s="81" t="s">
        <v>219</v>
      </c>
      <c r="E60" s="82" t="s">
        <v>220</v>
      </c>
      <c r="F60" s="94" t="s">
        <v>282</v>
      </c>
      <c r="G60" s="94" t="s">
        <v>283</v>
      </c>
      <c r="H60" s="94" t="s">
        <v>257</v>
      </c>
    </row>
    <row r="61" spans="1:12" x14ac:dyDescent="0.2">
      <c r="A61" s="23"/>
      <c r="B61" s="23"/>
      <c r="D61" s="81" t="s">
        <v>221</v>
      </c>
      <c r="E61" s="82" t="s">
        <v>220</v>
      </c>
      <c r="F61" s="94" t="s">
        <v>265</v>
      </c>
      <c r="G61" s="94" t="s">
        <v>284</v>
      </c>
      <c r="H61" s="94" t="s">
        <v>285</v>
      </c>
    </row>
    <row r="62" spans="1:12" x14ac:dyDescent="0.2">
      <c r="A62" s="23"/>
      <c r="B62" s="23"/>
      <c r="D62" s="81" t="s">
        <v>128</v>
      </c>
      <c r="E62" s="82" t="s">
        <v>222</v>
      </c>
      <c r="F62" s="94" t="s">
        <v>174</v>
      </c>
      <c r="G62" s="94" t="s">
        <v>286</v>
      </c>
      <c r="H62" s="94" t="s">
        <v>189</v>
      </c>
      <c r="I62" s="94" t="s">
        <v>187</v>
      </c>
      <c r="J62" s="94" t="s">
        <v>259</v>
      </c>
    </row>
    <row r="63" spans="1:12" x14ac:dyDescent="0.2">
      <c r="D63" s="81" t="s">
        <v>223</v>
      </c>
      <c r="E63" s="82" t="s">
        <v>222</v>
      </c>
      <c r="F63" s="94" t="s">
        <v>287</v>
      </c>
      <c r="G63" s="94" t="s">
        <v>185</v>
      </c>
      <c r="H63" s="94" t="s">
        <v>186</v>
      </c>
      <c r="I63" s="94" t="s">
        <v>288</v>
      </c>
      <c r="J63" s="94" t="s">
        <v>188</v>
      </c>
      <c r="L63" s="93"/>
    </row>
    <row r="64" spans="1:12" x14ac:dyDescent="0.2">
      <c r="D64" s="88" t="s">
        <v>224</v>
      </c>
      <c r="E64" s="89" t="s">
        <v>222</v>
      </c>
    </row>
  </sheetData>
  <mergeCells count="13">
    <mergeCell ref="A28:F28"/>
    <mergeCell ref="A30:F30"/>
    <mergeCell ref="A32:F32"/>
    <mergeCell ref="C35:I35"/>
    <mergeCell ref="A51:B51"/>
    <mergeCell ref="F51:L51"/>
    <mergeCell ref="A24:F24"/>
    <mergeCell ref="A26:F26"/>
    <mergeCell ref="A1:H1"/>
    <mergeCell ref="I1:O1"/>
    <mergeCell ref="A18:F18"/>
    <mergeCell ref="A20:F20"/>
    <mergeCell ref="A22:F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T88"/>
  <sheetViews>
    <sheetView workbookViewId="0"/>
  </sheetViews>
  <sheetFormatPr defaultColWidth="11.21875" defaultRowHeight="15" customHeight="1" x14ac:dyDescent="0.2"/>
  <cols>
    <col min="14" max="14" width="19.11328125" customWidth="1"/>
  </cols>
  <sheetData>
    <row r="1" spans="1:17" x14ac:dyDescent="0.2">
      <c r="A1" s="538" t="s">
        <v>289</v>
      </c>
      <c r="B1" s="537"/>
      <c r="C1" s="537"/>
      <c r="D1" s="537"/>
      <c r="E1" s="537"/>
      <c r="F1" s="537"/>
      <c r="G1" s="537"/>
      <c r="H1" s="531"/>
      <c r="I1" s="539" t="s">
        <v>199</v>
      </c>
      <c r="J1" s="537"/>
      <c r="K1" s="537"/>
      <c r="L1" s="537"/>
      <c r="M1" s="537"/>
      <c r="N1" s="537"/>
      <c r="O1" s="537"/>
      <c r="P1" s="537"/>
      <c r="Q1" s="531"/>
    </row>
    <row r="2" spans="1:17" x14ac:dyDescent="0.2">
      <c r="A2" s="78" t="s">
        <v>200</v>
      </c>
      <c r="B2" s="78" t="s">
        <v>201</v>
      </c>
      <c r="C2" s="79" t="s">
        <v>119</v>
      </c>
      <c r="D2" s="79" t="s">
        <v>202</v>
      </c>
      <c r="E2" s="79" t="s">
        <v>121</v>
      </c>
      <c r="F2" s="79" t="s">
        <v>203</v>
      </c>
      <c r="G2" s="79" t="s">
        <v>125</v>
      </c>
      <c r="H2" s="79" t="s">
        <v>204</v>
      </c>
      <c r="I2" s="80" t="s">
        <v>205</v>
      </c>
      <c r="J2" s="80" t="s">
        <v>142</v>
      </c>
      <c r="K2" s="80" t="s">
        <v>206</v>
      </c>
      <c r="L2" s="80" t="s">
        <v>207</v>
      </c>
      <c r="M2" s="80" t="s">
        <v>143</v>
      </c>
      <c r="N2" s="80"/>
      <c r="O2" s="80" t="s">
        <v>208</v>
      </c>
      <c r="P2" s="80" t="s">
        <v>209</v>
      </c>
      <c r="Q2" s="80" t="s">
        <v>290</v>
      </c>
    </row>
    <row r="3" spans="1:17" x14ac:dyDescent="0.2">
      <c r="A3" s="97" t="s">
        <v>291</v>
      </c>
      <c r="B3" s="97" t="s">
        <v>292</v>
      </c>
      <c r="C3" s="98" t="b">
        <v>0</v>
      </c>
      <c r="D3" s="99" t="b">
        <v>0</v>
      </c>
      <c r="E3" s="98" t="b">
        <v>0</v>
      </c>
      <c r="F3" s="98" t="b">
        <v>0</v>
      </c>
      <c r="G3" s="99" t="b">
        <v>0</v>
      </c>
      <c r="H3" s="100" t="b">
        <v>0</v>
      </c>
      <c r="I3" s="101" t="b">
        <v>0</v>
      </c>
      <c r="J3" s="101" t="b">
        <v>0</v>
      </c>
      <c r="K3" s="101" t="b">
        <v>0</v>
      </c>
      <c r="L3" s="101" t="b">
        <v>0</v>
      </c>
      <c r="M3" s="98" t="b">
        <v>0</v>
      </c>
      <c r="N3" s="98" t="b">
        <v>0</v>
      </c>
      <c r="O3" s="98" t="b">
        <v>0</v>
      </c>
      <c r="P3" s="101" t="b">
        <v>0</v>
      </c>
      <c r="Q3" s="101" t="b">
        <v>0</v>
      </c>
    </row>
    <row r="4" spans="1:17" x14ac:dyDescent="0.2">
      <c r="A4" s="102" t="s">
        <v>293</v>
      </c>
      <c r="B4" s="103"/>
      <c r="C4" s="83" t="b">
        <v>1</v>
      </c>
      <c r="D4" s="86" t="b">
        <v>0</v>
      </c>
      <c r="E4" s="83" t="b">
        <v>1</v>
      </c>
      <c r="F4" s="83" t="b">
        <v>1</v>
      </c>
      <c r="G4" s="84" t="b">
        <v>1</v>
      </c>
      <c r="H4" s="86" t="b">
        <v>0</v>
      </c>
      <c r="I4" s="22" t="b">
        <v>0</v>
      </c>
      <c r="J4" s="22" t="b">
        <v>0</v>
      </c>
      <c r="K4" s="23" t="b">
        <v>0</v>
      </c>
      <c r="L4" s="22" t="b">
        <v>0</v>
      </c>
      <c r="M4" s="83" t="b">
        <v>0</v>
      </c>
      <c r="N4" s="83" t="b">
        <v>0</v>
      </c>
      <c r="O4" s="85" t="b">
        <v>0</v>
      </c>
      <c r="P4" s="22" t="b">
        <v>0</v>
      </c>
      <c r="Q4" s="22" t="b">
        <v>0</v>
      </c>
    </row>
    <row r="5" spans="1:17" x14ac:dyDescent="0.2">
      <c r="A5" s="102" t="s">
        <v>44</v>
      </c>
      <c r="B5" s="103"/>
      <c r="C5" s="83" t="b">
        <v>1</v>
      </c>
      <c r="D5" s="86" t="b">
        <v>0</v>
      </c>
      <c r="E5" s="85" t="b">
        <v>0</v>
      </c>
      <c r="F5" s="83" t="b">
        <v>1</v>
      </c>
      <c r="G5" s="84" t="b">
        <v>1</v>
      </c>
      <c r="H5" s="86" t="b">
        <v>0</v>
      </c>
      <c r="I5" s="22" t="b">
        <v>0</v>
      </c>
      <c r="J5" s="22" t="b">
        <v>0</v>
      </c>
      <c r="K5" s="23" t="b">
        <v>0</v>
      </c>
      <c r="L5" s="22" t="b">
        <v>0</v>
      </c>
      <c r="M5" s="83" t="b">
        <v>0</v>
      </c>
      <c r="N5" s="83" t="b">
        <v>0</v>
      </c>
      <c r="O5" s="85" t="b">
        <v>0</v>
      </c>
      <c r="P5" s="22" t="b">
        <v>0</v>
      </c>
      <c r="Q5" s="22" t="b">
        <v>0</v>
      </c>
    </row>
    <row r="6" spans="1:17" x14ac:dyDescent="0.2">
      <c r="A6" s="102" t="s">
        <v>130</v>
      </c>
      <c r="B6" s="103"/>
      <c r="C6" s="83" t="b">
        <v>1</v>
      </c>
      <c r="D6" s="86" t="b">
        <v>0</v>
      </c>
      <c r="E6" s="85" t="b">
        <v>0</v>
      </c>
      <c r="F6" s="83" t="b">
        <v>1</v>
      </c>
      <c r="G6" s="84" t="b">
        <v>1</v>
      </c>
      <c r="H6" s="86" t="b">
        <v>0</v>
      </c>
      <c r="I6" s="22" t="b">
        <v>0</v>
      </c>
      <c r="J6" s="22" t="b">
        <v>0</v>
      </c>
      <c r="K6" s="23" t="b">
        <v>0</v>
      </c>
      <c r="L6" s="22" t="b">
        <v>0</v>
      </c>
      <c r="M6" s="83" t="b">
        <v>0</v>
      </c>
      <c r="N6" s="83" t="b">
        <v>0</v>
      </c>
      <c r="O6" s="85" t="b">
        <v>0</v>
      </c>
      <c r="P6" s="22" t="b">
        <v>0</v>
      </c>
      <c r="Q6" s="22" t="b">
        <v>0</v>
      </c>
    </row>
    <row r="7" spans="1:17" x14ac:dyDescent="0.2">
      <c r="A7" s="102" t="s">
        <v>161</v>
      </c>
      <c r="B7" s="103"/>
      <c r="C7" s="83" t="b">
        <v>1</v>
      </c>
      <c r="D7" s="86" t="b">
        <v>0</v>
      </c>
      <c r="E7" s="83" t="b">
        <v>1</v>
      </c>
      <c r="F7" s="83" t="b">
        <v>1</v>
      </c>
      <c r="G7" s="84" t="b">
        <v>1</v>
      </c>
      <c r="H7" s="86" t="b">
        <v>0</v>
      </c>
      <c r="I7" s="22" t="b">
        <v>0</v>
      </c>
      <c r="J7" s="22" t="b">
        <v>0</v>
      </c>
      <c r="K7" s="23" t="b">
        <v>0</v>
      </c>
      <c r="L7" s="22" t="b">
        <v>0</v>
      </c>
      <c r="M7" s="83" t="b">
        <v>0</v>
      </c>
      <c r="N7" s="83" t="b">
        <v>0</v>
      </c>
      <c r="O7" s="85" t="b">
        <v>0</v>
      </c>
      <c r="P7" s="22" t="b">
        <v>0</v>
      </c>
      <c r="Q7" s="22" t="b">
        <v>0</v>
      </c>
    </row>
    <row r="8" spans="1:17" x14ac:dyDescent="0.2">
      <c r="A8" s="102" t="s">
        <v>129</v>
      </c>
      <c r="B8" s="103"/>
      <c r="C8" s="83" t="b">
        <v>1</v>
      </c>
      <c r="D8" s="86" t="b">
        <v>0</v>
      </c>
      <c r="E8" s="83" t="b">
        <v>1</v>
      </c>
      <c r="F8" s="83" t="b">
        <v>1</v>
      </c>
      <c r="G8" s="84" t="b">
        <v>1</v>
      </c>
      <c r="H8" s="86" t="b">
        <v>0</v>
      </c>
      <c r="I8" s="22" t="b">
        <v>0</v>
      </c>
      <c r="J8" s="22" t="b">
        <v>0</v>
      </c>
      <c r="K8" s="23" t="b">
        <v>0</v>
      </c>
      <c r="L8" s="22" t="b">
        <v>0</v>
      </c>
      <c r="M8" s="83" t="b">
        <v>0</v>
      </c>
      <c r="N8" s="83" t="b">
        <v>0</v>
      </c>
      <c r="O8" s="85" t="b">
        <v>0</v>
      </c>
      <c r="P8" s="22" t="b">
        <v>0</v>
      </c>
      <c r="Q8" s="22" t="b">
        <v>0</v>
      </c>
    </row>
    <row r="9" spans="1:17" x14ac:dyDescent="0.2">
      <c r="A9" s="93" t="s">
        <v>291</v>
      </c>
      <c r="B9" s="103"/>
      <c r="C9" s="83" t="b">
        <v>1</v>
      </c>
      <c r="D9" s="86" t="b">
        <v>0</v>
      </c>
      <c r="E9" s="83" t="b">
        <v>1</v>
      </c>
      <c r="F9" s="83" t="b">
        <v>1</v>
      </c>
      <c r="G9" s="84" t="b">
        <v>1</v>
      </c>
      <c r="H9" s="86" t="b">
        <v>0</v>
      </c>
      <c r="I9" s="22" t="b">
        <v>0</v>
      </c>
      <c r="J9" s="22" t="b">
        <v>0</v>
      </c>
      <c r="K9" s="23" t="b">
        <v>0</v>
      </c>
      <c r="L9" s="22" t="b">
        <v>0</v>
      </c>
      <c r="M9" s="83" t="b">
        <v>0</v>
      </c>
      <c r="N9" s="83" t="b">
        <v>0</v>
      </c>
      <c r="O9" s="85" t="b">
        <v>0</v>
      </c>
      <c r="P9" s="22" t="b">
        <v>0</v>
      </c>
      <c r="Q9" s="22" t="b">
        <v>0</v>
      </c>
    </row>
    <row r="10" spans="1:17" x14ac:dyDescent="0.2">
      <c r="A10" s="102" t="s">
        <v>294</v>
      </c>
      <c r="B10" s="103"/>
      <c r="C10" s="83" t="b">
        <v>1</v>
      </c>
      <c r="D10" s="86" t="b">
        <v>0</v>
      </c>
      <c r="E10" s="83" t="b">
        <v>1</v>
      </c>
      <c r="F10" s="83" t="b">
        <v>1</v>
      </c>
      <c r="G10" s="86" t="b">
        <v>0</v>
      </c>
      <c r="H10" s="86" t="b">
        <v>0</v>
      </c>
      <c r="I10" s="23" t="b">
        <v>0</v>
      </c>
      <c r="J10" s="22" t="b">
        <v>0</v>
      </c>
      <c r="K10" s="23" t="b">
        <v>0</v>
      </c>
      <c r="L10" s="22" t="b">
        <v>0</v>
      </c>
      <c r="M10" s="83" t="b">
        <v>0</v>
      </c>
      <c r="N10" s="83" t="b">
        <v>0</v>
      </c>
      <c r="O10" s="85" t="b">
        <v>0</v>
      </c>
      <c r="P10" s="22" t="b">
        <v>0</v>
      </c>
      <c r="Q10" s="22" t="b">
        <v>0</v>
      </c>
    </row>
    <row r="11" spans="1:17" x14ac:dyDescent="0.2">
      <c r="A11" s="102" t="s">
        <v>295</v>
      </c>
      <c r="B11" s="103"/>
      <c r="C11" s="83" t="b">
        <v>1</v>
      </c>
      <c r="D11" s="86" t="b">
        <v>0</v>
      </c>
      <c r="E11" s="85" t="b">
        <v>0</v>
      </c>
      <c r="F11" s="83" t="b">
        <v>1</v>
      </c>
      <c r="G11" s="86" t="b">
        <v>0</v>
      </c>
      <c r="H11" s="86" t="b">
        <v>0</v>
      </c>
      <c r="I11" s="23" t="b">
        <v>0</v>
      </c>
      <c r="J11" s="22" t="b">
        <v>0</v>
      </c>
      <c r="K11" s="23" t="b">
        <v>0</v>
      </c>
      <c r="L11" s="22" t="b">
        <v>0</v>
      </c>
      <c r="M11" s="83" t="b">
        <v>0</v>
      </c>
      <c r="N11" s="83" t="b">
        <v>0</v>
      </c>
      <c r="O11" s="85" t="b">
        <v>0</v>
      </c>
      <c r="P11" s="22" t="b">
        <v>0</v>
      </c>
      <c r="Q11" s="22" t="b">
        <v>0</v>
      </c>
    </row>
    <row r="12" spans="1:17" x14ac:dyDescent="0.2">
      <c r="A12" s="104" t="s">
        <v>296</v>
      </c>
      <c r="B12" s="103"/>
      <c r="C12" s="83" t="b">
        <v>1</v>
      </c>
      <c r="D12" s="86" t="b">
        <v>0</v>
      </c>
      <c r="E12" s="83" t="b">
        <v>0</v>
      </c>
      <c r="F12" s="83" t="b">
        <v>1</v>
      </c>
      <c r="G12" s="84" t="b">
        <v>0</v>
      </c>
      <c r="H12" s="86" t="b">
        <v>0</v>
      </c>
      <c r="I12" s="23" t="b">
        <v>0</v>
      </c>
      <c r="J12" s="22" t="b">
        <v>0</v>
      </c>
      <c r="K12" s="23" t="b">
        <v>0</v>
      </c>
      <c r="L12" s="22" t="b">
        <v>0</v>
      </c>
      <c r="M12" s="83" t="b">
        <v>0</v>
      </c>
      <c r="N12" s="83" t="b">
        <v>0</v>
      </c>
      <c r="O12" s="85" t="b">
        <v>0</v>
      </c>
      <c r="P12" s="22" t="b">
        <v>0</v>
      </c>
      <c r="Q12" s="22" t="b">
        <v>0</v>
      </c>
    </row>
    <row r="13" spans="1:17" x14ac:dyDescent="0.2">
      <c r="A13" s="105"/>
      <c r="B13" s="103"/>
      <c r="C13" s="83" t="b">
        <v>0</v>
      </c>
      <c r="D13" s="86" t="b">
        <v>0</v>
      </c>
      <c r="E13" s="85" t="b">
        <v>0</v>
      </c>
      <c r="F13" s="85" t="b">
        <v>0</v>
      </c>
      <c r="G13" s="86" t="b">
        <v>0</v>
      </c>
      <c r="H13" s="86" t="b">
        <v>0</v>
      </c>
      <c r="I13" s="23" t="b">
        <v>0</v>
      </c>
      <c r="J13" s="22" t="b">
        <v>0</v>
      </c>
      <c r="K13" s="23" t="b">
        <v>0</v>
      </c>
      <c r="L13" s="22" t="b">
        <v>0</v>
      </c>
      <c r="M13" s="83" t="b">
        <v>0</v>
      </c>
      <c r="N13" s="83" t="b">
        <v>0</v>
      </c>
      <c r="O13" s="85" t="b">
        <v>0</v>
      </c>
      <c r="P13" s="22" t="b">
        <v>0</v>
      </c>
      <c r="Q13" s="22" t="b">
        <v>0</v>
      </c>
    </row>
    <row r="14" spans="1:17" x14ac:dyDescent="0.2">
      <c r="A14" s="105"/>
      <c r="B14" s="103"/>
      <c r="C14" s="83" t="b">
        <v>0</v>
      </c>
      <c r="D14" s="86" t="b">
        <v>0</v>
      </c>
      <c r="E14" s="85" t="b">
        <v>0</v>
      </c>
      <c r="F14" s="85" t="b">
        <v>0</v>
      </c>
      <c r="G14" s="86" t="b">
        <v>0</v>
      </c>
      <c r="H14" s="86" t="b">
        <v>0</v>
      </c>
      <c r="I14" s="23" t="b">
        <v>0</v>
      </c>
      <c r="J14" s="22" t="b">
        <v>0</v>
      </c>
      <c r="K14" s="23" t="b">
        <v>0</v>
      </c>
      <c r="L14" s="22" t="b">
        <v>0</v>
      </c>
      <c r="M14" s="83" t="b">
        <v>0</v>
      </c>
      <c r="N14" s="83" t="b">
        <v>0</v>
      </c>
      <c r="O14" s="85" t="b">
        <v>0</v>
      </c>
      <c r="P14" s="22" t="b">
        <v>0</v>
      </c>
      <c r="Q14" s="22" t="b">
        <v>0</v>
      </c>
    </row>
    <row r="15" spans="1:17" x14ac:dyDescent="0.2">
      <c r="A15" s="106"/>
      <c r="B15" s="103"/>
      <c r="C15" s="83" t="b">
        <v>0</v>
      </c>
      <c r="D15" s="86" t="b">
        <v>0</v>
      </c>
      <c r="E15" s="85" t="b">
        <v>0</v>
      </c>
      <c r="F15" s="85" t="b">
        <v>0</v>
      </c>
      <c r="G15" s="86" t="b">
        <v>0</v>
      </c>
      <c r="H15" s="86" t="b">
        <v>0</v>
      </c>
      <c r="I15" s="23" t="b">
        <v>0</v>
      </c>
      <c r="J15" s="22" t="b">
        <v>0</v>
      </c>
      <c r="K15" s="23" t="b">
        <v>0</v>
      </c>
      <c r="L15" s="22" t="b">
        <v>0</v>
      </c>
      <c r="M15" s="83" t="b">
        <v>0</v>
      </c>
      <c r="N15" s="83" t="b">
        <v>0</v>
      </c>
      <c r="O15" s="85" t="b">
        <v>0</v>
      </c>
      <c r="P15" s="22" t="b">
        <v>0</v>
      </c>
      <c r="Q15" s="22" t="b">
        <v>0</v>
      </c>
    </row>
    <row r="16" spans="1:17" x14ac:dyDescent="0.2">
      <c r="A16" s="103"/>
      <c r="B16" s="103"/>
      <c r="C16" s="83" t="b">
        <v>0</v>
      </c>
      <c r="D16" s="86" t="b">
        <v>0</v>
      </c>
      <c r="E16" s="85" t="b">
        <v>0</v>
      </c>
      <c r="F16" s="85" t="b">
        <v>0</v>
      </c>
      <c r="G16" s="86" t="b">
        <v>0</v>
      </c>
      <c r="H16" s="86" t="b">
        <v>0</v>
      </c>
      <c r="I16" s="23" t="b">
        <v>0</v>
      </c>
      <c r="J16" s="22" t="b">
        <v>0</v>
      </c>
      <c r="K16" s="23" t="b">
        <v>0</v>
      </c>
      <c r="L16" s="22" t="b">
        <v>0</v>
      </c>
      <c r="M16" s="83" t="b">
        <v>0</v>
      </c>
      <c r="N16" s="83" t="b">
        <v>0</v>
      </c>
      <c r="O16" s="85" t="b">
        <v>0</v>
      </c>
      <c r="P16" s="22" t="b">
        <v>0</v>
      </c>
      <c r="Q16" s="22" t="b">
        <v>0</v>
      </c>
    </row>
    <row r="18" spans="1:20" x14ac:dyDescent="0.2">
      <c r="A18" s="107"/>
      <c r="B18" s="107"/>
      <c r="C18" s="107"/>
      <c r="D18" s="107"/>
      <c r="E18" s="107"/>
      <c r="F18" s="107"/>
      <c r="G18" s="107"/>
      <c r="H18" s="107"/>
      <c r="I18" s="107"/>
    </row>
    <row r="19" spans="1:20" x14ac:dyDescent="0.2">
      <c r="A19" s="107"/>
      <c r="B19" s="107"/>
      <c r="C19" s="107"/>
      <c r="D19" s="107"/>
      <c r="E19" s="107"/>
      <c r="F19" s="107"/>
      <c r="G19" s="107"/>
      <c r="H19" s="107"/>
      <c r="I19" s="107"/>
    </row>
    <row r="20" spans="1:20" x14ac:dyDescent="0.2">
      <c r="A20" s="107"/>
      <c r="B20" s="107"/>
      <c r="C20" s="107"/>
      <c r="D20" s="107"/>
      <c r="E20" s="107"/>
      <c r="F20" s="107"/>
      <c r="G20" s="107"/>
      <c r="H20" s="107"/>
      <c r="I20" s="107"/>
    </row>
    <row r="21" spans="1:20" x14ac:dyDescent="0.2">
      <c r="A21" s="107"/>
      <c r="B21" s="107"/>
      <c r="C21" s="107"/>
      <c r="D21" s="107"/>
      <c r="E21" s="107"/>
      <c r="F21" s="107"/>
      <c r="G21" s="108" t="s">
        <v>19</v>
      </c>
      <c r="H21" s="109"/>
      <c r="I21" s="109"/>
      <c r="J21" s="110"/>
      <c r="K21" s="111"/>
    </row>
    <row r="22" spans="1:20" x14ac:dyDescent="0.2">
      <c r="A22" s="112" t="s">
        <v>161</v>
      </c>
      <c r="B22" s="113" t="s">
        <v>297</v>
      </c>
      <c r="C22" s="110"/>
      <c r="D22" s="109"/>
      <c r="E22" s="109"/>
      <c r="F22" s="114"/>
      <c r="G22" s="115" t="s">
        <v>298</v>
      </c>
      <c r="H22" s="107"/>
      <c r="I22" s="107"/>
      <c r="K22" s="116"/>
      <c r="M22" s="117" t="s">
        <v>299</v>
      </c>
      <c r="N22" s="117" t="s">
        <v>300</v>
      </c>
      <c r="O22" s="118" t="s">
        <v>166</v>
      </c>
      <c r="P22" s="118"/>
      <c r="Q22" s="119"/>
      <c r="R22" s="119"/>
    </row>
    <row r="23" spans="1:20" x14ac:dyDescent="0.2">
      <c r="A23" s="115" t="s">
        <v>301</v>
      </c>
      <c r="B23" s="107"/>
      <c r="D23" s="107"/>
      <c r="E23" s="120"/>
      <c r="F23" s="121"/>
      <c r="G23" s="122"/>
      <c r="H23" s="107"/>
      <c r="I23" s="107"/>
      <c r="K23" s="116"/>
      <c r="M23" s="119" t="s">
        <v>302</v>
      </c>
      <c r="N23" s="123">
        <v>6</v>
      </c>
      <c r="O23" s="119" t="s">
        <v>172</v>
      </c>
      <c r="P23" s="119" t="s">
        <v>287</v>
      </c>
      <c r="Q23" s="119" t="s">
        <v>303</v>
      </c>
      <c r="R23" s="119" t="s">
        <v>173</v>
      </c>
      <c r="S23" s="93" t="s">
        <v>171</v>
      </c>
      <c r="T23" s="93" t="s">
        <v>304</v>
      </c>
    </row>
    <row r="24" spans="1:20" x14ac:dyDescent="0.2">
      <c r="A24" s="122"/>
      <c r="B24" s="107"/>
      <c r="E24" s="107"/>
      <c r="F24" s="121"/>
      <c r="G24" s="124" t="s">
        <v>305</v>
      </c>
      <c r="H24" s="107"/>
      <c r="I24" s="107"/>
      <c r="K24" s="125" t="s">
        <v>306</v>
      </c>
      <c r="M24" s="119" t="s">
        <v>307</v>
      </c>
      <c r="N24" s="123">
        <v>4</v>
      </c>
      <c r="O24" s="119" t="s">
        <v>173</v>
      </c>
      <c r="P24" s="126" t="s">
        <v>171</v>
      </c>
      <c r="Q24" s="119" t="s">
        <v>308</v>
      </c>
      <c r="R24" s="126" t="s">
        <v>309</v>
      </c>
    </row>
    <row r="25" spans="1:20" x14ac:dyDescent="0.2">
      <c r="A25" s="124" t="s">
        <v>310</v>
      </c>
      <c r="B25" s="107"/>
      <c r="E25" s="107"/>
      <c r="F25" s="121"/>
      <c r="G25" s="122"/>
      <c r="H25" s="107"/>
      <c r="I25" s="107"/>
      <c r="K25" s="121"/>
      <c r="M25" s="119" t="s">
        <v>311</v>
      </c>
      <c r="N25" s="123">
        <v>8</v>
      </c>
      <c r="O25" s="119" t="s">
        <v>312</v>
      </c>
      <c r="P25" s="119" t="s">
        <v>313</v>
      </c>
      <c r="Q25" s="126" t="s">
        <v>314</v>
      </c>
      <c r="R25" s="126" t="s">
        <v>315</v>
      </c>
      <c r="S25" s="93" t="s">
        <v>249</v>
      </c>
      <c r="T25" s="93" t="s">
        <v>286</v>
      </c>
    </row>
    <row r="26" spans="1:20" x14ac:dyDescent="0.2">
      <c r="A26" s="124" t="s">
        <v>316</v>
      </c>
      <c r="B26" s="107"/>
      <c r="E26" s="107"/>
      <c r="F26" s="121"/>
      <c r="G26" s="124" t="s">
        <v>317</v>
      </c>
      <c r="H26" s="107"/>
      <c r="I26" s="107"/>
      <c r="K26" s="127"/>
      <c r="M26" s="119" t="s">
        <v>318</v>
      </c>
      <c r="N26" s="123">
        <v>6</v>
      </c>
      <c r="O26" s="119" t="s">
        <v>284</v>
      </c>
      <c r="P26" s="119" t="s">
        <v>182</v>
      </c>
      <c r="Q26" s="119" t="s">
        <v>283</v>
      </c>
      <c r="R26" s="126" t="s">
        <v>319</v>
      </c>
      <c r="S26" s="93" t="s">
        <v>285</v>
      </c>
    </row>
    <row r="27" spans="1:20" x14ac:dyDescent="0.2">
      <c r="A27" s="124" t="s">
        <v>320</v>
      </c>
      <c r="B27" s="107"/>
      <c r="E27" s="107"/>
      <c r="F27" s="121"/>
      <c r="G27" s="124" t="s">
        <v>321</v>
      </c>
      <c r="H27" s="107"/>
      <c r="I27" s="107"/>
      <c r="K27" s="121"/>
      <c r="M27" s="119" t="s">
        <v>322</v>
      </c>
      <c r="N27" s="123">
        <v>3</v>
      </c>
      <c r="O27" s="119" t="s">
        <v>275</v>
      </c>
      <c r="P27" s="119" t="s">
        <v>193</v>
      </c>
      <c r="Q27" s="126" t="s">
        <v>323</v>
      </c>
      <c r="R27" s="119"/>
    </row>
    <row r="28" spans="1:20" x14ac:dyDescent="0.2">
      <c r="A28" s="124" t="s">
        <v>324</v>
      </c>
      <c r="B28" s="128"/>
      <c r="E28" s="107"/>
      <c r="F28" s="121"/>
      <c r="G28" s="124" t="s">
        <v>325</v>
      </c>
      <c r="H28" s="107"/>
      <c r="I28" s="107"/>
      <c r="K28" s="127"/>
      <c r="M28" s="119" t="s">
        <v>326</v>
      </c>
      <c r="N28" s="123">
        <v>3</v>
      </c>
      <c r="O28" s="119" t="s">
        <v>180</v>
      </c>
      <c r="P28" s="126" t="s">
        <v>327</v>
      </c>
      <c r="Q28" s="119" t="s">
        <v>328</v>
      </c>
      <c r="R28" s="119"/>
    </row>
    <row r="29" spans="1:20" x14ac:dyDescent="0.2">
      <c r="A29" s="122"/>
      <c r="B29" s="107"/>
      <c r="E29" s="107"/>
      <c r="F29" s="121"/>
      <c r="G29" s="124" t="s">
        <v>329</v>
      </c>
      <c r="H29" s="107"/>
      <c r="I29" s="107"/>
      <c r="K29" s="121"/>
      <c r="M29" s="119" t="s">
        <v>330</v>
      </c>
      <c r="N29" s="123">
        <v>3</v>
      </c>
      <c r="O29" s="126" t="s">
        <v>196</v>
      </c>
      <c r="P29" s="126" t="s">
        <v>191</v>
      </c>
      <c r="Q29" s="126" t="s">
        <v>250</v>
      </c>
      <c r="R29" s="119"/>
    </row>
    <row r="30" spans="1:20" x14ac:dyDescent="0.2">
      <c r="A30" s="115" t="s">
        <v>331</v>
      </c>
      <c r="B30" s="107"/>
      <c r="E30" s="107"/>
      <c r="F30" s="121"/>
      <c r="G30" s="124" t="s">
        <v>332</v>
      </c>
      <c r="H30" s="107"/>
      <c r="I30" s="107"/>
      <c r="K30" s="121"/>
      <c r="M30" s="119" t="s">
        <v>333</v>
      </c>
      <c r="N30" s="123">
        <v>2</v>
      </c>
      <c r="O30" s="119" t="s">
        <v>334</v>
      </c>
      <c r="P30" s="126" t="s">
        <v>335</v>
      </c>
      <c r="Q30" s="119"/>
      <c r="R30" s="119"/>
    </row>
    <row r="31" spans="1:20" x14ac:dyDescent="0.2">
      <c r="A31" s="124" t="s">
        <v>336</v>
      </c>
      <c r="B31" s="107"/>
      <c r="E31" s="107"/>
      <c r="F31" s="121"/>
      <c r="G31" s="124" t="s">
        <v>337</v>
      </c>
      <c r="H31" s="107"/>
      <c r="I31" s="107"/>
      <c r="K31" s="121"/>
      <c r="M31" s="119" t="s">
        <v>338</v>
      </c>
      <c r="N31" s="123">
        <v>3</v>
      </c>
      <c r="O31" s="119" t="s">
        <v>170</v>
      </c>
      <c r="P31" s="119" t="s">
        <v>339</v>
      </c>
      <c r="Q31" s="119"/>
      <c r="R31" s="119"/>
    </row>
    <row r="32" spans="1:20" x14ac:dyDescent="0.2">
      <c r="A32" s="124" t="s">
        <v>340</v>
      </c>
      <c r="B32" s="129"/>
      <c r="E32" s="107"/>
      <c r="F32" s="121"/>
      <c r="G32" s="130" t="s">
        <v>341</v>
      </c>
      <c r="H32" s="107"/>
      <c r="I32" s="107"/>
      <c r="K32" s="121"/>
      <c r="M32" s="119"/>
      <c r="N32" s="123">
        <f>SUM(N23:N31)</f>
        <v>38</v>
      </c>
      <c r="O32" s="119"/>
      <c r="P32" s="119"/>
      <c r="Q32" s="119"/>
      <c r="R32" s="119"/>
    </row>
    <row r="33" spans="1:18" x14ac:dyDescent="0.2">
      <c r="A33" s="124" t="s">
        <v>342</v>
      </c>
      <c r="B33" s="129"/>
      <c r="E33" s="131"/>
      <c r="F33" s="132"/>
      <c r="G33" s="130" t="s">
        <v>343</v>
      </c>
      <c r="H33" s="131"/>
      <c r="I33" s="131"/>
      <c r="K33" s="121"/>
      <c r="M33" s="119"/>
      <c r="N33" s="119" t="s">
        <v>344</v>
      </c>
      <c r="O33" s="119"/>
      <c r="P33" s="119"/>
      <c r="Q33" s="119"/>
      <c r="R33" s="119"/>
    </row>
    <row r="34" spans="1:18" x14ac:dyDescent="0.2">
      <c r="A34" s="124" t="s">
        <v>345</v>
      </c>
      <c r="B34" s="129"/>
      <c r="E34" s="131"/>
      <c r="F34" s="132"/>
      <c r="G34" s="133" t="s">
        <v>346</v>
      </c>
      <c r="H34" s="134"/>
      <c r="I34" s="134"/>
      <c r="J34" s="135"/>
      <c r="K34" s="136"/>
      <c r="N34" s="93" t="s">
        <v>142</v>
      </c>
    </row>
    <row r="35" spans="1:18" x14ac:dyDescent="0.2">
      <c r="A35" s="122"/>
      <c r="B35" s="129"/>
      <c r="E35" s="107"/>
      <c r="F35" s="121"/>
      <c r="G35" s="107"/>
      <c r="H35" s="107"/>
      <c r="I35" s="107"/>
      <c r="K35" s="107"/>
      <c r="N35" s="93">
        <v>42</v>
      </c>
    </row>
    <row r="36" spans="1:18" x14ac:dyDescent="0.2">
      <c r="A36" s="115" t="s">
        <v>347</v>
      </c>
      <c r="B36" s="107"/>
      <c r="E36" s="107"/>
      <c r="F36" s="121"/>
      <c r="G36" s="137" t="s">
        <v>348</v>
      </c>
      <c r="H36" s="109"/>
      <c r="I36" s="109"/>
      <c r="J36" s="110"/>
      <c r="K36" s="114"/>
    </row>
    <row r="37" spans="1:18" x14ac:dyDescent="0.2">
      <c r="A37" s="124" t="s">
        <v>349</v>
      </c>
      <c r="B37" s="107"/>
      <c r="E37" s="107"/>
      <c r="F37" s="121"/>
      <c r="G37" s="115" t="s">
        <v>350</v>
      </c>
      <c r="H37" s="107"/>
      <c r="I37" s="107"/>
      <c r="K37" s="121"/>
    </row>
    <row r="38" spans="1:18" x14ac:dyDescent="0.2">
      <c r="A38" s="122"/>
      <c r="B38" s="107"/>
      <c r="E38" s="107"/>
      <c r="F38" s="121"/>
      <c r="G38" s="122"/>
      <c r="H38" s="107"/>
      <c r="I38" s="107"/>
      <c r="K38" s="125" t="s">
        <v>351</v>
      </c>
    </row>
    <row r="39" spans="1:18" x14ac:dyDescent="0.2">
      <c r="A39" s="115" t="s">
        <v>352</v>
      </c>
      <c r="B39" s="107"/>
      <c r="D39" s="107"/>
      <c r="E39" s="107"/>
      <c r="F39" s="121"/>
      <c r="G39" s="124" t="s">
        <v>353</v>
      </c>
      <c r="H39" s="107"/>
      <c r="I39" s="107"/>
      <c r="K39" s="116"/>
    </row>
    <row r="40" spans="1:18" x14ac:dyDescent="0.2">
      <c r="A40" s="130" t="s">
        <v>354</v>
      </c>
      <c r="B40" s="107"/>
      <c r="D40" s="107"/>
      <c r="E40" s="107"/>
      <c r="F40" s="121"/>
      <c r="G40" s="124" t="s">
        <v>355</v>
      </c>
      <c r="H40" s="107"/>
      <c r="I40" s="107"/>
      <c r="K40" s="116"/>
    </row>
    <row r="41" spans="1:18" x14ac:dyDescent="0.2">
      <c r="A41" s="130" t="s">
        <v>356</v>
      </c>
      <c r="B41" s="107"/>
      <c r="D41" s="107"/>
      <c r="E41" s="107"/>
      <c r="F41" s="121"/>
      <c r="G41" s="124" t="s">
        <v>357</v>
      </c>
      <c r="H41" s="107"/>
      <c r="I41" s="107"/>
      <c r="K41" s="116"/>
      <c r="M41" s="93" t="s">
        <v>358</v>
      </c>
    </row>
    <row r="42" spans="1:18" x14ac:dyDescent="0.2">
      <c r="A42" s="130" t="s">
        <v>359</v>
      </c>
      <c r="B42" s="107"/>
      <c r="D42" s="107"/>
      <c r="E42" s="107"/>
      <c r="F42" s="121"/>
      <c r="G42" s="124" t="s">
        <v>360</v>
      </c>
      <c r="H42" s="107"/>
      <c r="I42" s="107"/>
      <c r="K42" s="116"/>
      <c r="M42" s="93" t="s">
        <v>361</v>
      </c>
      <c r="N42" s="93" t="s">
        <v>362</v>
      </c>
      <c r="O42" s="93" t="s">
        <v>328</v>
      </c>
      <c r="P42" s="93">
        <v>100</v>
      </c>
      <c r="Q42" s="93" t="s">
        <v>274</v>
      </c>
    </row>
    <row r="43" spans="1:18" x14ac:dyDescent="0.2">
      <c r="A43" s="133" t="s">
        <v>346</v>
      </c>
      <c r="B43" s="138"/>
      <c r="C43" s="135"/>
      <c r="D43" s="138"/>
      <c r="E43" s="138"/>
      <c r="F43" s="139"/>
      <c r="G43" s="124" t="s">
        <v>363</v>
      </c>
      <c r="H43" s="107"/>
      <c r="I43" s="107"/>
      <c r="K43" s="116"/>
      <c r="M43" s="93" t="s">
        <v>364</v>
      </c>
      <c r="N43" s="93" t="s">
        <v>365</v>
      </c>
      <c r="O43" s="93" t="s">
        <v>327</v>
      </c>
      <c r="P43" s="93">
        <v>105</v>
      </c>
    </row>
    <row r="44" spans="1:18" x14ac:dyDescent="0.2">
      <c r="A44" s="107"/>
      <c r="B44" s="107"/>
      <c r="D44" s="107"/>
      <c r="E44" s="107"/>
      <c r="F44" s="107"/>
      <c r="G44" s="124" t="s">
        <v>366</v>
      </c>
      <c r="H44" s="107"/>
      <c r="I44" s="107"/>
      <c r="K44" s="116"/>
      <c r="M44" s="93" t="s">
        <v>261</v>
      </c>
      <c r="N44" s="93" t="s">
        <v>365</v>
      </c>
      <c r="O44" s="93" t="s">
        <v>367</v>
      </c>
      <c r="P44" s="93" t="s">
        <v>365</v>
      </c>
    </row>
    <row r="45" spans="1:18" x14ac:dyDescent="0.2">
      <c r="A45" s="140" t="s">
        <v>368</v>
      </c>
      <c r="B45" s="109"/>
      <c r="C45" s="110"/>
      <c r="D45" s="109"/>
      <c r="E45" s="109"/>
      <c r="F45" s="114"/>
      <c r="G45" s="133" t="s">
        <v>369</v>
      </c>
      <c r="H45" s="138"/>
      <c r="I45" s="138"/>
      <c r="J45" s="135"/>
      <c r="K45" s="141"/>
      <c r="L45" s="93" t="s">
        <v>274</v>
      </c>
      <c r="M45" s="93" t="s">
        <v>171</v>
      </c>
      <c r="N45" s="93">
        <v>100</v>
      </c>
      <c r="O45" s="93" t="s">
        <v>370</v>
      </c>
      <c r="P45" s="93" t="s">
        <v>365</v>
      </c>
    </row>
    <row r="46" spans="1:18" x14ac:dyDescent="0.2">
      <c r="A46" s="115" t="s">
        <v>371</v>
      </c>
      <c r="B46" s="107"/>
      <c r="D46" s="107"/>
      <c r="E46" s="107"/>
      <c r="F46" s="121"/>
      <c r="G46" s="107"/>
      <c r="H46" s="107"/>
      <c r="I46" s="107"/>
      <c r="L46" s="93" t="s">
        <v>274</v>
      </c>
      <c r="M46" s="93" t="s">
        <v>173</v>
      </c>
      <c r="N46" s="93">
        <v>100</v>
      </c>
      <c r="O46" s="93" t="s">
        <v>372</v>
      </c>
      <c r="P46" s="93">
        <v>100</v>
      </c>
      <c r="Q46" s="93" t="s">
        <v>274</v>
      </c>
    </row>
    <row r="47" spans="1:18" x14ac:dyDescent="0.2">
      <c r="A47" s="122"/>
      <c r="B47" s="107"/>
      <c r="D47" s="107"/>
      <c r="E47" s="107"/>
      <c r="F47" s="121"/>
      <c r="G47" s="142" t="s">
        <v>44</v>
      </c>
      <c r="H47" s="109"/>
      <c r="I47" s="109"/>
      <c r="J47" s="110"/>
      <c r="K47" s="111"/>
      <c r="M47" s="93" t="s">
        <v>193</v>
      </c>
      <c r="N47" s="93" t="s">
        <v>373</v>
      </c>
      <c r="O47" s="93" t="s">
        <v>374</v>
      </c>
      <c r="P47" s="93" t="s">
        <v>365</v>
      </c>
    </row>
    <row r="48" spans="1:18" x14ac:dyDescent="0.2">
      <c r="A48" s="143" t="s">
        <v>375</v>
      </c>
      <c r="B48" s="107"/>
      <c r="D48" s="107"/>
      <c r="E48" s="107"/>
      <c r="F48" s="121"/>
      <c r="G48" s="115" t="s">
        <v>376</v>
      </c>
      <c r="H48" s="107"/>
      <c r="I48" s="107"/>
      <c r="K48" s="116"/>
      <c r="L48" s="93" t="s">
        <v>274</v>
      </c>
      <c r="M48" s="93" t="s">
        <v>308</v>
      </c>
      <c r="N48" s="93">
        <v>100</v>
      </c>
      <c r="O48" s="93" t="s">
        <v>377</v>
      </c>
      <c r="P48" s="93">
        <v>105</v>
      </c>
    </row>
    <row r="49" spans="1:17" x14ac:dyDescent="0.2">
      <c r="A49" s="122"/>
      <c r="B49" s="107"/>
      <c r="D49" s="107"/>
      <c r="E49" s="107"/>
      <c r="F49" s="121"/>
      <c r="G49" s="122"/>
      <c r="H49" s="107"/>
      <c r="I49" s="107"/>
      <c r="K49" s="116"/>
      <c r="M49" s="93" t="s">
        <v>378</v>
      </c>
      <c r="N49" s="93">
        <v>105</v>
      </c>
      <c r="O49" s="93" t="s">
        <v>323</v>
      </c>
      <c r="P49" s="93">
        <v>105</v>
      </c>
    </row>
    <row r="50" spans="1:17" x14ac:dyDescent="0.2">
      <c r="A50" s="143" t="s">
        <v>379</v>
      </c>
      <c r="B50" s="107"/>
      <c r="D50" s="107"/>
      <c r="E50" s="107"/>
      <c r="F50" s="121"/>
      <c r="G50" s="124" t="s">
        <v>380</v>
      </c>
      <c r="H50" s="107"/>
      <c r="I50" s="107"/>
      <c r="K50" s="116"/>
      <c r="M50" s="93" t="s">
        <v>381</v>
      </c>
      <c r="N50" s="93" t="s">
        <v>365</v>
      </c>
      <c r="O50" s="93" t="s">
        <v>382</v>
      </c>
      <c r="P50" s="93" t="s">
        <v>365</v>
      </c>
    </row>
    <row r="51" spans="1:17" x14ac:dyDescent="0.2">
      <c r="A51" s="144" t="s">
        <v>383</v>
      </c>
      <c r="B51" s="107"/>
      <c r="D51" s="107"/>
      <c r="E51" s="107"/>
      <c r="F51" s="121"/>
      <c r="G51" s="122"/>
      <c r="H51" s="107"/>
      <c r="I51" s="107"/>
      <c r="K51" s="116"/>
      <c r="L51" s="93" t="s">
        <v>274</v>
      </c>
      <c r="M51" s="93" t="s">
        <v>334</v>
      </c>
      <c r="N51" s="93">
        <v>100</v>
      </c>
      <c r="O51" s="93" t="s">
        <v>275</v>
      </c>
      <c r="P51" s="93">
        <v>100</v>
      </c>
      <c r="Q51" s="93" t="s">
        <v>274</v>
      </c>
    </row>
    <row r="52" spans="1:17" x14ac:dyDescent="0.2">
      <c r="A52" s="122"/>
      <c r="B52" s="107"/>
      <c r="D52" s="107"/>
      <c r="E52" s="107"/>
      <c r="F52" s="121"/>
      <c r="G52" s="124" t="s">
        <v>384</v>
      </c>
      <c r="H52" s="107"/>
      <c r="I52" s="107"/>
      <c r="K52" s="116"/>
      <c r="L52" s="93" t="s">
        <v>274</v>
      </c>
      <c r="M52" s="93" t="s">
        <v>172</v>
      </c>
      <c r="N52" s="93">
        <v>100</v>
      </c>
    </row>
    <row r="53" spans="1:17" x14ac:dyDescent="0.2">
      <c r="A53" s="143" t="s">
        <v>385</v>
      </c>
      <c r="B53" s="128"/>
      <c r="D53" s="128"/>
      <c r="E53" s="107"/>
      <c r="F53" s="121"/>
      <c r="G53" s="124" t="s">
        <v>386</v>
      </c>
      <c r="H53" s="107"/>
      <c r="I53" s="107"/>
      <c r="K53" s="116"/>
      <c r="M53" s="93" t="s">
        <v>173</v>
      </c>
      <c r="N53" s="93" t="s">
        <v>373</v>
      </c>
    </row>
    <row r="54" spans="1:17" x14ac:dyDescent="0.2">
      <c r="A54" s="144" t="s">
        <v>387</v>
      </c>
      <c r="B54" s="107"/>
      <c r="D54" s="107"/>
      <c r="E54" s="107"/>
      <c r="F54" s="121"/>
      <c r="G54" s="124" t="s">
        <v>388</v>
      </c>
      <c r="H54" s="107"/>
      <c r="I54" s="107"/>
      <c r="K54" s="116"/>
      <c r="M54" s="93" t="s">
        <v>171</v>
      </c>
      <c r="N54" s="93" t="s">
        <v>373</v>
      </c>
    </row>
    <row r="55" spans="1:17" x14ac:dyDescent="0.2">
      <c r="A55" s="122"/>
      <c r="B55" s="107"/>
      <c r="D55" s="107"/>
      <c r="E55" s="107"/>
      <c r="F55" s="121"/>
      <c r="G55" s="124" t="s">
        <v>389</v>
      </c>
      <c r="H55" s="107"/>
      <c r="I55" s="107"/>
      <c r="K55" s="116"/>
      <c r="L55" s="93" t="s">
        <v>274</v>
      </c>
      <c r="M55" s="93" t="s">
        <v>303</v>
      </c>
      <c r="N55" s="93">
        <v>100</v>
      </c>
      <c r="P55" s="145">
        <v>2300</v>
      </c>
    </row>
    <row r="56" spans="1:17" x14ac:dyDescent="0.2">
      <c r="A56" s="143" t="s">
        <v>390</v>
      </c>
      <c r="B56" s="107"/>
      <c r="D56" s="107"/>
      <c r="E56" s="107"/>
      <c r="F56" s="121"/>
      <c r="G56" s="122"/>
      <c r="H56" s="107"/>
      <c r="I56" s="107"/>
      <c r="K56" s="116"/>
      <c r="L56" s="93" t="s">
        <v>274</v>
      </c>
      <c r="M56" s="93" t="s">
        <v>287</v>
      </c>
      <c r="N56" s="93">
        <v>100</v>
      </c>
    </row>
    <row r="57" spans="1:17" x14ac:dyDescent="0.2">
      <c r="A57" s="144" t="s">
        <v>391</v>
      </c>
      <c r="B57" s="146" t="s">
        <v>392</v>
      </c>
      <c r="D57" s="107"/>
      <c r="E57" s="107"/>
      <c r="F57" s="121"/>
      <c r="G57" s="124" t="s">
        <v>393</v>
      </c>
      <c r="H57" s="107"/>
      <c r="I57" s="107"/>
      <c r="K57" s="116"/>
      <c r="M57" s="93" t="s">
        <v>394</v>
      </c>
      <c r="N57" s="93">
        <v>105</v>
      </c>
    </row>
    <row r="58" spans="1:17" x14ac:dyDescent="0.2">
      <c r="A58" s="122"/>
      <c r="B58" s="129"/>
      <c r="D58" s="107"/>
      <c r="E58" s="107"/>
      <c r="F58" s="121"/>
      <c r="G58" s="122"/>
      <c r="H58" s="107"/>
      <c r="I58" s="107"/>
      <c r="K58" s="116"/>
      <c r="L58" s="93" t="s">
        <v>274</v>
      </c>
      <c r="M58" s="93" t="s">
        <v>194</v>
      </c>
      <c r="N58" s="93">
        <v>100</v>
      </c>
    </row>
    <row r="59" spans="1:17" x14ac:dyDescent="0.2">
      <c r="A59" s="143" t="s">
        <v>395</v>
      </c>
      <c r="B59" s="107"/>
      <c r="D59" s="107"/>
      <c r="E59" s="107"/>
      <c r="F59" s="121"/>
      <c r="G59" s="115" t="s">
        <v>396</v>
      </c>
      <c r="H59" s="107"/>
      <c r="I59" s="107"/>
      <c r="K59" s="116"/>
      <c r="L59" s="93" t="s">
        <v>274</v>
      </c>
      <c r="M59" s="93" t="s">
        <v>170</v>
      </c>
      <c r="N59" s="93">
        <v>100</v>
      </c>
    </row>
    <row r="60" spans="1:17" x14ac:dyDescent="0.2">
      <c r="A60" s="144" t="s">
        <v>397</v>
      </c>
      <c r="B60" s="107"/>
      <c r="D60" s="107"/>
      <c r="E60" s="107"/>
      <c r="F60" s="121"/>
      <c r="G60" s="130" t="s">
        <v>398</v>
      </c>
      <c r="H60" s="107"/>
      <c r="I60" s="107"/>
      <c r="K60" s="116"/>
      <c r="L60" s="93" t="s">
        <v>274</v>
      </c>
      <c r="M60" s="93" t="s">
        <v>189</v>
      </c>
      <c r="N60" s="93">
        <v>100</v>
      </c>
    </row>
    <row r="61" spans="1:17" x14ac:dyDescent="0.2">
      <c r="A61" s="122"/>
      <c r="B61" s="107"/>
      <c r="D61" s="107"/>
      <c r="E61" s="107"/>
      <c r="F61" s="121"/>
      <c r="G61" s="147"/>
      <c r="H61" s="107"/>
      <c r="I61" s="107"/>
      <c r="K61" s="116"/>
      <c r="L61" s="93" t="s">
        <v>274</v>
      </c>
      <c r="M61" s="93" t="s">
        <v>191</v>
      </c>
      <c r="N61" s="93">
        <v>100</v>
      </c>
    </row>
    <row r="62" spans="1:17" x14ac:dyDescent="0.2">
      <c r="A62" s="143" t="s">
        <v>399</v>
      </c>
      <c r="B62" s="107"/>
      <c r="D62" s="107"/>
      <c r="E62" s="107"/>
      <c r="F62" s="121"/>
      <c r="G62" s="133" t="s">
        <v>400</v>
      </c>
      <c r="H62" s="138"/>
      <c r="I62" s="138"/>
      <c r="J62" s="135"/>
      <c r="K62" s="141"/>
      <c r="L62" s="93" t="s">
        <v>274</v>
      </c>
      <c r="M62" s="93" t="s">
        <v>196</v>
      </c>
      <c r="N62" s="93">
        <v>100</v>
      </c>
    </row>
    <row r="63" spans="1:17" x14ac:dyDescent="0.2">
      <c r="A63" s="143" t="s">
        <v>401</v>
      </c>
      <c r="B63" s="107"/>
      <c r="D63" s="107"/>
      <c r="E63" s="107"/>
      <c r="F63" s="121"/>
      <c r="G63" s="107"/>
      <c r="H63" s="107"/>
      <c r="I63" s="107"/>
      <c r="L63" s="93" t="s">
        <v>274</v>
      </c>
      <c r="M63" s="93" t="s">
        <v>284</v>
      </c>
      <c r="N63" s="93">
        <v>100</v>
      </c>
    </row>
    <row r="64" spans="1:17" x14ac:dyDescent="0.2">
      <c r="A64" s="122"/>
      <c r="B64" s="107"/>
      <c r="D64" s="107"/>
      <c r="E64" s="107"/>
      <c r="F64" s="121"/>
      <c r="G64" s="137" t="s">
        <v>130</v>
      </c>
      <c r="H64" s="109"/>
      <c r="I64" s="114"/>
      <c r="L64" s="93" t="s">
        <v>274</v>
      </c>
      <c r="M64" s="93" t="s">
        <v>283</v>
      </c>
      <c r="N64" s="93">
        <v>100</v>
      </c>
    </row>
    <row r="65" spans="1:14" x14ac:dyDescent="0.2">
      <c r="A65" s="143" t="s">
        <v>402</v>
      </c>
      <c r="B65" s="107"/>
      <c r="D65" s="107"/>
      <c r="E65" s="107"/>
      <c r="F65" s="121"/>
      <c r="G65" s="115" t="s">
        <v>403</v>
      </c>
      <c r="H65" s="107"/>
      <c r="I65" s="121"/>
      <c r="L65" s="93" t="s">
        <v>274</v>
      </c>
      <c r="M65" s="93" t="s">
        <v>188</v>
      </c>
      <c r="N65" s="93">
        <v>100</v>
      </c>
    </row>
    <row r="66" spans="1:14" x14ac:dyDescent="0.2">
      <c r="A66" s="143" t="s">
        <v>404</v>
      </c>
      <c r="B66" s="107"/>
      <c r="D66" s="107"/>
      <c r="E66" s="107"/>
      <c r="F66" s="121"/>
      <c r="G66" s="122"/>
      <c r="H66" s="107"/>
      <c r="I66" s="121"/>
      <c r="M66" s="93" t="s">
        <v>405</v>
      </c>
      <c r="N66" s="93" t="s">
        <v>365</v>
      </c>
    </row>
    <row r="67" spans="1:14" x14ac:dyDescent="0.2">
      <c r="A67" s="122"/>
      <c r="B67" s="107"/>
      <c r="D67" s="107"/>
      <c r="E67" s="107"/>
      <c r="F67" s="121"/>
      <c r="G67" s="124" t="s">
        <v>406</v>
      </c>
      <c r="H67" s="107"/>
      <c r="I67" s="121"/>
      <c r="L67" s="93" t="s">
        <v>274</v>
      </c>
      <c r="M67" s="93" t="s">
        <v>182</v>
      </c>
      <c r="N67" s="93">
        <v>100</v>
      </c>
    </row>
    <row r="68" spans="1:14" x14ac:dyDescent="0.2">
      <c r="A68" s="143" t="s">
        <v>407</v>
      </c>
      <c r="B68" s="107"/>
      <c r="D68" s="107"/>
      <c r="E68" s="107"/>
      <c r="F68" s="121"/>
      <c r="G68" s="122"/>
      <c r="H68" s="107"/>
      <c r="I68" s="121"/>
      <c r="M68" s="93" t="s">
        <v>285</v>
      </c>
      <c r="N68" s="93">
        <v>105</v>
      </c>
    </row>
    <row r="69" spans="1:14" x14ac:dyDescent="0.2">
      <c r="A69" s="148"/>
      <c r="B69" s="107"/>
      <c r="D69" s="146" t="s">
        <v>408</v>
      </c>
      <c r="E69" s="107"/>
      <c r="F69" s="121"/>
      <c r="G69" s="115" t="s">
        <v>396</v>
      </c>
      <c r="H69" s="107"/>
      <c r="I69" s="121"/>
      <c r="M69" s="93" t="s">
        <v>409</v>
      </c>
      <c r="N69" s="93" t="s">
        <v>365</v>
      </c>
    </row>
    <row r="70" spans="1:14" x14ac:dyDescent="0.2">
      <c r="A70" s="115" t="s">
        <v>396</v>
      </c>
      <c r="B70" s="107"/>
      <c r="D70" s="107"/>
      <c r="E70" s="107"/>
      <c r="F70" s="121"/>
      <c r="G70" s="130" t="s">
        <v>410</v>
      </c>
      <c r="H70" s="107"/>
      <c r="I70" s="121"/>
      <c r="M70" s="93" t="s">
        <v>411</v>
      </c>
      <c r="N70" s="93" t="s">
        <v>365</v>
      </c>
    </row>
    <row r="71" spans="1:14" x14ac:dyDescent="0.2">
      <c r="A71" s="130" t="s">
        <v>412</v>
      </c>
      <c r="B71" s="107"/>
      <c r="D71" s="107"/>
      <c r="E71" s="107"/>
      <c r="F71" s="121"/>
      <c r="G71" s="133" t="s">
        <v>346</v>
      </c>
      <c r="H71" s="138"/>
      <c r="I71" s="139"/>
      <c r="M71" s="93" t="s">
        <v>312</v>
      </c>
      <c r="N71" s="93" t="s">
        <v>413</v>
      </c>
    </row>
    <row r="72" spans="1:14" x14ac:dyDescent="0.2">
      <c r="A72" s="130" t="s">
        <v>414</v>
      </c>
      <c r="B72" s="107"/>
      <c r="D72" s="107"/>
      <c r="E72" s="107"/>
      <c r="F72" s="121"/>
      <c r="G72" s="107"/>
      <c r="H72" s="107"/>
      <c r="I72" s="107"/>
      <c r="M72" s="93" t="s">
        <v>415</v>
      </c>
      <c r="N72" s="93" t="s">
        <v>413</v>
      </c>
    </row>
    <row r="73" spans="1:14" x14ac:dyDescent="0.2">
      <c r="A73" s="133" t="s">
        <v>346</v>
      </c>
      <c r="B73" s="138"/>
      <c r="C73" s="135"/>
      <c r="D73" s="138"/>
      <c r="E73" s="138"/>
      <c r="F73" s="139"/>
      <c r="G73" s="107"/>
      <c r="H73" s="107"/>
      <c r="I73" s="107"/>
      <c r="M73" s="93" t="s">
        <v>416</v>
      </c>
      <c r="N73" s="93" t="s">
        <v>413</v>
      </c>
    </row>
    <row r="74" spans="1:14" x14ac:dyDescent="0.2">
      <c r="A74" s="107"/>
      <c r="B74" s="107"/>
      <c r="D74" s="107"/>
      <c r="E74" s="107"/>
      <c r="F74" s="107"/>
      <c r="G74" s="107"/>
      <c r="H74" s="107"/>
      <c r="I74" s="107"/>
      <c r="M74" s="93" t="s">
        <v>417</v>
      </c>
      <c r="N74" s="93" t="s">
        <v>413</v>
      </c>
    </row>
    <row r="75" spans="1:14" x14ac:dyDescent="0.2">
      <c r="A75" s="107"/>
      <c r="B75" s="107"/>
      <c r="D75" s="107"/>
      <c r="E75" s="107"/>
      <c r="F75" s="107"/>
      <c r="G75" s="107"/>
      <c r="H75" s="107"/>
      <c r="I75" s="107"/>
      <c r="L75" s="93" t="s">
        <v>274</v>
      </c>
      <c r="M75" s="93" t="s">
        <v>313</v>
      </c>
      <c r="N75" s="93">
        <v>100</v>
      </c>
    </row>
    <row r="76" spans="1:14" x14ac:dyDescent="0.2">
      <c r="A76" s="107"/>
      <c r="B76" s="107"/>
      <c r="D76" s="107"/>
      <c r="E76" s="107"/>
      <c r="F76" s="107"/>
      <c r="I76" s="107"/>
      <c r="L76" s="93" t="s">
        <v>274</v>
      </c>
      <c r="M76" s="93" t="s">
        <v>286</v>
      </c>
      <c r="N76" s="93">
        <v>100</v>
      </c>
    </row>
    <row r="77" spans="1:14" x14ac:dyDescent="0.2">
      <c r="A77" s="149" t="s">
        <v>143</v>
      </c>
      <c r="B77" s="109"/>
      <c r="C77" s="110"/>
      <c r="D77" s="109"/>
      <c r="E77" s="109"/>
      <c r="F77" s="114"/>
      <c r="I77" s="107"/>
      <c r="M77" s="93" t="s">
        <v>277</v>
      </c>
      <c r="N77" s="93" t="s">
        <v>365</v>
      </c>
    </row>
    <row r="78" spans="1:14" x14ac:dyDescent="0.2">
      <c r="A78" s="115" t="s">
        <v>418</v>
      </c>
      <c r="B78" s="107"/>
      <c r="D78" s="107"/>
      <c r="E78" s="107"/>
      <c r="F78" s="121"/>
      <c r="I78" s="107"/>
      <c r="L78" s="93" t="s">
        <v>274</v>
      </c>
      <c r="M78" s="93" t="s">
        <v>174</v>
      </c>
      <c r="N78" s="93">
        <v>100</v>
      </c>
    </row>
    <row r="79" spans="1:14" x14ac:dyDescent="0.2">
      <c r="A79" s="122"/>
      <c r="B79" s="107"/>
      <c r="D79" s="107"/>
      <c r="E79" s="107"/>
      <c r="F79" s="121"/>
      <c r="G79" s="107"/>
      <c r="H79" s="107"/>
      <c r="I79" s="107"/>
      <c r="M79" s="93" t="s">
        <v>288</v>
      </c>
      <c r="N79" s="93" t="s">
        <v>365</v>
      </c>
    </row>
    <row r="80" spans="1:14" x14ac:dyDescent="0.2">
      <c r="A80" s="124" t="s">
        <v>419</v>
      </c>
      <c r="B80" s="107"/>
      <c r="D80" s="107"/>
      <c r="E80" s="107"/>
      <c r="F80" s="121"/>
      <c r="G80" s="107"/>
      <c r="H80" s="107"/>
      <c r="I80" s="107"/>
      <c r="L80" s="93" t="s">
        <v>274</v>
      </c>
      <c r="M80" s="93" t="s">
        <v>180</v>
      </c>
      <c r="N80" s="93">
        <v>100</v>
      </c>
    </row>
    <row r="81" spans="1:9" x14ac:dyDescent="0.2">
      <c r="A81" s="124" t="s">
        <v>420</v>
      </c>
      <c r="B81" s="107"/>
      <c r="D81" s="107"/>
      <c r="E81" s="107"/>
      <c r="F81" s="121"/>
      <c r="G81" s="107"/>
      <c r="H81" s="107"/>
      <c r="I81" s="107"/>
    </row>
    <row r="82" spans="1:9" x14ac:dyDescent="0.2">
      <c r="A82" s="124" t="s">
        <v>421</v>
      </c>
      <c r="B82" s="107"/>
      <c r="D82" s="107"/>
      <c r="E82" s="107"/>
      <c r="F82" s="121"/>
      <c r="G82" s="107"/>
      <c r="H82" s="107"/>
      <c r="I82" s="107"/>
    </row>
    <row r="83" spans="1:9" x14ac:dyDescent="0.2">
      <c r="A83" s="124" t="s">
        <v>422</v>
      </c>
      <c r="B83" s="107"/>
      <c r="D83" s="107"/>
      <c r="E83" s="107"/>
      <c r="F83" s="121"/>
      <c r="G83" s="107"/>
      <c r="H83" s="107"/>
      <c r="I83" s="107"/>
    </row>
    <row r="84" spans="1:9" x14ac:dyDescent="0.2">
      <c r="A84" s="124" t="s">
        <v>423</v>
      </c>
      <c r="B84" s="107"/>
      <c r="D84" s="107"/>
      <c r="E84" s="107"/>
      <c r="F84" s="121"/>
      <c r="G84" s="107"/>
      <c r="H84" s="107"/>
      <c r="I84" s="107"/>
    </row>
    <row r="85" spans="1:9" x14ac:dyDescent="0.2">
      <c r="A85" s="124" t="s">
        <v>424</v>
      </c>
      <c r="B85" s="107"/>
      <c r="D85" s="107"/>
      <c r="E85" s="107"/>
      <c r="F85" s="121"/>
      <c r="G85" s="107"/>
      <c r="H85" s="107"/>
      <c r="I85" s="107"/>
    </row>
    <row r="86" spans="1:9" x14ac:dyDescent="0.2">
      <c r="A86" s="124" t="s">
        <v>425</v>
      </c>
      <c r="B86" s="107"/>
      <c r="D86" s="146" t="s">
        <v>426</v>
      </c>
      <c r="E86" s="107"/>
      <c r="F86" s="121"/>
      <c r="G86" s="107"/>
      <c r="H86" s="107"/>
      <c r="I86" s="107"/>
    </row>
    <row r="87" spans="1:9" x14ac:dyDescent="0.2">
      <c r="A87" s="124" t="s">
        <v>427</v>
      </c>
      <c r="B87" s="129"/>
      <c r="D87" s="107"/>
      <c r="E87" s="107"/>
      <c r="F87" s="121"/>
      <c r="G87" s="107"/>
      <c r="H87" s="107"/>
      <c r="I87" s="107"/>
    </row>
    <row r="88" spans="1:9" x14ac:dyDescent="0.2">
      <c r="A88" s="133" t="s">
        <v>428</v>
      </c>
      <c r="B88" s="150"/>
      <c r="C88" s="135"/>
      <c r="D88" s="138"/>
      <c r="E88" s="138"/>
      <c r="F88" s="139"/>
      <c r="G88" s="107"/>
      <c r="H88" s="107"/>
      <c r="I88" s="107"/>
    </row>
  </sheetData>
  <mergeCells count="2">
    <mergeCell ref="A1:H1"/>
    <mergeCell ref="I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E1027"/>
  <sheetViews>
    <sheetView workbookViewId="0"/>
  </sheetViews>
  <sheetFormatPr defaultColWidth="11.21875" defaultRowHeight="15" customHeight="1" x14ac:dyDescent="0.2"/>
  <cols>
    <col min="1" max="1" width="16.27734375" customWidth="1"/>
    <col min="2" max="2" width="13.0703125" customWidth="1"/>
    <col min="3" max="4" width="9.86328125" customWidth="1"/>
    <col min="5" max="5" width="15.2890625" customWidth="1"/>
    <col min="6" max="6" width="12.453125" customWidth="1"/>
    <col min="7" max="7" width="14.30078125" customWidth="1"/>
    <col min="8" max="8" width="15.1640625" customWidth="1"/>
    <col min="9" max="9" width="11.09765625" customWidth="1"/>
    <col min="10" max="10" width="8.62890625" customWidth="1"/>
    <col min="11" max="11" width="10.7265625" customWidth="1"/>
    <col min="12" max="12" width="11.7109375" customWidth="1"/>
    <col min="16" max="17" width="13.6875" customWidth="1"/>
    <col min="19" max="19" width="14.0546875" customWidth="1"/>
    <col min="20" max="20" width="17.6328125" customWidth="1"/>
    <col min="21" max="21" width="8.75390625" customWidth="1"/>
    <col min="25" max="25" width="12.328125" customWidth="1"/>
    <col min="26" max="26" width="30.45703125" customWidth="1"/>
  </cols>
  <sheetData>
    <row r="1" spans="1:31" x14ac:dyDescent="0.2">
      <c r="A1" s="538" t="s">
        <v>429</v>
      </c>
      <c r="B1" s="537"/>
      <c r="C1" s="537"/>
      <c r="D1" s="537"/>
      <c r="E1" s="537"/>
      <c r="F1" s="537"/>
      <c r="G1" s="537"/>
      <c r="H1" s="531"/>
      <c r="I1" s="539" t="s">
        <v>199</v>
      </c>
      <c r="J1" s="537"/>
      <c r="K1" s="537"/>
      <c r="L1" s="537"/>
      <c r="M1" s="537"/>
      <c r="N1" s="537"/>
      <c r="O1" s="537"/>
      <c r="P1" s="531"/>
    </row>
    <row r="2" spans="1:31" x14ac:dyDescent="0.2">
      <c r="A2" s="78" t="s">
        <v>200</v>
      </c>
      <c r="B2" s="78" t="s">
        <v>201</v>
      </c>
      <c r="C2" s="79" t="s">
        <v>119</v>
      </c>
      <c r="D2" s="79" t="s">
        <v>202</v>
      </c>
      <c r="E2" s="79" t="s">
        <v>121</v>
      </c>
      <c r="F2" s="79" t="s">
        <v>203</v>
      </c>
      <c r="G2" s="79" t="s">
        <v>125</v>
      </c>
      <c r="H2" s="79" t="s">
        <v>204</v>
      </c>
      <c r="I2" s="80" t="s">
        <v>205</v>
      </c>
      <c r="J2" s="80" t="s">
        <v>142</v>
      </c>
      <c r="K2" s="80" t="s">
        <v>206</v>
      </c>
      <c r="L2" s="80" t="s">
        <v>207</v>
      </c>
      <c r="M2" s="80" t="s">
        <v>143</v>
      </c>
      <c r="N2" s="80" t="s">
        <v>208</v>
      </c>
      <c r="O2" s="80" t="s">
        <v>209</v>
      </c>
      <c r="P2" s="80" t="s">
        <v>290</v>
      </c>
      <c r="R2" s="566" t="s">
        <v>430</v>
      </c>
      <c r="S2" s="537"/>
      <c r="T2" s="537"/>
      <c r="U2" s="537"/>
      <c r="V2" s="537"/>
      <c r="W2" s="537"/>
      <c r="X2" s="537"/>
      <c r="Y2" s="537"/>
      <c r="Z2" s="531"/>
    </row>
    <row r="3" spans="1:31" x14ac:dyDescent="0.2">
      <c r="A3" s="97" t="s">
        <v>291</v>
      </c>
      <c r="B3" s="97" t="s">
        <v>292</v>
      </c>
      <c r="C3" s="98" t="b">
        <v>0</v>
      </c>
      <c r="D3" s="99" t="b">
        <v>0</v>
      </c>
      <c r="E3" s="98" t="b">
        <v>0</v>
      </c>
      <c r="F3" s="98" t="b">
        <v>0</v>
      </c>
      <c r="G3" s="99" t="b">
        <v>0</v>
      </c>
      <c r="H3" s="100" t="b">
        <v>0</v>
      </c>
      <c r="I3" s="101" t="b">
        <v>0</v>
      </c>
      <c r="J3" s="101" t="b">
        <v>0</v>
      </c>
      <c r="K3" s="101" t="b">
        <v>0</v>
      </c>
      <c r="L3" s="101" t="b">
        <v>0</v>
      </c>
      <c r="M3" s="98" t="b">
        <v>0</v>
      </c>
      <c r="N3" s="98" t="b">
        <v>0</v>
      </c>
      <c r="O3" s="101" t="b">
        <v>0</v>
      </c>
      <c r="P3" s="101" t="b">
        <v>0</v>
      </c>
      <c r="R3" s="22" t="s">
        <v>431</v>
      </c>
      <c r="S3" s="22">
        <v>4</v>
      </c>
      <c r="T3" s="72"/>
      <c r="U3" s="72"/>
      <c r="V3" s="151"/>
      <c r="W3" s="151"/>
      <c r="X3" s="151"/>
      <c r="Y3" s="152"/>
      <c r="Z3" s="152"/>
    </row>
    <row r="4" spans="1:31" x14ac:dyDescent="0.2">
      <c r="A4" s="103" t="s">
        <v>293</v>
      </c>
      <c r="B4" s="103" t="s">
        <v>432</v>
      </c>
      <c r="C4" s="83" t="b">
        <v>0</v>
      </c>
      <c r="D4" s="86" t="b">
        <v>0</v>
      </c>
      <c r="E4" s="85" t="b">
        <v>0</v>
      </c>
      <c r="F4" s="85" t="b">
        <v>0</v>
      </c>
      <c r="G4" s="86" t="b">
        <v>0</v>
      </c>
      <c r="H4" s="86" t="b">
        <v>0</v>
      </c>
      <c r="I4" s="22" t="b">
        <v>1</v>
      </c>
      <c r="J4" s="22" t="b">
        <v>1</v>
      </c>
      <c r="K4" s="23" t="b">
        <v>0</v>
      </c>
      <c r="L4" s="22" t="b">
        <v>1</v>
      </c>
      <c r="M4" s="83" t="b">
        <v>1</v>
      </c>
      <c r="N4" s="85" t="b">
        <v>0</v>
      </c>
      <c r="O4" s="22" t="b">
        <v>1</v>
      </c>
      <c r="P4" s="22" t="b">
        <v>1</v>
      </c>
      <c r="R4" s="103" t="s">
        <v>433</v>
      </c>
      <c r="S4" s="103">
        <v>6</v>
      </c>
      <c r="T4" s="153"/>
      <c r="U4" s="154"/>
      <c r="V4" s="154"/>
      <c r="W4" s="154"/>
      <c r="X4" s="154"/>
      <c r="Y4" s="154"/>
      <c r="Z4" s="154"/>
    </row>
    <row r="5" spans="1:31" x14ac:dyDescent="0.2">
      <c r="A5" s="103" t="s">
        <v>210</v>
      </c>
      <c r="B5" s="103" t="s">
        <v>432</v>
      </c>
      <c r="C5" s="83" t="b">
        <v>0</v>
      </c>
      <c r="D5" s="86" t="b">
        <v>0</v>
      </c>
      <c r="E5" s="85" t="b">
        <v>0</v>
      </c>
      <c r="F5" s="85" t="b">
        <v>0</v>
      </c>
      <c r="G5" s="86" t="b">
        <v>0</v>
      </c>
      <c r="H5" s="86" t="b">
        <v>0</v>
      </c>
      <c r="I5" s="22" t="b">
        <v>1</v>
      </c>
      <c r="J5" s="22" t="b">
        <v>1</v>
      </c>
      <c r="K5" s="23" t="b">
        <v>0</v>
      </c>
      <c r="L5" s="22" t="b">
        <v>1</v>
      </c>
      <c r="M5" s="83" t="b">
        <v>1</v>
      </c>
      <c r="N5" s="85" t="b">
        <v>0</v>
      </c>
      <c r="O5" s="22" t="b">
        <v>1</v>
      </c>
      <c r="P5" s="22" t="b">
        <v>1</v>
      </c>
      <c r="R5" s="103" t="s">
        <v>434</v>
      </c>
      <c r="S5" s="103">
        <v>2</v>
      </c>
      <c r="T5" s="153"/>
      <c r="U5" s="154"/>
      <c r="V5" s="154"/>
      <c r="W5" s="154"/>
      <c r="X5" s="155"/>
      <c r="Y5" s="155"/>
      <c r="Z5" s="155"/>
    </row>
    <row r="6" spans="1:31" x14ac:dyDescent="0.2">
      <c r="A6" s="103" t="s">
        <v>435</v>
      </c>
      <c r="B6" s="103" t="s">
        <v>432</v>
      </c>
      <c r="C6" s="83" t="b">
        <v>0</v>
      </c>
      <c r="D6" s="86" t="b">
        <v>0</v>
      </c>
      <c r="E6" s="85" t="b">
        <v>0</v>
      </c>
      <c r="F6" s="85" t="b">
        <v>0</v>
      </c>
      <c r="G6" s="86" t="b">
        <v>0</v>
      </c>
      <c r="H6" s="86" t="b">
        <v>0</v>
      </c>
      <c r="I6" s="22" t="b">
        <v>1</v>
      </c>
      <c r="J6" s="22" t="b">
        <v>1</v>
      </c>
      <c r="K6" s="23" t="b">
        <v>0</v>
      </c>
      <c r="L6" s="22" t="b">
        <v>1</v>
      </c>
      <c r="M6" s="83" t="b">
        <v>1</v>
      </c>
      <c r="N6" s="85" t="b">
        <v>0</v>
      </c>
      <c r="O6" s="22" t="b">
        <v>1</v>
      </c>
      <c r="P6" s="22" t="b">
        <v>1</v>
      </c>
      <c r="R6" s="103" t="s">
        <v>436</v>
      </c>
      <c r="S6" s="103">
        <v>4</v>
      </c>
      <c r="T6" s="153"/>
      <c r="U6" s="154"/>
      <c r="V6" s="156"/>
      <c r="W6" s="156"/>
      <c r="X6" s="157"/>
      <c r="Y6" s="157"/>
      <c r="Z6" s="157"/>
    </row>
    <row r="7" spans="1:31" x14ac:dyDescent="0.2">
      <c r="A7" s="103" t="s">
        <v>161</v>
      </c>
      <c r="B7" s="103" t="s">
        <v>432</v>
      </c>
      <c r="C7" s="83" t="b">
        <v>0</v>
      </c>
      <c r="D7" s="86" t="b">
        <v>0</v>
      </c>
      <c r="E7" s="85" t="b">
        <v>0</v>
      </c>
      <c r="F7" s="85" t="b">
        <v>0</v>
      </c>
      <c r="G7" s="86" t="b">
        <v>0</v>
      </c>
      <c r="H7" s="86" t="b">
        <v>0</v>
      </c>
      <c r="I7" s="22" t="b">
        <v>1</v>
      </c>
      <c r="J7" s="22" t="b">
        <v>1</v>
      </c>
      <c r="K7" s="23" t="b">
        <v>0</v>
      </c>
      <c r="L7" s="22" t="b">
        <v>1</v>
      </c>
      <c r="M7" s="83" t="b">
        <v>1</v>
      </c>
      <c r="N7" s="85" t="b">
        <v>0</v>
      </c>
      <c r="O7" s="22" t="b">
        <v>1</v>
      </c>
      <c r="P7" s="22" t="b">
        <v>1</v>
      </c>
      <c r="R7" s="103" t="s">
        <v>437</v>
      </c>
      <c r="S7" s="103">
        <v>2</v>
      </c>
      <c r="T7" s="153"/>
      <c r="U7" s="154"/>
      <c r="V7" s="154"/>
      <c r="W7" s="154"/>
      <c r="X7" s="155"/>
      <c r="Y7" s="155"/>
      <c r="Z7" s="155"/>
    </row>
    <row r="8" spans="1:31" x14ac:dyDescent="0.2">
      <c r="A8" s="103" t="s">
        <v>21</v>
      </c>
      <c r="B8" s="103" t="s">
        <v>432</v>
      </c>
      <c r="C8" s="83" t="b">
        <v>0</v>
      </c>
      <c r="D8" s="86" t="b">
        <v>0</v>
      </c>
      <c r="E8" s="85" t="b">
        <v>0</v>
      </c>
      <c r="F8" s="85" t="b">
        <v>0</v>
      </c>
      <c r="G8" s="86" t="b">
        <v>0</v>
      </c>
      <c r="H8" s="86" t="b">
        <v>0</v>
      </c>
      <c r="I8" s="22" t="b">
        <v>1</v>
      </c>
      <c r="J8" s="22" t="b">
        <v>1</v>
      </c>
      <c r="K8" s="23" t="b">
        <v>0</v>
      </c>
      <c r="L8" s="22" t="b">
        <v>1</v>
      </c>
      <c r="M8" s="83" t="b">
        <v>1</v>
      </c>
      <c r="N8" s="85" t="b">
        <v>0</v>
      </c>
      <c r="O8" s="22" t="b">
        <v>1</v>
      </c>
      <c r="P8" s="22" t="b">
        <v>1</v>
      </c>
      <c r="R8" s="103" t="s">
        <v>438</v>
      </c>
      <c r="S8" s="103">
        <v>2</v>
      </c>
      <c r="T8" s="153"/>
      <c r="U8" s="154"/>
      <c r="V8" s="154"/>
      <c r="W8" s="155"/>
      <c r="X8" s="155"/>
      <c r="Y8" s="155"/>
      <c r="Z8" s="155"/>
    </row>
    <row r="9" spans="1:31" x14ac:dyDescent="0.2">
      <c r="A9" s="103" t="s">
        <v>439</v>
      </c>
      <c r="B9" s="103" t="s">
        <v>432</v>
      </c>
      <c r="C9" s="83" t="b">
        <v>0</v>
      </c>
      <c r="D9" s="86" t="b">
        <v>0</v>
      </c>
      <c r="E9" s="85" t="b">
        <v>0</v>
      </c>
      <c r="F9" s="85" t="b">
        <v>0</v>
      </c>
      <c r="G9" s="86" t="b">
        <v>0</v>
      </c>
      <c r="H9" s="86" t="b">
        <v>0</v>
      </c>
      <c r="I9" s="22" t="b">
        <v>1</v>
      </c>
      <c r="J9" s="22" t="b">
        <v>1</v>
      </c>
      <c r="K9" s="23" t="b">
        <v>0</v>
      </c>
      <c r="L9" s="22" t="b">
        <v>1</v>
      </c>
      <c r="M9" s="83" t="b">
        <v>1</v>
      </c>
      <c r="N9" s="85" t="b">
        <v>0</v>
      </c>
      <c r="O9" s="22" t="b">
        <v>1</v>
      </c>
      <c r="P9" s="22" t="b">
        <v>1</v>
      </c>
      <c r="R9" s="103" t="s">
        <v>440</v>
      </c>
      <c r="S9" s="103">
        <v>4</v>
      </c>
      <c r="T9" s="151"/>
      <c r="U9" s="155"/>
      <c r="V9" s="155"/>
      <c r="W9" s="155"/>
      <c r="X9" s="155"/>
      <c r="Y9" s="155"/>
      <c r="Z9" s="155"/>
    </row>
    <row r="10" spans="1:31" x14ac:dyDescent="0.2">
      <c r="A10" s="103" t="s">
        <v>441</v>
      </c>
      <c r="B10" s="103" t="s">
        <v>432</v>
      </c>
      <c r="C10" s="83" t="b">
        <v>0</v>
      </c>
      <c r="D10" s="86" t="b">
        <v>0</v>
      </c>
      <c r="E10" s="85" t="b">
        <v>0</v>
      </c>
      <c r="F10" s="83" t="b">
        <v>0</v>
      </c>
      <c r="G10" s="86" t="b">
        <v>0</v>
      </c>
      <c r="H10" s="86" t="b">
        <v>0</v>
      </c>
      <c r="I10" s="23" t="b">
        <v>0</v>
      </c>
      <c r="J10" s="22" t="b">
        <v>1</v>
      </c>
      <c r="K10" s="23" t="b">
        <v>0</v>
      </c>
      <c r="L10" s="22" t="b">
        <v>1</v>
      </c>
      <c r="M10" s="83" t="b">
        <v>1</v>
      </c>
      <c r="N10" s="85" t="b">
        <v>0</v>
      </c>
      <c r="O10" s="22" t="b">
        <v>1</v>
      </c>
      <c r="P10" s="22" t="b">
        <v>1</v>
      </c>
      <c r="R10" s="103" t="s">
        <v>442</v>
      </c>
      <c r="S10" s="103">
        <v>2</v>
      </c>
      <c r="T10" s="153"/>
      <c r="U10" s="154"/>
      <c r="V10" s="154"/>
      <c r="W10" s="155"/>
      <c r="X10" s="155"/>
      <c r="Y10" s="155"/>
      <c r="Z10" s="155"/>
    </row>
    <row r="11" spans="1:31" x14ac:dyDescent="0.2">
      <c r="A11" s="93" t="s">
        <v>44</v>
      </c>
      <c r="B11" s="103" t="s">
        <v>432</v>
      </c>
      <c r="C11" s="83" t="b">
        <v>0</v>
      </c>
      <c r="D11" s="86" t="b">
        <v>0</v>
      </c>
      <c r="E11" s="85" t="b">
        <v>0</v>
      </c>
      <c r="F11" s="85" t="b">
        <v>0</v>
      </c>
      <c r="G11" s="86" t="b">
        <v>0</v>
      </c>
      <c r="H11" s="86" t="b">
        <v>0</v>
      </c>
      <c r="I11" s="23" t="b">
        <v>0</v>
      </c>
      <c r="J11" s="22" t="b">
        <v>1</v>
      </c>
      <c r="K11" s="23" t="b">
        <v>0</v>
      </c>
      <c r="L11" s="22" t="b">
        <v>1</v>
      </c>
      <c r="M11" s="83" t="b">
        <v>1</v>
      </c>
      <c r="N11" s="85" t="b">
        <v>0</v>
      </c>
      <c r="O11" s="22" t="b">
        <v>1</v>
      </c>
      <c r="P11" s="22" t="b">
        <v>1</v>
      </c>
      <c r="R11" s="93" t="s">
        <v>443</v>
      </c>
      <c r="S11" s="158">
        <f>SUM(S3:S10)</f>
        <v>26</v>
      </c>
      <c r="U11" s="159"/>
      <c r="V11" s="159"/>
      <c r="W11" s="159"/>
      <c r="X11" s="159"/>
      <c r="Y11" s="159"/>
      <c r="Z11" s="159"/>
    </row>
    <row r="12" spans="1:31" x14ac:dyDescent="0.2">
      <c r="A12" s="160" t="s">
        <v>444</v>
      </c>
      <c r="B12" s="103" t="s">
        <v>432</v>
      </c>
      <c r="C12" s="83" t="b">
        <v>0</v>
      </c>
      <c r="D12" s="86" t="b">
        <v>0</v>
      </c>
      <c r="E12" s="83" t="b">
        <v>1</v>
      </c>
      <c r="F12" s="85" t="b">
        <v>0</v>
      </c>
      <c r="G12" s="86" t="b">
        <v>0</v>
      </c>
      <c r="H12" s="86" t="b">
        <v>0</v>
      </c>
      <c r="I12" s="23" t="b">
        <v>0</v>
      </c>
      <c r="J12" s="22" t="b">
        <v>1</v>
      </c>
      <c r="K12" s="23" t="b">
        <v>0</v>
      </c>
      <c r="L12" s="22" t="b">
        <v>1</v>
      </c>
      <c r="M12" s="83" t="b">
        <v>1</v>
      </c>
      <c r="N12" s="85" t="b">
        <v>0</v>
      </c>
      <c r="O12" s="22" t="b">
        <v>1</v>
      </c>
      <c r="P12" s="22" t="b">
        <v>1</v>
      </c>
    </row>
    <row r="13" spans="1:31" x14ac:dyDescent="0.2">
      <c r="A13" s="103" t="s">
        <v>445</v>
      </c>
      <c r="B13" s="103" t="s">
        <v>432</v>
      </c>
      <c r="C13" s="83" t="b">
        <v>0</v>
      </c>
      <c r="D13" s="86" t="b">
        <v>0</v>
      </c>
      <c r="E13" s="85" t="b">
        <v>0</v>
      </c>
      <c r="F13" s="85" t="b">
        <v>0</v>
      </c>
      <c r="G13" s="86" t="b">
        <v>0</v>
      </c>
      <c r="H13" s="86" t="b">
        <v>0</v>
      </c>
      <c r="I13" s="23" t="b">
        <v>0</v>
      </c>
      <c r="J13" s="22" t="b">
        <v>1</v>
      </c>
      <c r="K13" s="23" t="b">
        <v>0</v>
      </c>
      <c r="L13" s="22" t="b">
        <v>1</v>
      </c>
      <c r="M13" s="83" t="b">
        <v>1</v>
      </c>
      <c r="N13" s="85" t="b">
        <v>0</v>
      </c>
      <c r="O13" s="22" t="b">
        <v>1</v>
      </c>
      <c r="P13" s="22" t="b">
        <v>1</v>
      </c>
    </row>
    <row r="14" spans="1:31" x14ac:dyDescent="0.2">
      <c r="A14" s="103" t="s">
        <v>446</v>
      </c>
      <c r="B14" s="103" t="s">
        <v>432</v>
      </c>
      <c r="C14" s="83" t="b">
        <v>0</v>
      </c>
      <c r="D14" s="86" t="b">
        <v>0</v>
      </c>
      <c r="E14" s="85" t="b">
        <v>0</v>
      </c>
      <c r="F14" s="85" t="b">
        <v>0</v>
      </c>
      <c r="G14" s="86" t="b">
        <v>0</v>
      </c>
      <c r="H14" s="86" t="b">
        <v>0</v>
      </c>
      <c r="I14" s="23" t="b">
        <v>0</v>
      </c>
      <c r="J14" s="22" t="b">
        <v>1</v>
      </c>
      <c r="K14" s="23" t="b">
        <v>0</v>
      </c>
      <c r="L14" s="22" t="b">
        <v>1</v>
      </c>
      <c r="M14" s="83" t="b">
        <v>1</v>
      </c>
      <c r="N14" s="85" t="b">
        <v>0</v>
      </c>
      <c r="O14" s="22" t="b">
        <v>1</v>
      </c>
      <c r="P14" s="22" t="b">
        <v>1</v>
      </c>
    </row>
    <row r="15" spans="1:31" x14ac:dyDescent="0.2">
      <c r="A15" s="161" t="s">
        <v>447</v>
      </c>
      <c r="B15" s="103" t="s">
        <v>432</v>
      </c>
      <c r="C15" s="83" t="b">
        <v>0</v>
      </c>
      <c r="D15" s="86" t="b">
        <v>0</v>
      </c>
      <c r="E15" s="85" t="b">
        <v>0</v>
      </c>
      <c r="F15" s="85" t="b">
        <v>0</v>
      </c>
      <c r="G15" s="86" t="b">
        <v>0</v>
      </c>
      <c r="H15" s="86" t="b">
        <v>0</v>
      </c>
      <c r="I15" s="23" t="b">
        <v>0</v>
      </c>
      <c r="J15" s="22" t="b">
        <v>1</v>
      </c>
      <c r="K15" s="23" t="b">
        <v>0</v>
      </c>
      <c r="L15" s="22" t="b">
        <v>1</v>
      </c>
      <c r="M15" s="83" t="b">
        <v>1</v>
      </c>
      <c r="N15" s="85" t="b">
        <v>0</v>
      </c>
      <c r="O15" s="22" t="b">
        <v>1</v>
      </c>
      <c r="P15" s="22" t="b">
        <v>1</v>
      </c>
    </row>
    <row r="16" spans="1:31" x14ac:dyDescent="0.2">
      <c r="A16" s="103"/>
      <c r="B16" s="103"/>
      <c r="C16" s="83" t="b">
        <v>0</v>
      </c>
      <c r="D16" s="86" t="b">
        <v>0</v>
      </c>
      <c r="E16" s="85" t="b">
        <v>0</v>
      </c>
      <c r="F16" s="85" t="b">
        <v>0</v>
      </c>
      <c r="G16" s="86" t="b">
        <v>0</v>
      </c>
      <c r="H16" s="86" t="b">
        <v>0</v>
      </c>
      <c r="I16" s="23" t="b">
        <v>0</v>
      </c>
      <c r="J16" s="22" t="b">
        <v>1</v>
      </c>
      <c r="K16" s="23" t="b">
        <v>0</v>
      </c>
      <c r="L16" s="22" t="b">
        <v>1</v>
      </c>
      <c r="M16" s="83" t="b">
        <v>1</v>
      </c>
      <c r="N16" s="85" t="b">
        <v>0</v>
      </c>
      <c r="O16" s="22" t="b">
        <v>1</v>
      </c>
      <c r="P16" s="22" t="b">
        <v>1</v>
      </c>
      <c r="U16" s="559" t="s">
        <v>448</v>
      </c>
      <c r="V16" s="533"/>
      <c r="W16" s="533"/>
      <c r="X16" s="533"/>
      <c r="Y16" s="533"/>
      <c r="Z16" s="533"/>
      <c r="AA16" s="533"/>
      <c r="AB16" s="533"/>
      <c r="AC16" s="533"/>
      <c r="AD16" s="533"/>
      <c r="AE16" s="533"/>
    </row>
    <row r="17" spans="1:31" x14ac:dyDescent="0.2"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</row>
    <row r="18" spans="1:31" x14ac:dyDescent="0.2">
      <c r="C18" s="65"/>
      <c r="E18" s="65"/>
      <c r="F18" s="65"/>
      <c r="U18" s="162" t="s">
        <v>449</v>
      </c>
      <c r="V18" s="163" t="s">
        <v>450</v>
      </c>
      <c r="W18" s="163" t="s">
        <v>451</v>
      </c>
      <c r="X18" s="163" t="s">
        <v>452</v>
      </c>
      <c r="Y18" s="163" t="s">
        <v>453</v>
      </c>
      <c r="Z18" s="162" t="s">
        <v>454</v>
      </c>
      <c r="AA18" s="163" t="s">
        <v>455</v>
      </c>
      <c r="AB18" s="560" t="s">
        <v>456</v>
      </c>
      <c r="AC18" s="533"/>
      <c r="AD18" s="533"/>
      <c r="AE18" s="533"/>
    </row>
    <row r="19" spans="1:31" x14ac:dyDescent="0.2">
      <c r="C19" s="65"/>
      <c r="E19" s="65"/>
      <c r="F19" s="65"/>
      <c r="V19" s="119"/>
      <c r="W19" s="119"/>
      <c r="X19" s="119"/>
      <c r="Y19" s="119"/>
      <c r="Z19" s="119"/>
      <c r="AA19" s="119"/>
      <c r="AB19" s="164" t="s">
        <v>156</v>
      </c>
      <c r="AC19" s="164" t="s">
        <v>126</v>
      </c>
      <c r="AD19" s="164" t="s">
        <v>132</v>
      </c>
      <c r="AE19" s="164" t="s">
        <v>136</v>
      </c>
    </row>
    <row r="20" spans="1:31" x14ac:dyDescent="0.2">
      <c r="A20" s="165" t="s">
        <v>457</v>
      </c>
      <c r="B20" s="166"/>
      <c r="C20" s="167"/>
      <c r="D20" s="559" t="s">
        <v>458</v>
      </c>
      <c r="E20" s="533"/>
      <c r="F20" s="533"/>
      <c r="G20" s="533"/>
      <c r="H20" s="533"/>
      <c r="I20" s="166"/>
      <c r="J20" s="166"/>
      <c r="K20" s="165" t="s">
        <v>201</v>
      </c>
      <c r="U20" s="168"/>
      <c r="V20" s="169" t="b">
        <v>0</v>
      </c>
      <c r="W20" s="119"/>
      <c r="X20" s="119"/>
      <c r="Y20" s="170"/>
      <c r="Z20" s="119"/>
      <c r="AA20" s="119"/>
      <c r="AB20" s="169" t="b">
        <v>0</v>
      </c>
      <c r="AC20" s="169" t="b">
        <v>0</v>
      </c>
      <c r="AD20" s="169" t="b">
        <v>0</v>
      </c>
      <c r="AE20" s="169" t="b">
        <v>0</v>
      </c>
    </row>
    <row r="21" spans="1:31" x14ac:dyDescent="0.2">
      <c r="A21" s="119"/>
      <c r="B21" s="171" t="s">
        <v>459</v>
      </c>
      <c r="C21" s="171" t="s">
        <v>460</v>
      </c>
      <c r="D21" s="171" t="s">
        <v>459</v>
      </c>
      <c r="E21" s="171" t="s">
        <v>460</v>
      </c>
      <c r="F21" s="171" t="s">
        <v>459</v>
      </c>
      <c r="G21" s="171" t="s">
        <v>460</v>
      </c>
      <c r="H21" s="171" t="s">
        <v>459</v>
      </c>
      <c r="I21" s="171" t="s">
        <v>460</v>
      </c>
      <c r="J21" s="171" t="s">
        <v>459</v>
      </c>
      <c r="K21" s="119"/>
      <c r="U21" s="168">
        <v>1</v>
      </c>
      <c r="V21" s="172" t="b">
        <v>1</v>
      </c>
      <c r="W21" s="119" t="s">
        <v>461</v>
      </c>
      <c r="X21" s="126" t="s">
        <v>462</v>
      </c>
      <c r="Y21" s="123">
        <v>852402555</v>
      </c>
      <c r="Z21" s="126" t="s">
        <v>463</v>
      </c>
      <c r="AA21" s="119"/>
      <c r="AB21" s="169" t="b">
        <v>0</v>
      </c>
      <c r="AC21" s="169" t="b">
        <v>0</v>
      </c>
      <c r="AD21" s="169" t="b">
        <v>0</v>
      </c>
      <c r="AE21" s="169" t="b">
        <v>0</v>
      </c>
    </row>
    <row r="22" spans="1:31" x14ac:dyDescent="0.2">
      <c r="A22" s="119"/>
      <c r="B22" s="560" t="s">
        <v>156</v>
      </c>
      <c r="C22" s="533"/>
      <c r="D22" s="560" t="s">
        <v>464</v>
      </c>
      <c r="E22" s="533"/>
      <c r="F22" s="560" t="s">
        <v>132</v>
      </c>
      <c r="G22" s="533"/>
      <c r="H22" s="560" t="s">
        <v>136</v>
      </c>
      <c r="I22" s="533"/>
      <c r="J22" s="173" t="s">
        <v>465</v>
      </c>
      <c r="K22" s="119"/>
      <c r="U22" s="168">
        <f t="shared" ref="U22:U118" si="0">U21+1</f>
        <v>2</v>
      </c>
      <c r="V22" s="172" t="b">
        <v>1</v>
      </c>
      <c r="W22" s="126" t="s">
        <v>466</v>
      </c>
      <c r="X22" s="126" t="s">
        <v>462</v>
      </c>
      <c r="Y22" s="174">
        <v>876192047</v>
      </c>
      <c r="Z22" s="119"/>
      <c r="AA22" s="119"/>
      <c r="AB22" s="172" t="b">
        <v>0</v>
      </c>
      <c r="AC22" s="169" t="b">
        <v>0</v>
      </c>
      <c r="AD22" s="169" t="b">
        <v>0</v>
      </c>
      <c r="AE22" s="169" t="b">
        <v>0</v>
      </c>
    </row>
    <row r="23" spans="1:31" x14ac:dyDescent="0.2">
      <c r="A23" s="103" t="s">
        <v>293</v>
      </c>
      <c r="B23" s="175">
        <v>2</v>
      </c>
      <c r="C23" s="175">
        <v>2</v>
      </c>
      <c r="D23" s="175">
        <v>5</v>
      </c>
      <c r="E23" s="175">
        <v>12</v>
      </c>
      <c r="F23" s="175">
        <v>6</v>
      </c>
      <c r="G23" s="175">
        <v>15</v>
      </c>
      <c r="H23" s="175">
        <v>6</v>
      </c>
      <c r="I23" s="175">
        <v>15</v>
      </c>
      <c r="J23" s="176"/>
      <c r="K23" s="119" t="s">
        <v>467</v>
      </c>
      <c r="U23" s="168">
        <f t="shared" si="0"/>
        <v>3</v>
      </c>
      <c r="V23" s="172" t="b">
        <v>1</v>
      </c>
      <c r="W23" s="126" t="s">
        <v>468</v>
      </c>
      <c r="X23" s="126" t="s">
        <v>462</v>
      </c>
      <c r="Y23" s="174">
        <v>857106808</v>
      </c>
      <c r="Z23" s="119"/>
      <c r="AA23" s="119"/>
      <c r="AB23" s="169" t="b">
        <v>0</v>
      </c>
      <c r="AC23" s="172" t="b">
        <v>1</v>
      </c>
      <c r="AD23" s="172" t="b">
        <v>1</v>
      </c>
      <c r="AE23" s="172" t="b">
        <v>1</v>
      </c>
    </row>
    <row r="24" spans="1:31" x14ac:dyDescent="0.2">
      <c r="A24" s="103" t="s">
        <v>210</v>
      </c>
      <c r="B24" s="175">
        <v>2</v>
      </c>
      <c r="C24" s="175">
        <v>2</v>
      </c>
      <c r="D24" s="175">
        <v>5</v>
      </c>
      <c r="E24" s="175">
        <v>12</v>
      </c>
      <c r="F24" s="175">
        <v>6</v>
      </c>
      <c r="G24" s="175">
        <v>15</v>
      </c>
      <c r="H24" s="175">
        <v>6</v>
      </c>
      <c r="I24" s="175">
        <v>15</v>
      </c>
      <c r="J24" s="176"/>
      <c r="K24" s="119" t="s">
        <v>467</v>
      </c>
      <c r="U24" s="168">
        <f t="shared" si="0"/>
        <v>4</v>
      </c>
      <c r="V24" s="172" t="b">
        <v>1</v>
      </c>
      <c r="W24" s="119" t="s">
        <v>469</v>
      </c>
      <c r="X24" s="126" t="s">
        <v>462</v>
      </c>
      <c r="Y24" s="123">
        <v>872416613</v>
      </c>
      <c r="Z24" s="126" t="s">
        <v>470</v>
      </c>
      <c r="AA24" s="119"/>
      <c r="AB24" s="169" t="b">
        <v>0</v>
      </c>
      <c r="AC24" s="169" t="b">
        <v>0</v>
      </c>
      <c r="AD24" s="169" t="b">
        <v>0</v>
      </c>
      <c r="AE24" s="169" t="b">
        <v>0</v>
      </c>
    </row>
    <row r="25" spans="1:31" x14ac:dyDescent="0.2">
      <c r="A25" s="103" t="s">
        <v>435</v>
      </c>
      <c r="B25" s="175">
        <v>2</v>
      </c>
      <c r="C25" s="175">
        <v>2</v>
      </c>
      <c r="D25" s="175">
        <v>5</v>
      </c>
      <c r="E25" s="175">
        <v>12</v>
      </c>
      <c r="F25" s="175">
        <v>6</v>
      </c>
      <c r="G25" s="175">
        <v>15</v>
      </c>
      <c r="H25" s="175">
        <v>6</v>
      </c>
      <c r="I25" s="175">
        <v>15</v>
      </c>
      <c r="J25" s="176"/>
      <c r="K25" s="119" t="s">
        <v>467</v>
      </c>
      <c r="U25" s="168">
        <f t="shared" si="0"/>
        <v>5</v>
      </c>
      <c r="V25" s="172" t="b">
        <v>1</v>
      </c>
      <c r="W25" s="126" t="s">
        <v>471</v>
      </c>
      <c r="X25" s="126" t="s">
        <v>472</v>
      </c>
      <c r="Y25" s="174"/>
      <c r="Z25" s="126"/>
      <c r="AA25" s="126"/>
      <c r="AB25" s="169" t="b">
        <v>0</v>
      </c>
      <c r="AC25" s="169" t="b">
        <v>0</v>
      </c>
      <c r="AD25" s="169" t="b">
        <v>0</v>
      </c>
      <c r="AE25" s="169" t="b">
        <v>0</v>
      </c>
    </row>
    <row r="26" spans="1:31" x14ac:dyDescent="0.2">
      <c r="A26" s="103" t="s">
        <v>161</v>
      </c>
      <c r="B26" s="175">
        <v>3</v>
      </c>
      <c r="C26" s="175">
        <v>4</v>
      </c>
      <c r="D26" s="175">
        <v>7</v>
      </c>
      <c r="E26" s="175">
        <v>12</v>
      </c>
      <c r="F26" s="175">
        <v>7</v>
      </c>
      <c r="G26" s="175">
        <v>15</v>
      </c>
      <c r="H26" s="175">
        <v>7</v>
      </c>
      <c r="I26" s="175">
        <v>15</v>
      </c>
      <c r="J26" s="176"/>
      <c r="K26" s="119" t="s">
        <v>467</v>
      </c>
      <c r="U26" s="168">
        <f t="shared" si="0"/>
        <v>6</v>
      </c>
      <c r="V26" s="172" t="b">
        <v>1</v>
      </c>
      <c r="W26" s="126" t="s">
        <v>244</v>
      </c>
      <c r="X26" s="126" t="s">
        <v>473</v>
      </c>
      <c r="Y26" s="174"/>
      <c r="Z26" s="126"/>
      <c r="AA26" s="126"/>
      <c r="AB26" s="169" t="b">
        <v>0</v>
      </c>
      <c r="AC26" s="169" t="b">
        <v>0</v>
      </c>
      <c r="AD26" s="169" t="b">
        <v>0</v>
      </c>
      <c r="AE26" s="169" t="b">
        <v>0</v>
      </c>
    </row>
    <row r="27" spans="1:31" x14ac:dyDescent="0.2">
      <c r="A27" s="103" t="s">
        <v>21</v>
      </c>
      <c r="B27" s="175">
        <v>3</v>
      </c>
      <c r="C27" s="175">
        <v>2</v>
      </c>
      <c r="D27" s="175">
        <v>7</v>
      </c>
      <c r="E27" s="175">
        <v>12</v>
      </c>
      <c r="F27" s="175">
        <v>8</v>
      </c>
      <c r="G27" s="175">
        <v>15</v>
      </c>
      <c r="H27" s="175">
        <v>8</v>
      </c>
      <c r="I27" s="175">
        <v>15</v>
      </c>
      <c r="J27" s="176"/>
      <c r="K27" s="119" t="s">
        <v>467</v>
      </c>
      <c r="U27" s="168">
        <f t="shared" si="0"/>
        <v>7</v>
      </c>
      <c r="V27" s="172" t="b">
        <v>1</v>
      </c>
      <c r="W27" s="126" t="s">
        <v>474</v>
      </c>
      <c r="X27" s="126" t="s">
        <v>473</v>
      </c>
      <c r="Y27" s="174"/>
      <c r="Z27" s="126"/>
      <c r="AA27" s="126"/>
      <c r="AB27" s="169" t="b">
        <v>0</v>
      </c>
      <c r="AC27" s="169" t="b">
        <v>0</v>
      </c>
      <c r="AD27" s="169" t="b">
        <v>0</v>
      </c>
      <c r="AE27" s="169" t="b">
        <v>0</v>
      </c>
    </row>
    <row r="28" spans="1:31" x14ac:dyDescent="0.2">
      <c r="A28" s="103" t="s">
        <v>439</v>
      </c>
      <c r="B28" s="175">
        <v>2</v>
      </c>
      <c r="C28" s="175">
        <v>2</v>
      </c>
      <c r="D28" s="175">
        <v>6</v>
      </c>
      <c r="E28" s="175">
        <v>12</v>
      </c>
      <c r="F28" s="175">
        <v>7</v>
      </c>
      <c r="G28" s="175">
        <v>15</v>
      </c>
      <c r="H28" s="175">
        <v>7</v>
      </c>
      <c r="I28" s="175">
        <v>15</v>
      </c>
      <c r="J28" s="176"/>
      <c r="K28" s="119" t="s">
        <v>467</v>
      </c>
      <c r="U28" s="168">
        <f t="shared" si="0"/>
        <v>8</v>
      </c>
      <c r="V28" s="172" t="b">
        <v>1</v>
      </c>
      <c r="W28" s="126" t="s">
        <v>475</v>
      </c>
      <c r="X28" s="126" t="s">
        <v>473</v>
      </c>
      <c r="Y28" s="174"/>
      <c r="Z28" s="119"/>
      <c r="AA28" s="126"/>
      <c r="AB28" s="169" t="b">
        <v>0</v>
      </c>
      <c r="AC28" s="172" t="b">
        <v>1</v>
      </c>
      <c r="AD28" s="172" t="b">
        <v>1</v>
      </c>
      <c r="AE28" s="172" t="b">
        <v>1</v>
      </c>
    </row>
    <row r="29" spans="1:31" x14ac:dyDescent="0.2">
      <c r="A29" s="103" t="s">
        <v>441</v>
      </c>
      <c r="B29" s="175">
        <v>2</v>
      </c>
      <c r="C29" s="175">
        <v>2</v>
      </c>
      <c r="D29" s="175">
        <v>6</v>
      </c>
      <c r="E29" s="175">
        <v>12</v>
      </c>
      <c r="F29" s="175">
        <v>7</v>
      </c>
      <c r="G29" s="175">
        <v>15</v>
      </c>
      <c r="H29" s="175">
        <v>7</v>
      </c>
      <c r="I29" s="175">
        <v>15</v>
      </c>
      <c r="J29" s="176"/>
      <c r="K29" s="119" t="s">
        <v>467</v>
      </c>
      <c r="U29" s="168">
        <f t="shared" si="0"/>
        <v>9</v>
      </c>
      <c r="V29" s="172" t="b">
        <v>1</v>
      </c>
      <c r="W29" s="126" t="s">
        <v>476</v>
      </c>
      <c r="X29" s="126" t="s">
        <v>477</v>
      </c>
      <c r="Y29" s="174">
        <v>877073894</v>
      </c>
      <c r="Z29" s="119"/>
      <c r="AA29" s="126" t="s">
        <v>478</v>
      </c>
      <c r="AB29" s="169" t="b">
        <v>0</v>
      </c>
      <c r="AC29" s="172" t="b">
        <v>1</v>
      </c>
      <c r="AD29" s="172" t="b">
        <v>1</v>
      </c>
      <c r="AE29" s="172" t="b">
        <v>1</v>
      </c>
    </row>
    <row r="30" spans="1:31" x14ac:dyDescent="0.2">
      <c r="A30" s="93" t="s">
        <v>44</v>
      </c>
      <c r="B30" s="175">
        <v>2</v>
      </c>
      <c r="C30" s="175">
        <v>2</v>
      </c>
      <c r="D30" s="175">
        <v>6</v>
      </c>
      <c r="E30" s="175">
        <v>12</v>
      </c>
      <c r="F30" s="175">
        <v>7</v>
      </c>
      <c r="G30" s="175">
        <v>15</v>
      </c>
      <c r="H30" s="175">
        <v>7</v>
      </c>
      <c r="I30" s="175">
        <v>15</v>
      </c>
      <c r="J30" s="176"/>
      <c r="K30" s="119" t="s">
        <v>467</v>
      </c>
      <c r="U30" s="168">
        <f t="shared" si="0"/>
        <v>10</v>
      </c>
      <c r="V30" s="172" t="b">
        <v>1</v>
      </c>
      <c r="W30" s="126" t="s">
        <v>479</v>
      </c>
      <c r="X30" s="126" t="s">
        <v>480</v>
      </c>
      <c r="Y30" s="174">
        <v>877073894</v>
      </c>
      <c r="Z30" s="119"/>
      <c r="AA30" s="126" t="s">
        <v>478</v>
      </c>
      <c r="AB30" s="169" t="b">
        <v>0</v>
      </c>
      <c r="AC30" s="172" t="b">
        <v>1</v>
      </c>
      <c r="AD30" s="172" t="b">
        <v>1</v>
      </c>
      <c r="AE30" s="172" t="b">
        <v>1</v>
      </c>
    </row>
    <row r="31" spans="1:31" x14ac:dyDescent="0.2">
      <c r="A31" s="160" t="s">
        <v>444</v>
      </c>
      <c r="B31" s="176"/>
      <c r="C31" s="176"/>
      <c r="D31" s="176"/>
      <c r="E31" s="176"/>
      <c r="F31" s="176"/>
      <c r="G31" s="176"/>
      <c r="H31" s="176"/>
      <c r="I31" s="176"/>
      <c r="J31" s="176"/>
      <c r="K31" s="119" t="s">
        <v>467</v>
      </c>
      <c r="U31" s="168">
        <f t="shared" si="0"/>
        <v>11</v>
      </c>
      <c r="V31" s="172" t="b">
        <v>1</v>
      </c>
      <c r="W31" s="126" t="s">
        <v>176</v>
      </c>
      <c r="X31" s="126" t="s">
        <v>481</v>
      </c>
      <c r="Y31" s="174"/>
      <c r="Z31" s="126"/>
      <c r="AA31" s="126"/>
      <c r="AB31" s="172" t="b">
        <v>1</v>
      </c>
      <c r="AC31" s="172" t="b">
        <v>1</v>
      </c>
      <c r="AD31" s="172" t="b">
        <v>1</v>
      </c>
      <c r="AE31" s="172" t="b">
        <v>1</v>
      </c>
    </row>
    <row r="32" spans="1:31" x14ac:dyDescent="0.2">
      <c r="A32" s="103" t="s">
        <v>445</v>
      </c>
      <c r="B32" s="175">
        <v>1</v>
      </c>
      <c r="C32" s="175">
        <v>1</v>
      </c>
      <c r="D32" s="175">
        <v>2</v>
      </c>
      <c r="E32" s="175">
        <v>12</v>
      </c>
      <c r="F32" s="175">
        <v>2</v>
      </c>
      <c r="G32" s="175">
        <v>15</v>
      </c>
      <c r="H32" s="175">
        <v>2</v>
      </c>
      <c r="I32" s="175">
        <v>15</v>
      </c>
      <c r="J32" s="176"/>
      <c r="K32" s="119" t="s">
        <v>467</v>
      </c>
      <c r="U32" s="168">
        <f t="shared" si="0"/>
        <v>12</v>
      </c>
      <c r="V32" s="172" t="b">
        <v>1</v>
      </c>
      <c r="W32" s="126" t="s">
        <v>286</v>
      </c>
      <c r="X32" s="126" t="s">
        <v>482</v>
      </c>
      <c r="Y32" s="174"/>
      <c r="Z32" s="126"/>
      <c r="AA32" s="126"/>
      <c r="AB32" s="172" t="b">
        <v>1</v>
      </c>
      <c r="AC32" s="172" t="b">
        <v>1</v>
      </c>
      <c r="AD32" s="172" t="b">
        <v>1</v>
      </c>
      <c r="AE32" s="172" t="b">
        <v>1</v>
      </c>
    </row>
    <row r="33" spans="1:31" x14ac:dyDescent="0.2">
      <c r="A33" s="103" t="s">
        <v>446</v>
      </c>
      <c r="B33" s="175">
        <v>1</v>
      </c>
      <c r="C33" s="175">
        <v>1</v>
      </c>
      <c r="D33" s="175">
        <v>2</v>
      </c>
      <c r="E33" s="175">
        <v>12</v>
      </c>
      <c r="F33" s="175">
        <v>2</v>
      </c>
      <c r="G33" s="175">
        <v>15</v>
      </c>
      <c r="H33" s="175">
        <v>2</v>
      </c>
      <c r="I33" s="175">
        <v>15</v>
      </c>
      <c r="J33" s="176"/>
      <c r="K33" s="119" t="s">
        <v>467</v>
      </c>
      <c r="U33" s="168">
        <f t="shared" si="0"/>
        <v>13</v>
      </c>
      <c r="V33" s="172" t="b">
        <v>1</v>
      </c>
      <c r="W33" s="126" t="s">
        <v>483</v>
      </c>
      <c r="X33" s="126" t="s">
        <v>484</v>
      </c>
      <c r="Y33" s="123"/>
      <c r="Z33" s="126"/>
      <c r="AA33" s="126"/>
      <c r="AB33" s="172" t="b">
        <v>1</v>
      </c>
      <c r="AC33" s="172" t="b">
        <v>1</v>
      </c>
      <c r="AD33" s="172" t="b">
        <v>1</v>
      </c>
      <c r="AE33" s="172" t="b">
        <v>1</v>
      </c>
    </row>
    <row r="34" spans="1:31" x14ac:dyDescent="0.2">
      <c r="A34" s="161" t="s">
        <v>447</v>
      </c>
      <c r="B34" s="175">
        <v>1</v>
      </c>
      <c r="C34" s="175">
        <v>1</v>
      </c>
      <c r="D34" s="175">
        <v>1</v>
      </c>
      <c r="E34" s="175">
        <v>12</v>
      </c>
      <c r="F34" s="175">
        <v>2</v>
      </c>
      <c r="G34" s="175">
        <v>15</v>
      </c>
      <c r="H34" s="175">
        <v>2</v>
      </c>
      <c r="I34" s="175">
        <v>15</v>
      </c>
      <c r="J34" s="176"/>
      <c r="K34" s="119" t="s">
        <v>467</v>
      </c>
      <c r="U34" s="168">
        <f t="shared" si="0"/>
        <v>14</v>
      </c>
      <c r="V34" s="172" t="b">
        <v>1</v>
      </c>
      <c r="W34" s="126" t="s">
        <v>188</v>
      </c>
      <c r="X34" s="126" t="s">
        <v>480</v>
      </c>
      <c r="Y34" s="174"/>
      <c r="Z34" s="126"/>
      <c r="AA34" s="126"/>
      <c r="AB34" s="172" t="b">
        <v>1</v>
      </c>
      <c r="AC34" s="172" t="b">
        <v>1</v>
      </c>
      <c r="AD34" s="172" t="b">
        <v>1</v>
      </c>
      <c r="AE34" s="172" t="b">
        <v>1</v>
      </c>
    </row>
    <row r="35" spans="1:31" x14ac:dyDescent="0.2">
      <c r="A35" s="103"/>
      <c r="B35" s="175">
        <v>1</v>
      </c>
      <c r="C35" s="175">
        <v>1</v>
      </c>
      <c r="D35" s="175">
        <v>1</v>
      </c>
      <c r="E35" s="175">
        <v>12</v>
      </c>
      <c r="F35" s="175">
        <v>1</v>
      </c>
      <c r="G35" s="175">
        <v>15</v>
      </c>
      <c r="H35" s="175">
        <v>1</v>
      </c>
      <c r="I35" s="175">
        <v>15</v>
      </c>
      <c r="J35" s="176"/>
      <c r="K35" s="119" t="s">
        <v>467</v>
      </c>
      <c r="U35" s="168">
        <f t="shared" si="0"/>
        <v>15</v>
      </c>
      <c r="V35" s="172" t="b">
        <v>1</v>
      </c>
      <c r="W35" s="126" t="s">
        <v>485</v>
      </c>
      <c r="X35" s="126" t="s">
        <v>484</v>
      </c>
      <c r="Y35" s="174"/>
      <c r="Z35" s="126"/>
      <c r="AA35" s="126"/>
      <c r="AB35" s="172" t="b">
        <v>1</v>
      </c>
      <c r="AC35" s="172" t="b">
        <v>1</v>
      </c>
      <c r="AD35" s="172" t="b">
        <v>1</v>
      </c>
      <c r="AE35" s="172" t="b">
        <v>1</v>
      </c>
    </row>
    <row r="36" spans="1:31" x14ac:dyDescent="0.2">
      <c r="A36" s="103"/>
      <c r="B36" s="177">
        <v>1</v>
      </c>
      <c r="C36" s="177">
        <v>1</v>
      </c>
      <c r="D36" s="177">
        <v>1</v>
      </c>
      <c r="E36" s="177">
        <v>12</v>
      </c>
      <c r="F36" s="177">
        <v>2</v>
      </c>
      <c r="G36" s="177">
        <v>15</v>
      </c>
      <c r="H36" s="177">
        <v>2</v>
      </c>
      <c r="I36" s="177">
        <v>15</v>
      </c>
      <c r="J36" s="178"/>
      <c r="K36" s="119" t="s">
        <v>467</v>
      </c>
      <c r="U36" s="168">
        <f t="shared" si="0"/>
        <v>16</v>
      </c>
      <c r="V36" s="172" t="b">
        <v>1</v>
      </c>
      <c r="W36" s="126" t="s">
        <v>486</v>
      </c>
      <c r="X36" s="126" t="s">
        <v>480</v>
      </c>
      <c r="Y36" s="174"/>
      <c r="Z36" s="126"/>
      <c r="AA36" s="126"/>
      <c r="AB36" s="172" t="b">
        <v>1</v>
      </c>
      <c r="AC36" s="172" t="b">
        <v>1</v>
      </c>
      <c r="AD36" s="172" t="b">
        <v>1</v>
      </c>
      <c r="AE36" s="172" t="b">
        <v>1</v>
      </c>
    </row>
    <row r="37" spans="1:31" x14ac:dyDescent="0.2">
      <c r="A37" s="179" t="s">
        <v>487</v>
      </c>
      <c r="B37" s="177">
        <v>4</v>
      </c>
      <c r="C37" s="177">
        <v>10</v>
      </c>
      <c r="D37" s="177">
        <v>5</v>
      </c>
      <c r="E37" s="177">
        <v>12</v>
      </c>
      <c r="F37" s="177">
        <v>5</v>
      </c>
      <c r="G37" s="177">
        <v>12</v>
      </c>
      <c r="H37" s="177">
        <v>5</v>
      </c>
      <c r="I37" s="177">
        <v>12</v>
      </c>
      <c r="J37" s="178"/>
      <c r="K37" s="119" t="s">
        <v>467</v>
      </c>
      <c r="U37" s="168">
        <f t="shared" si="0"/>
        <v>17</v>
      </c>
      <c r="V37" s="172" t="b">
        <v>1</v>
      </c>
      <c r="W37" s="126" t="s">
        <v>488</v>
      </c>
      <c r="X37" s="126" t="s">
        <v>473</v>
      </c>
      <c r="Y37" s="174"/>
      <c r="Z37" s="126"/>
      <c r="AA37" s="126"/>
      <c r="AB37" s="169" t="b">
        <v>0</v>
      </c>
      <c r="AC37" s="172" t="b">
        <v>1</v>
      </c>
      <c r="AD37" s="172" t="b">
        <v>1</v>
      </c>
      <c r="AE37" s="172" t="b">
        <v>1</v>
      </c>
    </row>
    <row r="38" spans="1:31" x14ac:dyDescent="0.2">
      <c r="U38" s="168">
        <f t="shared" si="0"/>
        <v>18</v>
      </c>
      <c r="V38" s="172" t="b">
        <v>1</v>
      </c>
      <c r="W38" s="126" t="s">
        <v>334</v>
      </c>
      <c r="X38" s="126" t="s">
        <v>489</v>
      </c>
      <c r="Y38" s="174">
        <v>857645690</v>
      </c>
      <c r="Z38" s="126" t="s">
        <v>490</v>
      </c>
      <c r="AA38" s="119"/>
      <c r="AB38" s="169" t="b">
        <v>0</v>
      </c>
      <c r="AC38" s="172" t="b">
        <v>1</v>
      </c>
      <c r="AD38" s="172" t="b">
        <v>1</v>
      </c>
      <c r="AE38" s="172" t="b">
        <v>1</v>
      </c>
    </row>
    <row r="39" spans="1:31" x14ac:dyDescent="0.2">
      <c r="A39" s="180"/>
      <c r="B39" s="180"/>
      <c r="C39" s="181"/>
      <c r="D39" s="180"/>
      <c r="E39" s="181"/>
      <c r="F39" s="181"/>
      <c r="G39" s="180"/>
      <c r="H39" s="180"/>
      <c r="I39" s="180"/>
      <c r="J39" s="180"/>
      <c r="K39" s="180"/>
      <c r="U39" s="168">
        <f t="shared" si="0"/>
        <v>19</v>
      </c>
      <c r="V39" s="172" t="b">
        <v>1</v>
      </c>
      <c r="W39" s="126" t="s">
        <v>491</v>
      </c>
      <c r="X39" s="126" t="s">
        <v>489</v>
      </c>
      <c r="Y39" s="174">
        <v>858159925</v>
      </c>
      <c r="Z39" s="126" t="s">
        <v>492</v>
      </c>
      <c r="AA39" s="126" t="s">
        <v>493</v>
      </c>
      <c r="AB39" s="169" t="b">
        <v>0</v>
      </c>
      <c r="AC39" s="172" t="b">
        <v>1</v>
      </c>
      <c r="AD39" s="172" t="b">
        <v>1</v>
      </c>
      <c r="AE39" s="172" t="b">
        <v>1</v>
      </c>
    </row>
    <row r="40" spans="1:31" x14ac:dyDescent="0.2">
      <c r="A40" s="119"/>
      <c r="B40" s="119"/>
      <c r="C40" s="176"/>
      <c r="D40" s="176"/>
      <c r="E40" s="176"/>
      <c r="F40" s="176"/>
      <c r="G40" s="119"/>
      <c r="H40" s="176"/>
      <c r="I40" s="119"/>
      <c r="J40" s="119"/>
      <c r="K40" s="119"/>
      <c r="U40" s="168">
        <f t="shared" si="0"/>
        <v>20</v>
      </c>
      <c r="V40" s="172" t="b">
        <v>1</v>
      </c>
      <c r="W40" s="126" t="s">
        <v>494</v>
      </c>
      <c r="X40" s="126" t="s">
        <v>495</v>
      </c>
      <c r="Y40" s="174">
        <v>852022709</v>
      </c>
      <c r="Z40" s="126" t="s">
        <v>496</v>
      </c>
      <c r="AA40" s="126" t="s">
        <v>493</v>
      </c>
      <c r="AB40" s="169" t="b">
        <v>0</v>
      </c>
      <c r="AC40" s="172" t="b">
        <v>1</v>
      </c>
      <c r="AD40" s="172" t="b">
        <v>1</v>
      </c>
      <c r="AE40" s="172" t="b">
        <v>1</v>
      </c>
    </row>
    <row r="41" spans="1:31" x14ac:dyDescent="0.2">
      <c r="A41" s="182" t="s">
        <v>497</v>
      </c>
      <c r="B41" s="183">
        <f t="shared" ref="B41:J41" si="1">SUM(B23:B40)</f>
        <v>27</v>
      </c>
      <c r="C41" s="183">
        <f t="shared" si="1"/>
        <v>33</v>
      </c>
      <c r="D41" s="183">
        <f t="shared" si="1"/>
        <v>59</v>
      </c>
      <c r="E41" s="183">
        <f t="shared" si="1"/>
        <v>168</v>
      </c>
      <c r="F41" s="183">
        <f t="shared" si="1"/>
        <v>68</v>
      </c>
      <c r="G41" s="183">
        <f t="shared" si="1"/>
        <v>207</v>
      </c>
      <c r="H41" s="183">
        <f t="shared" si="1"/>
        <v>68</v>
      </c>
      <c r="I41" s="183">
        <f t="shared" si="1"/>
        <v>207</v>
      </c>
      <c r="J41" s="183">
        <f t="shared" si="1"/>
        <v>0</v>
      </c>
      <c r="K41" s="183"/>
      <c r="U41" s="168">
        <f t="shared" si="0"/>
        <v>21</v>
      </c>
      <c r="V41" s="172" t="b">
        <v>1</v>
      </c>
      <c r="W41" s="126" t="s">
        <v>498</v>
      </c>
      <c r="X41" s="126" t="s">
        <v>495</v>
      </c>
      <c r="Y41" s="174">
        <v>857302419</v>
      </c>
      <c r="Z41" s="126" t="s">
        <v>499</v>
      </c>
      <c r="AA41" s="119" t="s">
        <v>493</v>
      </c>
      <c r="AB41" s="169" t="b">
        <v>0</v>
      </c>
      <c r="AC41" s="169" t="b">
        <v>0</v>
      </c>
      <c r="AD41" s="172" t="b">
        <v>1</v>
      </c>
      <c r="AE41" s="172" t="b">
        <v>1</v>
      </c>
    </row>
    <row r="42" spans="1:31" x14ac:dyDescent="0.2">
      <c r="A42" s="119"/>
      <c r="B42" s="119"/>
      <c r="C42" s="176"/>
      <c r="D42" s="176"/>
      <c r="E42" s="176"/>
      <c r="F42" s="176"/>
      <c r="G42" s="119"/>
      <c r="H42" s="176"/>
      <c r="I42" s="119"/>
      <c r="J42" s="119"/>
      <c r="K42" s="119"/>
      <c r="U42" s="168">
        <f t="shared" si="0"/>
        <v>22</v>
      </c>
      <c r="V42" s="172" t="b">
        <v>1</v>
      </c>
      <c r="W42" s="126" t="s">
        <v>500</v>
      </c>
      <c r="X42" s="126" t="s">
        <v>484</v>
      </c>
      <c r="Y42" s="174">
        <v>874682865</v>
      </c>
      <c r="Z42" s="126" t="s">
        <v>501</v>
      </c>
      <c r="AA42" s="119" t="s">
        <v>502</v>
      </c>
      <c r="AB42" s="169" t="b">
        <v>0</v>
      </c>
      <c r="AC42" s="172" t="b">
        <v>1</v>
      </c>
      <c r="AD42" s="172" t="b">
        <v>1</v>
      </c>
      <c r="AE42" s="172" t="b">
        <v>1</v>
      </c>
    </row>
    <row r="43" spans="1:31" x14ac:dyDescent="0.2">
      <c r="A43" s="563" t="s">
        <v>503</v>
      </c>
      <c r="B43" s="537"/>
      <c r="C43" s="531"/>
      <c r="D43" s="176"/>
      <c r="E43" s="564" t="s">
        <v>504</v>
      </c>
      <c r="F43" s="537"/>
      <c r="G43" s="537"/>
      <c r="H43" s="537"/>
      <c r="I43" s="537"/>
      <c r="J43" s="537"/>
      <c r="K43" s="531"/>
      <c r="U43" s="168">
        <f t="shared" si="0"/>
        <v>23</v>
      </c>
      <c r="V43" s="172" t="b">
        <v>1</v>
      </c>
      <c r="W43" s="126" t="s">
        <v>372</v>
      </c>
      <c r="X43" s="126" t="s">
        <v>505</v>
      </c>
      <c r="Y43" s="174">
        <v>871897979</v>
      </c>
      <c r="Z43" s="126" t="s">
        <v>506</v>
      </c>
      <c r="AA43" s="126" t="s">
        <v>507</v>
      </c>
      <c r="AB43" s="169" t="b">
        <v>0</v>
      </c>
      <c r="AC43" s="172" t="b">
        <v>1</v>
      </c>
      <c r="AD43" s="172" t="b">
        <v>1</v>
      </c>
      <c r="AE43" s="172" t="b">
        <v>1</v>
      </c>
    </row>
    <row r="44" spans="1:31" x14ac:dyDescent="0.2">
      <c r="A44" s="184" t="s">
        <v>508</v>
      </c>
      <c r="B44" s="185" t="s">
        <v>509</v>
      </c>
      <c r="C44" s="186" t="s">
        <v>95</v>
      </c>
      <c r="D44" s="176"/>
      <c r="E44" s="78" t="s">
        <v>200</v>
      </c>
      <c r="F44" s="78" t="s">
        <v>201</v>
      </c>
      <c r="G44" s="565" t="s">
        <v>96</v>
      </c>
      <c r="H44" s="537"/>
      <c r="I44" s="531"/>
      <c r="J44" s="187" t="s">
        <v>153</v>
      </c>
      <c r="K44" s="188" t="s">
        <v>150</v>
      </c>
      <c r="U44" s="168">
        <f t="shared" si="0"/>
        <v>24</v>
      </c>
      <c r="V44" s="172" t="b">
        <v>1</v>
      </c>
      <c r="W44" s="126" t="s">
        <v>187</v>
      </c>
      <c r="X44" s="126" t="s">
        <v>510</v>
      </c>
      <c r="Y44" s="174">
        <v>857629296</v>
      </c>
      <c r="Z44" s="189" t="s">
        <v>511</v>
      </c>
      <c r="AA44" s="189" t="s">
        <v>512</v>
      </c>
      <c r="AB44" s="169" t="b">
        <v>0</v>
      </c>
      <c r="AC44" s="172" t="b">
        <v>1</v>
      </c>
      <c r="AD44" s="172" t="b">
        <v>1</v>
      </c>
      <c r="AE44" s="172" t="b">
        <v>1</v>
      </c>
    </row>
    <row r="45" spans="1:31" x14ac:dyDescent="0.2">
      <c r="A45" s="103" t="s">
        <v>293</v>
      </c>
      <c r="B45" s="161">
        <v>152</v>
      </c>
      <c r="C45" s="161" t="s">
        <v>513</v>
      </c>
      <c r="D45" s="176"/>
      <c r="E45" s="97" t="s">
        <v>291</v>
      </c>
      <c r="F45" s="97" t="s">
        <v>292</v>
      </c>
      <c r="G45" s="103" t="s">
        <v>126</v>
      </c>
      <c r="H45" s="103" t="s">
        <v>132</v>
      </c>
      <c r="I45" s="103" t="s">
        <v>136</v>
      </c>
      <c r="J45" s="23"/>
      <c r="K45" s="23"/>
      <c r="U45" s="168">
        <f t="shared" si="0"/>
        <v>25</v>
      </c>
      <c r="V45" s="172" t="b">
        <v>1</v>
      </c>
      <c r="W45" s="189" t="s">
        <v>514</v>
      </c>
      <c r="X45" s="189" t="s">
        <v>515</v>
      </c>
      <c r="Y45" s="190">
        <v>872929079</v>
      </c>
      <c r="Z45" s="189" t="s">
        <v>516</v>
      </c>
      <c r="AA45" s="189" t="s">
        <v>493</v>
      </c>
      <c r="AB45" s="191" t="b">
        <v>0</v>
      </c>
      <c r="AC45" s="192" t="b">
        <v>1</v>
      </c>
      <c r="AD45" s="192" t="b">
        <v>1</v>
      </c>
      <c r="AE45" s="192" t="b">
        <v>1</v>
      </c>
    </row>
    <row r="46" spans="1:31" x14ac:dyDescent="0.2">
      <c r="A46" s="103" t="s">
        <v>210</v>
      </c>
      <c r="B46" s="161"/>
      <c r="C46" s="161"/>
      <c r="D46" s="176"/>
      <c r="E46" s="103" t="s">
        <v>293</v>
      </c>
      <c r="F46" s="103" t="s">
        <v>517</v>
      </c>
      <c r="G46" s="193">
        <v>7490</v>
      </c>
      <c r="H46" s="193">
        <v>10775</v>
      </c>
      <c r="I46" s="193">
        <v>10145</v>
      </c>
      <c r="J46" s="194">
        <f t="shared" ref="J46:J58" si="2">SUM(G46:I46)</f>
        <v>28410</v>
      </c>
      <c r="K46" s="195">
        <v>40000</v>
      </c>
      <c r="U46" s="168">
        <f t="shared" si="0"/>
        <v>26</v>
      </c>
      <c r="V46" s="172" t="b">
        <v>1</v>
      </c>
      <c r="W46" s="189" t="s">
        <v>518</v>
      </c>
      <c r="X46" s="189" t="s">
        <v>519</v>
      </c>
      <c r="Y46" s="190">
        <v>857191732</v>
      </c>
      <c r="Z46" s="126" t="s">
        <v>520</v>
      </c>
      <c r="AA46" s="119" t="s">
        <v>493</v>
      </c>
      <c r="AB46" s="191" t="b">
        <v>0</v>
      </c>
      <c r="AC46" s="192" t="b">
        <v>1</v>
      </c>
      <c r="AD46" s="192" t="b">
        <v>1</v>
      </c>
      <c r="AE46" s="192" t="b">
        <v>1</v>
      </c>
    </row>
    <row r="47" spans="1:31" x14ac:dyDescent="0.2">
      <c r="A47" s="103" t="s">
        <v>435</v>
      </c>
      <c r="B47" s="161" t="s">
        <v>438</v>
      </c>
      <c r="C47" s="161" t="s">
        <v>110</v>
      </c>
      <c r="D47" s="176"/>
      <c r="E47" s="103" t="s">
        <v>210</v>
      </c>
      <c r="F47" s="103" t="s">
        <v>517</v>
      </c>
      <c r="G47" s="196">
        <v>4229</v>
      </c>
      <c r="H47" s="196">
        <v>7393</v>
      </c>
      <c r="I47" s="196">
        <v>7820.5</v>
      </c>
      <c r="J47" s="194">
        <f t="shared" si="2"/>
        <v>19442.5</v>
      </c>
      <c r="K47" s="195">
        <v>25000</v>
      </c>
      <c r="U47" s="168">
        <f t="shared" si="0"/>
        <v>27</v>
      </c>
      <c r="V47" s="172" t="b">
        <v>1</v>
      </c>
      <c r="W47" s="126" t="s">
        <v>521</v>
      </c>
      <c r="X47" s="126" t="s">
        <v>522</v>
      </c>
      <c r="Y47" s="174">
        <v>861992532</v>
      </c>
      <c r="Z47" s="126" t="s">
        <v>523</v>
      </c>
      <c r="AA47" s="119" t="s">
        <v>493</v>
      </c>
      <c r="AB47" s="169" t="b">
        <v>0</v>
      </c>
      <c r="AC47" s="172" t="b">
        <v>1</v>
      </c>
      <c r="AD47" s="172" t="b">
        <v>1</v>
      </c>
      <c r="AE47" s="172" t="b">
        <v>1</v>
      </c>
    </row>
    <row r="48" spans="1:31" x14ac:dyDescent="0.2">
      <c r="A48" s="103" t="s">
        <v>161</v>
      </c>
      <c r="B48" s="26"/>
      <c r="C48" s="26"/>
      <c r="E48" s="103" t="s">
        <v>435</v>
      </c>
      <c r="F48" s="103" t="s">
        <v>517</v>
      </c>
      <c r="G48" s="196">
        <v>21087</v>
      </c>
      <c r="H48" s="196">
        <v>34732</v>
      </c>
      <c r="I48" s="196">
        <v>31400</v>
      </c>
      <c r="J48" s="194">
        <f t="shared" si="2"/>
        <v>87219</v>
      </c>
      <c r="K48" s="195">
        <v>80000</v>
      </c>
      <c r="U48" s="168">
        <f t="shared" si="0"/>
        <v>28</v>
      </c>
      <c r="V48" s="172" t="b">
        <v>1</v>
      </c>
      <c r="W48" s="126" t="s">
        <v>175</v>
      </c>
      <c r="X48" s="126" t="s">
        <v>524</v>
      </c>
      <c r="Y48" s="174">
        <v>899785268</v>
      </c>
      <c r="Z48" s="126" t="s">
        <v>525</v>
      </c>
      <c r="AA48" s="119" t="s">
        <v>493</v>
      </c>
      <c r="AB48" s="172" t="b">
        <v>1</v>
      </c>
      <c r="AC48" s="172" t="b">
        <v>1</v>
      </c>
      <c r="AD48" s="172" t="b">
        <v>1</v>
      </c>
      <c r="AE48" s="172" t="b">
        <v>1</v>
      </c>
    </row>
    <row r="49" spans="1:31" x14ac:dyDescent="0.2">
      <c r="A49" s="103" t="s">
        <v>21</v>
      </c>
      <c r="B49" s="26" t="s">
        <v>526</v>
      </c>
      <c r="C49" s="26" t="s">
        <v>99</v>
      </c>
      <c r="E49" s="103" t="s">
        <v>161</v>
      </c>
      <c r="F49" s="103" t="s">
        <v>517</v>
      </c>
      <c r="G49" s="196">
        <v>12211</v>
      </c>
      <c r="H49" s="196">
        <v>17604</v>
      </c>
      <c r="I49" s="196">
        <v>16130</v>
      </c>
      <c r="J49" s="194">
        <f t="shared" si="2"/>
        <v>45945</v>
      </c>
      <c r="K49" s="195">
        <v>50000</v>
      </c>
      <c r="U49" s="168">
        <f t="shared" si="0"/>
        <v>29</v>
      </c>
      <c r="V49" s="172" t="b">
        <v>1</v>
      </c>
      <c r="W49" s="126" t="s">
        <v>244</v>
      </c>
      <c r="X49" s="126" t="s">
        <v>527</v>
      </c>
      <c r="Y49" s="174">
        <v>894487843</v>
      </c>
      <c r="Z49" s="126" t="s">
        <v>528</v>
      </c>
      <c r="AA49" s="126" t="s">
        <v>529</v>
      </c>
      <c r="AB49" s="169" t="b">
        <v>0</v>
      </c>
      <c r="AC49" s="169" t="b">
        <v>0</v>
      </c>
      <c r="AD49" s="172" t="b">
        <v>1</v>
      </c>
      <c r="AE49" s="172" t="b">
        <v>1</v>
      </c>
    </row>
    <row r="50" spans="1:31" x14ac:dyDescent="0.2">
      <c r="A50" s="103" t="s">
        <v>439</v>
      </c>
      <c r="B50" s="26" t="s">
        <v>530</v>
      </c>
      <c r="C50" s="26" t="s">
        <v>105</v>
      </c>
      <c r="E50" s="103" t="s">
        <v>21</v>
      </c>
      <c r="F50" s="103" t="s">
        <v>531</v>
      </c>
      <c r="G50" s="196">
        <v>10511</v>
      </c>
      <c r="H50" s="196">
        <v>11600</v>
      </c>
      <c r="I50" s="196">
        <v>12816.5</v>
      </c>
      <c r="J50" s="194">
        <f t="shared" si="2"/>
        <v>34927.5</v>
      </c>
      <c r="K50" s="195">
        <v>60000</v>
      </c>
      <c r="U50" s="168">
        <f t="shared" si="0"/>
        <v>30</v>
      </c>
      <c r="V50" s="172" t="b">
        <v>1</v>
      </c>
      <c r="W50" s="126" t="s">
        <v>282</v>
      </c>
      <c r="X50" s="126" t="s">
        <v>532</v>
      </c>
      <c r="Y50" s="174">
        <v>862327466</v>
      </c>
      <c r="Z50" s="126" t="s">
        <v>533</v>
      </c>
      <c r="AA50" s="126" t="s">
        <v>534</v>
      </c>
      <c r="AB50" s="169" t="b">
        <v>0</v>
      </c>
      <c r="AC50" s="169" t="b">
        <v>0</v>
      </c>
      <c r="AD50" s="172" t="b">
        <v>1</v>
      </c>
      <c r="AE50" s="172" t="b">
        <v>1</v>
      </c>
    </row>
    <row r="51" spans="1:31" x14ac:dyDescent="0.2">
      <c r="A51" s="103" t="s">
        <v>441</v>
      </c>
      <c r="B51" s="26" t="s">
        <v>535</v>
      </c>
      <c r="C51" s="26" t="s">
        <v>536</v>
      </c>
      <c r="E51" s="103" t="s">
        <v>439</v>
      </c>
      <c r="F51" s="103" t="s">
        <v>531</v>
      </c>
      <c r="G51" s="196">
        <v>10997</v>
      </c>
      <c r="H51" s="196">
        <v>12500</v>
      </c>
      <c r="I51" s="196">
        <v>11023</v>
      </c>
      <c r="J51" s="194">
        <f t="shared" si="2"/>
        <v>34520</v>
      </c>
      <c r="K51" s="195">
        <v>50000</v>
      </c>
      <c r="U51" s="168">
        <f t="shared" si="0"/>
        <v>31</v>
      </c>
      <c r="V51" s="172" t="b">
        <v>1</v>
      </c>
      <c r="W51" s="126" t="s">
        <v>279</v>
      </c>
      <c r="X51" s="126" t="s">
        <v>537</v>
      </c>
      <c r="Y51" s="174">
        <v>851801005</v>
      </c>
      <c r="Z51" s="126" t="s">
        <v>538</v>
      </c>
      <c r="AA51" s="126" t="s">
        <v>534</v>
      </c>
      <c r="AB51" s="169" t="b">
        <v>0</v>
      </c>
      <c r="AC51" s="172" t="b">
        <v>1</v>
      </c>
      <c r="AD51" s="172" t="b">
        <v>1</v>
      </c>
      <c r="AE51" s="172" t="b">
        <v>1</v>
      </c>
    </row>
    <row r="52" spans="1:31" x14ac:dyDescent="0.2">
      <c r="A52" s="93" t="s">
        <v>44</v>
      </c>
      <c r="B52" s="26" t="s">
        <v>539</v>
      </c>
      <c r="C52" s="25"/>
      <c r="E52" s="103" t="s">
        <v>44</v>
      </c>
      <c r="F52" s="103" t="s">
        <v>517</v>
      </c>
      <c r="G52" s="196">
        <v>8495</v>
      </c>
      <c r="H52" s="196">
        <v>9332</v>
      </c>
      <c r="I52" s="196">
        <v>7569</v>
      </c>
      <c r="J52" s="194">
        <f t="shared" si="2"/>
        <v>25396</v>
      </c>
      <c r="K52" s="195">
        <v>30000</v>
      </c>
      <c r="U52" s="168">
        <f t="shared" si="0"/>
        <v>32</v>
      </c>
      <c r="V52" s="172" t="b">
        <v>1</v>
      </c>
      <c r="W52" s="126" t="s">
        <v>540</v>
      </c>
      <c r="X52" s="126" t="s">
        <v>541</v>
      </c>
      <c r="Y52" s="174">
        <v>851053891</v>
      </c>
      <c r="Z52" s="126" t="s">
        <v>542</v>
      </c>
      <c r="AA52" s="119" t="s">
        <v>493</v>
      </c>
      <c r="AB52" s="169" t="b">
        <v>0</v>
      </c>
      <c r="AC52" s="169" t="b">
        <v>0</v>
      </c>
      <c r="AD52" s="169" t="b">
        <v>0</v>
      </c>
      <c r="AE52" s="169" t="b">
        <v>0</v>
      </c>
    </row>
    <row r="53" spans="1:31" x14ac:dyDescent="0.2">
      <c r="A53" s="103" t="s">
        <v>445</v>
      </c>
      <c r="B53" s="26"/>
      <c r="C53" s="26" t="s">
        <v>543</v>
      </c>
      <c r="E53" s="22" t="s">
        <v>441</v>
      </c>
      <c r="F53" s="103" t="s">
        <v>517</v>
      </c>
      <c r="G53" s="196">
        <v>10910</v>
      </c>
      <c r="H53" s="196">
        <v>14546</v>
      </c>
      <c r="I53" s="196">
        <v>13214</v>
      </c>
      <c r="J53" s="194">
        <f t="shared" si="2"/>
        <v>38670</v>
      </c>
      <c r="K53" s="195">
        <v>50000</v>
      </c>
      <c r="U53" s="168">
        <f t="shared" si="0"/>
        <v>33</v>
      </c>
      <c r="V53" s="172" t="b">
        <v>1</v>
      </c>
      <c r="W53" s="126" t="s">
        <v>544</v>
      </c>
      <c r="X53" s="126" t="s">
        <v>545</v>
      </c>
      <c r="Y53" s="174">
        <v>894919005</v>
      </c>
      <c r="Z53" s="126" t="s">
        <v>546</v>
      </c>
      <c r="AA53" s="126" t="s">
        <v>493</v>
      </c>
      <c r="AB53" s="169" t="b">
        <v>0</v>
      </c>
      <c r="AC53" s="169" t="b">
        <v>0</v>
      </c>
      <c r="AD53" s="169" t="b">
        <v>0</v>
      </c>
      <c r="AE53" s="169" t="b">
        <v>0</v>
      </c>
    </row>
    <row r="54" spans="1:31" x14ac:dyDescent="0.2">
      <c r="A54" s="103" t="s">
        <v>446</v>
      </c>
      <c r="B54" s="26"/>
      <c r="C54" s="26" t="s">
        <v>102</v>
      </c>
      <c r="E54" s="197" t="s">
        <v>444</v>
      </c>
      <c r="F54" s="198"/>
      <c r="G54" s="196"/>
      <c r="H54" s="196"/>
      <c r="I54" s="196"/>
      <c r="J54" s="194">
        <f t="shared" si="2"/>
        <v>0</v>
      </c>
      <c r="K54" s="199"/>
      <c r="U54" s="168">
        <f t="shared" si="0"/>
        <v>34</v>
      </c>
      <c r="V54" s="172" t="b">
        <v>0</v>
      </c>
      <c r="W54" s="126"/>
      <c r="X54" s="126"/>
      <c r="Y54" s="174"/>
      <c r="Z54" s="126"/>
      <c r="AA54" s="126" t="s">
        <v>493</v>
      </c>
      <c r="AB54" s="169" t="b">
        <v>0</v>
      </c>
      <c r="AC54" s="169" t="b">
        <v>0</v>
      </c>
      <c r="AD54" s="169" t="b">
        <v>0</v>
      </c>
      <c r="AE54" s="169" t="b">
        <v>0</v>
      </c>
    </row>
    <row r="55" spans="1:31" x14ac:dyDescent="0.2">
      <c r="A55" s="161" t="s">
        <v>447</v>
      </c>
      <c r="B55" s="26"/>
      <c r="C55" s="26" t="s">
        <v>547</v>
      </c>
      <c r="E55" s="103" t="s">
        <v>445</v>
      </c>
      <c r="F55" s="103" t="s">
        <v>531</v>
      </c>
      <c r="G55" s="193">
        <v>3828</v>
      </c>
      <c r="H55" s="193">
        <v>4204</v>
      </c>
      <c r="I55" s="193">
        <v>4310</v>
      </c>
      <c r="J55" s="194">
        <f t="shared" si="2"/>
        <v>12342</v>
      </c>
      <c r="K55" s="199"/>
      <c r="U55" s="168">
        <f t="shared" si="0"/>
        <v>35</v>
      </c>
      <c r="V55" s="172" t="b">
        <v>1</v>
      </c>
      <c r="W55" s="126" t="s">
        <v>548</v>
      </c>
      <c r="X55" s="126" t="s">
        <v>549</v>
      </c>
      <c r="Y55" s="174">
        <v>873354999</v>
      </c>
      <c r="Z55" s="126" t="s">
        <v>550</v>
      </c>
      <c r="AA55" s="119" t="s">
        <v>493</v>
      </c>
      <c r="AB55" s="169" t="b">
        <v>0</v>
      </c>
      <c r="AC55" s="169" t="b">
        <v>0</v>
      </c>
      <c r="AD55" s="169" t="b">
        <v>0</v>
      </c>
      <c r="AE55" s="169" t="b">
        <v>0</v>
      </c>
    </row>
    <row r="56" spans="1:31" x14ac:dyDescent="0.2">
      <c r="A56" s="22" t="s">
        <v>551</v>
      </c>
      <c r="B56" s="26"/>
      <c r="C56" s="26" t="s">
        <v>466</v>
      </c>
      <c r="E56" s="103" t="s">
        <v>446</v>
      </c>
      <c r="F56" s="103" t="s">
        <v>531</v>
      </c>
      <c r="G56" s="196">
        <v>2385</v>
      </c>
      <c r="H56" s="196">
        <v>3116</v>
      </c>
      <c r="I56" s="196">
        <v>2985</v>
      </c>
      <c r="J56" s="194">
        <f t="shared" si="2"/>
        <v>8486</v>
      </c>
      <c r="K56" s="199"/>
      <c r="U56" s="168">
        <f t="shared" si="0"/>
        <v>36</v>
      </c>
      <c r="V56" s="172" t="b">
        <v>0</v>
      </c>
      <c r="W56" s="126"/>
      <c r="X56" s="126"/>
      <c r="Y56" s="174"/>
      <c r="Z56" s="126"/>
      <c r="AA56" s="119" t="s">
        <v>493</v>
      </c>
      <c r="AB56" s="169" t="b">
        <v>0</v>
      </c>
      <c r="AC56" s="169" t="b">
        <v>0</v>
      </c>
      <c r="AD56" s="169" t="b">
        <v>0</v>
      </c>
      <c r="AE56" s="169" t="b">
        <v>0</v>
      </c>
    </row>
    <row r="57" spans="1:31" x14ac:dyDescent="0.2">
      <c r="A57" s="103" t="s">
        <v>552</v>
      </c>
      <c r="B57" s="26"/>
      <c r="C57" s="26"/>
      <c r="E57" s="161" t="s">
        <v>553</v>
      </c>
      <c r="F57" s="103" t="s">
        <v>517</v>
      </c>
      <c r="G57" s="196">
        <v>4166</v>
      </c>
      <c r="H57" s="196">
        <v>6494</v>
      </c>
      <c r="I57" s="196">
        <v>6332.5</v>
      </c>
      <c r="J57" s="194">
        <f t="shared" si="2"/>
        <v>16992.5</v>
      </c>
      <c r="K57" s="199"/>
      <c r="U57" s="168">
        <f t="shared" si="0"/>
        <v>37</v>
      </c>
      <c r="V57" s="172" t="b">
        <v>1</v>
      </c>
      <c r="W57" s="126" t="s">
        <v>554</v>
      </c>
      <c r="X57" s="126" t="s">
        <v>555</v>
      </c>
      <c r="Y57" s="174">
        <v>894904731</v>
      </c>
      <c r="Z57" s="126" t="s">
        <v>556</v>
      </c>
      <c r="AA57" s="126" t="s">
        <v>493</v>
      </c>
      <c r="AB57" s="169" t="b">
        <v>0</v>
      </c>
      <c r="AC57" s="169" t="b">
        <v>0</v>
      </c>
      <c r="AD57" s="169" t="b">
        <v>0</v>
      </c>
      <c r="AE57" s="169" t="b">
        <v>0</v>
      </c>
    </row>
    <row r="58" spans="1:31" x14ac:dyDescent="0.2">
      <c r="A58" s="103" t="s">
        <v>557</v>
      </c>
      <c r="B58" s="26"/>
      <c r="C58" s="26" t="s">
        <v>246</v>
      </c>
      <c r="E58" s="103"/>
      <c r="F58" s="23"/>
      <c r="G58" s="196"/>
      <c r="H58" s="196"/>
      <c r="I58" s="196"/>
      <c r="J58" s="194">
        <f t="shared" si="2"/>
        <v>0</v>
      </c>
      <c r="K58" s="199"/>
      <c r="U58" s="168">
        <f t="shared" si="0"/>
        <v>38</v>
      </c>
      <c r="V58" s="172" t="b">
        <v>1</v>
      </c>
      <c r="W58" s="126" t="s">
        <v>488</v>
      </c>
      <c r="X58" s="126" t="s">
        <v>473</v>
      </c>
      <c r="Y58" s="174"/>
      <c r="Z58" s="126"/>
      <c r="AA58" s="119" t="s">
        <v>493</v>
      </c>
      <c r="AB58" s="169" t="b">
        <v>0</v>
      </c>
      <c r="AC58" s="169" t="b">
        <v>0</v>
      </c>
      <c r="AD58" s="169" t="b">
        <v>0</v>
      </c>
      <c r="AE58" s="169" t="b">
        <v>0</v>
      </c>
    </row>
    <row r="59" spans="1:31" x14ac:dyDescent="0.2">
      <c r="A59" s="93" t="s">
        <v>558</v>
      </c>
      <c r="B59" s="26"/>
      <c r="C59" s="26" t="s">
        <v>238</v>
      </c>
      <c r="E59" s="23"/>
      <c r="F59" s="187" t="s">
        <v>153</v>
      </c>
      <c r="G59" s="200">
        <f t="shared" ref="G59:I59" si="3">SUM(G46:G57)</f>
        <v>96309</v>
      </c>
      <c r="H59" s="200">
        <f t="shared" si="3"/>
        <v>132296</v>
      </c>
      <c r="I59" s="200">
        <f t="shared" si="3"/>
        <v>123745.5</v>
      </c>
      <c r="J59" s="201">
        <f t="shared" ref="J59:K59" si="4">SUM(J46:J58)</f>
        <v>352350.5</v>
      </c>
      <c r="K59" s="201">
        <f t="shared" si="4"/>
        <v>385000</v>
      </c>
      <c r="U59" s="168">
        <f t="shared" si="0"/>
        <v>39</v>
      </c>
      <c r="V59" s="172" t="b">
        <v>1</v>
      </c>
      <c r="W59" s="126" t="s">
        <v>196</v>
      </c>
      <c r="X59" s="126" t="s">
        <v>559</v>
      </c>
      <c r="Y59" s="174">
        <v>834257193</v>
      </c>
      <c r="Z59" s="126" t="s">
        <v>560</v>
      </c>
      <c r="AA59" s="126" t="s">
        <v>493</v>
      </c>
      <c r="AB59" s="169" t="b">
        <v>0</v>
      </c>
      <c r="AC59" s="169" t="b">
        <v>0</v>
      </c>
      <c r="AD59" s="169" t="b">
        <v>0</v>
      </c>
      <c r="AE59" s="169" t="b">
        <v>0</v>
      </c>
    </row>
    <row r="60" spans="1:31" x14ac:dyDescent="0.2">
      <c r="A60" s="103" t="s">
        <v>436</v>
      </c>
      <c r="B60" s="26"/>
      <c r="C60" s="25"/>
      <c r="E60" s="151"/>
      <c r="F60" s="202" t="s">
        <v>561</v>
      </c>
      <c r="G60" s="203">
        <f t="shared" ref="G60:J60" si="5">G59*0.2</f>
        <v>19261.8</v>
      </c>
      <c r="H60" s="203">
        <f t="shared" si="5"/>
        <v>26459.200000000001</v>
      </c>
      <c r="I60" s="203">
        <f t="shared" si="5"/>
        <v>24749.100000000002</v>
      </c>
      <c r="J60" s="203">
        <f t="shared" si="5"/>
        <v>70470.100000000006</v>
      </c>
      <c r="K60" s="203"/>
      <c r="U60" s="168">
        <f t="shared" si="0"/>
        <v>40</v>
      </c>
      <c r="V60" s="172" t="b">
        <v>1</v>
      </c>
      <c r="W60" s="126" t="s">
        <v>562</v>
      </c>
      <c r="X60" s="126" t="s">
        <v>563</v>
      </c>
      <c r="Y60" s="174">
        <v>858203259</v>
      </c>
      <c r="Z60" s="126" t="s">
        <v>564</v>
      </c>
      <c r="AA60" s="126" t="s">
        <v>493</v>
      </c>
      <c r="AB60" s="169" t="b">
        <v>0</v>
      </c>
      <c r="AC60" s="169" t="b">
        <v>0</v>
      </c>
      <c r="AD60" s="169" t="b">
        <v>0</v>
      </c>
      <c r="AE60" s="169" t="b">
        <v>0</v>
      </c>
    </row>
    <row r="61" spans="1:31" x14ac:dyDescent="0.2">
      <c r="A61" s="103" t="s">
        <v>438</v>
      </c>
      <c r="B61" s="161"/>
      <c r="C61" s="161" t="s">
        <v>110</v>
      </c>
      <c r="E61" s="151"/>
      <c r="F61" s="204" t="s">
        <v>565</v>
      </c>
      <c r="G61" s="200"/>
      <c r="H61" s="200"/>
      <c r="I61" s="200"/>
      <c r="J61" s="205">
        <f>J59-J60</f>
        <v>281880.40000000002</v>
      </c>
      <c r="K61" s="205"/>
      <c r="U61" s="168">
        <f t="shared" si="0"/>
        <v>41</v>
      </c>
      <c r="V61" s="172" t="b">
        <v>1</v>
      </c>
      <c r="W61" s="126" t="s">
        <v>566</v>
      </c>
      <c r="X61" s="126" t="s">
        <v>567</v>
      </c>
      <c r="Y61" s="123">
        <v>851619098</v>
      </c>
      <c r="Z61" s="126" t="s">
        <v>568</v>
      </c>
      <c r="AA61" s="119" t="s">
        <v>569</v>
      </c>
      <c r="AB61" s="169" t="b">
        <v>0</v>
      </c>
      <c r="AC61" s="169" t="b">
        <v>0</v>
      </c>
      <c r="AD61" s="169" t="b">
        <v>0</v>
      </c>
      <c r="AE61" s="169" t="b">
        <v>0</v>
      </c>
    </row>
    <row r="62" spans="1:31" x14ac:dyDescent="0.2">
      <c r="A62" s="22" t="s">
        <v>570</v>
      </c>
      <c r="B62" s="26"/>
      <c r="C62" s="26" t="s">
        <v>99</v>
      </c>
      <c r="D62" s="119"/>
      <c r="E62" s="119"/>
      <c r="F62" s="206" t="s">
        <v>571</v>
      </c>
      <c r="G62" s="207"/>
      <c r="H62" s="207"/>
      <c r="I62" s="207"/>
      <c r="J62" s="208"/>
      <c r="K62" s="208"/>
      <c r="U62" s="168">
        <f t="shared" si="0"/>
        <v>42</v>
      </c>
      <c r="V62" s="172" t="b">
        <v>1</v>
      </c>
      <c r="W62" s="126" t="s">
        <v>572</v>
      </c>
      <c r="X62" s="126" t="s">
        <v>573</v>
      </c>
      <c r="Y62" s="123">
        <v>862733958</v>
      </c>
      <c r="Z62" s="126" t="s">
        <v>574</v>
      </c>
      <c r="AA62" s="126" t="s">
        <v>131</v>
      </c>
      <c r="AB62" s="169" t="b">
        <v>0</v>
      </c>
      <c r="AC62" s="172" t="b">
        <v>1</v>
      </c>
      <c r="AD62" s="172" t="b">
        <v>1</v>
      </c>
      <c r="AE62" s="172" t="b">
        <v>1</v>
      </c>
    </row>
    <row r="63" spans="1:31" x14ac:dyDescent="0.2">
      <c r="A63" s="22" t="s">
        <v>575</v>
      </c>
      <c r="B63" s="26"/>
      <c r="C63" s="26" t="s">
        <v>576</v>
      </c>
      <c r="D63" s="119"/>
      <c r="F63" s="209" t="s">
        <v>577</v>
      </c>
      <c r="G63" s="23"/>
      <c r="H63" s="207"/>
      <c r="I63" s="207"/>
      <c r="J63" s="210"/>
      <c r="K63" s="210"/>
      <c r="U63" s="168">
        <f t="shared" si="0"/>
        <v>43</v>
      </c>
      <c r="V63" s="172" t="b">
        <v>1</v>
      </c>
      <c r="W63" s="126" t="s">
        <v>578</v>
      </c>
      <c r="X63" s="126" t="s">
        <v>579</v>
      </c>
      <c r="Y63" s="123">
        <v>871237228</v>
      </c>
      <c r="Z63" s="126" t="s">
        <v>580</v>
      </c>
      <c r="AA63" s="126" t="s">
        <v>131</v>
      </c>
      <c r="AB63" s="169" t="b">
        <v>0</v>
      </c>
      <c r="AC63" s="172" t="b">
        <v>1</v>
      </c>
      <c r="AD63" s="172" t="b">
        <v>1</v>
      </c>
      <c r="AE63" s="172" t="b">
        <v>1</v>
      </c>
    </row>
    <row r="64" spans="1:31" x14ac:dyDescent="0.2">
      <c r="A64" s="22" t="s">
        <v>530</v>
      </c>
      <c r="B64" s="26"/>
      <c r="C64" s="26" t="s">
        <v>581</v>
      </c>
      <c r="D64" s="119"/>
      <c r="U64" s="168">
        <f t="shared" si="0"/>
        <v>44</v>
      </c>
      <c r="V64" s="172" t="b">
        <v>1</v>
      </c>
      <c r="W64" s="126" t="s">
        <v>582</v>
      </c>
      <c r="X64" s="126" t="s">
        <v>583</v>
      </c>
      <c r="Y64" s="174">
        <v>851203406</v>
      </c>
      <c r="Z64" s="126" t="s">
        <v>584</v>
      </c>
      <c r="AA64" s="126" t="s">
        <v>585</v>
      </c>
      <c r="AB64" s="172" t="b">
        <v>1</v>
      </c>
      <c r="AC64" s="172" t="b">
        <v>1</v>
      </c>
      <c r="AD64" s="172" t="b">
        <v>1</v>
      </c>
      <c r="AE64" s="172" t="b">
        <v>1</v>
      </c>
    </row>
    <row r="65" spans="1:31" x14ac:dyDescent="0.2">
      <c r="A65" s="22" t="s">
        <v>535</v>
      </c>
      <c r="B65" s="22"/>
      <c r="C65" s="22"/>
      <c r="U65" s="168">
        <f t="shared" si="0"/>
        <v>45</v>
      </c>
      <c r="V65" s="172" t="b">
        <v>1</v>
      </c>
      <c r="W65" s="126" t="s">
        <v>586</v>
      </c>
      <c r="X65" s="126" t="s">
        <v>587</v>
      </c>
      <c r="Y65" s="174">
        <v>831988755</v>
      </c>
      <c r="Z65" s="126" t="s">
        <v>588</v>
      </c>
      <c r="AA65" s="126" t="s">
        <v>585</v>
      </c>
      <c r="AB65" s="169" t="b">
        <v>0</v>
      </c>
      <c r="AC65" s="172" t="b">
        <v>1</v>
      </c>
      <c r="AD65" s="172" t="b">
        <v>1</v>
      </c>
      <c r="AE65" s="172" t="b">
        <v>1</v>
      </c>
    </row>
    <row r="66" spans="1:31" x14ac:dyDescent="0.2">
      <c r="A66" s="22" t="s">
        <v>589</v>
      </c>
      <c r="B66" s="23"/>
      <c r="C66" s="23"/>
      <c r="J66" s="119"/>
      <c r="K66" s="119"/>
      <c r="U66" s="168">
        <f t="shared" si="0"/>
        <v>46</v>
      </c>
      <c r="V66" s="172" t="b">
        <v>1</v>
      </c>
      <c r="W66" s="126" t="s">
        <v>590</v>
      </c>
      <c r="X66" s="126" t="s">
        <v>591</v>
      </c>
      <c r="Y66" s="174">
        <v>831988755</v>
      </c>
      <c r="Z66" s="126" t="s">
        <v>592</v>
      </c>
      <c r="AA66" s="126" t="s">
        <v>585</v>
      </c>
      <c r="AB66" s="169" t="b">
        <v>0</v>
      </c>
      <c r="AC66" s="172" t="b">
        <v>1</v>
      </c>
      <c r="AD66" s="172" t="b">
        <v>1</v>
      </c>
      <c r="AE66" s="172" t="b">
        <v>1</v>
      </c>
    </row>
    <row r="67" spans="1:31" x14ac:dyDescent="0.2">
      <c r="A67" s="22" t="s">
        <v>593</v>
      </c>
      <c r="B67" s="23"/>
      <c r="C67" s="23"/>
      <c r="J67" s="126"/>
      <c r="K67" s="119"/>
      <c r="U67" s="168">
        <f t="shared" si="0"/>
        <v>47</v>
      </c>
      <c r="V67" s="172" t="b">
        <v>1</v>
      </c>
      <c r="W67" s="126" t="s">
        <v>594</v>
      </c>
      <c r="X67" s="126" t="s">
        <v>595</v>
      </c>
      <c r="Y67" s="174">
        <v>858614894</v>
      </c>
      <c r="Z67" s="126" t="s">
        <v>596</v>
      </c>
      <c r="AA67" s="126" t="s">
        <v>597</v>
      </c>
      <c r="AB67" s="169" t="b">
        <v>0</v>
      </c>
      <c r="AC67" s="172" t="b">
        <v>1</v>
      </c>
      <c r="AD67" s="172" t="b">
        <v>1</v>
      </c>
      <c r="AE67" s="172" t="b">
        <v>1</v>
      </c>
    </row>
    <row r="68" spans="1:31" x14ac:dyDescent="0.2">
      <c r="A68" s="22" t="s">
        <v>598</v>
      </c>
      <c r="B68" s="23"/>
      <c r="C68" s="22" t="s">
        <v>599</v>
      </c>
      <c r="J68" s="119"/>
      <c r="K68" s="119"/>
      <c r="U68" s="168">
        <f t="shared" si="0"/>
        <v>48</v>
      </c>
      <c r="V68" s="172" t="b">
        <v>1</v>
      </c>
      <c r="W68" s="126" t="s">
        <v>600</v>
      </c>
      <c r="X68" s="126" t="s">
        <v>601</v>
      </c>
      <c r="Y68" s="174">
        <v>858416456</v>
      </c>
      <c r="Z68" s="126"/>
      <c r="AA68" s="126" t="s">
        <v>597</v>
      </c>
      <c r="AB68" s="169" t="b">
        <v>0</v>
      </c>
      <c r="AC68" s="169" t="b">
        <v>0</v>
      </c>
      <c r="AD68" s="169" t="b">
        <v>0</v>
      </c>
      <c r="AE68" s="169" t="b">
        <v>0</v>
      </c>
    </row>
    <row r="69" spans="1:31" x14ac:dyDescent="0.2">
      <c r="A69" s="22" t="s">
        <v>539</v>
      </c>
      <c r="B69" s="23"/>
      <c r="C69" s="23"/>
      <c r="J69" s="119"/>
      <c r="K69" s="119"/>
      <c r="U69" s="168">
        <f t="shared" si="0"/>
        <v>49</v>
      </c>
      <c r="V69" s="172" t="b">
        <v>1</v>
      </c>
      <c r="W69" s="126"/>
      <c r="X69" s="126"/>
      <c r="Y69" s="174"/>
      <c r="Z69" s="126" t="s">
        <v>602</v>
      </c>
      <c r="AA69" s="126"/>
      <c r="AB69" s="169" t="b">
        <v>0</v>
      </c>
      <c r="AC69" s="169" t="b">
        <v>0</v>
      </c>
      <c r="AD69" s="172" t="b">
        <v>1</v>
      </c>
      <c r="AE69" s="172" t="b">
        <v>1</v>
      </c>
    </row>
    <row r="70" spans="1:31" x14ac:dyDescent="0.2">
      <c r="A70" s="544" t="s">
        <v>126</v>
      </c>
      <c r="B70" s="545"/>
      <c r="C70" s="545"/>
      <c r="D70" s="545"/>
      <c r="E70" s="545"/>
      <c r="F70" s="545"/>
      <c r="G70" s="545"/>
      <c r="H70" s="545"/>
      <c r="I70" s="545"/>
      <c r="J70" s="546"/>
      <c r="K70" s="119"/>
      <c r="U70" s="168">
        <f t="shared" si="0"/>
        <v>50</v>
      </c>
      <c r="V70" s="172" t="b">
        <v>1</v>
      </c>
      <c r="W70" s="126" t="s">
        <v>603</v>
      </c>
      <c r="X70" s="126" t="s">
        <v>604</v>
      </c>
      <c r="Y70" s="174">
        <v>851353337</v>
      </c>
      <c r="Z70" s="126"/>
      <c r="AA70" s="126" t="s">
        <v>131</v>
      </c>
      <c r="AB70" s="169" t="b">
        <v>0</v>
      </c>
      <c r="AC70" s="169" t="b">
        <v>0</v>
      </c>
      <c r="AD70" s="172" t="b">
        <v>1</v>
      </c>
      <c r="AE70" s="172" t="b">
        <v>1</v>
      </c>
    </row>
    <row r="71" spans="1:31" x14ac:dyDescent="0.2">
      <c r="A71" s="547"/>
      <c r="B71" s="548"/>
      <c r="C71" s="548"/>
      <c r="D71" s="548"/>
      <c r="E71" s="548"/>
      <c r="F71" s="548"/>
      <c r="G71" s="548"/>
      <c r="H71" s="548"/>
      <c r="I71" s="548"/>
      <c r="J71" s="549"/>
      <c r="K71" s="119"/>
      <c r="U71" s="168">
        <f t="shared" si="0"/>
        <v>51</v>
      </c>
      <c r="V71" s="172" t="b">
        <v>1</v>
      </c>
      <c r="W71" s="126"/>
      <c r="X71" s="126"/>
      <c r="Y71" s="174"/>
      <c r="Z71" s="126" t="s">
        <v>605</v>
      </c>
      <c r="AA71" s="119"/>
      <c r="AB71" s="172" t="b">
        <v>1</v>
      </c>
      <c r="AC71" s="172" t="b">
        <v>1</v>
      </c>
      <c r="AD71" s="172" t="b">
        <v>1</v>
      </c>
      <c r="AE71" s="172" t="b">
        <v>1</v>
      </c>
    </row>
    <row r="72" spans="1:31" x14ac:dyDescent="0.2">
      <c r="A72" s="23"/>
      <c r="B72" s="551" t="s">
        <v>606</v>
      </c>
      <c r="C72" s="531"/>
      <c r="D72" s="211"/>
      <c r="E72" s="211"/>
      <c r="F72" s="561" t="s">
        <v>607</v>
      </c>
      <c r="G72" s="531"/>
      <c r="H72" s="211"/>
      <c r="I72" s="562" t="s">
        <v>608</v>
      </c>
      <c r="J72" s="531"/>
      <c r="K72" s="119"/>
      <c r="U72" s="168">
        <f t="shared" si="0"/>
        <v>52</v>
      </c>
      <c r="V72" s="172" t="b">
        <v>1</v>
      </c>
      <c r="W72" s="126" t="s">
        <v>609</v>
      </c>
      <c r="X72" s="126" t="s">
        <v>610</v>
      </c>
      <c r="Y72" s="174">
        <v>864551310</v>
      </c>
      <c r="Z72" s="126" t="s">
        <v>611</v>
      </c>
      <c r="AA72" s="119" t="s">
        <v>493</v>
      </c>
      <c r="AB72" s="169" t="b">
        <v>0</v>
      </c>
      <c r="AC72" s="172" t="b">
        <v>1</v>
      </c>
      <c r="AD72" s="172" t="b">
        <v>1</v>
      </c>
      <c r="AE72" s="172" t="b">
        <v>1</v>
      </c>
    </row>
    <row r="73" spans="1:31" x14ac:dyDescent="0.2">
      <c r="A73" s="78" t="s">
        <v>200</v>
      </c>
      <c r="B73" s="103">
        <v>1</v>
      </c>
      <c r="C73" s="103">
        <v>2</v>
      </c>
      <c r="D73" s="103">
        <v>3</v>
      </c>
      <c r="E73" s="103">
        <v>4</v>
      </c>
      <c r="F73" s="103">
        <v>5</v>
      </c>
      <c r="G73" s="103">
        <v>6</v>
      </c>
      <c r="H73" s="103">
        <v>7</v>
      </c>
      <c r="I73" s="103">
        <v>8</v>
      </c>
      <c r="J73" s="103">
        <v>9</v>
      </c>
      <c r="K73" s="119"/>
      <c r="U73" s="168">
        <f t="shared" si="0"/>
        <v>53</v>
      </c>
      <c r="V73" s="172" t="b">
        <v>1</v>
      </c>
      <c r="W73" s="126" t="s">
        <v>612</v>
      </c>
      <c r="X73" s="126" t="s">
        <v>613</v>
      </c>
      <c r="Y73" s="174">
        <v>833407875</v>
      </c>
      <c r="Z73" s="126" t="s">
        <v>614</v>
      </c>
      <c r="AA73" s="126" t="s">
        <v>493</v>
      </c>
      <c r="AB73" s="169" t="b">
        <v>0</v>
      </c>
      <c r="AC73" s="172" t="b">
        <v>1</v>
      </c>
      <c r="AD73" s="172" t="b">
        <v>1</v>
      </c>
      <c r="AE73" s="172" t="b">
        <v>1</v>
      </c>
    </row>
    <row r="74" spans="1:31" x14ac:dyDescent="0.2">
      <c r="A74" s="103" t="s">
        <v>307</v>
      </c>
      <c r="B74" s="103"/>
      <c r="C74" s="103"/>
      <c r="D74" s="207"/>
      <c r="E74" s="151"/>
      <c r="F74" s="153"/>
      <c r="G74" s="153"/>
      <c r="H74" s="153"/>
      <c r="I74" s="207"/>
      <c r="J74" s="207"/>
      <c r="K74" s="119"/>
      <c r="U74" s="168">
        <f t="shared" si="0"/>
        <v>54</v>
      </c>
      <c r="V74" s="172" t="b">
        <v>1</v>
      </c>
      <c r="W74" s="126" t="s">
        <v>615</v>
      </c>
      <c r="X74" s="126" t="s">
        <v>616</v>
      </c>
      <c r="Y74" s="174">
        <v>894684748</v>
      </c>
      <c r="Z74" s="126" t="s">
        <v>617</v>
      </c>
      <c r="AA74" s="119" t="s">
        <v>493</v>
      </c>
      <c r="AB74" s="169" t="b">
        <v>0</v>
      </c>
      <c r="AC74" s="172" t="b">
        <v>1</v>
      </c>
      <c r="AD74" s="172" t="b">
        <v>1</v>
      </c>
      <c r="AE74" s="172" t="b">
        <v>1</v>
      </c>
    </row>
    <row r="75" spans="1:31" x14ac:dyDescent="0.2">
      <c r="A75" s="103" t="s">
        <v>618</v>
      </c>
      <c r="B75" s="212"/>
      <c r="C75" s="212"/>
      <c r="D75" s="212"/>
      <c r="E75" s="213"/>
      <c r="F75" s="212"/>
      <c r="G75" s="212"/>
      <c r="H75" s="213"/>
      <c r="I75" s="213"/>
      <c r="J75" s="214"/>
      <c r="M75" s="215"/>
      <c r="U75" s="168">
        <f t="shared" si="0"/>
        <v>55</v>
      </c>
      <c r="V75" s="172" t="b">
        <v>1</v>
      </c>
      <c r="W75" s="126" t="s">
        <v>619</v>
      </c>
      <c r="X75" s="126" t="s">
        <v>620</v>
      </c>
      <c r="Y75" s="174">
        <v>852788111</v>
      </c>
      <c r="Z75" s="126" t="s">
        <v>621</v>
      </c>
      <c r="AA75" s="126" t="s">
        <v>622</v>
      </c>
      <c r="AB75" s="216" t="b">
        <v>1</v>
      </c>
      <c r="AC75" s="216" t="b">
        <v>1</v>
      </c>
      <c r="AD75" s="216" t="b">
        <v>1</v>
      </c>
      <c r="AE75" s="216" t="b">
        <v>1</v>
      </c>
    </row>
    <row r="76" spans="1:31" x14ac:dyDescent="0.2">
      <c r="A76" s="103" t="s">
        <v>439</v>
      </c>
      <c r="B76" s="212"/>
      <c r="C76" s="212"/>
      <c r="D76" s="212"/>
      <c r="E76" s="213"/>
      <c r="F76" s="212"/>
      <c r="G76" s="212"/>
      <c r="H76" s="212"/>
      <c r="I76" s="213"/>
      <c r="J76" s="213"/>
      <c r="K76" s="119"/>
      <c r="U76" s="168">
        <f t="shared" si="0"/>
        <v>56</v>
      </c>
      <c r="V76" s="172" t="b">
        <v>1</v>
      </c>
      <c r="W76" s="126" t="s">
        <v>623</v>
      </c>
      <c r="X76" s="126" t="s">
        <v>624</v>
      </c>
      <c r="Y76" s="174">
        <v>851948435</v>
      </c>
      <c r="AA76" s="126" t="s">
        <v>622</v>
      </c>
      <c r="AB76" s="216" t="b">
        <v>1</v>
      </c>
      <c r="AC76" s="216" t="b">
        <v>1</v>
      </c>
      <c r="AD76" s="216" t="b">
        <v>1</v>
      </c>
      <c r="AE76" s="216" t="b">
        <v>1</v>
      </c>
    </row>
    <row r="77" spans="1:31" x14ac:dyDescent="0.2">
      <c r="A77" s="103" t="s">
        <v>318</v>
      </c>
      <c r="B77" s="212"/>
      <c r="C77" s="212"/>
      <c r="D77" s="212"/>
      <c r="E77" s="213"/>
      <c r="F77" s="212"/>
      <c r="G77" s="212"/>
      <c r="H77" s="212"/>
      <c r="I77" s="212"/>
      <c r="J77" s="212"/>
      <c r="K77" s="119"/>
      <c r="U77" s="168">
        <f t="shared" si="0"/>
        <v>57</v>
      </c>
      <c r="V77" s="172" t="b">
        <v>1</v>
      </c>
      <c r="W77" s="126" t="s">
        <v>625</v>
      </c>
      <c r="X77" s="126" t="s">
        <v>626</v>
      </c>
      <c r="Y77" s="174">
        <v>873500234</v>
      </c>
      <c r="Z77" s="126" t="s">
        <v>627</v>
      </c>
      <c r="AA77" s="126" t="s">
        <v>622</v>
      </c>
      <c r="AB77" s="216" t="b">
        <v>1</v>
      </c>
      <c r="AC77" s="216" t="b">
        <v>1</v>
      </c>
      <c r="AD77" s="216" t="b">
        <v>1</v>
      </c>
      <c r="AE77" s="216" t="b">
        <v>1</v>
      </c>
    </row>
    <row r="78" spans="1:31" x14ac:dyDescent="0.2">
      <c r="A78" s="103" t="s">
        <v>161</v>
      </c>
      <c r="B78" s="212"/>
      <c r="C78" s="212"/>
      <c r="D78" s="212"/>
      <c r="E78" s="212"/>
      <c r="F78" s="212"/>
      <c r="G78" s="212"/>
      <c r="H78" s="212"/>
      <c r="I78" s="212"/>
      <c r="J78" s="212"/>
      <c r="K78" s="119"/>
      <c r="U78" s="168">
        <f t="shared" si="0"/>
        <v>58</v>
      </c>
      <c r="V78" s="172" t="b">
        <v>1</v>
      </c>
      <c r="W78" s="126" t="s">
        <v>599</v>
      </c>
      <c r="X78" s="126" t="s">
        <v>484</v>
      </c>
      <c r="Y78" s="174">
        <v>857825980</v>
      </c>
      <c r="Z78" s="126" t="s">
        <v>628</v>
      </c>
      <c r="AA78" s="126" t="s">
        <v>622</v>
      </c>
      <c r="AB78" s="216" t="b">
        <v>1</v>
      </c>
      <c r="AC78" s="216" t="b">
        <v>1</v>
      </c>
      <c r="AD78" s="216" t="b">
        <v>1</v>
      </c>
      <c r="AE78" s="216" t="b">
        <v>1</v>
      </c>
    </row>
    <row r="79" spans="1:31" x14ac:dyDescent="0.2">
      <c r="A79" s="103" t="s">
        <v>302</v>
      </c>
      <c r="B79" s="212"/>
      <c r="C79" s="212"/>
      <c r="D79" s="213"/>
      <c r="E79" s="213"/>
      <c r="F79" s="159"/>
      <c r="G79" s="212"/>
      <c r="H79" s="212"/>
      <c r="I79" s="212"/>
      <c r="J79" s="213"/>
      <c r="K79" s="119"/>
      <c r="U79" s="168">
        <f t="shared" si="0"/>
        <v>59</v>
      </c>
      <c r="V79" s="172" t="b">
        <v>0</v>
      </c>
      <c r="W79" s="126"/>
      <c r="X79" s="126"/>
      <c r="Y79" s="174"/>
      <c r="Z79" s="126"/>
      <c r="AA79" s="126"/>
      <c r="AB79" s="169" t="b">
        <v>0</v>
      </c>
      <c r="AC79" s="169" t="b">
        <v>0</v>
      </c>
      <c r="AD79" s="169" t="b">
        <v>0</v>
      </c>
      <c r="AE79" s="169" t="b">
        <v>0</v>
      </c>
    </row>
    <row r="80" spans="1:31" x14ac:dyDescent="0.2">
      <c r="A80" s="103" t="s">
        <v>131</v>
      </c>
      <c r="B80" s="212"/>
      <c r="C80" s="212"/>
      <c r="D80" s="213"/>
      <c r="E80" s="213"/>
      <c r="F80" s="212"/>
      <c r="G80" s="212"/>
      <c r="H80" s="212"/>
      <c r="I80" s="212"/>
      <c r="J80" s="212"/>
      <c r="L80" s="215"/>
      <c r="U80" s="168">
        <f t="shared" si="0"/>
        <v>60</v>
      </c>
      <c r="V80" s="172" t="b">
        <v>0</v>
      </c>
      <c r="W80" s="126"/>
      <c r="X80" s="126"/>
      <c r="Y80" s="174"/>
      <c r="Z80" s="126"/>
      <c r="AA80" s="126"/>
      <c r="AB80" s="169" t="b">
        <v>0</v>
      </c>
      <c r="AC80" s="169" t="b">
        <v>0</v>
      </c>
      <c r="AD80" s="169" t="b">
        <v>0</v>
      </c>
      <c r="AE80" s="169" t="b">
        <v>0</v>
      </c>
    </row>
    <row r="81" spans="1:31" x14ac:dyDescent="0.2">
      <c r="A81" s="103" t="s">
        <v>142</v>
      </c>
      <c r="B81" s="212"/>
      <c r="C81" s="212"/>
      <c r="D81" s="212"/>
      <c r="E81" s="213"/>
      <c r="F81" s="212"/>
      <c r="G81" s="212"/>
      <c r="H81" s="212"/>
      <c r="I81" s="212"/>
      <c r="J81" s="212"/>
      <c r="K81" s="119"/>
      <c r="U81" s="168">
        <f t="shared" si="0"/>
        <v>61</v>
      </c>
      <c r="V81" s="172" t="b">
        <v>1</v>
      </c>
      <c r="W81" s="126"/>
      <c r="X81" s="126"/>
      <c r="Y81" s="174"/>
      <c r="Z81" s="126"/>
      <c r="AA81" s="126"/>
      <c r="AB81" s="169" t="b">
        <v>0</v>
      </c>
      <c r="AC81" s="169" t="b">
        <v>0</v>
      </c>
      <c r="AD81" s="172" t="b">
        <v>1</v>
      </c>
      <c r="AE81" s="172" t="b">
        <v>1</v>
      </c>
    </row>
    <row r="82" spans="1:31" x14ac:dyDescent="0.2">
      <c r="A82" s="217" t="s">
        <v>444</v>
      </c>
      <c r="B82" s="213"/>
      <c r="C82" s="213"/>
      <c r="D82" s="213"/>
      <c r="E82" s="213"/>
      <c r="F82" s="213"/>
      <c r="G82" s="213"/>
      <c r="H82" s="213"/>
      <c r="I82" s="213"/>
      <c r="J82" s="213"/>
      <c r="K82" s="119"/>
      <c r="U82" s="168">
        <f t="shared" si="0"/>
        <v>62</v>
      </c>
      <c r="V82" s="172" t="b">
        <v>0</v>
      </c>
      <c r="W82" s="126"/>
      <c r="X82" s="126"/>
      <c r="Y82" s="174"/>
      <c r="Z82" s="126"/>
      <c r="AA82" s="126"/>
      <c r="AB82" s="169" t="b">
        <v>0</v>
      </c>
      <c r="AC82" s="169" t="b">
        <v>0</v>
      </c>
      <c r="AD82" s="169" t="b">
        <v>0</v>
      </c>
      <c r="AE82" s="169" t="b">
        <v>0</v>
      </c>
    </row>
    <row r="83" spans="1:31" x14ac:dyDescent="0.2">
      <c r="A83" s="103" t="s">
        <v>445</v>
      </c>
      <c r="B83" s="212"/>
      <c r="C83" s="213"/>
      <c r="D83" s="213"/>
      <c r="E83" s="213"/>
      <c r="F83" s="212"/>
      <c r="G83" s="212"/>
      <c r="H83" s="213"/>
      <c r="I83" s="213"/>
      <c r="J83" s="213"/>
      <c r="K83" s="119"/>
      <c r="U83" s="168">
        <f t="shared" si="0"/>
        <v>63</v>
      </c>
      <c r="V83" s="172" t="b">
        <v>1</v>
      </c>
      <c r="W83" s="126" t="s">
        <v>629</v>
      </c>
      <c r="X83" s="126" t="s">
        <v>630</v>
      </c>
      <c r="Y83" s="174">
        <v>871930629</v>
      </c>
      <c r="Z83" s="126" t="s">
        <v>631</v>
      </c>
      <c r="AA83" s="126" t="s">
        <v>632</v>
      </c>
      <c r="AB83" s="216" t="b">
        <v>1</v>
      </c>
      <c r="AC83" s="216" t="b">
        <v>1</v>
      </c>
      <c r="AD83" s="216" t="b">
        <v>1</v>
      </c>
      <c r="AE83" s="216" t="b">
        <v>1</v>
      </c>
    </row>
    <row r="84" spans="1:31" x14ac:dyDescent="0.2">
      <c r="A84" s="103" t="s">
        <v>446</v>
      </c>
      <c r="B84" s="212"/>
      <c r="C84" s="212"/>
      <c r="D84" s="213"/>
      <c r="E84" s="213"/>
      <c r="F84" s="212"/>
      <c r="G84" s="212"/>
      <c r="H84" s="213"/>
      <c r="I84" s="213"/>
      <c r="J84" s="213"/>
      <c r="K84" s="119"/>
      <c r="U84" s="168">
        <f t="shared" si="0"/>
        <v>64</v>
      </c>
      <c r="V84" s="172" t="b">
        <v>1</v>
      </c>
      <c r="W84" s="126" t="s">
        <v>313</v>
      </c>
      <c r="X84" s="126" t="s">
        <v>633</v>
      </c>
      <c r="Y84" s="174">
        <v>852448103</v>
      </c>
      <c r="Z84" s="126" t="s">
        <v>634</v>
      </c>
      <c r="AA84" s="126" t="s">
        <v>493</v>
      </c>
      <c r="AB84" s="169" t="b">
        <v>0</v>
      </c>
      <c r="AC84" s="169" t="b">
        <v>0</v>
      </c>
      <c r="AD84" s="172" t="b">
        <v>1</v>
      </c>
      <c r="AE84" s="172" t="b">
        <v>1</v>
      </c>
    </row>
    <row r="85" spans="1:31" x14ac:dyDescent="0.2">
      <c r="A85" s="103" t="s">
        <v>635</v>
      </c>
      <c r="B85" s="212"/>
      <c r="C85" s="213"/>
      <c r="D85" s="213"/>
      <c r="E85" s="213"/>
      <c r="F85" s="212"/>
      <c r="G85" s="212"/>
      <c r="H85" s="213"/>
      <c r="I85" s="213"/>
      <c r="J85" s="218"/>
      <c r="U85" s="168">
        <f t="shared" si="0"/>
        <v>65</v>
      </c>
      <c r="V85" s="172" t="b">
        <v>1</v>
      </c>
      <c r="W85" s="126"/>
      <c r="X85" s="126"/>
      <c r="Y85" s="174"/>
      <c r="Z85" s="126"/>
      <c r="AA85" s="119"/>
      <c r="AB85" s="172" t="b">
        <v>1</v>
      </c>
      <c r="AC85" s="172" t="b">
        <v>1</v>
      </c>
      <c r="AD85" s="172" t="b">
        <v>1</v>
      </c>
      <c r="AE85" s="172" t="b">
        <v>1</v>
      </c>
    </row>
    <row r="86" spans="1:31" x14ac:dyDescent="0.2">
      <c r="B86" s="119"/>
      <c r="C86" s="176"/>
      <c r="D86" s="119"/>
      <c r="E86" s="176"/>
      <c r="F86" s="176"/>
      <c r="G86" s="119"/>
      <c r="H86" s="119"/>
      <c r="I86" s="119"/>
      <c r="J86" s="119"/>
      <c r="K86" s="119"/>
      <c r="U86" s="168">
        <f t="shared" si="0"/>
        <v>66</v>
      </c>
      <c r="V86" s="172" t="b">
        <v>0</v>
      </c>
      <c r="W86" s="126"/>
      <c r="X86" s="126"/>
      <c r="Y86" s="174"/>
      <c r="Z86" s="126"/>
      <c r="AA86" s="119"/>
      <c r="AB86" s="169" t="b">
        <v>0</v>
      </c>
      <c r="AC86" s="169" t="b">
        <v>0</v>
      </c>
      <c r="AD86" s="169" t="b">
        <v>0</v>
      </c>
      <c r="AE86" s="169" t="b">
        <v>0</v>
      </c>
    </row>
    <row r="87" spans="1:31" x14ac:dyDescent="0.2">
      <c r="A87" s="119"/>
      <c r="B87" s="119"/>
      <c r="C87" s="176"/>
      <c r="D87" s="119"/>
      <c r="E87" s="176"/>
      <c r="F87" s="176"/>
      <c r="G87" s="119"/>
      <c r="H87" s="119"/>
      <c r="I87" s="119"/>
      <c r="J87" s="119"/>
      <c r="K87" s="119"/>
      <c r="U87" s="168">
        <f t="shared" si="0"/>
        <v>67</v>
      </c>
      <c r="V87" s="172" t="b">
        <v>0</v>
      </c>
      <c r="W87" s="126"/>
      <c r="X87" s="126"/>
      <c r="Y87" s="174"/>
      <c r="Z87" s="126"/>
      <c r="AA87" s="126"/>
      <c r="AB87" s="169" t="b">
        <v>0</v>
      </c>
      <c r="AC87" s="169" t="b">
        <v>0</v>
      </c>
      <c r="AD87" s="169" t="b">
        <v>0</v>
      </c>
      <c r="AE87" s="169" t="b">
        <v>0</v>
      </c>
    </row>
    <row r="88" spans="1:31" x14ac:dyDescent="0.2">
      <c r="A88" s="544" t="s">
        <v>132</v>
      </c>
      <c r="B88" s="545"/>
      <c r="C88" s="545"/>
      <c r="D88" s="545"/>
      <c r="E88" s="545"/>
      <c r="F88" s="545"/>
      <c r="G88" s="545"/>
      <c r="H88" s="545"/>
      <c r="I88" s="545"/>
      <c r="J88" s="545"/>
      <c r="K88" s="546"/>
      <c r="U88" s="168">
        <f t="shared" si="0"/>
        <v>68</v>
      </c>
      <c r="V88" s="172" t="b">
        <v>0</v>
      </c>
      <c r="W88" s="126"/>
      <c r="X88" s="126"/>
      <c r="Y88" s="174"/>
      <c r="Z88" s="126"/>
      <c r="AA88" s="126"/>
      <c r="AB88" s="169" t="b">
        <v>0</v>
      </c>
      <c r="AC88" s="169" t="b">
        <v>0</v>
      </c>
      <c r="AD88" s="169" t="b">
        <v>0</v>
      </c>
      <c r="AE88" s="169" t="b">
        <v>0</v>
      </c>
    </row>
    <row r="89" spans="1:31" x14ac:dyDescent="0.2">
      <c r="A89" s="547"/>
      <c r="B89" s="548"/>
      <c r="C89" s="548"/>
      <c r="D89" s="548"/>
      <c r="E89" s="548"/>
      <c r="F89" s="548"/>
      <c r="G89" s="548"/>
      <c r="H89" s="548"/>
      <c r="I89" s="548"/>
      <c r="J89" s="548"/>
      <c r="K89" s="549"/>
      <c r="U89" s="168">
        <f t="shared" si="0"/>
        <v>69</v>
      </c>
      <c r="V89" s="172" t="b">
        <v>0</v>
      </c>
      <c r="W89" s="126"/>
      <c r="X89" s="126"/>
      <c r="Y89" s="174"/>
      <c r="Z89" s="126"/>
      <c r="AA89" s="126"/>
      <c r="AB89" s="169" t="b">
        <v>0</v>
      </c>
      <c r="AC89" s="169" t="b">
        <v>0</v>
      </c>
      <c r="AD89" s="169" t="b">
        <v>0</v>
      </c>
      <c r="AE89" s="169" t="b">
        <v>0</v>
      </c>
    </row>
    <row r="90" spans="1:31" x14ac:dyDescent="0.2">
      <c r="A90" s="23"/>
      <c r="B90" s="550"/>
      <c r="C90" s="531"/>
      <c r="D90" s="551" t="s">
        <v>636</v>
      </c>
      <c r="E90" s="531"/>
      <c r="F90" s="552" t="s">
        <v>637</v>
      </c>
      <c r="G90" s="531"/>
      <c r="H90" s="553" t="s">
        <v>638</v>
      </c>
      <c r="I90" s="537"/>
      <c r="J90" s="537"/>
      <c r="K90" s="531"/>
      <c r="U90" s="168">
        <f t="shared" si="0"/>
        <v>70</v>
      </c>
      <c r="V90" s="172" t="b">
        <v>1</v>
      </c>
      <c r="W90" s="126" t="s">
        <v>275</v>
      </c>
      <c r="X90" s="126" t="s">
        <v>583</v>
      </c>
      <c r="Y90" s="174">
        <v>877675495</v>
      </c>
      <c r="Z90" s="126" t="s">
        <v>639</v>
      </c>
      <c r="AA90" s="126" t="s">
        <v>131</v>
      </c>
      <c r="AB90" s="169" t="b">
        <v>0</v>
      </c>
      <c r="AC90" s="172" t="b">
        <v>1</v>
      </c>
      <c r="AD90" s="172" t="b">
        <v>1</v>
      </c>
      <c r="AE90" s="172" t="b">
        <v>1</v>
      </c>
    </row>
    <row r="91" spans="1:31" x14ac:dyDescent="0.2">
      <c r="A91" s="78" t="s">
        <v>200</v>
      </c>
      <c r="B91" s="103">
        <v>1</v>
      </c>
      <c r="C91" s="103">
        <v>2</v>
      </c>
      <c r="D91" s="103">
        <v>3</v>
      </c>
      <c r="E91" s="103">
        <v>4</v>
      </c>
      <c r="F91" s="103">
        <v>5</v>
      </c>
      <c r="G91" s="103">
        <v>6</v>
      </c>
      <c r="H91" s="103">
        <v>7</v>
      </c>
      <c r="I91" s="103">
        <v>8</v>
      </c>
      <c r="J91" s="103">
        <v>9</v>
      </c>
      <c r="K91" s="103">
        <v>10</v>
      </c>
      <c r="U91" s="168">
        <f t="shared" si="0"/>
        <v>71</v>
      </c>
      <c r="V91" s="172" t="b">
        <v>1</v>
      </c>
      <c r="W91" s="126" t="s">
        <v>640</v>
      </c>
      <c r="X91" s="126" t="s">
        <v>641</v>
      </c>
      <c r="Y91" s="174">
        <v>899888102</v>
      </c>
      <c r="Z91" s="126" t="s">
        <v>642</v>
      </c>
      <c r="AA91" s="126" t="s">
        <v>493</v>
      </c>
      <c r="AB91" s="169" t="b">
        <v>0</v>
      </c>
      <c r="AC91" s="172" t="b">
        <v>1</v>
      </c>
      <c r="AD91" s="172" t="b">
        <v>1</v>
      </c>
      <c r="AE91" s="172" t="b">
        <v>1</v>
      </c>
    </row>
    <row r="92" spans="1:31" x14ac:dyDescent="0.2">
      <c r="A92" s="219" t="s">
        <v>307</v>
      </c>
      <c r="B92" s="219"/>
      <c r="C92" s="155"/>
      <c r="D92" s="214"/>
      <c r="E92" s="155"/>
      <c r="F92" s="155"/>
      <c r="G92" s="214"/>
      <c r="H92" s="214"/>
      <c r="I92" s="214"/>
      <c r="J92" s="214"/>
      <c r="K92" s="214"/>
      <c r="U92" s="168">
        <f t="shared" si="0"/>
        <v>72</v>
      </c>
      <c r="V92" s="172" t="b">
        <v>1</v>
      </c>
      <c r="W92" s="126" t="s">
        <v>643</v>
      </c>
      <c r="X92" s="126" t="s">
        <v>644</v>
      </c>
      <c r="Y92" s="174">
        <v>892562230</v>
      </c>
      <c r="Z92" s="126" t="s">
        <v>645</v>
      </c>
      <c r="AA92" s="126" t="s">
        <v>597</v>
      </c>
      <c r="AB92" s="169" t="b">
        <v>0</v>
      </c>
      <c r="AC92" s="172" t="b">
        <v>1</v>
      </c>
      <c r="AD92" s="172" t="b">
        <v>1</v>
      </c>
      <c r="AE92" s="172" t="b">
        <v>1</v>
      </c>
    </row>
    <row r="93" spans="1:31" x14ac:dyDescent="0.2">
      <c r="A93" s="103" t="s">
        <v>145</v>
      </c>
      <c r="B93" s="212"/>
      <c r="C93" s="212"/>
      <c r="D93" s="212"/>
      <c r="E93" s="212"/>
      <c r="F93" s="212"/>
      <c r="G93" s="212"/>
      <c r="H93" s="212"/>
      <c r="I93" s="212"/>
      <c r="J93" s="219"/>
      <c r="K93" s="214"/>
      <c r="U93" s="168">
        <f t="shared" si="0"/>
        <v>73</v>
      </c>
      <c r="V93" s="172" t="b">
        <v>1</v>
      </c>
      <c r="W93" s="126" t="s">
        <v>646</v>
      </c>
      <c r="X93" s="126" t="s">
        <v>647</v>
      </c>
      <c r="Y93" s="174">
        <v>857563725</v>
      </c>
      <c r="Z93" s="126" t="s">
        <v>648</v>
      </c>
      <c r="AA93" s="126" t="s">
        <v>597</v>
      </c>
      <c r="AB93" s="169" t="b">
        <v>0</v>
      </c>
      <c r="AC93" s="172" t="b">
        <v>1</v>
      </c>
      <c r="AD93" s="172" t="b">
        <v>1</v>
      </c>
      <c r="AE93" s="172" t="b">
        <v>1</v>
      </c>
    </row>
    <row r="94" spans="1:31" x14ac:dyDescent="0.2">
      <c r="A94" s="103" t="s">
        <v>318</v>
      </c>
      <c r="B94" s="212"/>
      <c r="C94" s="212"/>
      <c r="D94" s="212"/>
      <c r="E94" s="213"/>
      <c r="F94" s="212"/>
      <c r="G94" s="212"/>
      <c r="H94" s="212"/>
      <c r="I94" s="213"/>
      <c r="J94" s="213"/>
      <c r="K94" s="214"/>
      <c r="U94" s="168">
        <f t="shared" si="0"/>
        <v>74</v>
      </c>
      <c r="V94" s="172" t="b">
        <v>0</v>
      </c>
      <c r="W94" s="126"/>
      <c r="X94" s="126"/>
      <c r="Y94" s="123"/>
      <c r="Z94" s="119"/>
      <c r="AA94" s="119"/>
      <c r="AB94" s="169" t="b">
        <v>0</v>
      </c>
      <c r="AC94" s="169" t="b">
        <v>0</v>
      </c>
      <c r="AD94" s="169" t="b">
        <v>0</v>
      </c>
      <c r="AE94" s="169" t="b">
        <v>0</v>
      </c>
    </row>
    <row r="95" spans="1:31" x14ac:dyDescent="0.2">
      <c r="A95" s="103" t="s">
        <v>439</v>
      </c>
      <c r="B95" s="212"/>
      <c r="C95" s="212"/>
      <c r="D95" s="212"/>
      <c r="E95" s="212"/>
      <c r="F95" s="212"/>
      <c r="G95" s="212"/>
      <c r="H95" s="212"/>
      <c r="I95" s="212"/>
      <c r="J95" s="212"/>
      <c r="K95" s="219"/>
      <c r="U95" s="168">
        <f t="shared" si="0"/>
        <v>75</v>
      </c>
      <c r="V95" s="172" t="b">
        <v>0</v>
      </c>
      <c r="W95" s="126"/>
      <c r="X95" s="126"/>
      <c r="Y95" s="174"/>
      <c r="Z95" s="119"/>
      <c r="AA95" s="119"/>
      <c r="AB95" s="169" t="b">
        <v>0</v>
      </c>
      <c r="AC95" s="169" t="b">
        <v>0</v>
      </c>
      <c r="AD95" s="169" t="b">
        <v>0</v>
      </c>
      <c r="AE95" s="169" t="b">
        <v>0</v>
      </c>
    </row>
    <row r="96" spans="1:31" x14ac:dyDescent="0.2">
      <c r="A96" s="103" t="s">
        <v>161</v>
      </c>
      <c r="B96" s="212"/>
      <c r="C96" s="212"/>
      <c r="D96" s="212"/>
      <c r="E96" s="212"/>
      <c r="F96" s="212"/>
      <c r="G96" s="212"/>
      <c r="H96" s="212"/>
      <c r="I96" s="212"/>
      <c r="J96" s="212"/>
      <c r="K96" s="214"/>
      <c r="U96" s="168">
        <f t="shared" si="0"/>
        <v>76</v>
      </c>
      <c r="V96" s="172" t="b">
        <v>0</v>
      </c>
      <c r="W96" s="126"/>
      <c r="X96" s="126"/>
      <c r="Y96" s="123"/>
      <c r="Z96" s="119"/>
      <c r="AA96" s="119"/>
      <c r="AB96" s="169" t="b">
        <v>0</v>
      </c>
      <c r="AC96" s="169" t="b">
        <v>0</v>
      </c>
      <c r="AD96" s="169" t="b">
        <v>0</v>
      </c>
      <c r="AE96" s="169" t="b">
        <v>0</v>
      </c>
    </row>
    <row r="97" spans="1:31" ht="15" customHeight="1" x14ac:dyDescent="0.25">
      <c r="A97" s="103" t="s">
        <v>302</v>
      </c>
      <c r="B97" s="212"/>
      <c r="C97" s="212"/>
      <c r="D97" s="212"/>
      <c r="E97" s="212"/>
      <c r="F97" s="220"/>
      <c r="G97" s="212"/>
      <c r="H97" s="212"/>
      <c r="I97" s="212"/>
      <c r="J97" s="213"/>
      <c r="K97" s="214"/>
      <c r="U97" s="168">
        <f t="shared" si="0"/>
        <v>77</v>
      </c>
      <c r="V97" s="172" t="b">
        <v>0</v>
      </c>
      <c r="W97" s="126"/>
      <c r="X97" s="126"/>
      <c r="Y97" s="174"/>
      <c r="Z97" s="126"/>
      <c r="AA97" s="119"/>
      <c r="AB97" s="169" t="b">
        <v>0</v>
      </c>
      <c r="AC97" s="169" t="b">
        <v>0</v>
      </c>
      <c r="AD97" s="169" t="b">
        <v>0</v>
      </c>
      <c r="AE97" s="169" t="b">
        <v>0</v>
      </c>
    </row>
    <row r="98" spans="1:31" x14ac:dyDescent="0.2">
      <c r="A98" s="103" t="s">
        <v>649</v>
      </c>
      <c r="B98" s="212"/>
      <c r="C98" s="212"/>
      <c r="D98" s="212"/>
      <c r="E98" s="212"/>
      <c r="F98" s="212"/>
      <c r="G98" s="212"/>
      <c r="H98" s="212"/>
      <c r="I98" s="212"/>
      <c r="J98" s="212"/>
      <c r="K98" s="214"/>
      <c r="U98" s="168">
        <f t="shared" si="0"/>
        <v>78</v>
      </c>
      <c r="V98" s="172" t="b">
        <v>0</v>
      </c>
      <c r="W98" s="126"/>
      <c r="X98" s="126"/>
      <c r="Y98" s="174"/>
      <c r="Z98" s="126"/>
      <c r="AA98" s="119"/>
      <c r="AB98" s="169" t="b">
        <v>0</v>
      </c>
      <c r="AC98" s="169" t="b">
        <v>0</v>
      </c>
      <c r="AD98" s="169" t="b">
        <v>0</v>
      </c>
      <c r="AE98" s="169" t="b">
        <v>0</v>
      </c>
    </row>
    <row r="99" spans="1:31" x14ac:dyDescent="0.2">
      <c r="A99" s="103" t="s">
        <v>142</v>
      </c>
      <c r="B99" s="212"/>
      <c r="C99" s="212"/>
      <c r="D99" s="212"/>
      <c r="E99" s="212"/>
      <c r="F99" s="212"/>
      <c r="G99" s="212"/>
      <c r="H99" s="212"/>
      <c r="I99" s="212"/>
      <c r="J99" s="212"/>
      <c r="K99" s="219"/>
      <c r="U99" s="168">
        <f t="shared" si="0"/>
        <v>79</v>
      </c>
      <c r="V99" s="172" t="b">
        <v>0</v>
      </c>
      <c r="W99" s="126"/>
      <c r="X99" s="126"/>
      <c r="Y99" s="174"/>
      <c r="Z99" s="126"/>
      <c r="AA99" s="119"/>
      <c r="AB99" s="169" t="b">
        <v>0</v>
      </c>
      <c r="AC99" s="169" t="b">
        <v>0</v>
      </c>
      <c r="AD99" s="169" t="b">
        <v>0</v>
      </c>
      <c r="AE99" s="169" t="b">
        <v>0</v>
      </c>
    </row>
    <row r="100" spans="1:31" x14ac:dyDescent="0.2">
      <c r="A100" s="217" t="s">
        <v>444</v>
      </c>
      <c r="B100" s="213"/>
      <c r="C100" s="213"/>
      <c r="D100" s="213"/>
      <c r="E100" s="213"/>
      <c r="F100" s="213"/>
      <c r="G100" s="213"/>
      <c r="H100" s="213"/>
      <c r="I100" s="213"/>
      <c r="J100" s="213"/>
      <c r="K100" s="214"/>
      <c r="U100" s="168">
        <f t="shared" si="0"/>
        <v>80</v>
      </c>
      <c r="V100" s="172" t="b">
        <v>1</v>
      </c>
      <c r="W100" s="126" t="s">
        <v>650</v>
      </c>
      <c r="X100" s="126" t="s">
        <v>624</v>
      </c>
      <c r="Y100" s="123"/>
      <c r="Z100" s="126" t="s">
        <v>651</v>
      </c>
      <c r="AA100" s="119"/>
      <c r="AB100" s="169" t="b">
        <v>0</v>
      </c>
      <c r="AC100" s="172" t="b">
        <v>1</v>
      </c>
      <c r="AD100" s="172" t="b">
        <v>1</v>
      </c>
      <c r="AE100" s="172" t="b">
        <v>1</v>
      </c>
    </row>
    <row r="101" spans="1:31" x14ac:dyDescent="0.2">
      <c r="A101" s="103" t="s">
        <v>445</v>
      </c>
      <c r="B101" s="212"/>
      <c r="C101" s="213"/>
      <c r="D101" s="213"/>
      <c r="E101" s="213"/>
      <c r="F101" s="212"/>
      <c r="G101" s="212"/>
      <c r="H101" s="213"/>
      <c r="I101" s="213"/>
      <c r="J101" s="213"/>
      <c r="K101" s="214"/>
      <c r="U101" s="168">
        <f t="shared" si="0"/>
        <v>81</v>
      </c>
      <c r="V101" s="172" t="b">
        <v>1</v>
      </c>
      <c r="W101" s="126" t="s">
        <v>652</v>
      </c>
      <c r="X101" s="126" t="s">
        <v>653</v>
      </c>
      <c r="Y101" s="123"/>
      <c r="Z101" s="126" t="s">
        <v>654</v>
      </c>
      <c r="AA101" s="119"/>
      <c r="AB101" s="169" t="b">
        <v>0</v>
      </c>
      <c r="AC101" s="172" t="b">
        <v>1</v>
      </c>
      <c r="AD101" s="172" t="b">
        <v>1</v>
      </c>
      <c r="AE101" s="172" t="b">
        <v>1</v>
      </c>
    </row>
    <row r="102" spans="1:31" x14ac:dyDescent="0.2">
      <c r="A102" s="103" t="s">
        <v>446</v>
      </c>
      <c r="B102" s="212"/>
      <c r="C102" s="212"/>
      <c r="D102" s="213"/>
      <c r="E102" s="213"/>
      <c r="F102" s="212"/>
      <c r="G102" s="212"/>
      <c r="H102" s="213"/>
      <c r="I102" s="213"/>
      <c r="J102" s="213"/>
      <c r="K102" s="214"/>
      <c r="L102" s="543">
        <v>72</v>
      </c>
      <c r="M102" s="533"/>
      <c r="U102" s="168">
        <f t="shared" si="0"/>
        <v>82</v>
      </c>
      <c r="V102" s="172" t="b">
        <v>1</v>
      </c>
      <c r="W102" s="126" t="s">
        <v>655</v>
      </c>
      <c r="X102" s="126" t="s">
        <v>656</v>
      </c>
      <c r="Y102" s="123"/>
      <c r="Z102" s="126" t="s">
        <v>657</v>
      </c>
      <c r="AA102" s="119"/>
      <c r="AB102" s="169" t="b">
        <v>0</v>
      </c>
      <c r="AC102" s="172" t="b">
        <v>1</v>
      </c>
      <c r="AD102" s="172" t="b">
        <v>1</v>
      </c>
      <c r="AE102" s="172" t="b">
        <v>1</v>
      </c>
    </row>
    <row r="103" spans="1:31" x14ac:dyDescent="0.2">
      <c r="A103" s="161" t="s">
        <v>658</v>
      </c>
      <c r="B103" s="212"/>
      <c r="C103" s="213"/>
      <c r="D103" s="213"/>
      <c r="E103" s="213"/>
      <c r="F103" s="212"/>
      <c r="G103" s="212"/>
      <c r="H103" s="213"/>
      <c r="I103" s="213"/>
      <c r="J103" s="213"/>
      <c r="K103" s="221"/>
      <c r="L103" s="533"/>
      <c r="M103" s="533"/>
      <c r="U103" s="168">
        <f t="shared" si="0"/>
        <v>83</v>
      </c>
      <c r="V103" s="172" t="b">
        <v>1</v>
      </c>
      <c r="W103" s="126" t="s">
        <v>417</v>
      </c>
      <c r="X103" s="126" t="s">
        <v>659</v>
      </c>
      <c r="Y103" s="123"/>
      <c r="Z103" s="126" t="s">
        <v>660</v>
      </c>
      <c r="AA103" s="119"/>
      <c r="AB103" s="169" t="b">
        <v>0</v>
      </c>
      <c r="AC103" s="172" t="b">
        <v>1</v>
      </c>
      <c r="AD103" s="172" t="b">
        <v>1</v>
      </c>
      <c r="AE103" s="172" t="b">
        <v>1</v>
      </c>
    </row>
    <row r="104" spans="1:31" x14ac:dyDescent="0.2">
      <c r="A104" s="119"/>
      <c r="K104" s="119"/>
      <c r="U104" s="168">
        <f t="shared" si="0"/>
        <v>84</v>
      </c>
      <c r="V104" s="172" t="b">
        <v>1</v>
      </c>
      <c r="W104" s="126" t="s">
        <v>661</v>
      </c>
      <c r="X104" s="126" t="s">
        <v>662</v>
      </c>
      <c r="Y104" s="123"/>
      <c r="Z104" s="126" t="s">
        <v>663</v>
      </c>
      <c r="AA104" s="119"/>
      <c r="AB104" s="169" t="b">
        <v>0</v>
      </c>
      <c r="AC104" s="172" t="b">
        <v>1</v>
      </c>
      <c r="AD104" s="172" t="b">
        <v>1</v>
      </c>
      <c r="AE104" s="172" t="b">
        <v>1</v>
      </c>
    </row>
    <row r="105" spans="1:31" x14ac:dyDescent="0.2">
      <c r="A105" s="119"/>
      <c r="B105" s="119"/>
      <c r="C105" s="176"/>
      <c r="D105" s="119"/>
      <c r="E105" s="176"/>
      <c r="F105" s="176"/>
      <c r="G105" s="119"/>
      <c r="H105" s="119"/>
      <c r="I105" s="119"/>
      <c r="J105" s="119"/>
      <c r="K105" s="119"/>
      <c r="U105" s="168">
        <f t="shared" si="0"/>
        <v>85</v>
      </c>
      <c r="V105" s="172" t="b">
        <v>1</v>
      </c>
      <c r="W105" s="126" t="s">
        <v>664</v>
      </c>
      <c r="X105" s="126" t="s">
        <v>665</v>
      </c>
      <c r="Y105" s="123"/>
      <c r="Z105" s="126" t="s">
        <v>666</v>
      </c>
      <c r="AA105" s="119"/>
      <c r="AB105" s="169" t="b">
        <v>0</v>
      </c>
      <c r="AC105" s="172" t="b">
        <v>1</v>
      </c>
      <c r="AD105" s="172" t="b">
        <v>1</v>
      </c>
      <c r="AE105" s="172" t="b">
        <v>1</v>
      </c>
    </row>
    <row r="106" spans="1:31" x14ac:dyDescent="0.2">
      <c r="A106" s="544" t="s">
        <v>136</v>
      </c>
      <c r="B106" s="545"/>
      <c r="C106" s="545"/>
      <c r="D106" s="545"/>
      <c r="E106" s="545"/>
      <c r="F106" s="545"/>
      <c r="G106" s="545"/>
      <c r="H106" s="545"/>
      <c r="I106" s="545"/>
      <c r="J106" s="545"/>
      <c r="K106" s="546"/>
      <c r="U106" s="168">
        <f t="shared" si="0"/>
        <v>86</v>
      </c>
      <c r="V106" s="172" t="b">
        <v>1</v>
      </c>
      <c r="W106" s="126" t="s">
        <v>667</v>
      </c>
      <c r="X106" s="126" t="s">
        <v>668</v>
      </c>
      <c r="Y106" s="123"/>
      <c r="Z106" s="126" t="s">
        <v>669</v>
      </c>
      <c r="AA106" s="119"/>
      <c r="AB106" s="169" t="b">
        <v>0</v>
      </c>
      <c r="AC106" s="172" t="b">
        <v>1</v>
      </c>
      <c r="AD106" s="172" t="b">
        <v>1</v>
      </c>
      <c r="AE106" s="172" t="b">
        <v>1</v>
      </c>
    </row>
    <row r="107" spans="1:31" x14ac:dyDescent="0.2">
      <c r="A107" s="547"/>
      <c r="B107" s="548"/>
      <c r="C107" s="548"/>
      <c r="D107" s="548"/>
      <c r="E107" s="548"/>
      <c r="F107" s="548"/>
      <c r="G107" s="548"/>
      <c r="H107" s="548"/>
      <c r="I107" s="548"/>
      <c r="J107" s="548"/>
      <c r="K107" s="549"/>
      <c r="U107" s="168">
        <f t="shared" si="0"/>
        <v>87</v>
      </c>
      <c r="V107" s="172" t="b">
        <v>1</v>
      </c>
      <c r="W107" s="126" t="s">
        <v>670</v>
      </c>
      <c r="X107" s="126" t="s">
        <v>671</v>
      </c>
      <c r="Y107" s="123"/>
      <c r="Z107" s="126" t="s">
        <v>672</v>
      </c>
      <c r="AA107" s="119"/>
      <c r="AB107" s="169" t="b">
        <v>0</v>
      </c>
      <c r="AC107" s="172" t="b">
        <v>1</v>
      </c>
      <c r="AD107" s="172" t="b">
        <v>1</v>
      </c>
      <c r="AE107" s="172" t="b">
        <v>1</v>
      </c>
    </row>
    <row r="108" spans="1:31" x14ac:dyDescent="0.2">
      <c r="A108" s="23"/>
      <c r="B108" s="554"/>
      <c r="C108" s="531"/>
      <c r="D108" s="555"/>
      <c r="E108" s="537"/>
      <c r="F108" s="537"/>
      <c r="G108" s="553"/>
      <c r="H108" s="537"/>
      <c r="I108" s="537"/>
      <c r="J108" s="537"/>
      <c r="K108" s="531"/>
      <c r="U108" s="168">
        <f t="shared" si="0"/>
        <v>88</v>
      </c>
      <c r="V108" s="172" t="b">
        <v>1</v>
      </c>
      <c r="W108" s="126" t="s">
        <v>673</v>
      </c>
      <c r="X108" s="126" t="s">
        <v>595</v>
      </c>
      <c r="Y108" s="123"/>
      <c r="Z108" s="126" t="s">
        <v>674</v>
      </c>
      <c r="AA108" s="119"/>
      <c r="AB108" s="169" t="b">
        <v>0</v>
      </c>
      <c r="AC108" s="172" t="b">
        <v>1</v>
      </c>
      <c r="AD108" s="172" t="b">
        <v>1</v>
      </c>
      <c r="AE108" s="172" t="b">
        <v>1</v>
      </c>
    </row>
    <row r="109" spans="1:31" x14ac:dyDescent="0.2">
      <c r="A109" s="78" t="s">
        <v>200</v>
      </c>
      <c r="B109" s="103">
        <v>1</v>
      </c>
      <c r="C109" s="103">
        <v>2</v>
      </c>
      <c r="D109" s="103">
        <v>3</v>
      </c>
      <c r="E109" s="103">
        <v>4</v>
      </c>
      <c r="F109" s="103">
        <v>5</v>
      </c>
      <c r="G109" s="103">
        <v>6</v>
      </c>
      <c r="H109" s="103">
        <v>7</v>
      </c>
      <c r="I109" s="103">
        <v>8</v>
      </c>
      <c r="J109" s="103">
        <v>9</v>
      </c>
      <c r="K109" s="103">
        <v>10</v>
      </c>
      <c r="U109" s="168">
        <f t="shared" si="0"/>
        <v>89</v>
      </c>
      <c r="V109" s="172" t="b">
        <v>1</v>
      </c>
      <c r="W109" s="126" t="s">
        <v>675</v>
      </c>
      <c r="X109" s="126" t="s">
        <v>676</v>
      </c>
      <c r="Y109" s="123"/>
      <c r="Z109" s="126" t="s">
        <v>677</v>
      </c>
      <c r="AA109" s="119"/>
      <c r="AB109" s="169" t="b">
        <v>0</v>
      </c>
      <c r="AC109" s="172" t="b">
        <v>1</v>
      </c>
      <c r="AD109" s="172" t="b">
        <v>1</v>
      </c>
      <c r="AE109" s="172" t="b">
        <v>1</v>
      </c>
    </row>
    <row r="110" spans="1:31" x14ac:dyDescent="0.2">
      <c r="A110" s="219" t="s">
        <v>44</v>
      </c>
      <c r="B110" s="219"/>
      <c r="C110" s="155"/>
      <c r="D110" s="214"/>
      <c r="E110" s="155"/>
      <c r="F110" s="155"/>
      <c r="G110" s="214"/>
      <c r="H110" s="214"/>
      <c r="I110" s="214"/>
      <c r="J110" s="214"/>
      <c r="K110" s="214"/>
      <c r="U110" s="168">
        <f t="shared" si="0"/>
        <v>90</v>
      </c>
      <c r="V110" s="172" t="b">
        <v>0</v>
      </c>
      <c r="W110" s="126"/>
      <c r="X110" s="126"/>
      <c r="Y110" s="174"/>
      <c r="Z110" s="126"/>
      <c r="AA110" s="119"/>
      <c r="AB110" s="169" t="b">
        <v>0</v>
      </c>
      <c r="AC110" s="169" t="b">
        <v>0</v>
      </c>
      <c r="AD110" s="169" t="b">
        <v>0</v>
      </c>
      <c r="AE110" s="169" t="b">
        <v>0</v>
      </c>
    </row>
    <row r="111" spans="1:31" x14ac:dyDescent="0.2">
      <c r="A111" s="103" t="s">
        <v>618</v>
      </c>
      <c r="B111" s="212"/>
      <c r="C111" s="212"/>
      <c r="D111" s="212"/>
      <c r="E111" s="212"/>
      <c r="F111" s="212"/>
      <c r="G111" s="212"/>
      <c r="H111" s="212"/>
      <c r="I111" s="212"/>
      <c r="J111" s="219"/>
      <c r="K111" s="214"/>
      <c r="U111" s="168">
        <f t="shared" si="0"/>
        <v>91</v>
      </c>
      <c r="V111" s="172" t="b">
        <v>0</v>
      </c>
      <c r="W111" s="126"/>
      <c r="X111" s="126"/>
      <c r="Y111" s="174"/>
      <c r="Z111" s="126"/>
      <c r="AA111" s="119"/>
      <c r="AB111" s="169" t="b">
        <v>0</v>
      </c>
      <c r="AC111" s="169" t="b">
        <v>0</v>
      </c>
      <c r="AD111" s="169" t="b">
        <v>0</v>
      </c>
      <c r="AE111" s="169" t="b">
        <v>0</v>
      </c>
    </row>
    <row r="112" spans="1:31" x14ac:dyDescent="0.2">
      <c r="A112" s="103" t="s">
        <v>439</v>
      </c>
      <c r="B112" s="212"/>
      <c r="C112" s="212"/>
      <c r="D112" s="212"/>
      <c r="E112" s="213"/>
      <c r="F112" s="212"/>
      <c r="G112" s="212"/>
      <c r="H112" s="212"/>
      <c r="I112" s="213"/>
      <c r="J112" s="213"/>
      <c r="K112" s="214"/>
      <c r="U112" s="168">
        <f t="shared" si="0"/>
        <v>92</v>
      </c>
      <c r="V112" s="172" t="b">
        <v>0</v>
      </c>
      <c r="W112" s="126"/>
      <c r="X112" s="126"/>
      <c r="Y112" s="174"/>
      <c r="Z112" s="126"/>
      <c r="AA112" s="119"/>
      <c r="AB112" s="169" t="b">
        <v>0</v>
      </c>
      <c r="AC112" s="169" t="b">
        <v>0</v>
      </c>
      <c r="AD112" s="169" t="b">
        <v>0</v>
      </c>
      <c r="AE112" s="169" t="b">
        <v>0</v>
      </c>
    </row>
    <row r="113" spans="1:31" x14ac:dyDescent="0.2">
      <c r="A113" s="103" t="s">
        <v>318</v>
      </c>
      <c r="B113" s="212"/>
      <c r="C113" s="212"/>
      <c r="D113" s="212"/>
      <c r="E113" s="212"/>
      <c r="F113" s="212"/>
      <c r="G113" s="212"/>
      <c r="H113" s="212"/>
      <c r="I113" s="212"/>
      <c r="J113" s="212"/>
      <c r="K113" s="219"/>
      <c r="U113" s="168">
        <f t="shared" si="0"/>
        <v>93</v>
      </c>
      <c r="V113" s="172" t="b">
        <v>0</v>
      </c>
      <c r="W113" s="126"/>
      <c r="X113" s="126"/>
      <c r="Y113" s="123"/>
      <c r="Z113" s="126"/>
      <c r="AA113" s="119"/>
      <c r="AB113" s="169" t="b">
        <v>0</v>
      </c>
      <c r="AC113" s="169" t="b">
        <v>0</v>
      </c>
      <c r="AD113" s="169" t="b">
        <v>0</v>
      </c>
      <c r="AE113" s="169" t="b">
        <v>0</v>
      </c>
    </row>
    <row r="114" spans="1:31" x14ac:dyDescent="0.2">
      <c r="A114" s="103" t="s">
        <v>161</v>
      </c>
      <c r="B114" s="212"/>
      <c r="C114" s="212"/>
      <c r="D114" s="212"/>
      <c r="E114" s="212"/>
      <c r="F114" s="212"/>
      <c r="G114" s="212"/>
      <c r="H114" s="212"/>
      <c r="I114" s="212"/>
      <c r="J114" s="212"/>
      <c r="K114" s="214"/>
      <c r="U114" s="168">
        <f t="shared" si="0"/>
        <v>94</v>
      </c>
      <c r="V114" s="172" t="b">
        <v>0</v>
      </c>
      <c r="W114" s="126"/>
      <c r="X114" s="126"/>
      <c r="Y114" s="123"/>
      <c r="Z114" s="126"/>
      <c r="AA114" s="119"/>
      <c r="AB114" s="169" t="b">
        <v>0</v>
      </c>
      <c r="AC114" s="169" t="b">
        <v>0</v>
      </c>
      <c r="AD114" s="169" t="b">
        <v>0</v>
      </c>
      <c r="AE114" s="169" t="b">
        <v>0</v>
      </c>
    </row>
    <row r="115" spans="1:31" ht="18" x14ac:dyDescent="0.25">
      <c r="A115" s="103" t="s">
        <v>302</v>
      </c>
      <c r="B115" s="212"/>
      <c r="C115" s="212"/>
      <c r="D115" s="212"/>
      <c r="E115" s="212"/>
      <c r="F115" s="220"/>
      <c r="G115" s="212"/>
      <c r="H115" s="212"/>
      <c r="I115" s="212"/>
      <c r="J115" s="213"/>
      <c r="K115" s="214"/>
      <c r="U115" s="168">
        <f t="shared" si="0"/>
        <v>95</v>
      </c>
      <c r="V115" s="172" t="b">
        <v>0</v>
      </c>
      <c r="W115" s="126"/>
      <c r="X115" s="126"/>
      <c r="Y115" s="123"/>
      <c r="Z115" s="119"/>
      <c r="AA115" s="119"/>
      <c r="AB115" s="169" t="b">
        <v>0</v>
      </c>
      <c r="AC115" s="169" t="b">
        <v>0</v>
      </c>
      <c r="AD115" s="169" t="b">
        <v>0</v>
      </c>
      <c r="AE115" s="169" t="b">
        <v>0</v>
      </c>
    </row>
    <row r="116" spans="1:31" x14ac:dyDescent="0.2">
      <c r="A116" s="103" t="s">
        <v>649</v>
      </c>
      <c r="B116" s="212"/>
      <c r="C116" s="212"/>
      <c r="D116" s="212"/>
      <c r="E116" s="212"/>
      <c r="F116" s="212"/>
      <c r="G116" s="212"/>
      <c r="H116" s="212"/>
      <c r="I116" s="212"/>
      <c r="J116" s="212"/>
      <c r="K116" s="214"/>
      <c r="U116" s="168">
        <f t="shared" si="0"/>
        <v>96</v>
      </c>
      <c r="V116" s="172" t="b">
        <v>0</v>
      </c>
      <c r="W116" s="126"/>
      <c r="X116" s="126"/>
      <c r="Y116" s="123"/>
      <c r="Z116" s="119"/>
      <c r="AA116" s="119"/>
      <c r="AB116" s="169" t="b">
        <v>0</v>
      </c>
      <c r="AC116" s="169" t="b">
        <v>0</v>
      </c>
      <c r="AD116" s="169" t="b">
        <v>0</v>
      </c>
      <c r="AE116" s="169" t="b">
        <v>0</v>
      </c>
    </row>
    <row r="117" spans="1:31" x14ac:dyDescent="0.2">
      <c r="A117" s="103" t="s">
        <v>142</v>
      </c>
      <c r="B117" s="212"/>
      <c r="C117" s="212"/>
      <c r="D117" s="212"/>
      <c r="E117" s="212"/>
      <c r="F117" s="212"/>
      <c r="G117" s="212"/>
      <c r="H117" s="212"/>
      <c r="I117" s="212"/>
      <c r="J117" s="212"/>
      <c r="K117" s="219"/>
      <c r="U117" s="168">
        <f t="shared" si="0"/>
        <v>97</v>
      </c>
      <c r="V117" s="172" t="b">
        <v>0</v>
      </c>
      <c r="W117" s="126"/>
      <c r="X117" s="126"/>
      <c r="Y117" s="123"/>
      <c r="Z117" s="119"/>
      <c r="AA117" s="119"/>
      <c r="AB117" s="169" t="b">
        <v>0</v>
      </c>
      <c r="AC117" s="169" t="b">
        <v>0</v>
      </c>
      <c r="AD117" s="169" t="b">
        <v>0</v>
      </c>
      <c r="AE117" s="169" t="b">
        <v>0</v>
      </c>
    </row>
    <row r="118" spans="1:31" x14ac:dyDescent="0.2">
      <c r="A118" s="217" t="s">
        <v>444</v>
      </c>
      <c r="B118" s="213"/>
      <c r="C118" s="213"/>
      <c r="D118" s="213"/>
      <c r="E118" s="213"/>
      <c r="F118" s="213"/>
      <c r="G118" s="213"/>
      <c r="H118" s="212"/>
      <c r="I118" s="212"/>
      <c r="J118" s="212"/>
      <c r="K118" s="214"/>
      <c r="U118" s="168">
        <f t="shared" si="0"/>
        <v>98</v>
      </c>
      <c r="V118" s="172" t="b">
        <v>0</v>
      </c>
      <c r="W118" s="126"/>
      <c r="X118" s="126"/>
      <c r="Y118" s="123"/>
      <c r="Z118" s="119"/>
      <c r="AA118" s="119"/>
      <c r="AB118" s="169" t="b">
        <v>0</v>
      </c>
      <c r="AC118" s="169" t="b">
        <v>0</v>
      </c>
      <c r="AD118" s="169" t="b">
        <v>0</v>
      </c>
      <c r="AE118" s="169" t="b">
        <v>0</v>
      </c>
    </row>
    <row r="119" spans="1:31" x14ac:dyDescent="0.2">
      <c r="A119" s="103" t="s">
        <v>445</v>
      </c>
      <c r="B119" s="212"/>
      <c r="C119" s="213"/>
      <c r="D119" s="213"/>
      <c r="E119" s="213"/>
      <c r="F119" s="212"/>
      <c r="G119" s="212"/>
      <c r="H119" s="212"/>
      <c r="I119" s="213"/>
      <c r="J119" s="213"/>
      <c r="K119" s="214"/>
      <c r="U119" s="215"/>
      <c r="V119" s="172" t="b">
        <v>0</v>
      </c>
      <c r="W119" s="126"/>
      <c r="X119" s="126"/>
      <c r="Y119" s="123"/>
      <c r="Z119" s="119"/>
      <c r="AA119" s="119"/>
      <c r="AB119" s="169" t="b">
        <v>0</v>
      </c>
      <c r="AC119" s="169" t="b">
        <v>0</v>
      </c>
      <c r="AD119" s="169" t="b">
        <v>0</v>
      </c>
      <c r="AE119" s="169" t="b">
        <v>0</v>
      </c>
    </row>
    <row r="120" spans="1:31" x14ac:dyDescent="0.2">
      <c r="A120" s="103" t="s">
        <v>446</v>
      </c>
      <c r="B120" s="212"/>
      <c r="C120" s="212"/>
      <c r="D120" s="213"/>
      <c r="E120" s="213"/>
      <c r="F120" s="212"/>
      <c r="G120" s="212"/>
      <c r="H120" s="213"/>
      <c r="I120" s="213"/>
      <c r="J120" s="213"/>
      <c r="K120" s="214"/>
      <c r="L120" s="543">
        <v>72</v>
      </c>
      <c r="M120" s="533"/>
      <c r="U120" s="215"/>
      <c r="V120" s="169" t="b">
        <v>0</v>
      </c>
      <c r="W120" s="126"/>
      <c r="X120" s="126"/>
      <c r="Y120" s="123"/>
      <c r="Z120" s="119"/>
      <c r="AA120" s="119"/>
      <c r="AB120" s="169" t="b">
        <v>0</v>
      </c>
      <c r="AC120" s="169" t="b">
        <v>0</v>
      </c>
      <c r="AD120" s="169" t="b">
        <v>0</v>
      </c>
      <c r="AE120" s="169" t="b">
        <v>0</v>
      </c>
    </row>
    <row r="121" spans="1:31" x14ac:dyDescent="0.2">
      <c r="A121" s="161" t="s">
        <v>553</v>
      </c>
      <c r="B121" s="212"/>
      <c r="C121" s="213"/>
      <c r="D121" s="213"/>
      <c r="E121" s="213"/>
      <c r="F121" s="212"/>
      <c r="G121" s="212"/>
      <c r="H121" s="213"/>
      <c r="I121" s="213"/>
      <c r="J121" s="213"/>
      <c r="K121" s="221"/>
      <c r="L121" s="533"/>
      <c r="M121" s="533"/>
      <c r="U121" s="215"/>
      <c r="V121" s="169" t="b">
        <v>0</v>
      </c>
      <c r="W121" s="126"/>
      <c r="X121" s="126"/>
      <c r="Y121" s="123"/>
      <c r="Z121" s="119"/>
      <c r="AA121" s="119"/>
      <c r="AB121" s="169" t="b">
        <v>0</v>
      </c>
      <c r="AC121" s="169" t="b">
        <v>0</v>
      </c>
      <c r="AD121" s="169" t="b">
        <v>0</v>
      </c>
      <c r="AE121" s="169" t="b">
        <v>0</v>
      </c>
    </row>
    <row r="122" spans="1:31" x14ac:dyDescent="0.2">
      <c r="A122" s="119"/>
      <c r="B122" s="119"/>
      <c r="C122" s="176"/>
      <c r="D122" s="119"/>
      <c r="E122" s="176"/>
      <c r="F122" s="176"/>
      <c r="G122" s="119"/>
      <c r="H122" s="119"/>
      <c r="I122" s="119"/>
      <c r="J122" s="119"/>
      <c r="K122" s="119"/>
      <c r="U122" s="215"/>
      <c r="V122" s="169" t="b">
        <v>0</v>
      </c>
      <c r="W122" s="126"/>
      <c r="X122" s="126"/>
      <c r="Y122" s="123"/>
      <c r="Z122" s="119"/>
      <c r="AA122" s="119"/>
      <c r="AB122" s="169" t="b">
        <v>0</v>
      </c>
      <c r="AC122" s="169" t="b">
        <v>0</v>
      </c>
      <c r="AD122" s="169" t="b">
        <v>0</v>
      </c>
      <c r="AE122" s="169" t="b">
        <v>0</v>
      </c>
    </row>
    <row r="123" spans="1:31" x14ac:dyDescent="0.2">
      <c r="A123" s="119"/>
      <c r="B123" s="119"/>
      <c r="C123" s="176"/>
      <c r="D123" s="119"/>
      <c r="E123" s="176"/>
      <c r="F123" s="176"/>
      <c r="G123" s="119"/>
      <c r="H123" s="119"/>
      <c r="I123" s="119"/>
      <c r="J123" s="119"/>
      <c r="K123" s="119"/>
      <c r="U123" s="215"/>
      <c r="V123" s="169" t="b">
        <v>0</v>
      </c>
      <c r="W123" s="126"/>
      <c r="X123" s="126"/>
      <c r="Y123" s="123"/>
      <c r="Z123" s="119"/>
      <c r="AA123" s="119"/>
      <c r="AB123" s="169" t="b">
        <v>0</v>
      </c>
      <c r="AC123" s="169" t="b">
        <v>0</v>
      </c>
      <c r="AD123" s="169" t="b">
        <v>0</v>
      </c>
      <c r="AE123" s="169" t="b">
        <v>0</v>
      </c>
    </row>
    <row r="124" spans="1:31" ht="25.5" x14ac:dyDescent="0.35">
      <c r="A124" s="556" t="s">
        <v>678</v>
      </c>
      <c r="B124" s="537"/>
      <c r="C124" s="537"/>
      <c r="D124" s="537"/>
      <c r="E124" s="537"/>
      <c r="F124" s="537"/>
      <c r="G124" s="537"/>
      <c r="H124" s="537"/>
      <c r="I124" s="531"/>
      <c r="J124" s="557"/>
      <c r="K124" s="119"/>
      <c r="U124" s="215"/>
      <c r="V124" s="169" t="b">
        <v>0</v>
      </c>
      <c r="W124" s="119"/>
      <c r="X124" s="119"/>
      <c r="Y124" s="123"/>
      <c r="Z124" s="119"/>
      <c r="AA124" s="119"/>
      <c r="AB124" s="169" t="b">
        <v>0</v>
      </c>
      <c r="AC124" s="169" t="b">
        <v>0</v>
      </c>
      <c r="AD124" s="169" t="b">
        <v>0</v>
      </c>
      <c r="AE124" s="169" t="b">
        <v>0</v>
      </c>
    </row>
    <row r="125" spans="1:31" x14ac:dyDescent="0.2">
      <c r="A125" s="222" t="s">
        <v>679</v>
      </c>
      <c r="B125" s="223"/>
      <c r="C125" s="223"/>
      <c r="D125" s="224" t="s">
        <v>156</v>
      </c>
      <c r="E125" s="225" t="s">
        <v>126</v>
      </c>
      <c r="F125" s="225" t="s">
        <v>132</v>
      </c>
      <c r="G125" s="225" t="s">
        <v>136</v>
      </c>
      <c r="H125" s="225" t="s">
        <v>103</v>
      </c>
      <c r="I125" s="225" t="s">
        <v>153</v>
      </c>
      <c r="J125" s="558"/>
      <c r="K125" s="119"/>
      <c r="U125" s="215"/>
      <c r="V125" s="169" t="b">
        <v>0</v>
      </c>
      <c r="W125" s="119"/>
      <c r="X125" s="119"/>
      <c r="Y125" s="123"/>
      <c r="Z125" s="119"/>
      <c r="AA125" s="119"/>
      <c r="AB125" s="169" t="b">
        <v>0</v>
      </c>
      <c r="AC125" s="169" t="b">
        <v>0</v>
      </c>
      <c r="AD125" s="169" t="b">
        <v>0</v>
      </c>
      <c r="AE125" s="169" t="b">
        <v>0</v>
      </c>
    </row>
    <row r="126" spans="1:31" x14ac:dyDescent="0.2">
      <c r="A126" s="226" t="s">
        <v>680</v>
      </c>
      <c r="B126" s="227"/>
      <c r="C126" s="227"/>
      <c r="D126" s="228">
        <v>500</v>
      </c>
      <c r="E126" s="228">
        <v>500</v>
      </c>
      <c r="F126" s="228">
        <v>500</v>
      </c>
      <c r="G126" s="228">
        <v>500</v>
      </c>
      <c r="H126" s="228">
        <v>0</v>
      </c>
      <c r="I126" s="229">
        <f t="shared" ref="I126:I222" si="6">SUM(D126,E126,F126,G126,H126)</f>
        <v>2000</v>
      </c>
      <c r="J126" s="230">
        <v>1</v>
      </c>
      <c r="K126" s="119"/>
      <c r="U126" s="215"/>
      <c r="V126" s="169" t="b">
        <v>0</v>
      </c>
      <c r="W126" s="119"/>
      <c r="X126" s="119"/>
      <c r="Y126" s="123"/>
      <c r="Z126" s="119"/>
      <c r="AA126" s="119"/>
      <c r="AB126" s="169" t="b">
        <v>0</v>
      </c>
      <c r="AC126" s="169" t="b">
        <v>0</v>
      </c>
      <c r="AD126" s="169" t="b">
        <v>0</v>
      </c>
      <c r="AE126" s="169" t="b">
        <v>0</v>
      </c>
    </row>
    <row r="127" spans="1:31" x14ac:dyDescent="0.2">
      <c r="A127" s="126" t="s">
        <v>468</v>
      </c>
      <c r="B127" s="126" t="s">
        <v>462</v>
      </c>
      <c r="C127" s="227"/>
      <c r="D127" s="228"/>
      <c r="E127" s="228"/>
      <c r="F127" s="231"/>
      <c r="G127" s="231"/>
      <c r="H127" s="232"/>
      <c r="I127" s="229">
        <f t="shared" si="6"/>
        <v>0</v>
      </c>
      <c r="J127" s="227"/>
      <c r="K127" s="172" t="b">
        <v>0</v>
      </c>
      <c r="U127" s="215"/>
      <c r="V127" s="169" t="b">
        <v>0</v>
      </c>
      <c r="W127" s="119"/>
      <c r="X127" s="119"/>
      <c r="Y127" s="123"/>
      <c r="Z127" s="119"/>
      <c r="AA127" s="119"/>
      <c r="AB127" s="169" t="b">
        <v>0</v>
      </c>
      <c r="AC127" s="169" t="b">
        <v>0</v>
      </c>
      <c r="AD127" s="169" t="b">
        <v>0</v>
      </c>
      <c r="AE127" s="169" t="b">
        <v>0</v>
      </c>
    </row>
    <row r="128" spans="1:31" x14ac:dyDescent="0.2">
      <c r="A128" s="119" t="s">
        <v>469</v>
      </c>
      <c r="B128" s="126" t="s">
        <v>462</v>
      </c>
      <c r="C128" s="227"/>
      <c r="D128" s="228"/>
      <c r="E128" s="228"/>
      <c r="F128" s="231"/>
      <c r="G128" s="231"/>
      <c r="H128" s="227"/>
      <c r="I128" s="229">
        <f t="shared" si="6"/>
        <v>0</v>
      </c>
      <c r="J128" s="227"/>
      <c r="K128" s="172" t="b">
        <v>0</v>
      </c>
      <c r="U128" s="215"/>
      <c r="V128" s="169" t="b">
        <v>0</v>
      </c>
      <c r="W128" s="119"/>
      <c r="X128" s="119"/>
      <c r="Y128" s="123"/>
      <c r="Z128" s="119"/>
      <c r="AA128" s="119"/>
      <c r="AB128" s="169" t="b">
        <v>0</v>
      </c>
      <c r="AC128" s="169" t="b">
        <v>0</v>
      </c>
      <c r="AD128" s="169" t="b">
        <v>0</v>
      </c>
      <c r="AE128" s="169" t="b">
        <v>0</v>
      </c>
    </row>
    <row r="129" spans="1:31" x14ac:dyDescent="0.2">
      <c r="A129" s="126" t="s">
        <v>471</v>
      </c>
      <c r="B129" s="126" t="s">
        <v>472</v>
      </c>
      <c r="C129" s="227"/>
      <c r="D129" s="228"/>
      <c r="E129" s="228">
        <v>150</v>
      </c>
      <c r="F129" s="228">
        <v>150</v>
      </c>
      <c r="G129" s="228">
        <v>150</v>
      </c>
      <c r="H129" s="227"/>
      <c r="I129" s="229">
        <f t="shared" si="6"/>
        <v>450</v>
      </c>
      <c r="J129" s="227"/>
      <c r="K129" s="172" t="b">
        <v>0</v>
      </c>
      <c r="U129" s="215"/>
      <c r="V129" s="169" t="b">
        <v>0</v>
      </c>
      <c r="W129" s="119"/>
      <c r="X129" s="119"/>
      <c r="Y129" s="123"/>
      <c r="Z129" s="119"/>
      <c r="AA129" s="119"/>
      <c r="AB129" s="169" t="b">
        <v>0</v>
      </c>
      <c r="AC129" s="169" t="b">
        <v>0</v>
      </c>
      <c r="AD129" s="169" t="b">
        <v>0</v>
      </c>
      <c r="AE129" s="169" t="b">
        <v>0</v>
      </c>
    </row>
    <row r="130" spans="1:31" x14ac:dyDescent="0.2">
      <c r="A130" s="126" t="s">
        <v>244</v>
      </c>
      <c r="B130" s="126" t="s">
        <v>473</v>
      </c>
      <c r="C130" s="227"/>
      <c r="D130" s="228"/>
      <c r="E130" s="228">
        <v>150</v>
      </c>
      <c r="F130" s="228">
        <v>150</v>
      </c>
      <c r="G130" s="228">
        <v>150</v>
      </c>
      <c r="H130" s="227"/>
      <c r="I130" s="229">
        <f t="shared" si="6"/>
        <v>450</v>
      </c>
      <c r="J130" s="227"/>
      <c r="K130" s="172" t="b">
        <v>0</v>
      </c>
      <c r="U130" s="215"/>
      <c r="V130" s="169" t="b">
        <v>0</v>
      </c>
      <c r="W130" s="119"/>
      <c r="X130" s="119"/>
      <c r="Y130" s="123"/>
      <c r="Z130" s="119"/>
      <c r="AA130" s="119"/>
      <c r="AB130" s="169" t="b">
        <v>0</v>
      </c>
      <c r="AC130" s="169" t="b">
        <v>0</v>
      </c>
      <c r="AD130" s="169" t="b">
        <v>0</v>
      </c>
      <c r="AE130" s="169" t="b">
        <v>0</v>
      </c>
    </row>
    <row r="131" spans="1:31" x14ac:dyDescent="0.2">
      <c r="A131" s="126" t="s">
        <v>474</v>
      </c>
      <c r="B131" s="126" t="s">
        <v>473</v>
      </c>
      <c r="C131" s="227"/>
      <c r="D131" s="228"/>
      <c r="E131" s="228">
        <v>150</v>
      </c>
      <c r="F131" s="228">
        <v>150</v>
      </c>
      <c r="G131" s="228">
        <v>150</v>
      </c>
      <c r="H131" s="227"/>
      <c r="I131" s="229">
        <f t="shared" si="6"/>
        <v>450</v>
      </c>
      <c r="J131" s="227"/>
      <c r="K131" s="172" t="b">
        <v>0</v>
      </c>
      <c r="U131" s="215"/>
      <c r="V131" s="169" t="b">
        <v>0</v>
      </c>
      <c r="W131" s="119"/>
      <c r="X131" s="119"/>
      <c r="Y131" s="123"/>
      <c r="Z131" s="119"/>
      <c r="AA131" s="119"/>
      <c r="AB131" s="169" t="b">
        <v>0</v>
      </c>
      <c r="AC131" s="169" t="b">
        <v>0</v>
      </c>
      <c r="AD131" s="169" t="b">
        <v>0</v>
      </c>
      <c r="AE131" s="169" t="b">
        <v>0</v>
      </c>
    </row>
    <row r="132" spans="1:31" x14ac:dyDescent="0.2">
      <c r="A132" s="126" t="s">
        <v>475</v>
      </c>
      <c r="B132" s="126" t="s">
        <v>473</v>
      </c>
      <c r="C132" s="227"/>
      <c r="D132" s="228"/>
      <c r="E132" s="228">
        <v>150</v>
      </c>
      <c r="F132" s="228">
        <v>150</v>
      </c>
      <c r="G132" s="228">
        <v>150</v>
      </c>
      <c r="H132" s="227"/>
      <c r="I132" s="229">
        <f t="shared" si="6"/>
        <v>450</v>
      </c>
      <c r="J132" s="227"/>
      <c r="K132" s="172" t="b">
        <v>1</v>
      </c>
      <c r="U132" s="215"/>
      <c r="V132" s="169" t="b">
        <v>0</v>
      </c>
      <c r="W132" s="119"/>
      <c r="X132" s="119"/>
      <c r="Y132" s="123"/>
      <c r="Z132" s="119"/>
      <c r="AA132" s="119" t="s">
        <v>681</v>
      </c>
      <c r="AB132" s="169" t="b">
        <v>0</v>
      </c>
      <c r="AC132" s="169" t="b">
        <v>0</v>
      </c>
      <c r="AD132" s="169" t="b">
        <v>0</v>
      </c>
      <c r="AE132" s="169" t="b">
        <v>0</v>
      </c>
    </row>
    <row r="133" spans="1:31" x14ac:dyDescent="0.2">
      <c r="A133" s="126" t="s">
        <v>476</v>
      </c>
      <c r="B133" s="126" t="s">
        <v>477</v>
      </c>
      <c r="C133" s="227"/>
      <c r="D133" s="228"/>
      <c r="E133" s="228">
        <v>150</v>
      </c>
      <c r="F133" s="228">
        <v>150</v>
      </c>
      <c r="G133" s="228">
        <v>150</v>
      </c>
      <c r="H133" s="227"/>
      <c r="I133" s="229">
        <f t="shared" si="6"/>
        <v>450</v>
      </c>
      <c r="J133" s="227"/>
      <c r="K133" s="172" t="b">
        <v>1</v>
      </c>
      <c r="U133" s="215"/>
      <c r="V133" s="169" t="b">
        <v>0</v>
      </c>
      <c r="W133" s="119"/>
      <c r="X133" s="119"/>
      <c r="Y133" s="123"/>
      <c r="Z133" s="119"/>
      <c r="AA133" s="119" t="s">
        <v>681</v>
      </c>
      <c r="AB133" s="169" t="b">
        <v>0</v>
      </c>
      <c r="AC133" s="169" t="b">
        <v>0</v>
      </c>
      <c r="AD133" s="169" t="b">
        <v>0</v>
      </c>
      <c r="AE133" s="169" t="b">
        <v>0</v>
      </c>
    </row>
    <row r="134" spans="1:31" x14ac:dyDescent="0.2">
      <c r="A134" s="126" t="s">
        <v>479</v>
      </c>
      <c r="B134" s="126" t="s">
        <v>480</v>
      </c>
      <c r="C134" s="227"/>
      <c r="D134" s="228"/>
      <c r="E134" s="228">
        <v>150</v>
      </c>
      <c r="F134" s="228">
        <v>150</v>
      </c>
      <c r="G134" s="228">
        <v>150</v>
      </c>
      <c r="H134" s="227"/>
      <c r="I134" s="229">
        <f t="shared" si="6"/>
        <v>450</v>
      </c>
      <c r="J134" s="227"/>
      <c r="K134" s="172" t="b">
        <v>1</v>
      </c>
      <c r="U134" s="215"/>
      <c r="V134" s="169" t="b">
        <v>0</v>
      </c>
      <c r="W134" s="119"/>
      <c r="X134" s="119"/>
      <c r="Y134" s="123"/>
      <c r="Z134" s="119"/>
      <c r="AA134" s="119" t="s">
        <v>493</v>
      </c>
      <c r="AB134" s="169" t="b">
        <v>0</v>
      </c>
      <c r="AC134" s="169" t="b">
        <v>0</v>
      </c>
      <c r="AD134" s="169" t="b">
        <v>0</v>
      </c>
      <c r="AE134" s="169" t="b">
        <v>0</v>
      </c>
    </row>
    <row r="135" spans="1:31" x14ac:dyDescent="0.2">
      <c r="A135" s="126" t="s">
        <v>176</v>
      </c>
      <c r="B135" s="126" t="s">
        <v>481</v>
      </c>
      <c r="C135" s="227"/>
      <c r="D135" s="228"/>
      <c r="E135" s="228">
        <v>150</v>
      </c>
      <c r="F135" s="228">
        <v>150</v>
      </c>
      <c r="G135" s="228">
        <v>150</v>
      </c>
      <c r="H135" s="227"/>
      <c r="I135" s="229">
        <f t="shared" si="6"/>
        <v>450</v>
      </c>
      <c r="J135" s="227"/>
      <c r="K135" s="172" t="b">
        <v>1</v>
      </c>
      <c r="U135" s="215"/>
      <c r="V135" s="169" t="b">
        <v>0</v>
      </c>
      <c r="W135" s="119"/>
      <c r="X135" s="119"/>
      <c r="Y135" s="123"/>
      <c r="Z135" s="119"/>
      <c r="AA135" s="119" t="s">
        <v>131</v>
      </c>
      <c r="AB135" s="169" t="b">
        <v>0</v>
      </c>
      <c r="AC135" s="169" t="b">
        <v>0</v>
      </c>
      <c r="AD135" s="169" t="b">
        <v>0</v>
      </c>
      <c r="AE135" s="169" t="b">
        <v>0</v>
      </c>
    </row>
    <row r="136" spans="1:31" x14ac:dyDescent="0.2">
      <c r="A136" s="126" t="s">
        <v>286</v>
      </c>
      <c r="B136" s="126" t="s">
        <v>482</v>
      </c>
      <c r="C136" s="227"/>
      <c r="D136" s="228"/>
      <c r="E136" s="228">
        <v>150</v>
      </c>
      <c r="F136" s="228">
        <v>150</v>
      </c>
      <c r="G136" s="228">
        <v>150</v>
      </c>
      <c r="H136" s="227"/>
      <c r="I136" s="229">
        <f t="shared" si="6"/>
        <v>450</v>
      </c>
      <c r="J136" s="227"/>
      <c r="K136" s="172" t="b">
        <v>1</v>
      </c>
      <c r="U136" s="215"/>
      <c r="V136" s="169" t="b">
        <v>0</v>
      </c>
      <c r="W136" s="119"/>
      <c r="X136" s="119"/>
      <c r="Y136" s="123"/>
      <c r="Z136" s="119"/>
      <c r="AA136" s="119"/>
      <c r="AB136" s="169" t="b">
        <v>0</v>
      </c>
      <c r="AC136" s="169" t="b">
        <v>0</v>
      </c>
      <c r="AD136" s="169" t="b">
        <v>0</v>
      </c>
      <c r="AE136" s="169" t="b">
        <v>0</v>
      </c>
    </row>
    <row r="137" spans="1:31" x14ac:dyDescent="0.2">
      <c r="A137" s="126" t="s">
        <v>483</v>
      </c>
      <c r="B137" s="126" t="s">
        <v>484</v>
      </c>
      <c r="C137" s="227"/>
      <c r="D137" s="228"/>
      <c r="E137" s="228">
        <v>150</v>
      </c>
      <c r="F137" s="228">
        <v>150</v>
      </c>
      <c r="G137" s="228">
        <v>150</v>
      </c>
      <c r="H137" s="227"/>
      <c r="I137" s="229">
        <f t="shared" si="6"/>
        <v>450</v>
      </c>
      <c r="J137" s="227"/>
      <c r="K137" s="172" t="b">
        <v>1</v>
      </c>
      <c r="U137" s="215"/>
      <c r="V137" s="169" t="b">
        <v>0</v>
      </c>
      <c r="W137" s="119"/>
      <c r="X137" s="119"/>
      <c r="Y137" s="123"/>
      <c r="Z137" s="119"/>
      <c r="AA137" s="119"/>
      <c r="AB137" s="169" t="b">
        <v>0</v>
      </c>
      <c r="AC137" s="169" t="b">
        <v>0</v>
      </c>
      <c r="AD137" s="169" t="b">
        <v>0</v>
      </c>
      <c r="AE137" s="169" t="b">
        <v>0</v>
      </c>
    </row>
    <row r="138" spans="1:31" x14ac:dyDescent="0.2">
      <c r="A138" s="126" t="s">
        <v>188</v>
      </c>
      <c r="B138" s="126" t="s">
        <v>480</v>
      </c>
      <c r="C138" s="227"/>
      <c r="D138" s="228"/>
      <c r="E138" s="228">
        <v>150</v>
      </c>
      <c r="F138" s="228">
        <v>150</v>
      </c>
      <c r="G138" s="228">
        <v>150</v>
      </c>
      <c r="H138" s="227"/>
      <c r="I138" s="229">
        <f t="shared" si="6"/>
        <v>450</v>
      </c>
      <c r="J138" s="227"/>
      <c r="K138" s="172" t="b">
        <v>1</v>
      </c>
      <c r="U138" s="215"/>
      <c r="V138" s="169" t="b">
        <v>0</v>
      </c>
      <c r="W138" s="119"/>
      <c r="X138" s="119"/>
      <c r="Y138" s="123"/>
      <c r="Z138" s="119"/>
      <c r="AA138" s="119"/>
      <c r="AB138" s="169" t="b">
        <v>0</v>
      </c>
      <c r="AC138" s="169" t="b">
        <v>0</v>
      </c>
      <c r="AD138" s="169" t="b">
        <v>0</v>
      </c>
      <c r="AE138" s="169" t="b">
        <v>0</v>
      </c>
    </row>
    <row r="139" spans="1:31" x14ac:dyDescent="0.2">
      <c r="A139" s="126" t="s">
        <v>485</v>
      </c>
      <c r="B139" s="126" t="s">
        <v>484</v>
      </c>
      <c r="C139" s="227"/>
      <c r="D139" s="227"/>
      <c r="E139" s="228">
        <v>150</v>
      </c>
      <c r="F139" s="228">
        <v>150</v>
      </c>
      <c r="G139" s="228">
        <v>150</v>
      </c>
      <c r="H139" s="227"/>
      <c r="I139" s="229">
        <f t="shared" si="6"/>
        <v>450</v>
      </c>
      <c r="J139" s="227"/>
      <c r="K139" s="172" t="b">
        <v>1</v>
      </c>
      <c r="U139" s="215"/>
      <c r="V139" s="169" t="b">
        <v>0</v>
      </c>
      <c r="W139" s="119"/>
      <c r="X139" s="119"/>
      <c r="Y139" s="123"/>
      <c r="Z139" s="119"/>
      <c r="AA139" s="119"/>
      <c r="AB139" s="169" t="b">
        <v>0</v>
      </c>
      <c r="AC139" s="169" t="b">
        <v>0</v>
      </c>
      <c r="AD139" s="169" t="b">
        <v>0</v>
      </c>
      <c r="AE139" s="169" t="b">
        <v>0</v>
      </c>
    </row>
    <row r="140" spans="1:31" x14ac:dyDescent="0.2">
      <c r="A140" s="126" t="s">
        <v>486</v>
      </c>
      <c r="B140" s="126" t="s">
        <v>480</v>
      </c>
      <c r="C140" s="227"/>
      <c r="D140" s="227"/>
      <c r="E140" s="228">
        <v>150</v>
      </c>
      <c r="F140" s="228">
        <v>150</v>
      </c>
      <c r="G140" s="228">
        <v>150</v>
      </c>
      <c r="H140" s="227"/>
      <c r="I140" s="229">
        <f t="shared" si="6"/>
        <v>450</v>
      </c>
      <c r="J140" s="227"/>
      <c r="K140" s="172" t="b">
        <v>1</v>
      </c>
      <c r="U140" s="215"/>
      <c r="V140" s="169" t="b">
        <v>0</v>
      </c>
      <c r="W140" s="119"/>
      <c r="X140" s="119"/>
      <c r="Y140" s="123"/>
      <c r="Z140" s="119"/>
      <c r="AA140" s="119"/>
      <c r="AB140" s="169" t="b">
        <v>0</v>
      </c>
      <c r="AC140" s="169" t="b">
        <v>0</v>
      </c>
      <c r="AD140" s="169" t="b">
        <v>0</v>
      </c>
      <c r="AE140" s="169" t="b">
        <v>0</v>
      </c>
    </row>
    <row r="141" spans="1:31" x14ac:dyDescent="0.2">
      <c r="A141" s="126" t="s">
        <v>488</v>
      </c>
      <c r="B141" s="126" t="s">
        <v>473</v>
      </c>
      <c r="C141" s="227"/>
      <c r="D141" s="227"/>
      <c r="E141" s="228">
        <v>150</v>
      </c>
      <c r="F141" s="228">
        <v>150</v>
      </c>
      <c r="G141" s="228">
        <v>150</v>
      </c>
      <c r="H141" s="227"/>
      <c r="I141" s="229">
        <f t="shared" si="6"/>
        <v>450</v>
      </c>
      <c r="J141" s="227"/>
      <c r="K141" s="172" t="b">
        <v>1</v>
      </c>
      <c r="U141" s="215"/>
      <c r="V141" s="169" t="b">
        <v>0</v>
      </c>
      <c r="W141" s="119"/>
      <c r="X141" s="119"/>
      <c r="Y141" s="123"/>
      <c r="Z141" s="119"/>
      <c r="AA141" s="119"/>
      <c r="AB141" s="169" t="b">
        <v>0</v>
      </c>
      <c r="AC141" s="169" t="b">
        <v>0</v>
      </c>
      <c r="AD141" s="169" t="b">
        <v>0</v>
      </c>
      <c r="AE141" s="169" t="b">
        <v>0</v>
      </c>
    </row>
    <row r="142" spans="1:31" x14ac:dyDescent="0.2">
      <c r="A142" s="126" t="s">
        <v>334</v>
      </c>
      <c r="B142" s="126" t="s">
        <v>489</v>
      </c>
      <c r="C142" s="227"/>
      <c r="D142" s="227"/>
      <c r="E142" s="228">
        <v>150</v>
      </c>
      <c r="F142" s="228">
        <v>150</v>
      </c>
      <c r="G142" s="228">
        <v>150</v>
      </c>
      <c r="H142" s="227"/>
      <c r="I142" s="229">
        <f t="shared" si="6"/>
        <v>450</v>
      </c>
      <c r="J142" s="227"/>
      <c r="K142" s="172" t="b">
        <v>1</v>
      </c>
      <c r="U142" s="215"/>
      <c r="V142" s="169" t="b">
        <v>0</v>
      </c>
      <c r="W142" s="119"/>
      <c r="X142" s="119"/>
      <c r="Y142" s="123"/>
      <c r="Z142" s="119"/>
      <c r="AA142" s="119"/>
      <c r="AB142" s="169" t="b">
        <v>0</v>
      </c>
      <c r="AC142" s="169" t="b">
        <v>0</v>
      </c>
      <c r="AD142" s="169" t="b">
        <v>0</v>
      </c>
      <c r="AE142" s="169" t="b">
        <v>0</v>
      </c>
    </row>
    <row r="143" spans="1:31" x14ac:dyDescent="0.2">
      <c r="A143" s="126" t="s">
        <v>491</v>
      </c>
      <c r="B143" s="126" t="s">
        <v>489</v>
      </c>
      <c r="C143" s="227"/>
      <c r="D143" s="227"/>
      <c r="E143" s="228">
        <v>150</v>
      </c>
      <c r="F143" s="228">
        <v>150</v>
      </c>
      <c r="G143" s="228">
        <v>150</v>
      </c>
      <c r="H143" s="227"/>
      <c r="I143" s="229">
        <f t="shared" si="6"/>
        <v>450</v>
      </c>
      <c r="J143" s="227"/>
      <c r="K143" s="172" t="b">
        <v>1</v>
      </c>
      <c r="U143" s="215"/>
      <c r="V143" s="169" t="b">
        <v>0</v>
      </c>
      <c r="W143" s="119"/>
      <c r="X143" s="119"/>
      <c r="Y143" s="123"/>
      <c r="Z143" s="119"/>
      <c r="AA143" s="119"/>
      <c r="AB143" s="169" t="b">
        <v>0</v>
      </c>
      <c r="AC143" s="169" t="b">
        <v>0</v>
      </c>
      <c r="AD143" s="169" t="b">
        <v>0</v>
      </c>
      <c r="AE143" s="169" t="b">
        <v>0</v>
      </c>
    </row>
    <row r="144" spans="1:31" x14ac:dyDescent="0.2">
      <c r="A144" s="126" t="s">
        <v>494</v>
      </c>
      <c r="B144" s="126" t="s">
        <v>495</v>
      </c>
      <c r="C144" s="227"/>
      <c r="D144" s="227"/>
      <c r="E144" s="228">
        <v>150</v>
      </c>
      <c r="F144" s="228">
        <v>150</v>
      </c>
      <c r="G144" s="228">
        <v>150</v>
      </c>
      <c r="H144" s="227"/>
      <c r="I144" s="229">
        <f t="shared" si="6"/>
        <v>450</v>
      </c>
      <c r="J144" s="227"/>
      <c r="K144" s="172" t="b">
        <v>1</v>
      </c>
      <c r="U144" s="215"/>
      <c r="V144" s="169" t="b">
        <v>0</v>
      </c>
      <c r="W144" s="119"/>
      <c r="X144" s="119"/>
      <c r="Y144" s="123"/>
      <c r="Z144" s="119"/>
      <c r="AA144" s="119" t="s">
        <v>131</v>
      </c>
      <c r="AB144" s="169" t="b">
        <v>0</v>
      </c>
      <c r="AC144" s="169" t="b">
        <v>0</v>
      </c>
      <c r="AD144" s="169" t="b">
        <v>0</v>
      </c>
      <c r="AE144" s="169" t="b">
        <v>0</v>
      </c>
    </row>
    <row r="145" spans="1:31" x14ac:dyDescent="0.2">
      <c r="A145" s="126" t="s">
        <v>498</v>
      </c>
      <c r="B145" s="126" t="s">
        <v>495</v>
      </c>
      <c r="C145" s="227"/>
      <c r="D145" s="227"/>
      <c r="E145" s="228">
        <v>150</v>
      </c>
      <c r="F145" s="228">
        <v>150</v>
      </c>
      <c r="G145" s="228">
        <v>150</v>
      </c>
      <c r="H145" s="227"/>
      <c r="I145" s="229">
        <f t="shared" si="6"/>
        <v>450</v>
      </c>
      <c r="J145" s="227"/>
      <c r="K145" s="172" t="b">
        <v>1</v>
      </c>
      <c r="U145" s="215"/>
      <c r="V145" s="169" t="b">
        <v>0</v>
      </c>
      <c r="W145" s="119"/>
      <c r="X145" s="119"/>
      <c r="Y145" s="123"/>
      <c r="Z145" s="119"/>
      <c r="AA145" s="119" t="s">
        <v>681</v>
      </c>
      <c r="AB145" s="169" t="b">
        <v>0</v>
      </c>
      <c r="AC145" s="169" t="b">
        <v>0</v>
      </c>
      <c r="AD145" s="169" t="b">
        <v>0</v>
      </c>
      <c r="AE145" s="169" t="b">
        <v>0</v>
      </c>
    </row>
    <row r="146" spans="1:31" x14ac:dyDescent="0.2">
      <c r="A146" s="126" t="s">
        <v>500</v>
      </c>
      <c r="B146" s="126" t="s">
        <v>484</v>
      </c>
      <c r="C146" s="227"/>
      <c r="D146" s="227"/>
      <c r="E146" s="228">
        <v>150</v>
      </c>
      <c r="F146" s="228">
        <v>150</v>
      </c>
      <c r="G146" s="228">
        <v>150</v>
      </c>
      <c r="H146" s="227"/>
      <c r="I146" s="229">
        <f t="shared" si="6"/>
        <v>450</v>
      </c>
      <c r="J146" s="227"/>
      <c r="K146" s="172" t="b">
        <v>1</v>
      </c>
      <c r="U146" s="215"/>
      <c r="V146" s="169" t="b">
        <v>0</v>
      </c>
      <c r="W146" s="119"/>
      <c r="X146" s="119"/>
      <c r="Y146" s="123"/>
      <c r="Z146" s="119"/>
      <c r="AA146" s="119" t="s">
        <v>681</v>
      </c>
      <c r="AB146" s="169" t="b">
        <v>0</v>
      </c>
      <c r="AC146" s="169" t="b">
        <v>0</v>
      </c>
      <c r="AD146" s="169" t="b">
        <v>0</v>
      </c>
      <c r="AE146" s="169" t="b">
        <v>0</v>
      </c>
    </row>
    <row r="147" spans="1:31" x14ac:dyDescent="0.2">
      <c r="A147" s="126" t="s">
        <v>372</v>
      </c>
      <c r="B147" s="126" t="s">
        <v>505</v>
      </c>
      <c r="C147" s="227"/>
      <c r="D147" s="227"/>
      <c r="E147" s="228">
        <v>150</v>
      </c>
      <c r="F147" s="228">
        <v>150</v>
      </c>
      <c r="G147" s="228">
        <v>150</v>
      </c>
      <c r="H147" s="227"/>
      <c r="I147" s="229">
        <f t="shared" si="6"/>
        <v>450</v>
      </c>
      <c r="J147" s="227"/>
      <c r="K147" s="172" t="b">
        <v>1</v>
      </c>
      <c r="U147" s="215"/>
      <c r="V147" s="169" t="b">
        <v>0</v>
      </c>
      <c r="W147" s="119"/>
      <c r="X147" s="119"/>
      <c r="Y147" s="123"/>
      <c r="Z147" s="119"/>
      <c r="AA147" s="119" t="s">
        <v>681</v>
      </c>
      <c r="AB147" s="169" t="b">
        <v>0</v>
      </c>
      <c r="AC147" s="169" t="b">
        <v>0</v>
      </c>
      <c r="AD147" s="169" t="b">
        <v>0</v>
      </c>
      <c r="AE147" s="169" t="b">
        <v>0</v>
      </c>
    </row>
    <row r="148" spans="1:31" x14ac:dyDescent="0.2">
      <c r="A148" s="126" t="s">
        <v>187</v>
      </c>
      <c r="B148" s="126" t="s">
        <v>510</v>
      </c>
      <c r="C148" s="227"/>
      <c r="D148" s="227"/>
      <c r="E148" s="228">
        <v>150</v>
      </c>
      <c r="F148" s="228">
        <v>150</v>
      </c>
      <c r="G148" s="228">
        <v>150</v>
      </c>
      <c r="H148" s="227"/>
      <c r="I148" s="229">
        <f t="shared" si="6"/>
        <v>450</v>
      </c>
      <c r="J148" s="227"/>
      <c r="K148" s="172" t="b">
        <v>1</v>
      </c>
      <c r="U148" s="215"/>
      <c r="V148" s="169" t="b">
        <v>0</v>
      </c>
      <c r="W148" s="119"/>
      <c r="X148" s="119"/>
      <c r="Y148" s="123"/>
      <c r="Z148" s="119"/>
      <c r="AA148" s="119"/>
      <c r="AB148" s="169" t="b">
        <v>0</v>
      </c>
      <c r="AC148" s="169" t="b">
        <v>0</v>
      </c>
      <c r="AD148" s="169" t="b">
        <v>0</v>
      </c>
      <c r="AE148" s="169" t="b">
        <v>0</v>
      </c>
    </row>
    <row r="149" spans="1:31" x14ac:dyDescent="0.2">
      <c r="A149" s="189" t="s">
        <v>514</v>
      </c>
      <c r="B149" s="189" t="s">
        <v>515</v>
      </c>
      <c r="C149" s="227"/>
      <c r="D149" s="227"/>
      <c r="E149" s="228">
        <v>150</v>
      </c>
      <c r="F149" s="228">
        <v>150</v>
      </c>
      <c r="G149" s="228">
        <v>150</v>
      </c>
      <c r="H149" s="227"/>
      <c r="I149" s="229">
        <f t="shared" si="6"/>
        <v>450</v>
      </c>
      <c r="J149" s="227"/>
      <c r="K149" s="172" t="b">
        <v>1</v>
      </c>
      <c r="U149" s="215"/>
      <c r="V149" s="169" t="b">
        <v>0</v>
      </c>
      <c r="W149" s="119"/>
      <c r="X149" s="119"/>
      <c r="Y149" s="123"/>
      <c r="Z149" s="119"/>
      <c r="AA149" s="119"/>
      <c r="AB149" s="169" t="b">
        <v>0</v>
      </c>
      <c r="AC149" s="169" t="b">
        <v>0</v>
      </c>
      <c r="AD149" s="169" t="b">
        <v>0</v>
      </c>
      <c r="AE149" s="169" t="b">
        <v>0</v>
      </c>
    </row>
    <row r="150" spans="1:31" x14ac:dyDescent="0.2">
      <c r="A150" s="189" t="s">
        <v>518</v>
      </c>
      <c r="B150" s="189" t="s">
        <v>519</v>
      </c>
      <c r="C150" s="227"/>
      <c r="D150" s="227"/>
      <c r="E150" s="228">
        <v>150</v>
      </c>
      <c r="F150" s="228">
        <v>150</v>
      </c>
      <c r="G150" s="228">
        <v>150</v>
      </c>
      <c r="H150" s="227"/>
      <c r="I150" s="229">
        <f t="shared" si="6"/>
        <v>450</v>
      </c>
      <c r="J150" s="227"/>
      <c r="K150" s="172" t="b">
        <v>1</v>
      </c>
      <c r="U150" s="215"/>
      <c r="V150" s="169" t="b">
        <v>0</v>
      </c>
      <c r="W150" s="119"/>
      <c r="X150" s="119"/>
      <c r="Y150" s="123"/>
      <c r="Z150" s="119"/>
      <c r="AA150" s="119"/>
      <c r="AB150" s="169" t="b">
        <v>0</v>
      </c>
      <c r="AC150" s="169" t="b">
        <v>0</v>
      </c>
      <c r="AD150" s="169" t="b">
        <v>0</v>
      </c>
      <c r="AE150" s="169" t="b">
        <v>0</v>
      </c>
    </row>
    <row r="151" spans="1:31" x14ac:dyDescent="0.2">
      <c r="A151" s="126" t="s">
        <v>521</v>
      </c>
      <c r="B151" s="126" t="s">
        <v>522</v>
      </c>
      <c r="C151" s="227"/>
      <c r="D151" s="227"/>
      <c r="E151" s="228">
        <v>150</v>
      </c>
      <c r="F151" s="228">
        <v>150</v>
      </c>
      <c r="G151" s="228">
        <v>150</v>
      </c>
      <c r="H151" s="227"/>
      <c r="I151" s="229">
        <f t="shared" si="6"/>
        <v>450</v>
      </c>
      <c r="J151" s="227"/>
      <c r="K151" s="172" t="b">
        <v>1</v>
      </c>
      <c r="U151" s="215"/>
      <c r="V151" s="169" t="b">
        <v>0</v>
      </c>
      <c r="W151" s="119"/>
      <c r="X151" s="119"/>
      <c r="Y151" s="123"/>
      <c r="Z151" s="119"/>
      <c r="AA151" s="119" t="s">
        <v>493</v>
      </c>
      <c r="AB151" s="169" t="b">
        <v>0</v>
      </c>
      <c r="AC151" s="169" t="b">
        <v>0</v>
      </c>
      <c r="AD151" s="169" t="b">
        <v>0</v>
      </c>
      <c r="AE151" s="169" t="b">
        <v>0</v>
      </c>
    </row>
    <row r="152" spans="1:31" x14ac:dyDescent="0.2">
      <c r="A152" s="126" t="s">
        <v>175</v>
      </c>
      <c r="B152" s="126" t="s">
        <v>524</v>
      </c>
      <c r="C152" s="227"/>
      <c r="D152" s="227"/>
      <c r="E152" s="228">
        <v>150</v>
      </c>
      <c r="F152" s="228">
        <v>150</v>
      </c>
      <c r="G152" s="228">
        <v>150</v>
      </c>
      <c r="H152" s="227"/>
      <c r="I152" s="229">
        <f t="shared" si="6"/>
        <v>450</v>
      </c>
      <c r="J152" s="227"/>
      <c r="K152" s="172" t="b">
        <v>0</v>
      </c>
      <c r="U152" s="215"/>
      <c r="V152" s="169" t="b">
        <v>0</v>
      </c>
      <c r="W152" s="119"/>
      <c r="X152" s="119"/>
      <c r="Y152" s="123"/>
      <c r="Z152" s="119"/>
      <c r="AA152" s="119"/>
      <c r="AB152" s="169" t="b">
        <v>0</v>
      </c>
      <c r="AC152" s="169" t="b">
        <v>0</v>
      </c>
      <c r="AD152" s="169" t="b">
        <v>0</v>
      </c>
      <c r="AE152" s="169" t="b">
        <v>0</v>
      </c>
    </row>
    <row r="153" spans="1:31" x14ac:dyDescent="0.2">
      <c r="A153" s="126" t="s">
        <v>244</v>
      </c>
      <c r="B153" s="126" t="s">
        <v>527</v>
      </c>
      <c r="C153" s="227"/>
      <c r="D153" s="227"/>
      <c r="E153" s="228"/>
      <c r="F153" s="228">
        <v>150</v>
      </c>
      <c r="G153" s="228">
        <v>150</v>
      </c>
      <c r="H153" s="227"/>
      <c r="I153" s="229">
        <f t="shared" si="6"/>
        <v>300</v>
      </c>
      <c r="J153" s="227"/>
      <c r="K153" s="172" t="b">
        <v>1</v>
      </c>
      <c r="U153" s="215"/>
      <c r="V153" s="169" t="b">
        <v>0</v>
      </c>
      <c r="W153" s="119"/>
      <c r="X153" s="119"/>
      <c r="Y153" s="119"/>
      <c r="Z153" s="119"/>
      <c r="AA153" s="119" t="s">
        <v>502</v>
      </c>
      <c r="AB153" s="169" t="b">
        <v>0</v>
      </c>
      <c r="AC153" s="169" t="b">
        <v>0</v>
      </c>
      <c r="AD153" s="169" t="b">
        <v>0</v>
      </c>
      <c r="AE153" s="169" t="b">
        <v>0</v>
      </c>
    </row>
    <row r="154" spans="1:31" x14ac:dyDescent="0.2">
      <c r="A154" s="126" t="s">
        <v>282</v>
      </c>
      <c r="B154" s="126" t="s">
        <v>532</v>
      </c>
      <c r="C154" s="227"/>
      <c r="D154" s="227"/>
      <c r="E154" s="228"/>
      <c r="F154" s="228">
        <v>150</v>
      </c>
      <c r="G154" s="228">
        <v>150</v>
      </c>
      <c r="H154" s="227"/>
      <c r="I154" s="229">
        <f t="shared" si="6"/>
        <v>300</v>
      </c>
      <c r="J154" s="227"/>
      <c r="K154" s="172" t="b">
        <v>1</v>
      </c>
      <c r="U154" s="215"/>
      <c r="V154" s="169" t="b">
        <v>0</v>
      </c>
      <c r="W154" s="119"/>
      <c r="X154" s="119"/>
      <c r="Y154" s="119"/>
      <c r="Z154" s="119"/>
      <c r="AA154" s="119" t="s">
        <v>502</v>
      </c>
      <c r="AB154" s="169" t="b">
        <v>0</v>
      </c>
      <c r="AC154" s="169" t="b">
        <v>0</v>
      </c>
      <c r="AD154" s="169" t="b">
        <v>0</v>
      </c>
      <c r="AE154" s="169" t="b">
        <v>0</v>
      </c>
    </row>
    <row r="155" spans="1:31" x14ac:dyDescent="0.2">
      <c r="A155" s="126" t="s">
        <v>279</v>
      </c>
      <c r="B155" s="126" t="s">
        <v>537</v>
      </c>
      <c r="C155" s="227"/>
      <c r="D155" s="227"/>
      <c r="E155" s="228"/>
      <c r="F155" s="228">
        <v>150</v>
      </c>
      <c r="G155" s="228">
        <v>150</v>
      </c>
      <c r="H155" s="227"/>
      <c r="I155" s="229">
        <f t="shared" si="6"/>
        <v>300</v>
      </c>
      <c r="J155" s="227"/>
      <c r="K155" s="172" t="b">
        <v>1</v>
      </c>
      <c r="U155" s="215"/>
      <c r="V155" s="169" t="b">
        <v>0</v>
      </c>
      <c r="W155" s="119"/>
      <c r="X155" s="119"/>
      <c r="Y155" s="123"/>
      <c r="Z155" s="119"/>
      <c r="AA155" s="119" t="s">
        <v>681</v>
      </c>
      <c r="AB155" s="169" t="b">
        <v>0</v>
      </c>
      <c r="AC155" s="169" t="b">
        <v>0</v>
      </c>
      <c r="AD155" s="169" t="b">
        <v>0</v>
      </c>
      <c r="AE155" s="169" t="b">
        <v>0</v>
      </c>
    </row>
    <row r="156" spans="1:31" x14ac:dyDescent="0.2">
      <c r="A156" s="126" t="s">
        <v>540</v>
      </c>
      <c r="B156" s="126" t="s">
        <v>541</v>
      </c>
      <c r="C156" s="227"/>
      <c r="D156" s="227"/>
      <c r="E156" s="228">
        <v>150</v>
      </c>
      <c r="F156" s="228">
        <v>150</v>
      </c>
      <c r="G156" s="228">
        <v>150</v>
      </c>
      <c r="H156" s="227"/>
      <c r="I156" s="229">
        <f t="shared" si="6"/>
        <v>450</v>
      </c>
      <c r="J156" s="227"/>
      <c r="K156" s="172" t="b">
        <v>1</v>
      </c>
      <c r="U156" s="215"/>
      <c r="V156" s="169" t="b">
        <v>0</v>
      </c>
      <c r="W156" s="119"/>
      <c r="X156" s="119"/>
      <c r="Y156" s="123"/>
      <c r="Z156" s="119"/>
      <c r="AA156" s="119" t="s">
        <v>681</v>
      </c>
      <c r="AB156" s="169" t="b">
        <v>0</v>
      </c>
      <c r="AC156" s="169" t="b">
        <v>0</v>
      </c>
      <c r="AD156" s="169" t="b">
        <v>0</v>
      </c>
      <c r="AE156" s="169" t="b">
        <v>0</v>
      </c>
    </row>
    <row r="157" spans="1:31" x14ac:dyDescent="0.2">
      <c r="A157" s="126" t="s">
        <v>544</v>
      </c>
      <c r="B157" s="126" t="s">
        <v>545</v>
      </c>
      <c r="C157" s="227"/>
      <c r="D157" s="227"/>
      <c r="E157" s="228">
        <v>150</v>
      </c>
      <c r="F157" s="228">
        <v>150</v>
      </c>
      <c r="G157" s="228">
        <v>150</v>
      </c>
      <c r="H157" s="227"/>
      <c r="I157" s="229">
        <f t="shared" si="6"/>
        <v>450</v>
      </c>
      <c r="J157" s="227"/>
      <c r="K157" s="172" t="b">
        <v>1</v>
      </c>
      <c r="U157" s="215"/>
      <c r="V157" s="169" t="b">
        <v>0</v>
      </c>
      <c r="W157" s="119"/>
      <c r="X157" s="119"/>
      <c r="Y157" s="123"/>
      <c r="Z157" s="119"/>
      <c r="AA157" s="119" t="s">
        <v>502</v>
      </c>
      <c r="AB157" s="169" t="b">
        <v>0</v>
      </c>
      <c r="AC157" s="169" t="b">
        <v>0</v>
      </c>
      <c r="AD157" s="169" t="b">
        <v>0</v>
      </c>
      <c r="AE157" s="169" t="b">
        <v>0</v>
      </c>
    </row>
    <row r="158" spans="1:31" x14ac:dyDescent="0.2">
      <c r="A158" s="126"/>
      <c r="B158" s="126"/>
      <c r="C158" s="227"/>
      <c r="D158" s="227"/>
      <c r="E158" s="228"/>
      <c r="F158" s="228"/>
      <c r="G158" s="228"/>
      <c r="H158" s="227"/>
      <c r="I158" s="229">
        <f t="shared" si="6"/>
        <v>0</v>
      </c>
      <c r="J158" s="227"/>
      <c r="K158" s="172" t="b">
        <v>0</v>
      </c>
      <c r="U158" s="215"/>
      <c r="V158" s="169" t="b">
        <v>0</v>
      </c>
      <c r="W158" s="119"/>
      <c r="X158" s="119"/>
      <c r="Y158" s="123"/>
      <c r="Z158" s="119"/>
      <c r="AA158" s="119"/>
      <c r="AB158" s="169" t="b">
        <v>0</v>
      </c>
      <c r="AC158" s="169" t="b">
        <v>0</v>
      </c>
      <c r="AD158" s="169" t="b">
        <v>0</v>
      </c>
      <c r="AE158" s="169" t="b">
        <v>0</v>
      </c>
    </row>
    <row r="159" spans="1:31" x14ac:dyDescent="0.2">
      <c r="A159" s="126" t="s">
        <v>548</v>
      </c>
      <c r="B159" s="126" t="s">
        <v>549</v>
      </c>
      <c r="C159" s="227"/>
      <c r="D159" s="227"/>
      <c r="E159" s="228">
        <v>150</v>
      </c>
      <c r="F159" s="228">
        <v>150</v>
      </c>
      <c r="G159" s="228">
        <v>150</v>
      </c>
      <c r="H159" s="227"/>
      <c r="I159" s="229">
        <f t="shared" si="6"/>
        <v>450</v>
      </c>
      <c r="J159" s="227"/>
      <c r="K159" s="172" t="b">
        <v>1</v>
      </c>
      <c r="U159" s="215"/>
      <c r="V159" s="169" t="b">
        <v>0</v>
      </c>
      <c r="W159" s="119"/>
      <c r="X159" s="119"/>
      <c r="Y159" s="123"/>
      <c r="Z159" s="119"/>
      <c r="AA159" s="119" t="s">
        <v>131</v>
      </c>
      <c r="AB159" s="169" t="b">
        <v>0</v>
      </c>
      <c r="AC159" s="169" t="b">
        <v>0</v>
      </c>
      <c r="AD159" s="169" t="b">
        <v>0</v>
      </c>
      <c r="AE159" s="169" t="b">
        <v>0</v>
      </c>
    </row>
    <row r="160" spans="1:31" x14ac:dyDescent="0.2">
      <c r="A160" s="126" t="s">
        <v>682</v>
      </c>
      <c r="B160" s="126" t="s">
        <v>683</v>
      </c>
      <c r="C160" s="227"/>
      <c r="D160" s="228"/>
      <c r="E160" s="228"/>
      <c r="F160" s="228"/>
      <c r="G160" s="228">
        <v>150</v>
      </c>
      <c r="H160" s="228">
        <v>100</v>
      </c>
      <c r="I160" s="229">
        <f t="shared" si="6"/>
        <v>250</v>
      </c>
      <c r="J160" s="227"/>
      <c r="K160" s="172" t="b">
        <v>1</v>
      </c>
      <c r="U160" s="215"/>
      <c r="V160" s="169" t="b">
        <v>0</v>
      </c>
      <c r="W160" s="119"/>
      <c r="X160" s="119"/>
      <c r="Y160" s="123"/>
      <c r="Z160" s="119"/>
      <c r="AA160" s="119" t="s">
        <v>131</v>
      </c>
      <c r="AB160" s="169" t="b">
        <v>0</v>
      </c>
      <c r="AC160" s="169" t="b">
        <v>0</v>
      </c>
      <c r="AD160" s="169" t="b">
        <v>0</v>
      </c>
      <c r="AE160" s="169" t="b">
        <v>0</v>
      </c>
    </row>
    <row r="161" spans="1:31" x14ac:dyDescent="0.2">
      <c r="A161" s="126" t="s">
        <v>554</v>
      </c>
      <c r="B161" s="126" t="s">
        <v>555</v>
      </c>
      <c r="C161" s="227"/>
      <c r="D161" s="227"/>
      <c r="E161" s="228">
        <v>150</v>
      </c>
      <c r="F161" s="228">
        <v>150</v>
      </c>
      <c r="G161" s="228">
        <v>150</v>
      </c>
      <c r="H161" s="227"/>
      <c r="I161" s="229">
        <f t="shared" si="6"/>
        <v>450</v>
      </c>
      <c r="J161" s="227"/>
      <c r="K161" s="172" t="b">
        <v>1</v>
      </c>
      <c r="U161" s="215"/>
      <c r="V161" s="169" t="b">
        <v>0</v>
      </c>
      <c r="W161" s="119"/>
      <c r="X161" s="119"/>
      <c r="Y161" s="123"/>
      <c r="Z161" s="119"/>
      <c r="AA161" s="119" t="s">
        <v>131</v>
      </c>
      <c r="AB161" s="169" t="b">
        <v>0</v>
      </c>
      <c r="AC161" s="169" t="b">
        <v>0</v>
      </c>
      <c r="AD161" s="169" t="b">
        <v>0</v>
      </c>
      <c r="AE161" s="169" t="b">
        <v>0</v>
      </c>
    </row>
    <row r="162" spans="1:31" x14ac:dyDescent="0.2">
      <c r="A162" s="126" t="s">
        <v>488</v>
      </c>
      <c r="B162" s="126" t="s">
        <v>473</v>
      </c>
      <c r="C162" s="227"/>
      <c r="D162" s="227"/>
      <c r="E162" s="228">
        <v>150</v>
      </c>
      <c r="F162" s="228">
        <v>150</v>
      </c>
      <c r="G162" s="228">
        <v>150</v>
      </c>
      <c r="H162" s="227"/>
      <c r="I162" s="229">
        <f t="shared" si="6"/>
        <v>450</v>
      </c>
      <c r="J162" s="227"/>
      <c r="K162" s="172" t="b">
        <v>0</v>
      </c>
      <c r="U162" s="215"/>
      <c r="V162" s="169" t="b">
        <v>0</v>
      </c>
      <c r="W162" s="119"/>
      <c r="X162" s="119"/>
      <c r="Y162" s="123"/>
      <c r="Z162" s="119"/>
      <c r="AA162" s="119" t="s">
        <v>131</v>
      </c>
      <c r="AB162" s="169" t="b">
        <v>0</v>
      </c>
      <c r="AC162" s="169" t="b">
        <v>0</v>
      </c>
      <c r="AD162" s="169" t="b">
        <v>0</v>
      </c>
      <c r="AE162" s="169" t="b">
        <v>0</v>
      </c>
    </row>
    <row r="163" spans="1:31" x14ac:dyDescent="0.2">
      <c r="A163" s="126" t="s">
        <v>196</v>
      </c>
      <c r="B163" s="126" t="s">
        <v>559</v>
      </c>
      <c r="C163" s="228"/>
      <c r="D163" s="228"/>
      <c r="E163" s="228">
        <v>150</v>
      </c>
      <c r="F163" s="228">
        <v>150</v>
      </c>
      <c r="G163" s="228">
        <v>150</v>
      </c>
      <c r="H163" s="227"/>
      <c r="I163" s="229">
        <f t="shared" si="6"/>
        <v>450</v>
      </c>
      <c r="J163" s="227"/>
      <c r="K163" s="172" t="b">
        <v>0</v>
      </c>
      <c r="U163" s="215"/>
      <c r="V163" s="169" t="b">
        <v>0</v>
      </c>
      <c r="W163" s="119"/>
      <c r="X163" s="119"/>
      <c r="Y163" s="123"/>
      <c r="Z163" s="119"/>
      <c r="AA163" s="119"/>
      <c r="AB163" s="169" t="b">
        <v>0</v>
      </c>
      <c r="AC163" s="169" t="b">
        <v>0</v>
      </c>
      <c r="AD163" s="169" t="b">
        <v>0</v>
      </c>
      <c r="AE163" s="169" t="b">
        <v>0</v>
      </c>
    </row>
    <row r="164" spans="1:31" x14ac:dyDescent="0.2">
      <c r="A164" s="126" t="s">
        <v>562</v>
      </c>
      <c r="B164" s="126" t="s">
        <v>563</v>
      </c>
      <c r="C164" s="227"/>
      <c r="D164" s="227"/>
      <c r="E164" s="228">
        <v>150</v>
      </c>
      <c r="F164" s="228">
        <v>150</v>
      </c>
      <c r="G164" s="228">
        <v>150</v>
      </c>
      <c r="H164" s="227"/>
      <c r="I164" s="229">
        <f t="shared" si="6"/>
        <v>450</v>
      </c>
      <c r="J164" s="227"/>
      <c r="K164" s="172" t="b">
        <v>0</v>
      </c>
      <c r="U164" s="215"/>
      <c r="V164" s="169" t="b">
        <v>0</v>
      </c>
      <c r="W164" s="119"/>
      <c r="X164" s="119"/>
      <c r="Y164" s="123"/>
      <c r="Z164" s="119"/>
      <c r="AA164" s="119"/>
      <c r="AB164" s="169" t="b">
        <v>0</v>
      </c>
      <c r="AC164" s="169" t="b">
        <v>0</v>
      </c>
      <c r="AD164" s="169" t="b">
        <v>0</v>
      </c>
      <c r="AE164" s="169" t="b">
        <v>0</v>
      </c>
    </row>
    <row r="165" spans="1:31" x14ac:dyDescent="0.2">
      <c r="A165" s="126" t="s">
        <v>566</v>
      </c>
      <c r="B165" s="126" t="s">
        <v>567</v>
      </c>
      <c r="C165" s="227"/>
      <c r="D165" s="227"/>
      <c r="E165" s="228"/>
      <c r="F165" s="228">
        <v>150</v>
      </c>
      <c r="G165" s="228">
        <v>150</v>
      </c>
      <c r="H165" s="227"/>
      <c r="I165" s="229">
        <f t="shared" si="6"/>
        <v>300</v>
      </c>
      <c r="J165" s="227"/>
      <c r="K165" s="172" t="b">
        <v>0</v>
      </c>
      <c r="U165" s="215"/>
      <c r="V165" s="169" t="b">
        <v>0</v>
      </c>
      <c r="W165" s="119"/>
      <c r="X165" s="119"/>
      <c r="Y165" s="123"/>
      <c r="Z165" s="119"/>
      <c r="AA165" s="119"/>
      <c r="AB165" s="169" t="b">
        <v>0</v>
      </c>
      <c r="AC165" s="169" t="b">
        <v>0</v>
      </c>
      <c r="AD165" s="169" t="b">
        <v>0</v>
      </c>
      <c r="AE165" s="169" t="b">
        <v>0</v>
      </c>
    </row>
    <row r="166" spans="1:31" x14ac:dyDescent="0.2">
      <c r="A166" s="126" t="s">
        <v>572</v>
      </c>
      <c r="B166" s="126" t="s">
        <v>573</v>
      </c>
      <c r="C166" s="227"/>
      <c r="D166" s="227"/>
      <c r="E166" s="228">
        <v>150</v>
      </c>
      <c r="F166" s="228">
        <v>150</v>
      </c>
      <c r="G166" s="228">
        <v>150</v>
      </c>
      <c r="H166" s="227"/>
      <c r="I166" s="229">
        <f t="shared" si="6"/>
        <v>450</v>
      </c>
      <c r="J166" s="227"/>
      <c r="K166" s="172" t="b">
        <v>0</v>
      </c>
      <c r="U166" s="215"/>
      <c r="V166" s="169" t="b">
        <v>0</v>
      </c>
      <c r="W166" s="119"/>
      <c r="X166" s="119"/>
      <c r="Y166" s="123"/>
      <c r="Z166" s="119"/>
      <c r="AA166" s="119"/>
      <c r="AB166" s="169" t="b">
        <v>0</v>
      </c>
      <c r="AC166" s="169" t="b">
        <v>0</v>
      </c>
      <c r="AD166" s="169" t="b">
        <v>0</v>
      </c>
      <c r="AE166" s="169" t="b">
        <v>0</v>
      </c>
    </row>
    <row r="167" spans="1:31" x14ac:dyDescent="0.2">
      <c r="A167" s="126" t="s">
        <v>578</v>
      </c>
      <c r="B167" s="126" t="s">
        <v>579</v>
      </c>
      <c r="C167" s="227"/>
      <c r="D167" s="227"/>
      <c r="E167" s="228">
        <v>150</v>
      </c>
      <c r="F167" s="228">
        <v>150</v>
      </c>
      <c r="G167" s="228">
        <v>150</v>
      </c>
      <c r="H167" s="227"/>
      <c r="I167" s="229">
        <f t="shared" si="6"/>
        <v>450</v>
      </c>
      <c r="J167" s="227"/>
      <c r="K167" s="172" t="b">
        <v>0</v>
      </c>
      <c r="U167" s="215"/>
      <c r="V167" s="169" t="b">
        <v>0</v>
      </c>
      <c r="W167" s="119"/>
      <c r="X167" s="119"/>
      <c r="Y167" s="123"/>
      <c r="Z167" s="119"/>
      <c r="AA167" s="119"/>
      <c r="AB167" s="169" t="b">
        <v>0</v>
      </c>
      <c r="AC167" s="169" t="b">
        <v>0</v>
      </c>
      <c r="AD167" s="169" t="b">
        <v>0</v>
      </c>
      <c r="AE167" s="169" t="b">
        <v>0</v>
      </c>
    </row>
    <row r="168" spans="1:31" x14ac:dyDescent="0.2">
      <c r="A168" s="126"/>
      <c r="B168" s="126"/>
      <c r="C168" s="227"/>
      <c r="D168" s="227"/>
      <c r="E168" s="228"/>
      <c r="F168" s="228"/>
      <c r="G168" s="228"/>
      <c r="H168" s="227"/>
      <c r="I168" s="229">
        <f t="shared" si="6"/>
        <v>0</v>
      </c>
      <c r="J168" s="227"/>
      <c r="K168" s="172" t="b">
        <v>0</v>
      </c>
      <c r="U168" s="215"/>
      <c r="V168" s="169" t="b">
        <v>0</v>
      </c>
      <c r="W168" s="119"/>
      <c r="X168" s="119"/>
      <c r="Y168" s="123"/>
      <c r="Z168" s="119"/>
      <c r="AA168" s="119"/>
      <c r="AB168" s="169" t="b">
        <v>0</v>
      </c>
      <c r="AC168" s="169" t="b">
        <v>0</v>
      </c>
      <c r="AD168" s="169" t="b">
        <v>0</v>
      </c>
      <c r="AE168" s="169" t="b">
        <v>0</v>
      </c>
    </row>
    <row r="169" spans="1:31" x14ac:dyDescent="0.2">
      <c r="A169" s="126" t="s">
        <v>586</v>
      </c>
      <c r="B169" s="126" t="s">
        <v>587</v>
      </c>
      <c r="C169" s="227"/>
      <c r="D169" s="228"/>
      <c r="E169" s="228">
        <v>150</v>
      </c>
      <c r="F169" s="228">
        <v>150</v>
      </c>
      <c r="G169" s="228">
        <v>150</v>
      </c>
      <c r="H169" s="227"/>
      <c r="I169" s="229">
        <f t="shared" si="6"/>
        <v>450</v>
      </c>
      <c r="J169" s="227"/>
      <c r="K169" s="172" t="b">
        <v>0</v>
      </c>
      <c r="U169" s="215"/>
      <c r="V169" s="169" t="b">
        <v>0</v>
      </c>
      <c r="W169" s="119"/>
      <c r="X169" s="119"/>
      <c r="Y169" s="123"/>
      <c r="Z169" s="119"/>
      <c r="AA169" s="119"/>
      <c r="AB169" s="169" t="b">
        <v>0</v>
      </c>
      <c r="AC169" s="169" t="b">
        <v>0</v>
      </c>
      <c r="AD169" s="169" t="b">
        <v>0</v>
      </c>
      <c r="AE169" s="169" t="b">
        <v>0</v>
      </c>
    </row>
    <row r="170" spans="1:31" x14ac:dyDescent="0.2">
      <c r="A170" s="126" t="s">
        <v>590</v>
      </c>
      <c r="B170" s="126" t="s">
        <v>591</v>
      </c>
      <c r="C170" s="227"/>
      <c r="D170" s="228"/>
      <c r="E170" s="228">
        <v>150</v>
      </c>
      <c r="F170" s="228">
        <v>150</v>
      </c>
      <c r="G170" s="228">
        <v>150</v>
      </c>
      <c r="H170" s="227"/>
      <c r="I170" s="229">
        <f t="shared" si="6"/>
        <v>450</v>
      </c>
      <c r="J170" s="227"/>
      <c r="K170" s="172" t="b">
        <v>0</v>
      </c>
      <c r="U170" s="215"/>
      <c r="V170" s="169" t="b">
        <v>0</v>
      </c>
      <c r="W170" s="119"/>
      <c r="X170" s="119"/>
      <c r="Y170" s="123"/>
      <c r="Z170" s="119"/>
      <c r="AA170" s="119"/>
      <c r="AB170" s="169" t="b">
        <v>0</v>
      </c>
      <c r="AC170" s="169" t="b">
        <v>0</v>
      </c>
      <c r="AD170" s="169" t="b">
        <v>0</v>
      </c>
      <c r="AE170" s="169" t="b">
        <v>0</v>
      </c>
    </row>
    <row r="171" spans="1:31" x14ac:dyDescent="0.2">
      <c r="A171" s="126" t="s">
        <v>594</v>
      </c>
      <c r="B171" s="126" t="s">
        <v>595</v>
      </c>
      <c r="C171" s="227"/>
      <c r="D171" s="227"/>
      <c r="E171" s="228">
        <v>150</v>
      </c>
      <c r="F171" s="228">
        <v>150</v>
      </c>
      <c r="G171" s="228">
        <v>150</v>
      </c>
      <c r="H171" s="227"/>
      <c r="I171" s="229">
        <f t="shared" si="6"/>
        <v>450</v>
      </c>
      <c r="J171" s="227"/>
      <c r="K171" s="172" t="b">
        <v>1</v>
      </c>
      <c r="U171" s="215"/>
      <c r="V171" s="169" t="b">
        <v>0</v>
      </c>
      <c r="W171" s="119"/>
      <c r="X171" s="119"/>
      <c r="Y171" s="123"/>
      <c r="Z171" s="119"/>
      <c r="AA171" s="119"/>
      <c r="AB171" s="169" t="b">
        <v>0</v>
      </c>
      <c r="AC171" s="169" t="b">
        <v>0</v>
      </c>
      <c r="AD171" s="169" t="b">
        <v>0</v>
      </c>
      <c r="AE171" s="169" t="b">
        <v>0</v>
      </c>
    </row>
    <row r="172" spans="1:31" x14ac:dyDescent="0.2">
      <c r="A172" s="126" t="s">
        <v>600</v>
      </c>
      <c r="B172" s="126" t="s">
        <v>601</v>
      </c>
      <c r="C172" s="227"/>
      <c r="D172" s="227"/>
      <c r="E172" s="228">
        <v>150</v>
      </c>
      <c r="F172" s="228">
        <v>150</v>
      </c>
      <c r="G172" s="228">
        <v>150</v>
      </c>
      <c r="H172" s="227"/>
      <c r="I172" s="229">
        <f t="shared" si="6"/>
        <v>450</v>
      </c>
      <c r="J172" s="227"/>
      <c r="K172" s="172" t="b">
        <v>1</v>
      </c>
      <c r="U172" s="215"/>
      <c r="V172" s="169" t="b">
        <v>0</v>
      </c>
      <c r="W172" s="119"/>
      <c r="X172" s="119"/>
      <c r="Y172" s="119"/>
      <c r="Z172" s="119"/>
      <c r="AA172" s="119"/>
      <c r="AB172" s="169" t="b">
        <v>0</v>
      </c>
      <c r="AC172" s="169" t="b">
        <v>0</v>
      </c>
      <c r="AD172" s="169" t="b">
        <v>0</v>
      </c>
      <c r="AE172" s="169" t="b">
        <v>0</v>
      </c>
    </row>
    <row r="173" spans="1:31" x14ac:dyDescent="0.2">
      <c r="A173" s="126"/>
      <c r="B173" s="126"/>
      <c r="C173" s="227"/>
      <c r="D173" s="228"/>
      <c r="E173" s="228"/>
      <c r="F173" s="228"/>
      <c r="G173" s="228"/>
      <c r="H173" s="227"/>
      <c r="I173" s="229">
        <f t="shared" si="6"/>
        <v>0</v>
      </c>
      <c r="J173" s="227"/>
      <c r="K173" s="172" t="b">
        <v>0</v>
      </c>
      <c r="U173" s="215"/>
      <c r="V173" s="169" t="b">
        <v>0</v>
      </c>
      <c r="W173" s="119"/>
      <c r="X173" s="119"/>
      <c r="Y173" s="119"/>
      <c r="Z173" s="119"/>
      <c r="AA173" s="119"/>
      <c r="AB173" s="169" t="b">
        <v>0</v>
      </c>
      <c r="AC173" s="169" t="b">
        <v>0</v>
      </c>
      <c r="AD173" s="169" t="b">
        <v>0</v>
      </c>
      <c r="AE173" s="169" t="b">
        <v>0</v>
      </c>
    </row>
    <row r="174" spans="1:31" x14ac:dyDescent="0.2">
      <c r="A174" s="126" t="s">
        <v>603</v>
      </c>
      <c r="B174" s="126" t="s">
        <v>604</v>
      </c>
      <c r="C174" s="227"/>
      <c r="D174" s="228"/>
      <c r="E174" s="228">
        <v>150</v>
      </c>
      <c r="F174" s="228">
        <v>150</v>
      </c>
      <c r="G174" s="228">
        <v>150</v>
      </c>
      <c r="H174" s="227"/>
      <c r="I174" s="229">
        <f t="shared" si="6"/>
        <v>450</v>
      </c>
      <c r="J174" s="227"/>
      <c r="K174" s="172" t="b">
        <v>1</v>
      </c>
      <c r="U174" s="215"/>
      <c r="V174" s="169" t="b">
        <v>0</v>
      </c>
      <c r="W174" s="119"/>
      <c r="X174" s="119"/>
      <c r="Y174" s="123"/>
      <c r="Z174" s="119"/>
      <c r="AA174" s="119" t="s">
        <v>131</v>
      </c>
      <c r="AB174" s="169" t="b">
        <v>0</v>
      </c>
      <c r="AC174" s="169" t="b">
        <v>0</v>
      </c>
      <c r="AD174" s="169" t="b">
        <v>0</v>
      </c>
      <c r="AE174" s="169" t="b">
        <v>0</v>
      </c>
    </row>
    <row r="175" spans="1:31" x14ac:dyDescent="0.2">
      <c r="A175" s="126"/>
      <c r="B175" s="126"/>
      <c r="C175" s="227"/>
      <c r="D175" s="228"/>
      <c r="E175" s="228"/>
      <c r="F175" s="228"/>
      <c r="G175" s="228"/>
      <c r="H175" s="227"/>
      <c r="I175" s="229">
        <f t="shared" si="6"/>
        <v>0</v>
      </c>
      <c r="J175" s="227"/>
      <c r="K175" s="172" t="b">
        <v>0</v>
      </c>
      <c r="U175" s="215"/>
      <c r="V175" s="169" t="b">
        <v>0</v>
      </c>
      <c r="W175" s="119"/>
      <c r="X175" s="119"/>
      <c r="Y175" s="123"/>
      <c r="Z175" s="119"/>
      <c r="AA175" s="119" t="s">
        <v>681</v>
      </c>
      <c r="AB175" s="169" t="b">
        <v>0</v>
      </c>
      <c r="AC175" s="169" t="b">
        <v>0</v>
      </c>
      <c r="AD175" s="169" t="b">
        <v>0</v>
      </c>
      <c r="AE175" s="169" t="b">
        <v>0</v>
      </c>
    </row>
    <row r="176" spans="1:31" x14ac:dyDescent="0.2">
      <c r="A176" s="126" t="s">
        <v>609</v>
      </c>
      <c r="B176" s="126" t="s">
        <v>610</v>
      </c>
      <c r="C176" s="227"/>
      <c r="D176" s="227"/>
      <c r="E176" s="228">
        <v>150</v>
      </c>
      <c r="F176" s="228">
        <v>150</v>
      </c>
      <c r="G176" s="228">
        <v>150</v>
      </c>
      <c r="H176" s="227"/>
      <c r="I176" s="229">
        <f t="shared" si="6"/>
        <v>450</v>
      </c>
      <c r="J176" s="227"/>
      <c r="K176" s="172" t="b">
        <v>1</v>
      </c>
      <c r="U176" s="215"/>
      <c r="V176" s="169" t="b">
        <v>0</v>
      </c>
      <c r="W176" s="119"/>
      <c r="X176" s="119"/>
      <c r="Y176" s="123"/>
      <c r="Z176" s="119"/>
      <c r="AA176" s="119" t="s">
        <v>131</v>
      </c>
      <c r="AB176" s="169" t="b">
        <v>0</v>
      </c>
      <c r="AC176" s="169" t="b">
        <v>0</v>
      </c>
      <c r="AD176" s="169" t="b">
        <v>0</v>
      </c>
      <c r="AE176" s="169" t="b">
        <v>0</v>
      </c>
    </row>
    <row r="177" spans="1:31" x14ac:dyDescent="0.2">
      <c r="A177" s="126" t="s">
        <v>612</v>
      </c>
      <c r="B177" s="126" t="s">
        <v>613</v>
      </c>
      <c r="C177" s="227"/>
      <c r="D177" s="227"/>
      <c r="E177" s="228">
        <v>150</v>
      </c>
      <c r="F177" s="228">
        <v>150</v>
      </c>
      <c r="G177" s="228">
        <v>150</v>
      </c>
      <c r="H177" s="227"/>
      <c r="I177" s="229">
        <f t="shared" si="6"/>
        <v>450</v>
      </c>
      <c r="J177" s="227"/>
      <c r="K177" s="172" t="b">
        <v>1</v>
      </c>
      <c r="U177" s="215"/>
      <c r="V177" s="169" t="b">
        <v>0</v>
      </c>
      <c r="W177" s="119"/>
      <c r="X177" s="119"/>
      <c r="Y177" s="123"/>
      <c r="Z177" s="119"/>
      <c r="AA177" s="119"/>
      <c r="AB177" s="169" t="b">
        <v>0</v>
      </c>
      <c r="AC177" s="169" t="b">
        <v>0</v>
      </c>
      <c r="AD177" s="169" t="b">
        <v>0</v>
      </c>
      <c r="AE177" s="169" t="b">
        <v>0</v>
      </c>
    </row>
    <row r="178" spans="1:31" x14ac:dyDescent="0.2">
      <c r="A178" s="126" t="s">
        <v>615</v>
      </c>
      <c r="B178" s="126" t="s">
        <v>616</v>
      </c>
      <c r="C178" s="227"/>
      <c r="D178" s="227"/>
      <c r="E178" s="228">
        <v>150</v>
      </c>
      <c r="F178" s="228">
        <v>150</v>
      </c>
      <c r="G178" s="228">
        <v>150</v>
      </c>
      <c r="H178" s="227"/>
      <c r="I178" s="229">
        <f t="shared" si="6"/>
        <v>450</v>
      </c>
      <c r="J178" s="227"/>
      <c r="K178" s="172" t="b">
        <v>1</v>
      </c>
      <c r="U178" s="215"/>
      <c r="V178" s="169" t="b">
        <v>0</v>
      </c>
      <c r="W178" s="119"/>
      <c r="X178" s="119"/>
      <c r="Y178" s="123"/>
      <c r="Z178" s="119"/>
      <c r="AA178" s="119"/>
      <c r="AB178" s="169" t="b">
        <v>0</v>
      </c>
      <c r="AC178" s="169" t="b">
        <v>0</v>
      </c>
      <c r="AD178" s="169" t="b">
        <v>0</v>
      </c>
      <c r="AE178" s="169" t="b">
        <v>0</v>
      </c>
    </row>
    <row r="179" spans="1:31" x14ac:dyDescent="0.2">
      <c r="A179" s="126"/>
      <c r="B179" s="126"/>
      <c r="C179" s="227"/>
      <c r="D179" s="227"/>
      <c r="E179" s="228"/>
      <c r="F179" s="228"/>
      <c r="G179" s="228"/>
      <c r="H179" s="227"/>
      <c r="I179" s="229">
        <f t="shared" si="6"/>
        <v>0</v>
      </c>
      <c r="J179" s="227"/>
      <c r="K179" s="172" t="b">
        <v>0</v>
      </c>
      <c r="U179" s="215"/>
      <c r="V179" s="169" t="b">
        <v>0</v>
      </c>
      <c r="W179" s="119"/>
      <c r="X179" s="119"/>
      <c r="Y179" s="123"/>
      <c r="Z179" s="119"/>
      <c r="AA179" s="119"/>
      <c r="AB179" s="169" t="b">
        <v>0</v>
      </c>
      <c r="AC179" s="169" t="b">
        <v>0</v>
      </c>
      <c r="AD179" s="169" t="b">
        <v>0</v>
      </c>
      <c r="AE179" s="169" t="b">
        <v>0</v>
      </c>
    </row>
    <row r="180" spans="1:31" x14ac:dyDescent="0.2">
      <c r="A180" s="126"/>
      <c r="B180" s="126"/>
      <c r="C180" s="227"/>
      <c r="D180" s="227"/>
      <c r="E180" s="228"/>
      <c r="F180" s="228"/>
      <c r="G180" s="228"/>
      <c r="H180" s="227"/>
      <c r="I180" s="229">
        <f t="shared" si="6"/>
        <v>0</v>
      </c>
      <c r="J180" s="227"/>
      <c r="K180" s="172" t="b">
        <v>0</v>
      </c>
      <c r="U180" s="215"/>
      <c r="V180" s="169" t="b">
        <v>0</v>
      </c>
      <c r="W180" s="119"/>
      <c r="X180" s="119"/>
      <c r="Y180" s="123"/>
      <c r="Z180" s="119"/>
      <c r="AA180" s="119"/>
      <c r="AB180" s="169" t="b">
        <v>0</v>
      </c>
      <c r="AC180" s="169" t="b">
        <v>0</v>
      </c>
      <c r="AD180" s="169" t="b">
        <v>0</v>
      </c>
      <c r="AE180" s="169" t="b">
        <v>0</v>
      </c>
    </row>
    <row r="181" spans="1:31" x14ac:dyDescent="0.2">
      <c r="A181" s="126"/>
      <c r="B181" s="126"/>
      <c r="C181" s="227"/>
      <c r="D181" s="227"/>
      <c r="E181" s="228"/>
      <c r="F181" s="228"/>
      <c r="G181" s="228"/>
      <c r="H181" s="227"/>
      <c r="I181" s="229">
        <f t="shared" si="6"/>
        <v>0</v>
      </c>
      <c r="J181" s="227"/>
      <c r="K181" s="172" t="b">
        <v>0</v>
      </c>
      <c r="U181" s="215"/>
      <c r="V181" s="169" t="b">
        <v>0</v>
      </c>
      <c r="W181" s="119"/>
      <c r="X181" s="119"/>
      <c r="Y181" s="123"/>
      <c r="Z181" s="119"/>
      <c r="AA181" s="119"/>
      <c r="AB181" s="169" t="b">
        <v>0</v>
      </c>
      <c r="AC181" s="169" t="b">
        <v>0</v>
      </c>
      <c r="AD181" s="169" t="b">
        <v>0</v>
      </c>
      <c r="AE181" s="169" t="b">
        <v>0</v>
      </c>
    </row>
    <row r="182" spans="1:31" x14ac:dyDescent="0.2">
      <c r="A182" s="126"/>
      <c r="B182" s="126"/>
      <c r="C182" s="227"/>
      <c r="D182" s="227"/>
      <c r="E182" s="228"/>
      <c r="F182" s="228"/>
      <c r="G182" s="228"/>
      <c r="H182" s="227"/>
      <c r="I182" s="229">
        <f t="shared" si="6"/>
        <v>0</v>
      </c>
      <c r="J182" s="227"/>
      <c r="K182" s="172" t="b">
        <v>0</v>
      </c>
      <c r="U182" s="215"/>
      <c r="V182" s="169" t="b">
        <v>0</v>
      </c>
      <c r="W182" s="119"/>
      <c r="X182" s="119"/>
      <c r="Y182" s="123"/>
      <c r="Z182" s="119"/>
      <c r="AA182" s="119"/>
      <c r="AB182" s="169" t="b">
        <v>0</v>
      </c>
      <c r="AC182" s="169" t="b">
        <v>0</v>
      </c>
      <c r="AD182" s="169" t="b">
        <v>0</v>
      </c>
      <c r="AE182" s="169" t="b">
        <v>0</v>
      </c>
    </row>
    <row r="183" spans="1:31" x14ac:dyDescent="0.2">
      <c r="A183" s="126"/>
      <c r="B183" s="126"/>
      <c r="C183" s="227"/>
      <c r="D183" s="227"/>
      <c r="E183" s="228"/>
      <c r="F183" s="228"/>
      <c r="G183" s="228"/>
      <c r="H183" s="227"/>
      <c r="I183" s="229">
        <f t="shared" si="6"/>
        <v>0</v>
      </c>
      <c r="J183" s="227"/>
      <c r="K183" s="172" t="b">
        <v>0</v>
      </c>
      <c r="U183" s="215"/>
      <c r="V183" s="169" t="b">
        <v>0</v>
      </c>
      <c r="W183" s="119"/>
      <c r="X183" s="119"/>
      <c r="Y183" s="123"/>
      <c r="Z183" s="119"/>
      <c r="AA183" s="119"/>
      <c r="AB183" s="169" t="b">
        <v>0</v>
      </c>
      <c r="AC183" s="169" t="b">
        <v>0</v>
      </c>
      <c r="AD183" s="169" t="b">
        <v>0</v>
      </c>
      <c r="AE183" s="169" t="b">
        <v>0</v>
      </c>
    </row>
    <row r="184" spans="1:31" x14ac:dyDescent="0.2">
      <c r="A184" s="126"/>
      <c r="B184" s="126"/>
      <c r="C184" s="227"/>
      <c r="D184" s="227"/>
      <c r="E184" s="228"/>
      <c r="F184" s="228"/>
      <c r="G184" s="228"/>
      <c r="H184" s="227"/>
      <c r="I184" s="229">
        <f t="shared" si="6"/>
        <v>0</v>
      </c>
      <c r="J184" s="227"/>
      <c r="K184" s="172" t="b">
        <v>0</v>
      </c>
      <c r="U184" s="215"/>
      <c r="V184" s="169" t="b">
        <v>0</v>
      </c>
      <c r="W184" s="119"/>
      <c r="X184" s="119"/>
      <c r="Y184" s="123"/>
      <c r="Z184" s="119"/>
      <c r="AA184" s="119"/>
      <c r="AB184" s="169" t="b">
        <v>0</v>
      </c>
      <c r="AC184" s="169" t="b">
        <v>0</v>
      </c>
      <c r="AD184" s="169" t="b">
        <v>0</v>
      </c>
      <c r="AE184" s="169" t="b">
        <v>0</v>
      </c>
    </row>
    <row r="185" spans="1:31" x14ac:dyDescent="0.2">
      <c r="A185" s="126"/>
      <c r="B185" s="126"/>
      <c r="C185" s="227"/>
      <c r="D185" s="227"/>
      <c r="E185" s="228"/>
      <c r="F185" s="228"/>
      <c r="G185" s="228"/>
      <c r="H185" s="227"/>
      <c r="I185" s="229">
        <f t="shared" si="6"/>
        <v>0</v>
      </c>
      <c r="J185" s="227"/>
      <c r="K185" s="172" t="b">
        <v>0</v>
      </c>
      <c r="U185" s="215"/>
      <c r="V185" s="169" t="b">
        <v>0</v>
      </c>
      <c r="W185" s="119"/>
      <c r="X185" s="119"/>
      <c r="Y185" s="123"/>
      <c r="Z185" s="119"/>
      <c r="AA185" s="119" t="s">
        <v>131</v>
      </c>
      <c r="AB185" s="169" t="b">
        <v>0</v>
      </c>
      <c r="AC185" s="169" t="b">
        <v>0</v>
      </c>
      <c r="AD185" s="169" t="b">
        <v>0</v>
      </c>
      <c r="AE185" s="169" t="b">
        <v>0</v>
      </c>
    </row>
    <row r="186" spans="1:31" x14ac:dyDescent="0.2">
      <c r="A186" s="126"/>
      <c r="B186" s="126"/>
      <c r="C186" s="227"/>
      <c r="D186" s="227"/>
      <c r="E186" s="228"/>
      <c r="F186" s="228"/>
      <c r="G186" s="228"/>
      <c r="H186" s="227"/>
      <c r="I186" s="229">
        <f t="shared" si="6"/>
        <v>0</v>
      </c>
      <c r="J186" s="227"/>
      <c r="K186" s="172" t="b">
        <v>0</v>
      </c>
      <c r="U186" s="215"/>
      <c r="V186" s="169" t="b">
        <v>0</v>
      </c>
      <c r="W186" s="119"/>
      <c r="X186" s="119"/>
      <c r="Y186" s="123"/>
      <c r="Z186" s="119"/>
      <c r="AA186" s="119"/>
      <c r="AB186" s="169" t="b">
        <v>0</v>
      </c>
      <c r="AC186" s="169" t="b">
        <v>0</v>
      </c>
      <c r="AD186" s="169" t="b">
        <v>0</v>
      </c>
      <c r="AE186" s="169" t="b">
        <v>0</v>
      </c>
    </row>
    <row r="187" spans="1:31" x14ac:dyDescent="0.2">
      <c r="A187" s="126"/>
      <c r="B187" s="126"/>
      <c r="C187" s="227"/>
      <c r="D187" s="227"/>
      <c r="E187" s="228"/>
      <c r="F187" s="228"/>
      <c r="G187" s="228"/>
      <c r="H187" s="227"/>
      <c r="I187" s="229">
        <f t="shared" si="6"/>
        <v>0</v>
      </c>
      <c r="J187" s="227"/>
      <c r="K187" s="172" t="b">
        <v>0</v>
      </c>
      <c r="U187" s="215"/>
      <c r="V187" s="169" t="b">
        <v>0</v>
      </c>
      <c r="W187" s="119"/>
      <c r="X187" s="119"/>
      <c r="Y187" s="123"/>
      <c r="Z187" s="119"/>
      <c r="AA187" s="119"/>
      <c r="AB187" s="169" t="b">
        <v>0</v>
      </c>
      <c r="AC187" s="169" t="b">
        <v>0</v>
      </c>
      <c r="AD187" s="169" t="b">
        <v>0</v>
      </c>
      <c r="AE187" s="169" t="b">
        <v>0</v>
      </c>
    </row>
    <row r="188" spans="1:31" x14ac:dyDescent="0.2">
      <c r="A188" s="126" t="s">
        <v>313</v>
      </c>
      <c r="B188" s="126" t="s">
        <v>633</v>
      </c>
      <c r="C188" s="227"/>
      <c r="D188" s="227"/>
      <c r="E188" s="228">
        <v>150</v>
      </c>
      <c r="F188" s="228">
        <v>150</v>
      </c>
      <c r="G188" s="228">
        <v>150</v>
      </c>
      <c r="H188" s="227"/>
      <c r="I188" s="229">
        <f t="shared" si="6"/>
        <v>450</v>
      </c>
      <c r="J188" s="227"/>
      <c r="K188" s="172" t="b">
        <v>1</v>
      </c>
      <c r="U188" s="215"/>
      <c r="V188" s="169" t="b">
        <v>0</v>
      </c>
      <c r="W188" s="119"/>
      <c r="X188" s="119"/>
      <c r="Y188" s="123"/>
      <c r="Z188" s="119"/>
      <c r="AA188" s="119"/>
      <c r="AB188" s="169" t="b">
        <v>0</v>
      </c>
      <c r="AC188" s="169" t="b">
        <v>0</v>
      </c>
      <c r="AD188" s="169" t="b">
        <v>0</v>
      </c>
      <c r="AE188" s="169" t="b">
        <v>0</v>
      </c>
    </row>
    <row r="189" spans="1:31" x14ac:dyDescent="0.2">
      <c r="A189" s="126"/>
      <c r="B189" s="126"/>
      <c r="C189" s="227"/>
      <c r="D189" s="228"/>
      <c r="E189" s="228"/>
      <c r="F189" s="228"/>
      <c r="G189" s="228"/>
      <c r="H189" s="227"/>
      <c r="I189" s="229">
        <f t="shared" si="6"/>
        <v>0</v>
      </c>
      <c r="J189" s="227"/>
      <c r="K189" s="172" t="b">
        <v>0</v>
      </c>
      <c r="U189" s="215"/>
      <c r="V189" s="169" t="b">
        <v>0</v>
      </c>
      <c r="W189" s="119"/>
      <c r="X189" s="119"/>
      <c r="Y189" s="123"/>
      <c r="Z189" s="119"/>
      <c r="AA189" s="119"/>
      <c r="AB189" s="169" t="b">
        <v>0</v>
      </c>
      <c r="AC189" s="169" t="b">
        <v>0</v>
      </c>
      <c r="AD189" s="169" t="b">
        <v>0</v>
      </c>
      <c r="AE189" s="169" t="b">
        <v>0</v>
      </c>
    </row>
    <row r="190" spans="1:31" x14ac:dyDescent="0.2">
      <c r="A190" s="126"/>
      <c r="B190" s="126"/>
      <c r="C190" s="227"/>
      <c r="D190" s="227"/>
      <c r="E190" s="228"/>
      <c r="F190" s="228"/>
      <c r="G190" s="228"/>
      <c r="H190" s="227"/>
      <c r="I190" s="229">
        <f t="shared" si="6"/>
        <v>0</v>
      </c>
      <c r="J190" s="227"/>
      <c r="K190" s="172" t="b">
        <v>0</v>
      </c>
      <c r="U190" s="215"/>
      <c r="V190" s="169" t="b">
        <v>0</v>
      </c>
      <c r="W190" s="119"/>
      <c r="X190" s="119"/>
      <c r="Y190" s="123"/>
      <c r="Z190" s="119"/>
      <c r="AA190" s="119"/>
      <c r="AB190" s="169" t="b">
        <v>0</v>
      </c>
      <c r="AC190" s="169" t="b">
        <v>0</v>
      </c>
      <c r="AD190" s="169" t="b">
        <v>0</v>
      </c>
      <c r="AE190" s="169" t="b">
        <v>0</v>
      </c>
    </row>
    <row r="191" spans="1:31" x14ac:dyDescent="0.2">
      <c r="A191" s="126"/>
      <c r="B191" s="126"/>
      <c r="C191" s="227"/>
      <c r="D191" s="227"/>
      <c r="E191" s="228"/>
      <c r="F191" s="228"/>
      <c r="G191" s="228"/>
      <c r="H191" s="227"/>
      <c r="I191" s="229">
        <f t="shared" si="6"/>
        <v>0</v>
      </c>
      <c r="J191" s="227"/>
      <c r="K191" s="172" t="b">
        <v>0</v>
      </c>
      <c r="U191" s="215"/>
      <c r="V191" s="169" t="b">
        <v>0</v>
      </c>
      <c r="W191" s="119"/>
      <c r="X191" s="119"/>
      <c r="Y191" s="123"/>
      <c r="Z191" s="119"/>
      <c r="AA191" s="119"/>
      <c r="AB191" s="169" t="b">
        <v>0</v>
      </c>
      <c r="AC191" s="169" t="b">
        <v>0</v>
      </c>
      <c r="AD191" s="169" t="b">
        <v>0</v>
      </c>
      <c r="AE191" s="169" t="b">
        <v>0</v>
      </c>
    </row>
    <row r="192" spans="1:31" x14ac:dyDescent="0.2">
      <c r="A192" s="126"/>
      <c r="B192" s="126"/>
      <c r="C192" s="227"/>
      <c r="D192" s="227"/>
      <c r="E192" s="228"/>
      <c r="F192" s="228"/>
      <c r="G192" s="228"/>
      <c r="H192" s="227"/>
      <c r="I192" s="229">
        <f t="shared" si="6"/>
        <v>0</v>
      </c>
      <c r="J192" s="227"/>
      <c r="K192" s="172" t="b">
        <v>0</v>
      </c>
      <c r="U192" s="215"/>
      <c r="V192" s="169" t="b">
        <v>0</v>
      </c>
      <c r="W192" s="119"/>
      <c r="X192" s="119"/>
      <c r="Y192" s="123"/>
      <c r="Z192" s="119"/>
      <c r="AA192" s="119"/>
      <c r="AB192" s="119" t="b">
        <v>0</v>
      </c>
      <c r="AC192" s="119" t="b">
        <v>0</v>
      </c>
      <c r="AD192" s="119" t="b">
        <v>0</v>
      </c>
      <c r="AE192" s="119" t="b">
        <v>0</v>
      </c>
    </row>
    <row r="193" spans="1:31" x14ac:dyDescent="0.2">
      <c r="A193" s="126"/>
      <c r="B193" s="126"/>
      <c r="C193" s="227"/>
      <c r="D193" s="227"/>
      <c r="E193" s="228"/>
      <c r="F193" s="228"/>
      <c r="G193" s="228"/>
      <c r="H193" s="227"/>
      <c r="I193" s="229">
        <f t="shared" si="6"/>
        <v>0</v>
      </c>
      <c r="J193" s="227"/>
      <c r="K193" s="172" t="b">
        <v>0</v>
      </c>
      <c r="U193" s="215"/>
      <c r="V193" s="169" t="b">
        <v>0</v>
      </c>
      <c r="W193" s="119"/>
      <c r="X193" s="119"/>
      <c r="Y193" s="123"/>
      <c r="Z193" s="119"/>
      <c r="AA193" s="119"/>
      <c r="AB193" s="119" t="b">
        <v>0</v>
      </c>
      <c r="AC193" s="119" t="b">
        <v>0</v>
      </c>
      <c r="AD193" s="119" t="b">
        <v>0</v>
      </c>
      <c r="AE193" s="119" t="b">
        <v>0</v>
      </c>
    </row>
    <row r="194" spans="1:31" x14ac:dyDescent="0.2">
      <c r="A194" s="126" t="s">
        <v>275</v>
      </c>
      <c r="B194" s="126" t="s">
        <v>583</v>
      </c>
      <c r="C194" s="227"/>
      <c r="D194" s="227"/>
      <c r="E194" s="228">
        <v>150</v>
      </c>
      <c r="F194" s="228">
        <v>150</v>
      </c>
      <c r="G194" s="228">
        <v>150</v>
      </c>
      <c r="H194" s="227"/>
      <c r="I194" s="229">
        <f t="shared" si="6"/>
        <v>450</v>
      </c>
      <c r="J194" s="227"/>
      <c r="K194" s="172" t="b">
        <v>1</v>
      </c>
      <c r="U194" s="215"/>
      <c r="V194" s="169" t="b">
        <v>0</v>
      </c>
      <c r="W194" s="119"/>
      <c r="X194" s="119"/>
      <c r="Y194" s="123"/>
      <c r="Z194" s="119"/>
      <c r="AA194" s="119"/>
      <c r="AB194" s="119" t="b">
        <v>0</v>
      </c>
      <c r="AC194" s="119" t="b">
        <v>0</v>
      </c>
      <c r="AD194" s="119" t="b">
        <v>0</v>
      </c>
      <c r="AE194" s="119" t="b">
        <v>0</v>
      </c>
    </row>
    <row r="195" spans="1:31" x14ac:dyDescent="0.2">
      <c r="A195" s="126" t="s">
        <v>640</v>
      </c>
      <c r="B195" s="126" t="s">
        <v>641</v>
      </c>
      <c r="C195" s="227"/>
      <c r="D195" s="227"/>
      <c r="E195" s="228">
        <v>150</v>
      </c>
      <c r="F195" s="228">
        <v>150</v>
      </c>
      <c r="G195" s="228">
        <v>150</v>
      </c>
      <c r="H195" s="227"/>
      <c r="I195" s="229">
        <f t="shared" si="6"/>
        <v>450</v>
      </c>
      <c r="J195" s="227"/>
      <c r="K195" s="172" t="b">
        <v>1</v>
      </c>
      <c r="U195" s="215"/>
      <c r="V195" s="169" t="b">
        <v>0</v>
      </c>
      <c r="W195" s="119"/>
      <c r="X195" s="119"/>
      <c r="Y195" s="123"/>
      <c r="Z195" s="119"/>
      <c r="AA195" s="119"/>
      <c r="AB195" s="119" t="b">
        <v>0</v>
      </c>
      <c r="AC195" s="119" t="b">
        <v>0</v>
      </c>
      <c r="AD195" s="119" t="b">
        <v>0</v>
      </c>
      <c r="AE195" s="119" t="b">
        <v>0</v>
      </c>
    </row>
    <row r="196" spans="1:31" x14ac:dyDescent="0.2">
      <c r="A196" s="126" t="s">
        <v>643</v>
      </c>
      <c r="B196" s="126" t="s">
        <v>644</v>
      </c>
      <c r="C196" s="227"/>
      <c r="D196" s="227"/>
      <c r="E196" s="228">
        <v>150</v>
      </c>
      <c r="F196" s="228">
        <v>150</v>
      </c>
      <c r="G196" s="228">
        <v>150</v>
      </c>
      <c r="H196" s="227"/>
      <c r="I196" s="229">
        <f t="shared" si="6"/>
        <v>450</v>
      </c>
      <c r="J196" s="227"/>
      <c r="K196" s="172" t="b">
        <v>1</v>
      </c>
      <c r="U196" s="215"/>
      <c r="V196" s="169" t="b">
        <v>0</v>
      </c>
      <c r="W196" s="119"/>
      <c r="X196" s="119"/>
      <c r="Y196" s="123"/>
      <c r="Z196" s="119"/>
      <c r="AA196" s="119"/>
      <c r="AB196" s="119" t="b">
        <v>0</v>
      </c>
      <c r="AC196" s="119" t="b">
        <v>0</v>
      </c>
      <c r="AD196" s="119" t="b">
        <v>0</v>
      </c>
      <c r="AE196" s="119" t="b">
        <v>0</v>
      </c>
    </row>
    <row r="197" spans="1:31" x14ac:dyDescent="0.2">
      <c r="A197" s="126" t="s">
        <v>646</v>
      </c>
      <c r="B197" s="126" t="s">
        <v>647</v>
      </c>
      <c r="C197" s="227"/>
      <c r="D197" s="227"/>
      <c r="E197" s="228">
        <v>150</v>
      </c>
      <c r="F197" s="228">
        <v>150</v>
      </c>
      <c r="G197" s="228">
        <v>150</v>
      </c>
      <c r="H197" s="227"/>
      <c r="I197" s="229">
        <f t="shared" si="6"/>
        <v>450</v>
      </c>
      <c r="J197" s="227"/>
      <c r="K197" s="172" t="b">
        <v>1</v>
      </c>
      <c r="U197" s="215"/>
      <c r="V197" s="169" t="b">
        <v>0</v>
      </c>
      <c r="W197" s="119"/>
      <c r="X197" s="119"/>
      <c r="Y197" s="123"/>
      <c r="Z197" s="119"/>
      <c r="AA197" s="119"/>
      <c r="AB197" s="119" t="b">
        <v>0</v>
      </c>
      <c r="AC197" s="119" t="b">
        <v>0</v>
      </c>
      <c r="AD197" s="119" t="b">
        <v>0</v>
      </c>
      <c r="AE197" s="119" t="b">
        <v>0</v>
      </c>
    </row>
    <row r="198" spans="1:31" x14ac:dyDescent="0.2">
      <c r="A198" s="126"/>
      <c r="B198" s="126"/>
      <c r="C198" s="227"/>
      <c r="D198" s="227"/>
      <c r="E198" s="228"/>
      <c r="F198" s="228"/>
      <c r="G198" s="228"/>
      <c r="H198" s="227"/>
      <c r="I198" s="229">
        <f t="shared" si="6"/>
        <v>0</v>
      </c>
      <c r="J198" s="227"/>
      <c r="K198" s="172" t="b">
        <v>0</v>
      </c>
      <c r="U198" s="215"/>
      <c r="V198" s="169" t="b">
        <v>0</v>
      </c>
      <c r="W198" s="119"/>
      <c r="X198" s="119"/>
      <c r="Y198" s="123"/>
      <c r="Z198" s="119"/>
      <c r="AA198" s="119"/>
      <c r="AB198" s="119" t="b">
        <v>0</v>
      </c>
      <c r="AC198" s="119" t="b">
        <v>0</v>
      </c>
      <c r="AD198" s="119" t="b">
        <v>0</v>
      </c>
      <c r="AE198" s="119" t="b">
        <v>0</v>
      </c>
    </row>
    <row r="199" spans="1:31" x14ac:dyDescent="0.2">
      <c r="A199" s="126"/>
      <c r="B199" s="126"/>
      <c r="C199" s="227"/>
      <c r="D199" s="227"/>
      <c r="E199" s="228"/>
      <c r="F199" s="228"/>
      <c r="G199" s="228"/>
      <c r="H199" s="227"/>
      <c r="I199" s="229">
        <f t="shared" si="6"/>
        <v>0</v>
      </c>
      <c r="J199" s="227"/>
      <c r="K199" s="172" t="b">
        <v>0</v>
      </c>
      <c r="U199" s="215"/>
      <c r="V199" s="169" t="b">
        <v>0</v>
      </c>
      <c r="W199" s="119"/>
      <c r="X199" s="119"/>
      <c r="Y199" s="123"/>
      <c r="Z199" s="119"/>
      <c r="AA199" s="119"/>
      <c r="AB199" s="119" t="b">
        <v>0</v>
      </c>
      <c r="AC199" s="119" t="b">
        <v>0</v>
      </c>
      <c r="AD199" s="119" t="b">
        <v>0</v>
      </c>
      <c r="AE199" s="119" t="b">
        <v>0</v>
      </c>
    </row>
    <row r="200" spans="1:31" x14ac:dyDescent="0.2">
      <c r="A200" s="126"/>
      <c r="B200" s="126"/>
      <c r="C200" s="227"/>
      <c r="D200" s="227"/>
      <c r="E200" s="228"/>
      <c r="F200" s="228"/>
      <c r="G200" s="228"/>
      <c r="H200" s="227"/>
      <c r="I200" s="229">
        <f t="shared" si="6"/>
        <v>0</v>
      </c>
      <c r="J200" s="227"/>
      <c r="K200" s="172" t="b">
        <v>0</v>
      </c>
      <c r="U200" s="215"/>
      <c r="V200" s="169" t="b">
        <v>0</v>
      </c>
      <c r="W200" s="119"/>
      <c r="X200" s="119"/>
      <c r="Y200" s="123"/>
      <c r="Z200" s="119"/>
      <c r="AA200" s="119"/>
      <c r="AB200" s="119" t="b">
        <v>0</v>
      </c>
      <c r="AC200" s="119" t="b">
        <v>0</v>
      </c>
      <c r="AD200" s="119" t="b">
        <v>0</v>
      </c>
      <c r="AE200" s="119" t="b">
        <v>0</v>
      </c>
    </row>
    <row r="201" spans="1:31" x14ac:dyDescent="0.2">
      <c r="A201" s="126"/>
      <c r="B201" s="126"/>
      <c r="C201" s="227"/>
      <c r="D201" s="227"/>
      <c r="E201" s="228"/>
      <c r="F201" s="228"/>
      <c r="G201" s="228"/>
      <c r="H201" s="227"/>
      <c r="I201" s="229">
        <f t="shared" si="6"/>
        <v>0</v>
      </c>
      <c r="J201" s="227"/>
      <c r="K201" s="172" t="b">
        <v>0</v>
      </c>
      <c r="U201" s="215"/>
      <c r="V201" s="169" t="b">
        <v>0</v>
      </c>
      <c r="W201" s="119"/>
      <c r="X201" s="119"/>
      <c r="Y201" s="123"/>
      <c r="Z201" s="119"/>
      <c r="AA201" s="119"/>
      <c r="AB201" s="119" t="b">
        <v>0</v>
      </c>
      <c r="AC201" s="119" t="b">
        <v>0</v>
      </c>
      <c r="AD201" s="119" t="b">
        <v>0</v>
      </c>
      <c r="AE201" s="119" t="b">
        <v>0</v>
      </c>
    </row>
    <row r="202" spans="1:31" x14ac:dyDescent="0.2">
      <c r="A202" s="126"/>
      <c r="B202" s="126"/>
      <c r="C202" s="227"/>
      <c r="D202" s="227"/>
      <c r="E202" s="228"/>
      <c r="F202" s="228"/>
      <c r="G202" s="228"/>
      <c r="H202" s="227"/>
      <c r="I202" s="229">
        <f t="shared" si="6"/>
        <v>0</v>
      </c>
      <c r="J202" s="227"/>
      <c r="K202" s="172" t="b">
        <v>0</v>
      </c>
      <c r="U202" s="215"/>
      <c r="V202" s="169" t="b">
        <v>0</v>
      </c>
      <c r="W202" s="119"/>
      <c r="X202" s="119"/>
      <c r="Y202" s="123"/>
      <c r="Z202" s="119"/>
      <c r="AA202" s="119"/>
      <c r="AB202" s="119" t="b">
        <v>0</v>
      </c>
      <c r="AC202" s="119" t="b">
        <v>0</v>
      </c>
      <c r="AD202" s="119" t="b">
        <v>0</v>
      </c>
      <c r="AE202" s="119" t="b">
        <v>0</v>
      </c>
    </row>
    <row r="203" spans="1:31" x14ac:dyDescent="0.2">
      <c r="A203" s="126"/>
      <c r="B203" s="126"/>
      <c r="C203" s="227"/>
      <c r="D203" s="227"/>
      <c r="E203" s="228"/>
      <c r="F203" s="228"/>
      <c r="G203" s="228"/>
      <c r="H203" s="227"/>
      <c r="I203" s="229">
        <f t="shared" si="6"/>
        <v>0</v>
      </c>
      <c r="J203" s="227"/>
      <c r="K203" s="172" t="b">
        <v>0</v>
      </c>
      <c r="U203" s="215"/>
      <c r="V203" s="169" t="b">
        <v>0</v>
      </c>
      <c r="W203" s="119"/>
      <c r="X203" s="119"/>
      <c r="Y203" s="123"/>
      <c r="Z203" s="119"/>
      <c r="AA203" s="119"/>
      <c r="AB203" s="119" t="b">
        <v>0</v>
      </c>
      <c r="AC203" s="119" t="b">
        <v>0</v>
      </c>
      <c r="AD203" s="119" t="b">
        <v>0</v>
      </c>
      <c r="AE203" s="119" t="b">
        <v>0</v>
      </c>
    </row>
    <row r="204" spans="1:31" x14ac:dyDescent="0.2">
      <c r="A204" s="126" t="s">
        <v>650</v>
      </c>
      <c r="B204" s="126" t="s">
        <v>624</v>
      </c>
      <c r="C204" s="227"/>
      <c r="D204" s="227"/>
      <c r="E204" s="228">
        <v>150</v>
      </c>
      <c r="F204" s="228">
        <v>150</v>
      </c>
      <c r="G204" s="228">
        <v>150</v>
      </c>
      <c r="H204" s="227"/>
      <c r="I204" s="229">
        <f t="shared" si="6"/>
        <v>450</v>
      </c>
      <c r="J204" s="227"/>
      <c r="K204" s="172" t="b">
        <v>0</v>
      </c>
      <c r="L204" s="119"/>
      <c r="U204" s="215"/>
      <c r="V204" s="169" t="b">
        <v>0</v>
      </c>
      <c r="W204" s="119"/>
      <c r="X204" s="119"/>
      <c r="Y204" s="123"/>
      <c r="Z204" s="119"/>
      <c r="AA204" s="119"/>
      <c r="AB204" s="119" t="b">
        <v>0</v>
      </c>
      <c r="AC204" s="119" t="b">
        <v>0</v>
      </c>
      <c r="AD204" s="119" t="b">
        <v>0</v>
      </c>
      <c r="AE204" s="119" t="b">
        <v>0</v>
      </c>
    </row>
    <row r="205" spans="1:31" x14ac:dyDescent="0.2">
      <c r="A205" s="126" t="s">
        <v>652</v>
      </c>
      <c r="B205" s="126" t="s">
        <v>653</v>
      </c>
      <c r="C205" s="227"/>
      <c r="D205" s="227"/>
      <c r="E205" s="228">
        <v>150</v>
      </c>
      <c r="F205" s="228">
        <v>150</v>
      </c>
      <c r="G205" s="228">
        <v>150</v>
      </c>
      <c r="H205" s="227"/>
      <c r="I205" s="229">
        <f t="shared" si="6"/>
        <v>450</v>
      </c>
      <c r="J205" s="227"/>
      <c r="K205" s="172" t="b">
        <v>0</v>
      </c>
      <c r="L205" s="119"/>
      <c r="U205" s="215"/>
      <c r="V205" s="169" t="b">
        <v>0</v>
      </c>
      <c r="W205" s="119"/>
      <c r="X205" s="119"/>
      <c r="Y205" s="123"/>
      <c r="Z205" s="119"/>
      <c r="AA205" s="119"/>
      <c r="AB205" s="119" t="b">
        <v>0</v>
      </c>
      <c r="AC205" s="119" t="b">
        <v>0</v>
      </c>
      <c r="AD205" s="119" t="b">
        <v>0</v>
      </c>
      <c r="AE205" s="119" t="b">
        <v>0</v>
      </c>
    </row>
    <row r="206" spans="1:31" x14ac:dyDescent="0.2">
      <c r="A206" s="126" t="s">
        <v>655</v>
      </c>
      <c r="B206" s="126" t="s">
        <v>656</v>
      </c>
      <c r="C206" s="227"/>
      <c r="D206" s="227"/>
      <c r="E206" s="228">
        <v>150</v>
      </c>
      <c r="F206" s="228">
        <v>150</v>
      </c>
      <c r="G206" s="228">
        <v>150</v>
      </c>
      <c r="H206" s="227"/>
      <c r="I206" s="229">
        <f t="shared" si="6"/>
        <v>450</v>
      </c>
      <c r="J206" s="227"/>
      <c r="K206" s="172" t="b">
        <v>0</v>
      </c>
      <c r="L206" s="119"/>
    </row>
    <row r="207" spans="1:31" x14ac:dyDescent="0.2">
      <c r="A207" s="126" t="s">
        <v>417</v>
      </c>
      <c r="B207" s="126" t="s">
        <v>659</v>
      </c>
      <c r="C207" s="227"/>
      <c r="D207" s="227"/>
      <c r="E207" s="228">
        <v>150</v>
      </c>
      <c r="F207" s="228">
        <v>150</v>
      </c>
      <c r="G207" s="228">
        <v>150</v>
      </c>
      <c r="H207" s="227"/>
      <c r="I207" s="229">
        <f t="shared" si="6"/>
        <v>450</v>
      </c>
      <c r="J207" s="227"/>
      <c r="K207" s="172" t="b">
        <v>0</v>
      </c>
      <c r="L207" s="119"/>
    </row>
    <row r="208" spans="1:31" x14ac:dyDescent="0.2">
      <c r="A208" s="126" t="s">
        <v>661</v>
      </c>
      <c r="B208" s="126" t="s">
        <v>662</v>
      </c>
      <c r="C208" s="227"/>
      <c r="D208" s="227"/>
      <c r="E208" s="228">
        <v>150</v>
      </c>
      <c r="F208" s="228">
        <v>150</v>
      </c>
      <c r="G208" s="228">
        <v>150</v>
      </c>
      <c r="H208" s="227"/>
      <c r="I208" s="229">
        <f t="shared" si="6"/>
        <v>450</v>
      </c>
      <c r="J208" s="227"/>
      <c r="K208" s="172" t="b">
        <v>0</v>
      </c>
      <c r="L208" s="119"/>
    </row>
    <row r="209" spans="1:23" x14ac:dyDescent="0.2">
      <c r="A209" s="126" t="s">
        <v>664</v>
      </c>
      <c r="B209" s="126" t="s">
        <v>665</v>
      </c>
      <c r="C209" s="227"/>
      <c r="D209" s="227"/>
      <c r="E209" s="228">
        <v>150</v>
      </c>
      <c r="F209" s="228">
        <v>150</v>
      </c>
      <c r="G209" s="228">
        <v>150</v>
      </c>
      <c r="H209" s="227"/>
      <c r="I209" s="229">
        <f t="shared" si="6"/>
        <v>450</v>
      </c>
      <c r="J209" s="227"/>
      <c r="K209" s="172" t="b">
        <v>0</v>
      </c>
      <c r="L209" s="119"/>
    </row>
    <row r="210" spans="1:23" x14ac:dyDescent="0.2">
      <c r="A210" s="126" t="s">
        <v>667</v>
      </c>
      <c r="B210" s="126" t="s">
        <v>668</v>
      </c>
      <c r="C210" s="227"/>
      <c r="D210" s="227"/>
      <c r="E210" s="228">
        <v>150</v>
      </c>
      <c r="F210" s="228">
        <v>150</v>
      </c>
      <c r="G210" s="228">
        <v>150</v>
      </c>
      <c r="H210" s="227"/>
      <c r="I210" s="229">
        <f t="shared" si="6"/>
        <v>450</v>
      </c>
      <c r="J210" s="227"/>
      <c r="K210" s="172" t="b">
        <v>0</v>
      </c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</row>
    <row r="211" spans="1:23" x14ac:dyDescent="0.2">
      <c r="A211" s="126" t="s">
        <v>670</v>
      </c>
      <c r="B211" s="126" t="s">
        <v>671</v>
      </c>
      <c r="C211" s="227"/>
      <c r="D211" s="227"/>
      <c r="E211" s="228">
        <v>150</v>
      </c>
      <c r="F211" s="228">
        <v>150</v>
      </c>
      <c r="G211" s="228">
        <v>150</v>
      </c>
      <c r="H211" s="227"/>
      <c r="I211" s="229">
        <f t="shared" si="6"/>
        <v>450</v>
      </c>
      <c r="J211" s="227"/>
      <c r="K211" s="172" t="b">
        <v>0</v>
      </c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</row>
    <row r="212" spans="1:23" x14ac:dyDescent="0.2">
      <c r="A212" s="126" t="s">
        <v>673</v>
      </c>
      <c r="B212" s="126" t="s">
        <v>595</v>
      </c>
      <c r="C212" s="227"/>
      <c r="D212" s="227"/>
      <c r="E212" s="228">
        <v>150</v>
      </c>
      <c r="F212" s="228">
        <v>150</v>
      </c>
      <c r="G212" s="228">
        <v>150</v>
      </c>
      <c r="H212" s="227"/>
      <c r="I212" s="229">
        <f t="shared" si="6"/>
        <v>450</v>
      </c>
      <c r="J212" s="227"/>
      <c r="K212" s="172" t="b">
        <v>0</v>
      </c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</row>
    <row r="213" spans="1:23" x14ac:dyDescent="0.2">
      <c r="A213" s="126" t="s">
        <v>675</v>
      </c>
      <c r="B213" s="126" t="s">
        <v>676</v>
      </c>
      <c r="C213" s="227"/>
      <c r="D213" s="227"/>
      <c r="E213" s="228">
        <v>150</v>
      </c>
      <c r="F213" s="228">
        <v>150</v>
      </c>
      <c r="G213" s="228">
        <v>150</v>
      </c>
      <c r="H213" s="227"/>
      <c r="I213" s="229">
        <f t="shared" si="6"/>
        <v>450</v>
      </c>
      <c r="J213" s="227"/>
      <c r="K213" s="172" t="b">
        <v>0</v>
      </c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</row>
    <row r="214" spans="1:23" x14ac:dyDescent="0.2">
      <c r="A214" s="232"/>
      <c r="B214" s="227"/>
      <c r="C214" s="227"/>
      <c r="D214" s="227"/>
      <c r="E214" s="227"/>
      <c r="F214" s="227"/>
      <c r="G214" s="227"/>
      <c r="H214" s="227"/>
      <c r="I214" s="229">
        <f t="shared" si="6"/>
        <v>0</v>
      </c>
      <c r="J214" s="227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</row>
    <row r="215" spans="1:23" x14ac:dyDescent="0.2">
      <c r="A215" s="232"/>
      <c r="B215" s="227"/>
      <c r="C215" s="227"/>
      <c r="D215" s="227"/>
      <c r="E215" s="227"/>
      <c r="F215" s="227"/>
      <c r="G215" s="227"/>
      <c r="H215" s="227"/>
      <c r="I215" s="229">
        <f t="shared" si="6"/>
        <v>0</v>
      </c>
      <c r="J215" s="227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</row>
    <row r="216" spans="1:23" x14ac:dyDescent="0.2">
      <c r="A216" s="232"/>
      <c r="B216" s="227"/>
      <c r="C216" s="227"/>
      <c r="D216" s="227"/>
      <c r="E216" s="227"/>
      <c r="F216" s="227"/>
      <c r="G216" s="227"/>
      <c r="H216" s="227"/>
      <c r="I216" s="229">
        <f t="shared" si="6"/>
        <v>0</v>
      </c>
      <c r="J216" s="227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</row>
    <row r="217" spans="1:23" x14ac:dyDescent="0.2">
      <c r="A217" s="232"/>
      <c r="B217" s="227"/>
      <c r="C217" s="227"/>
      <c r="D217" s="227"/>
      <c r="E217" s="227"/>
      <c r="F217" s="227"/>
      <c r="G217" s="227"/>
      <c r="H217" s="227"/>
      <c r="I217" s="229">
        <f t="shared" si="6"/>
        <v>0</v>
      </c>
      <c r="J217" s="227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</row>
    <row r="218" spans="1:23" x14ac:dyDescent="0.2">
      <c r="A218" s="232"/>
      <c r="B218" s="227"/>
      <c r="C218" s="227"/>
      <c r="D218" s="227"/>
      <c r="E218" s="227"/>
      <c r="F218" s="227"/>
      <c r="G218" s="227"/>
      <c r="H218" s="227"/>
      <c r="I218" s="229">
        <f t="shared" si="6"/>
        <v>0</v>
      </c>
      <c r="J218" s="227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</row>
    <row r="219" spans="1:23" x14ac:dyDescent="0.2">
      <c r="A219" s="232"/>
      <c r="B219" s="227"/>
      <c r="C219" s="227"/>
      <c r="D219" s="227"/>
      <c r="E219" s="227"/>
      <c r="F219" s="227"/>
      <c r="G219" s="227"/>
      <c r="H219" s="227"/>
      <c r="I219" s="229">
        <f t="shared" si="6"/>
        <v>0</v>
      </c>
      <c r="J219" s="227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</row>
    <row r="220" spans="1:23" x14ac:dyDescent="0.2">
      <c r="A220" s="232"/>
      <c r="B220" s="227"/>
      <c r="C220" s="227"/>
      <c r="D220" s="227"/>
      <c r="E220" s="227"/>
      <c r="F220" s="227"/>
      <c r="G220" s="227"/>
      <c r="H220" s="227"/>
      <c r="I220" s="229">
        <f t="shared" si="6"/>
        <v>0</v>
      </c>
      <c r="J220" s="227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</row>
    <row r="221" spans="1:23" x14ac:dyDescent="0.2">
      <c r="A221" s="232"/>
      <c r="B221" s="227"/>
      <c r="C221" s="227"/>
      <c r="D221" s="227"/>
      <c r="E221" s="227"/>
      <c r="F221" s="227"/>
      <c r="G221" s="227"/>
      <c r="H221" s="227"/>
      <c r="I221" s="229">
        <f t="shared" si="6"/>
        <v>0</v>
      </c>
      <c r="J221" s="227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</row>
    <row r="222" spans="1:23" x14ac:dyDescent="0.2">
      <c r="A222" s="232"/>
      <c r="B222" s="227"/>
      <c r="C222" s="227"/>
      <c r="D222" s="227"/>
      <c r="E222" s="227"/>
      <c r="F222" s="227"/>
      <c r="G222" s="227"/>
      <c r="H222" s="227"/>
      <c r="I222" s="229">
        <f t="shared" si="6"/>
        <v>0</v>
      </c>
      <c r="J222" s="227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</row>
    <row r="223" spans="1:23" x14ac:dyDescent="0.2">
      <c r="A223" s="232"/>
      <c r="B223" s="227"/>
      <c r="C223" s="227"/>
      <c r="D223" s="227"/>
      <c r="E223" s="227"/>
      <c r="F223" s="227"/>
      <c r="G223" s="227"/>
      <c r="H223" s="227"/>
      <c r="I223" s="229"/>
      <c r="J223" s="227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</row>
    <row r="224" spans="1:23" x14ac:dyDescent="0.2">
      <c r="A224" s="233"/>
      <c r="B224" s="233"/>
      <c r="C224" s="233"/>
      <c r="D224" s="233"/>
      <c r="E224" s="233"/>
      <c r="F224" s="233"/>
      <c r="G224" s="233"/>
      <c r="H224" s="233"/>
      <c r="I224" s="233">
        <f>SUM(I125:I222)</f>
        <v>28650</v>
      </c>
      <c r="J224" s="233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</row>
    <row r="225" spans="1:22" x14ac:dyDescent="0.2">
      <c r="A225" s="119"/>
      <c r="B225" s="119"/>
      <c r="C225" s="176"/>
      <c r="D225" s="119"/>
      <c r="E225" s="176"/>
      <c r="F225" s="176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</row>
    <row r="226" spans="1:22" x14ac:dyDescent="0.2">
      <c r="A226" s="119"/>
      <c r="B226" s="119"/>
      <c r="C226" s="176"/>
      <c r="D226" s="119"/>
      <c r="E226" s="176"/>
      <c r="F226" s="176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</row>
    <row r="227" spans="1:22" x14ac:dyDescent="0.2">
      <c r="A227" s="119"/>
      <c r="B227" s="119"/>
      <c r="C227" s="176"/>
      <c r="D227" s="119"/>
      <c r="E227" s="176"/>
      <c r="F227" s="176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</row>
    <row r="228" spans="1:22" x14ac:dyDescent="0.2">
      <c r="A228" s="119"/>
      <c r="B228" s="119"/>
      <c r="C228" s="176"/>
      <c r="D228" s="119"/>
      <c r="E228" s="176"/>
      <c r="F228" s="176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</row>
    <row r="229" spans="1:22" x14ac:dyDescent="0.2">
      <c r="A229" s="119"/>
      <c r="B229" s="119"/>
      <c r="C229" s="176"/>
      <c r="D229" s="119"/>
      <c r="E229" s="176"/>
      <c r="F229" s="176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</row>
    <row r="230" spans="1:22" x14ac:dyDescent="0.2">
      <c r="A230" s="119"/>
      <c r="B230" s="119"/>
      <c r="C230" s="176"/>
      <c r="D230" s="119"/>
      <c r="E230" s="176"/>
      <c r="F230" s="176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</row>
    <row r="231" spans="1:22" x14ac:dyDescent="0.2">
      <c r="A231" s="119"/>
      <c r="B231" s="119"/>
      <c r="C231" s="176"/>
      <c r="D231" s="119"/>
      <c r="E231" s="176"/>
      <c r="F231" s="176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</row>
    <row r="232" spans="1:22" x14ac:dyDescent="0.2">
      <c r="A232" s="119"/>
      <c r="B232" s="119"/>
      <c r="C232" s="176"/>
      <c r="D232" s="119"/>
      <c r="E232" s="176"/>
      <c r="F232" s="176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</row>
    <row r="233" spans="1:22" x14ac:dyDescent="0.2">
      <c r="A233" s="119"/>
      <c r="B233" s="119"/>
      <c r="C233" s="176"/>
      <c r="D233" s="119"/>
      <c r="E233" s="176"/>
      <c r="F233" s="176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</row>
    <row r="234" spans="1:22" x14ac:dyDescent="0.2">
      <c r="A234" s="119"/>
      <c r="B234" s="119"/>
      <c r="C234" s="176"/>
      <c r="D234" s="119"/>
      <c r="E234" s="176"/>
      <c r="F234" s="176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</row>
    <row r="235" spans="1:22" x14ac:dyDescent="0.2">
      <c r="A235" s="119"/>
      <c r="B235" s="119"/>
      <c r="C235" s="176"/>
      <c r="D235" s="119"/>
      <c r="E235" s="176"/>
      <c r="F235" s="176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</row>
    <row r="236" spans="1:22" x14ac:dyDescent="0.2">
      <c r="A236" s="119"/>
      <c r="B236" s="119"/>
      <c r="C236" s="176"/>
      <c r="D236" s="119"/>
      <c r="E236" s="176"/>
      <c r="F236" s="176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</row>
    <row r="237" spans="1:22" x14ac:dyDescent="0.2">
      <c r="A237" s="119"/>
      <c r="B237" s="119"/>
      <c r="C237" s="176"/>
      <c r="D237" s="119"/>
      <c r="E237" s="176"/>
      <c r="F237" s="176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</row>
    <row r="238" spans="1:22" x14ac:dyDescent="0.2">
      <c r="A238" s="119"/>
      <c r="B238" s="119"/>
      <c r="C238" s="176"/>
      <c r="D238" s="119"/>
      <c r="E238" s="176"/>
      <c r="F238" s="176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</row>
    <row r="239" spans="1:22" x14ac:dyDescent="0.2">
      <c r="A239" s="119"/>
      <c r="B239" s="119"/>
      <c r="C239" s="176"/>
      <c r="D239" s="119"/>
      <c r="E239" s="176"/>
      <c r="F239" s="176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</row>
    <row r="240" spans="1:22" x14ac:dyDescent="0.2">
      <c r="A240" s="119"/>
      <c r="B240" s="119"/>
      <c r="C240" s="176"/>
      <c r="D240" s="119"/>
      <c r="E240" s="176"/>
      <c r="F240" s="176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</row>
    <row r="241" spans="1:22" x14ac:dyDescent="0.2">
      <c r="A241" s="119"/>
      <c r="B241" s="119"/>
      <c r="C241" s="176"/>
      <c r="D241" s="119"/>
      <c r="E241" s="176"/>
      <c r="F241" s="176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</row>
    <row r="242" spans="1:22" x14ac:dyDescent="0.2">
      <c r="A242" s="119"/>
      <c r="B242" s="119"/>
      <c r="C242" s="176"/>
      <c r="D242" s="119"/>
      <c r="E242" s="176"/>
      <c r="F242" s="176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</row>
    <row r="243" spans="1:22" x14ac:dyDescent="0.2">
      <c r="A243" s="119"/>
      <c r="B243" s="119"/>
      <c r="C243" s="176"/>
      <c r="D243" s="119"/>
      <c r="E243" s="176"/>
      <c r="F243" s="176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</row>
    <row r="244" spans="1:22" x14ac:dyDescent="0.2">
      <c r="A244" s="119"/>
      <c r="B244" s="119"/>
      <c r="C244" s="176"/>
      <c r="D244" s="119"/>
      <c r="E244" s="176"/>
      <c r="F244" s="176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</row>
    <row r="245" spans="1:22" x14ac:dyDescent="0.2">
      <c r="A245" s="119"/>
      <c r="B245" s="119"/>
      <c r="C245" s="176"/>
      <c r="D245" s="119"/>
      <c r="E245" s="176"/>
      <c r="F245" s="176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</row>
    <row r="246" spans="1:22" x14ac:dyDescent="0.2">
      <c r="A246" s="119"/>
      <c r="B246" s="119"/>
      <c r="C246" s="176"/>
      <c r="D246" s="119"/>
      <c r="E246" s="176"/>
      <c r="F246" s="176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</row>
    <row r="247" spans="1:22" x14ac:dyDescent="0.2">
      <c r="A247" s="119"/>
      <c r="B247" s="119"/>
      <c r="C247" s="176"/>
      <c r="D247" s="119"/>
      <c r="E247" s="176"/>
      <c r="F247" s="176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</row>
    <row r="248" spans="1:22" x14ac:dyDescent="0.2">
      <c r="A248" s="119"/>
      <c r="B248" s="119"/>
      <c r="C248" s="176"/>
      <c r="D248" s="119"/>
      <c r="E248" s="176"/>
      <c r="F248" s="176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</row>
    <row r="249" spans="1:22" x14ac:dyDescent="0.2">
      <c r="A249" s="119"/>
      <c r="B249" s="119"/>
      <c r="C249" s="176"/>
      <c r="D249" s="119"/>
      <c r="E249" s="176"/>
      <c r="F249" s="176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</row>
    <row r="250" spans="1:22" x14ac:dyDescent="0.2">
      <c r="A250" s="119"/>
      <c r="B250" s="119"/>
      <c r="C250" s="176"/>
      <c r="D250" s="119"/>
      <c r="E250" s="176"/>
      <c r="F250" s="176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</row>
    <row r="251" spans="1:22" x14ac:dyDescent="0.2">
      <c r="A251" s="119"/>
      <c r="B251" s="119"/>
      <c r="C251" s="176"/>
      <c r="D251" s="119"/>
      <c r="E251" s="176"/>
      <c r="F251" s="176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</row>
    <row r="252" spans="1:22" x14ac:dyDescent="0.2">
      <c r="A252" s="119"/>
      <c r="B252" s="119"/>
      <c r="C252" s="176"/>
      <c r="D252" s="119"/>
      <c r="E252" s="176"/>
      <c r="F252" s="176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</row>
    <row r="253" spans="1:22" x14ac:dyDescent="0.2">
      <c r="A253" s="119"/>
      <c r="B253" s="119"/>
      <c r="C253" s="176"/>
      <c r="D253" s="119"/>
      <c r="E253" s="176"/>
      <c r="F253" s="176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</row>
    <row r="254" spans="1:22" x14ac:dyDescent="0.2">
      <c r="A254" s="119"/>
      <c r="B254" s="119"/>
      <c r="C254" s="176"/>
      <c r="D254" s="119"/>
      <c r="E254" s="176"/>
      <c r="F254" s="176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</row>
    <row r="255" spans="1:22" x14ac:dyDescent="0.2">
      <c r="A255" s="119"/>
      <c r="B255" s="119"/>
      <c r="C255" s="176"/>
      <c r="D255" s="119"/>
      <c r="E255" s="176"/>
      <c r="F255" s="176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</row>
    <row r="256" spans="1:22" x14ac:dyDescent="0.2">
      <c r="A256" s="119"/>
      <c r="B256" s="119"/>
      <c r="C256" s="176"/>
      <c r="D256" s="119"/>
      <c r="E256" s="176"/>
      <c r="F256" s="176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</row>
    <row r="257" spans="1:22" x14ac:dyDescent="0.2">
      <c r="A257" s="119"/>
      <c r="B257" s="119"/>
      <c r="C257" s="176"/>
      <c r="D257" s="119"/>
      <c r="E257" s="176"/>
      <c r="F257" s="176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</row>
    <row r="258" spans="1:22" x14ac:dyDescent="0.2">
      <c r="A258" s="119"/>
      <c r="B258" s="119"/>
      <c r="C258" s="176"/>
      <c r="D258" s="119"/>
      <c r="E258" s="176"/>
      <c r="F258" s="176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</row>
    <row r="259" spans="1:22" x14ac:dyDescent="0.2">
      <c r="A259" s="119"/>
      <c r="B259" s="119"/>
      <c r="C259" s="176"/>
      <c r="D259" s="119"/>
      <c r="E259" s="176"/>
      <c r="F259" s="176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</row>
    <row r="260" spans="1:22" x14ac:dyDescent="0.2">
      <c r="A260" s="119"/>
      <c r="B260" s="119"/>
      <c r="C260" s="176"/>
      <c r="D260" s="119"/>
      <c r="E260" s="176"/>
      <c r="F260" s="176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</row>
    <row r="261" spans="1:22" x14ac:dyDescent="0.2">
      <c r="A261" s="119"/>
      <c r="B261" s="119"/>
      <c r="C261" s="176"/>
      <c r="D261" s="119"/>
      <c r="E261" s="176"/>
      <c r="F261" s="176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</row>
    <row r="262" spans="1:22" x14ac:dyDescent="0.2">
      <c r="A262" s="119"/>
      <c r="B262" s="119"/>
      <c r="C262" s="176"/>
      <c r="D262" s="119"/>
      <c r="E262" s="176"/>
      <c r="F262" s="176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</row>
    <row r="263" spans="1:22" x14ac:dyDescent="0.2">
      <c r="A263" s="119"/>
      <c r="B263" s="119"/>
      <c r="C263" s="176"/>
      <c r="D263" s="119"/>
      <c r="E263" s="176"/>
      <c r="F263" s="176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</row>
    <row r="264" spans="1:22" x14ac:dyDescent="0.2">
      <c r="A264" s="119"/>
      <c r="B264" s="119"/>
      <c r="C264" s="176"/>
      <c r="D264" s="119"/>
      <c r="E264" s="176"/>
      <c r="F264" s="176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</row>
    <row r="265" spans="1:22" x14ac:dyDescent="0.2">
      <c r="A265" s="119"/>
      <c r="B265" s="119"/>
      <c r="C265" s="176"/>
      <c r="D265" s="119"/>
      <c r="E265" s="176"/>
      <c r="F265" s="176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</row>
    <row r="266" spans="1:22" x14ac:dyDescent="0.2">
      <c r="A266" s="119"/>
      <c r="B266" s="119"/>
      <c r="C266" s="176"/>
      <c r="D266" s="119"/>
      <c r="E266" s="176"/>
      <c r="F266" s="176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</row>
    <row r="267" spans="1:22" x14ac:dyDescent="0.2">
      <c r="A267" s="119"/>
      <c r="B267" s="119"/>
      <c r="C267" s="176"/>
      <c r="D267" s="119"/>
      <c r="E267" s="176"/>
      <c r="F267" s="176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</row>
    <row r="268" spans="1:22" x14ac:dyDescent="0.2">
      <c r="A268" s="119"/>
      <c r="B268" s="119"/>
      <c r="C268" s="176"/>
      <c r="D268" s="119"/>
      <c r="E268" s="176"/>
      <c r="F268" s="176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</row>
    <row r="269" spans="1:22" x14ac:dyDescent="0.2">
      <c r="A269" s="119"/>
      <c r="B269" s="119"/>
      <c r="C269" s="176"/>
      <c r="D269" s="119"/>
      <c r="E269" s="176"/>
      <c r="F269" s="176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</row>
    <row r="270" spans="1:22" x14ac:dyDescent="0.2">
      <c r="A270" s="119"/>
      <c r="B270" s="119"/>
      <c r="C270" s="176"/>
      <c r="D270" s="119"/>
      <c r="E270" s="176"/>
      <c r="F270" s="176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</row>
    <row r="271" spans="1:22" x14ac:dyDescent="0.2">
      <c r="A271" s="119"/>
      <c r="B271" s="119"/>
      <c r="C271" s="176"/>
      <c r="D271" s="119"/>
      <c r="E271" s="176"/>
      <c r="F271" s="176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</row>
    <row r="272" spans="1:22" x14ac:dyDescent="0.2">
      <c r="A272" s="119"/>
      <c r="B272" s="119"/>
      <c r="C272" s="176"/>
      <c r="D272" s="119"/>
      <c r="E272" s="176"/>
      <c r="F272" s="176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</row>
    <row r="273" spans="1:22" x14ac:dyDescent="0.2">
      <c r="A273" s="119"/>
      <c r="B273" s="119"/>
      <c r="C273" s="176"/>
      <c r="D273" s="119"/>
      <c r="E273" s="176"/>
      <c r="F273" s="176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</row>
    <row r="274" spans="1:22" x14ac:dyDescent="0.2">
      <c r="A274" s="119"/>
      <c r="B274" s="119"/>
      <c r="C274" s="176"/>
      <c r="D274" s="119"/>
      <c r="E274" s="176"/>
      <c r="F274" s="176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</row>
    <row r="275" spans="1:22" x14ac:dyDescent="0.2">
      <c r="A275" s="119"/>
      <c r="B275" s="119"/>
      <c r="C275" s="176"/>
      <c r="D275" s="119"/>
      <c r="E275" s="176"/>
      <c r="F275" s="176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</row>
    <row r="276" spans="1:22" x14ac:dyDescent="0.2">
      <c r="A276" s="119"/>
      <c r="B276" s="119"/>
      <c r="C276" s="176"/>
      <c r="D276" s="119"/>
      <c r="E276" s="176"/>
      <c r="F276" s="176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</row>
    <row r="277" spans="1:22" x14ac:dyDescent="0.2">
      <c r="A277" s="119"/>
      <c r="B277" s="119"/>
      <c r="C277" s="176"/>
      <c r="D277" s="119"/>
      <c r="E277" s="176"/>
      <c r="F277" s="176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</row>
    <row r="278" spans="1:22" x14ac:dyDescent="0.2">
      <c r="A278" s="119"/>
      <c r="B278" s="119"/>
      <c r="C278" s="176"/>
      <c r="D278" s="119"/>
      <c r="E278" s="176"/>
      <c r="F278" s="176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</row>
    <row r="279" spans="1:22" x14ac:dyDescent="0.2">
      <c r="A279" s="119"/>
      <c r="B279" s="119"/>
      <c r="C279" s="176"/>
      <c r="D279" s="119"/>
      <c r="E279" s="176"/>
      <c r="F279" s="176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</row>
    <row r="280" spans="1:22" x14ac:dyDescent="0.2">
      <c r="A280" s="119"/>
      <c r="B280" s="119"/>
      <c r="C280" s="176"/>
      <c r="D280" s="119"/>
      <c r="E280" s="176"/>
      <c r="F280" s="176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</row>
    <row r="281" spans="1:22" x14ac:dyDescent="0.2">
      <c r="A281" s="119"/>
      <c r="B281" s="119"/>
      <c r="C281" s="176"/>
      <c r="D281" s="119"/>
      <c r="E281" s="176"/>
      <c r="F281" s="176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</row>
    <row r="282" spans="1:22" x14ac:dyDescent="0.2">
      <c r="A282" s="119"/>
      <c r="B282" s="119"/>
      <c r="C282" s="176"/>
      <c r="D282" s="119"/>
      <c r="E282" s="176"/>
      <c r="F282" s="176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</row>
    <row r="283" spans="1:22" x14ac:dyDescent="0.2">
      <c r="A283" s="119"/>
      <c r="B283" s="119"/>
      <c r="C283" s="176"/>
      <c r="D283" s="119"/>
      <c r="E283" s="176"/>
      <c r="F283" s="176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</row>
    <row r="284" spans="1:22" x14ac:dyDescent="0.2">
      <c r="A284" s="119"/>
      <c r="B284" s="119"/>
      <c r="C284" s="176"/>
      <c r="D284" s="119"/>
      <c r="E284" s="176"/>
      <c r="F284" s="176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</row>
    <row r="285" spans="1:22" x14ac:dyDescent="0.2">
      <c r="A285" s="119"/>
      <c r="B285" s="119"/>
      <c r="C285" s="176"/>
      <c r="D285" s="119"/>
      <c r="E285" s="176"/>
      <c r="F285" s="176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</row>
    <row r="286" spans="1:22" x14ac:dyDescent="0.2">
      <c r="A286" s="119"/>
      <c r="B286" s="119"/>
      <c r="C286" s="176"/>
      <c r="D286" s="119"/>
      <c r="E286" s="176"/>
      <c r="F286" s="176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</row>
    <row r="287" spans="1:22" x14ac:dyDescent="0.2">
      <c r="A287" s="119"/>
      <c r="B287" s="119"/>
      <c r="C287" s="176"/>
      <c r="D287" s="119"/>
      <c r="E287" s="176"/>
      <c r="F287" s="176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</row>
    <row r="288" spans="1:22" x14ac:dyDescent="0.2">
      <c r="A288" s="119"/>
      <c r="B288" s="119"/>
      <c r="C288" s="176"/>
      <c r="D288" s="119"/>
      <c r="E288" s="176"/>
      <c r="F288" s="176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</row>
    <row r="289" spans="1:22" x14ac:dyDescent="0.2">
      <c r="A289" s="119"/>
      <c r="B289" s="119"/>
      <c r="C289" s="176"/>
      <c r="D289" s="119"/>
      <c r="E289" s="176"/>
      <c r="F289" s="176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</row>
    <row r="290" spans="1:22" x14ac:dyDescent="0.2">
      <c r="A290" s="119"/>
      <c r="B290" s="119"/>
      <c r="C290" s="176"/>
      <c r="D290" s="119"/>
      <c r="E290" s="176"/>
      <c r="F290" s="176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</row>
    <row r="291" spans="1:22" x14ac:dyDescent="0.2">
      <c r="A291" s="119"/>
      <c r="B291" s="119"/>
      <c r="C291" s="176"/>
      <c r="D291" s="119"/>
      <c r="E291" s="176"/>
      <c r="F291" s="176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</row>
    <row r="292" spans="1:22" x14ac:dyDescent="0.2">
      <c r="A292" s="119"/>
      <c r="B292" s="119"/>
      <c r="C292" s="176"/>
      <c r="D292" s="119"/>
      <c r="E292" s="176"/>
      <c r="F292" s="176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</row>
    <row r="293" spans="1:22" x14ac:dyDescent="0.2">
      <c r="A293" s="119"/>
      <c r="B293" s="119"/>
      <c r="C293" s="176"/>
      <c r="D293" s="119"/>
      <c r="E293" s="176"/>
      <c r="F293" s="176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</row>
    <row r="294" spans="1:22" x14ac:dyDescent="0.2">
      <c r="A294" s="119"/>
      <c r="B294" s="119"/>
      <c r="C294" s="176"/>
      <c r="D294" s="119"/>
      <c r="E294" s="176"/>
      <c r="F294" s="176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</row>
    <row r="295" spans="1:22" x14ac:dyDescent="0.2">
      <c r="A295" s="119"/>
      <c r="B295" s="119"/>
      <c r="C295" s="176"/>
      <c r="D295" s="119"/>
      <c r="E295" s="176"/>
      <c r="F295" s="176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</row>
    <row r="296" spans="1:22" x14ac:dyDescent="0.2">
      <c r="A296" s="119"/>
      <c r="B296" s="119"/>
      <c r="C296" s="176"/>
      <c r="D296" s="119"/>
      <c r="E296" s="176"/>
      <c r="F296" s="176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</row>
    <row r="297" spans="1:22" x14ac:dyDescent="0.2">
      <c r="A297" s="119"/>
      <c r="B297" s="119"/>
      <c r="C297" s="176"/>
      <c r="D297" s="119"/>
      <c r="E297" s="176"/>
      <c r="F297" s="176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</row>
    <row r="298" spans="1:22" x14ac:dyDescent="0.2">
      <c r="A298" s="119"/>
      <c r="B298" s="119"/>
      <c r="C298" s="176"/>
      <c r="D298" s="119"/>
      <c r="E298" s="176"/>
      <c r="F298" s="176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</row>
    <row r="299" spans="1:22" x14ac:dyDescent="0.2">
      <c r="A299" s="119"/>
      <c r="B299" s="119"/>
      <c r="C299" s="176"/>
      <c r="D299" s="119"/>
      <c r="E299" s="176"/>
      <c r="F299" s="176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</row>
    <row r="300" spans="1:22" x14ac:dyDescent="0.2">
      <c r="A300" s="119"/>
      <c r="B300" s="119"/>
      <c r="C300" s="176"/>
      <c r="D300" s="119"/>
      <c r="E300" s="176"/>
      <c r="F300" s="176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</row>
    <row r="301" spans="1:22" x14ac:dyDescent="0.2">
      <c r="A301" s="119"/>
      <c r="B301" s="119"/>
      <c r="C301" s="176"/>
      <c r="D301" s="119"/>
      <c r="E301" s="176"/>
      <c r="F301" s="176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</row>
    <row r="302" spans="1:22" x14ac:dyDescent="0.2">
      <c r="A302" s="119"/>
      <c r="B302" s="119"/>
      <c r="C302" s="176"/>
      <c r="D302" s="119"/>
      <c r="E302" s="176"/>
      <c r="F302" s="176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</row>
    <row r="303" spans="1:22" x14ac:dyDescent="0.2">
      <c r="A303" s="119"/>
      <c r="B303" s="119"/>
      <c r="C303" s="176"/>
      <c r="D303" s="119"/>
      <c r="E303" s="176"/>
      <c r="F303" s="176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</row>
    <row r="304" spans="1:22" x14ac:dyDescent="0.2">
      <c r="A304" s="119"/>
      <c r="B304" s="119"/>
      <c r="C304" s="176"/>
      <c r="D304" s="119"/>
      <c r="E304" s="176"/>
      <c r="F304" s="176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</row>
    <row r="305" spans="1:22" x14ac:dyDescent="0.2">
      <c r="A305" s="119"/>
      <c r="B305" s="119"/>
      <c r="C305" s="176"/>
      <c r="D305" s="119"/>
      <c r="E305" s="176"/>
      <c r="F305" s="176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</row>
    <row r="306" spans="1:22" x14ac:dyDescent="0.2">
      <c r="A306" s="119"/>
      <c r="B306" s="119"/>
      <c r="C306" s="176"/>
      <c r="D306" s="119"/>
      <c r="E306" s="176"/>
      <c r="F306" s="176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</row>
    <row r="307" spans="1:22" x14ac:dyDescent="0.2">
      <c r="A307" s="119"/>
      <c r="B307" s="119"/>
      <c r="C307" s="176"/>
      <c r="D307" s="119"/>
      <c r="E307" s="176"/>
      <c r="F307" s="176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</row>
    <row r="308" spans="1:22" x14ac:dyDescent="0.2">
      <c r="A308" s="119"/>
      <c r="B308" s="119"/>
      <c r="C308" s="176"/>
      <c r="D308" s="119"/>
      <c r="E308" s="176"/>
      <c r="F308" s="176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</row>
    <row r="309" spans="1:22" x14ac:dyDescent="0.2">
      <c r="A309" s="119"/>
      <c r="B309" s="119"/>
      <c r="C309" s="176"/>
      <c r="D309" s="119"/>
      <c r="E309" s="176"/>
      <c r="F309" s="176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</row>
    <row r="310" spans="1:22" x14ac:dyDescent="0.2">
      <c r="A310" s="119"/>
      <c r="B310" s="119"/>
      <c r="C310" s="176"/>
      <c r="D310" s="119"/>
      <c r="E310" s="176"/>
      <c r="F310" s="176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</row>
    <row r="311" spans="1:22" x14ac:dyDescent="0.2">
      <c r="A311" s="119"/>
      <c r="B311" s="119"/>
      <c r="C311" s="176"/>
      <c r="D311" s="119"/>
      <c r="E311" s="176"/>
      <c r="F311" s="176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</row>
    <row r="312" spans="1:22" x14ac:dyDescent="0.2">
      <c r="A312" s="119"/>
      <c r="B312" s="119"/>
      <c r="C312" s="176"/>
      <c r="D312" s="119"/>
      <c r="E312" s="176"/>
      <c r="F312" s="176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</row>
    <row r="313" spans="1:22" x14ac:dyDescent="0.2">
      <c r="A313" s="119"/>
      <c r="B313" s="119"/>
      <c r="C313" s="176"/>
      <c r="D313" s="119"/>
      <c r="E313" s="176"/>
      <c r="F313" s="176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</row>
    <row r="314" spans="1:22" x14ac:dyDescent="0.2">
      <c r="A314" s="119"/>
      <c r="B314" s="119"/>
      <c r="C314" s="176"/>
      <c r="D314" s="119"/>
      <c r="E314" s="176"/>
      <c r="F314" s="176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</row>
    <row r="315" spans="1:22" x14ac:dyDescent="0.2">
      <c r="A315" s="119"/>
      <c r="B315" s="119"/>
      <c r="C315" s="176"/>
      <c r="D315" s="119"/>
      <c r="E315" s="176"/>
      <c r="F315" s="176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</row>
    <row r="316" spans="1:22" x14ac:dyDescent="0.2">
      <c r="A316" s="119"/>
      <c r="B316" s="119"/>
      <c r="C316" s="176"/>
      <c r="D316" s="119"/>
      <c r="E316" s="176"/>
      <c r="F316" s="176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</row>
    <row r="317" spans="1:22" x14ac:dyDescent="0.2">
      <c r="A317" s="119"/>
      <c r="B317" s="119"/>
      <c r="C317" s="176"/>
      <c r="D317" s="119"/>
      <c r="E317" s="176"/>
      <c r="F317" s="176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</row>
    <row r="318" spans="1:22" x14ac:dyDescent="0.2">
      <c r="A318" s="119"/>
      <c r="B318" s="119"/>
      <c r="C318" s="176"/>
      <c r="D318" s="119"/>
      <c r="E318" s="176"/>
      <c r="F318" s="176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</row>
    <row r="319" spans="1:22" x14ac:dyDescent="0.2">
      <c r="A319" s="119"/>
      <c r="B319" s="119"/>
      <c r="C319" s="176"/>
      <c r="D319" s="119"/>
      <c r="E319" s="176"/>
      <c r="F319" s="176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</row>
    <row r="320" spans="1:22" x14ac:dyDescent="0.2">
      <c r="A320" s="119"/>
      <c r="B320" s="119"/>
      <c r="C320" s="176"/>
      <c r="D320" s="119"/>
      <c r="E320" s="176"/>
      <c r="F320" s="176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</row>
    <row r="321" spans="1:22" x14ac:dyDescent="0.2">
      <c r="A321" s="119"/>
      <c r="B321" s="119"/>
      <c r="C321" s="176"/>
      <c r="D321" s="119"/>
      <c r="E321" s="176"/>
      <c r="F321" s="176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</row>
    <row r="322" spans="1:22" x14ac:dyDescent="0.2">
      <c r="A322" s="119"/>
      <c r="B322" s="119"/>
      <c r="C322" s="176"/>
      <c r="D322" s="119"/>
      <c r="E322" s="176"/>
      <c r="F322" s="176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</row>
    <row r="323" spans="1:22" x14ac:dyDescent="0.2">
      <c r="A323" s="119"/>
      <c r="B323" s="119"/>
      <c r="C323" s="176"/>
      <c r="D323" s="119"/>
      <c r="E323" s="176"/>
      <c r="F323" s="176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</row>
    <row r="324" spans="1:22" x14ac:dyDescent="0.2">
      <c r="A324" s="119"/>
      <c r="B324" s="119"/>
      <c r="C324" s="176"/>
      <c r="D324" s="119"/>
      <c r="E324" s="176"/>
      <c r="F324" s="176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</row>
    <row r="325" spans="1:22" x14ac:dyDescent="0.2">
      <c r="A325" s="119"/>
      <c r="B325" s="119"/>
      <c r="C325" s="176"/>
      <c r="D325" s="119"/>
      <c r="E325" s="176"/>
      <c r="F325" s="176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</row>
    <row r="326" spans="1:22" x14ac:dyDescent="0.2">
      <c r="A326" s="119"/>
      <c r="B326" s="119"/>
      <c r="C326" s="176"/>
      <c r="D326" s="119"/>
      <c r="E326" s="176"/>
      <c r="F326" s="176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</row>
    <row r="327" spans="1:22" x14ac:dyDescent="0.2">
      <c r="A327" s="119"/>
      <c r="B327" s="119"/>
      <c r="C327" s="176"/>
      <c r="D327" s="119"/>
      <c r="E327" s="176"/>
      <c r="F327" s="176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</row>
    <row r="328" spans="1:22" x14ac:dyDescent="0.2">
      <c r="A328" s="119"/>
      <c r="B328" s="119"/>
      <c r="C328" s="176"/>
      <c r="D328" s="119"/>
      <c r="E328" s="176"/>
      <c r="F328" s="176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</row>
    <row r="329" spans="1:22" x14ac:dyDescent="0.2">
      <c r="A329" s="119"/>
      <c r="B329" s="119"/>
      <c r="C329" s="176"/>
      <c r="D329" s="119"/>
      <c r="E329" s="176"/>
      <c r="F329" s="176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</row>
    <row r="330" spans="1:22" x14ac:dyDescent="0.2">
      <c r="A330" s="119"/>
      <c r="B330" s="119"/>
      <c r="C330" s="176"/>
      <c r="D330" s="119"/>
      <c r="E330" s="176"/>
      <c r="F330" s="176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</row>
    <row r="331" spans="1:22" x14ac:dyDescent="0.2">
      <c r="A331" s="119"/>
      <c r="B331" s="119"/>
      <c r="C331" s="176"/>
      <c r="D331" s="119"/>
      <c r="E331" s="176"/>
      <c r="F331" s="176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</row>
    <row r="332" spans="1:22" x14ac:dyDescent="0.2">
      <c r="A332" s="119"/>
      <c r="B332" s="119"/>
      <c r="C332" s="176"/>
      <c r="D332" s="119"/>
      <c r="E332" s="176"/>
      <c r="F332" s="176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</row>
    <row r="333" spans="1:22" x14ac:dyDescent="0.2">
      <c r="A333" s="119"/>
      <c r="B333" s="119"/>
      <c r="C333" s="176"/>
      <c r="D333" s="119"/>
      <c r="E333" s="176"/>
      <c r="F333" s="176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</row>
    <row r="334" spans="1:22" x14ac:dyDescent="0.2">
      <c r="A334" s="119"/>
      <c r="B334" s="119"/>
      <c r="C334" s="176"/>
      <c r="D334" s="119"/>
      <c r="E334" s="176"/>
      <c r="F334" s="176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</row>
    <row r="335" spans="1:22" x14ac:dyDescent="0.2">
      <c r="A335" s="119"/>
      <c r="B335" s="119"/>
      <c r="C335" s="176"/>
      <c r="D335" s="119"/>
      <c r="E335" s="176"/>
      <c r="F335" s="176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</row>
    <row r="336" spans="1:22" x14ac:dyDescent="0.2">
      <c r="A336" s="119"/>
      <c r="B336" s="119"/>
      <c r="C336" s="176"/>
      <c r="D336" s="119"/>
      <c r="E336" s="176"/>
      <c r="F336" s="176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</row>
    <row r="337" spans="1:22" x14ac:dyDescent="0.2">
      <c r="A337" s="119"/>
      <c r="B337" s="119"/>
      <c r="C337" s="176"/>
      <c r="D337" s="119"/>
      <c r="E337" s="176"/>
      <c r="F337" s="176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</row>
    <row r="338" spans="1:22" x14ac:dyDescent="0.2">
      <c r="A338" s="119"/>
      <c r="B338" s="119"/>
      <c r="C338" s="176"/>
      <c r="D338" s="119"/>
      <c r="E338" s="176"/>
      <c r="F338" s="176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</row>
    <row r="339" spans="1:22" x14ac:dyDescent="0.2">
      <c r="A339" s="119"/>
      <c r="B339" s="119"/>
      <c r="C339" s="176"/>
      <c r="D339" s="119"/>
      <c r="E339" s="176"/>
      <c r="F339" s="176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</row>
    <row r="340" spans="1:22" x14ac:dyDescent="0.2">
      <c r="A340" s="119"/>
      <c r="B340" s="119"/>
      <c r="C340" s="176"/>
      <c r="D340" s="119"/>
      <c r="E340" s="176"/>
      <c r="F340" s="176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</row>
    <row r="341" spans="1:22" x14ac:dyDescent="0.2">
      <c r="A341" s="119"/>
      <c r="B341" s="119"/>
      <c r="C341" s="176"/>
      <c r="D341" s="119"/>
      <c r="E341" s="176"/>
      <c r="F341" s="176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</row>
    <row r="342" spans="1:22" x14ac:dyDescent="0.2">
      <c r="A342" s="119"/>
      <c r="B342" s="119"/>
      <c r="C342" s="176"/>
      <c r="D342" s="119"/>
      <c r="E342" s="176"/>
      <c r="F342" s="176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</row>
    <row r="343" spans="1:22" x14ac:dyDescent="0.2">
      <c r="A343" s="119"/>
      <c r="B343" s="119"/>
      <c r="C343" s="176"/>
      <c r="D343" s="119"/>
      <c r="E343" s="176"/>
      <c r="F343" s="176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</row>
    <row r="344" spans="1:22" x14ac:dyDescent="0.2">
      <c r="A344" s="119"/>
      <c r="B344" s="119"/>
      <c r="C344" s="176"/>
      <c r="D344" s="119"/>
      <c r="E344" s="176"/>
      <c r="F344" s="176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</row>
    <row r="345" spans="1:22" x14ac:dyDescent="0.2">
      <c r="A345" s="119"/>
      <c r="B345" s="119"/>
      <c r="C345" s="176"/>
      <c r="D345" s="119"/>
      <c r="E345" s="176"/>
      <c r="F345" s="176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</row>
    <row r="346" spans="1:22" x14ac:dyDescent="0.2">
      <c r="A346" s="119"/>
      <c r="B346" s="119"/>
      <c r="C346" s="176"/>
      <c r="D346" s="119"/>
      <c r="E346" s="176"/>
      <c r="F346" s="176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</row>
    <row r="347" spans="1:22" x14ac:dyDescent="0.2">
      <c r="A347" s="119"/>
      <c r="B347" s="119"/>
      <c r="C347" s="176"/>
      <c r="D347" s="119"/>
      <c r="E347" s="176"/>
      <c r="F347" s="176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</row>
    <row r="348" spans="1:22" x14ac:dyDescent="0.2">
      <c r="A348" s="119"/>
      <c r="B348" s="119"/>
      <c r="C348" s="176"/>
      <c r="D348" s="119"/>
      <c r="E348" s="176"/>
      <c r="F348" s="176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</row>
    <row r="349" spans="1:22" x14ac:dyDescent="0.2">
      <c r="A349" s="119"/>
      <c r="B349" s="119"/>
      <c r="C349" s="176"/>
      <c r="D349" s="119"/>
      <c r="E349" s="176"/>
      <c r="F349" s="176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</row>
    <row r="350" spans="1:22" x14ac:dyDescent="0.2">
      <c r="A350" s="119"/>
      <c r="B350" s="119"/>
      <c r="C350" s="176"/>
      <c r="D350" s="119"/>
      <c r="E350" s="176"/>
      <c r="F350" s="176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</row>
    <row r="351" spans="1:22" x14ac:dyDescent="0.2">
      <c r="A351" s="119"/>
      <c r="B351" s="119"/>
      <c r="C351" s="176"/>
      <c r="D351" s="119"/>
      <c r="E351" s="176"/>
      <c r="F351" s="176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</row>
    <row r="352" spans="1:22" x14ac:dyDescent="0.2">
      <c r="A352" s="119"/>
      <c r="B352" s="119"/>
      <c r="C352" s="176"/>
      <c r="D352" s="119"/>
      <c r="E352" s="176"/>
      <c r="F352" s="176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</row>
    <row r="353" spans="1:22" x14ac:dyDescent="0.2">
      <c r="A353" s="119"/>
      <c r="B353" s="119"/>
      <c r="C353" s="176"/>
      <c r="D353" s="119"/>
      <c r="E353" s="176"/>
      <c r="F353" s="176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</row>
    <row r="354" spans="1:22" x14ac:dyDescent="0.2">
      <c r="A354" s="119"/>
      <c r="B354" s="119"/>
      <c r="C354" s="176"/>
      <c r="D354" s="119"/>
      <c r="E354" s="176"/>
      <c r="F354" s="176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</row>
    <row r="355" spans="1:22" x14ac:dyDescent="0.2">
      <c r="A355" s="119"/>
      <c r="B355" s="119"/>
      <c r="C355" s="176"/>
      <c r="D355" s="119"/>
      <c r="E355" s="176"/>
      <c r="F355" s="176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</row>
    <row r="356" spans="1:22" x14ac:dyDescent="0.2">
      <c r="A356" s="119"/>
      <c r="B356" s="119"/>
      <c r="C356" s="176"/>
      <c r="D356" s="119"/>
      <c r="E356" s="176"/>
      <c r="F356" s="176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</row>
    <row r="357" spans="1:22" x14ac:dyDescent="0.2">
      <c r="A357" s="119"/>
      <c r="B357" s="119"/>
      <c r="C357" s="176"/>
      <c r="D357" s="119"/>
      <c r="E357" s="176"/>
      <c r="F357" s="176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</row>
    <row r="358" spans="1:22" x14ac:dyDescent="0.2">
      <c r="A358" s="119"/>
      <c r="B358" s="119"/>
      <c r="C358" s="176"/>
      <c r="D358" s="119"/>
      <c r="E358" s="176"/>
      <c r="F358" s="176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</row>
    <row r="359" spans="1:22" x14ac:dyDescent="0.2">
      <c r="A359" s="119"/>
      <c r="B359" s="119"/>
      <c r="C359" s="176"/>
      <c r="D359" s="119"/>
      <c r="E359" s="176"/>
      <c r="F359" s="176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</row>
    <row r="360" spans="1:22" x14ac:dyDescent="0.2">
      <c r="A360" s="119"/>
      <c r="B360" s="119"/>
      <c r="C360" s="176"/>
      <c r="D360" s="119"/>
      <c r="E360" s="176"/>
      <c r="F360" s="176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</row>
    <row r="361" spans="1:22" x14ac:dyDescent="0.2">
      <c r="A361" s="119"/>
      <c r="B361" s="119"/>
      <c r="C361" s="176"/>
      <c r="D361" s="119"/>
      <c r="E361" s="176"/>
      <c r="F361" s="176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</row>
    <row r="362" spans="1:22" x14ac:dyDescent="0.2">
      <c r="A362" s="119"/>
      <c r="B362" s="119"/>
      <c r="C362" s="176"/>
      <c r="D362" s="119"/>
      <c r="E362" s="176"/>
      <c r="F362" s="176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</row>
    <row r="363" spans="1:22" x14ac:dyDescent="0.2">
      <c r="A363" s="119"/>
      <c r="B363" s="119"/>
      <c r="C363" s="176"/>
      <c r="D363" s="119"/>
      <c r="E363" s="176"/>
      <c r="F363" s="176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</row>
    <row r="364" spans="1:22" x14ac:dyDescent="0.2">
      <c r="A364" s="119"/>
      <c r="B364" s="119"/>
      <c r="C364" s="176"/>
      <c r="D364" s="119"/>
      <c r="E364" s="176"/>
      <c r="F364" s="176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</row>
    <row r="365" spans="1:22" x14ac:dyDescent="0.2">
      <c r="A365" s="119"/>
      <c r="B365" s="119"/>
      <c r="C365" s="176"/>
      <c r="D365" s="119"/>
      <c r="E365" s="176"/>
      <c r="F365" s="176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</row>
    <row r="366" spans="1:22" x14ac:dyDescent="0.2">
      <c r="A366" s="119"/>
      <c r="B366" s="119"/>
      <c r="C366" s="176"/>
      <c r="D366" s="119"/>
      <c r="E366" s="176"/>
      <c r="F366" s="176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</row>
    <row r="367" spans="1:22" x14ac:dyDescent="0.2">
      <c r="A367" s="119"/>
      <c r="B367" s="119"/>
      <c r="C367" s="176"/>
      <c r="D367" s="119"/>
      <c r="E367" s="176"/>
      <c r="F367" s="176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</row>
    <row r="368" spans="1:22" x14ac:dyDescent="0.2">
      <c r="A368" s="119"/>
      <c r="B368" s="119"/>
      <c r="C368" s="176"/>
      <c r="D368" s="119"/>
      <c r="E368" s="176"/>
      <c r="F368" s="176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</row>
    <row r="369" spans="1:22" x14ac:dyDescent="0.2">
      <c r="A369" s="119"/>
      <c r="B369" s="119"/>
      <c r="C369" s="176"/>
      <c r="D369" s="119"/>
      <c r="E369" s="176"/>
      <c r="F369" s="176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</row>
    <row r="370" spans="1:22" x14ac:dyDescent="0.2">
      <c r="A370" s="119"/>
      <c r="B370" s="119"/>
      <c r="C370" s="176"/>
      <c r="D370" s="119"/>
      <c r="E370" s="176"/>
      <c r="F370" s="176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</row>
    <row r="371" spans="1:22" x14ac:dyDescent="0.2">
      <c r="A371" s="119"/>
      <c r="B371" s="119"/>
      <c r="C371" s="176"/>
      <c r="D371" s="119"/>
      <c r="E371" s="176"/>
      <c r="F371" s="176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</row>
    <row r="372" spans="1:22" x14ac:dyDescent="0.2">
      <c r="A372" s="119"/>
      <c r="B372" s="119"/>
      <c r="C372" s="176"/>
      <c r="D372" s="119"/>
      <c r="E372" s="176"/>
      <c r="F372" s="176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</row>
    <row r="373" spans="1:22" x14ac:dyDescent="0.2">
      <c r="A373" s="119"/>
      <c r="B373" s="119"/>
      <c r="C373" s="176"/>
      <c r="D373" s="119"/>
      <c r="E373" s="176"/>
      <c r="F373" s="176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</row>
    <row r="374" spans="1:22" x14ac:dyDescent="0.2">
      <c r="A374" s="119"/>
      <c r="B374" s="119"/>
      <c r="C374" s="176"/>
      <c r="D374" s="119"/>
      <c r="E374" s="176"/>
      <c r="F374" s="176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</row>
    <row r="375" spans="1:22" x14ac:dyDescent="0.2">
      <c r="A375" s="119"/>
      <c r="B375" s="119"/>
      <c r="C375" s="176"/>
      <c r="D375" s="119"/>
      <c r="E375" s="176"/>
      <c r="F375" s="176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</row>
    <row r="376" spans="1:22" x14ac:dyDescent="0.2">
      <c r="A376" s="119"/>
      <c r="B376" s="119"/>
      <c r="C376" s="176"/>
      <c r="D376" s="119"/>
      <c r="E376" s="176"/>
      <c r="F376" s="176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</row>
    <row r="377" spans="1:22" x14ac:dyDescent="0.2">
      <c r="A377" s="119"/>
      <c r="B377" s="119"/>
      <c r="C377" s="176"/>
      <c r="D377" s="119"/>
      <c r="E377" s="176"/>
      <c r="F377" s="176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</row>
    <row r="378" spans="1:22" x14ac:dyDescent="0.2">
      <c r="A378" s="119"/>
      <c r="B378" s="119"/>
      <c r="C378" s="176"/>
      <c r="D378" s="119"/>
      <c r="E378" s="176"/>
      <c r="F378" s="176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</row>
    <row r="379" spans="1:22" x14ac:dyDescent="0.2">
      <c r="A379" s="119"/>
      <c r="B379" s="119"/>
      <c r="C379" s="176"/>
      <c r="D379" s="119"/>
      <c r="E379" s="176"/>
      <c r="F379" s="176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</row>
    <row r="380" spans="1:22" x14ac:dyDescent="0.2">
      <c r="A380" s="119"/>
      <c r="B380" s="119"/>
      <c r="C380" s="176"/>
      <c r="D380" s="119"/>
      <c r="E380" s="176"/>
      <c r="F380" s="176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</row>
    <row r="381" spans="1:22" x14ac:dyDescent="0.2">
      <c r="A381" s="119"/>
      <c r="B381" s="119"/>
      <c r="C381" s="176"/>
      <c r="D381" s="119"/>
      <c r="E381" s="176"/>
      <c r="F381" s="176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</row>
    <row r="382" spans="1:22" x14ac:dyDescent="0.2">
      <c r="A382" s="119"/>
      <c r="B382" s="119"/>
      <c r="C382" s="176"/>
      <c r="D382" s="119"/>
      <c r="E382" s="176"/>
      <c r="F382" s="176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</row>
    <row r="383" spans="1:22" x14ac:dyDescent="0.2">
      <c r="A383" s="119"/>
      <c r="B383" s="119"/>
      <c r="C383" s="176"/>
      <c r="D383" s="119"/>
      <c r="E383" s="176"/>
      <c r="F383" s="176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</row>
    <row r="384" spans="1:22" x14ac:dyDescent="0.2">
      <c r="A384" s="119"/>
      <c r="B384" s="119"/>
      <c r="C384" s="176"/>
      <c r="D384" s="119"/>
      <c r="E384" s="176"/>
      <c r="F384" s="176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</row>
    <row r="385" spans="1:22" x14ac:dyDescent="0.2">
      <c r="A385" s="119"/>
      <c r="B385" s="119"/>
      <c r="C385" s="176"/>
      <c r="D385" s="119"/>
      <c r="E385" s="176"/>
      <c r="F385" s="176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</row>
    <row r="386" spans="1:22" x14ac:dyDescent="0.2">
      <c r="A386" s="119"/>
      <c r="B386" s="119"/>
      <c r="C386" s="176"/>
      <c r="D386" s="119"/>
      <c r="E386" s="176"/>
      <c r="F386" s="176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</row>
    <row r="387" spans="1:22" x14ac:dyDescent="0.2">
      <c r="A387" s="119"/>
      <c r="B387" s="119"/>
      <c r="C387" s="176"/>
      <c r="D387" s="119"/>
      <c r="E387" s="176"/>
      <c r="F387" s="176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</row>
    <row r="388" spans="1:22" x14ac:dyDescent="0.2">
      <c r="A388" s="119"/>
      <c r="B388" s="119"/>
      <c r="C388" s="176"/>
      <c r="D388" s="119"/>
      <c r="E388" s="176"/>
      <c r="F388" s="176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</row>
    <row r="389" spans="1:22" x14ac:dyDescent="0.2">
      <c r="A389" s="119"/>
      <c r="B389" s="119"/>
      <c r="C389" s="176"/>
      <c r="D389" s="119"/>
      <c r="E389" s="176"/>
      <c r="F389" s="176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</row>
    <row r="390" spans="1:22" x14ac:dyDescent="0.2">
      <c r="A390" s="119"/>
      <c r="B390" s="119"/>
      <c r="C390" s="176"/>
      <c r="D390" s="119"/>
      <c r="E390" s="176"/>
      <c r="F390" s="176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</row>
    <row r="391" spans="1:22" x14ac:dyDescent="0.2">
      <c r="A391" s="119"/>
      <c r="B391" s="119"/>
      <c r="C391" s="176"/>
      <c r="D391" s="119"/>
      <c r="E391" s="176"/>
      <c r="F391" s="176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</row>
    <row r="392" spans="1:22" x14ac:dyDescent="0.2">
      <c r="A392" s="119"/>
      <c r="B392" s="119"/>
      <c r="C392" s="176"/>
      <c r="D392" s="119"/>
      <c r="E392" s="176"/>
      <c r="F392" s="176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</row>
    <row r="393" spans="1:22" x14ac:dyDescent="0.2">
      <c r="A393" s="119"/>
      <c r="B393" s="119"/>
      <c r="C393" s="176"/>
      <c r="D393" s="119"/>
      <c r="E393" s="176"/>
      <c r="F393" s="176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</row>
    <row r="394" spans="1:22" x14ac:dyDescent="0.2">
      <c r="A394" s="119"/>
      <c r="B394" s="119"/>
      <c r="C394" s="176"/>
      <c r="D394" s="119"/>
      <c r="E394" s="176"/>
      <c r="F394" s="176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</row>
    <row r="395" spans="1:22" x14ac:dyDescent="0.2">
      <c r="A395" s="119"/>
      <c r="B395" s="119"/>
      <c r="C395" s="176"/>
      <c r="D395" s="119"/>
      <c r="E395" s="176"/>
      <c r="F395" s="176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</row>
    <row r="396" spans="1:22" x14ac:dyDescent="0.2">
      <c r="A396" s="119"/>
      <c r="B396" s="119"/>
      <c r="C396" s="176"/>
      <c r="D396" s="119"/>
      <c r="E396" s="176"/>
      <c r="F396" s="176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</row>
    <row r="397" spans="1:22" x14ac:dyDescent="0.2">
      <c r="A397" s="119"/>
      <c r="B397" s="119"/>
      <c r="C397" s="176"/>
      <c r="D397" s="119"/>
      <c r="E397" s="176"/>
      <c r="F397" s="176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</row>
    <row r="398" spans="1:22" x14ac:dyDescent="0.2">
      <c r="A398" s="119"/>
      <c r="B398" s="119"/>
      <c r="C398" s="176"/>
      <c r="D398" s="119"/>
      <c r="E398" s="176"/>
      <c r="F398" s="176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</row>
    <row r="399" spans="1:22" x14ac:dyDescent="0.2">
      <c r="A399" s="119"/>
      <c r="B399" s="119"/>
      <c r="C399" s="176"/>
      <c r="D399" s="119"/>
      <c r="E399" s="176"/>
      <c r="F399" s="176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</row>
    <row r="400" spans="1:22" x14ac:dyDescent="0.2">
      <c r="A400" s="119"/>
      <c r="B400" s="119"/>
      <c r="C400" s="176"/>
      <c r="D400" s="119"/>
      <c r="E400" s="176"/>
      <c r="F400" s="176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</row>
    <row r="401" spans="1:22" x14ac:dyDescent="0.2">
      <c r="A401" s="119"/>
      <c r="B401" s="119"/>
      <c r="C401" s="176"/>
      <c r="D401" s="119"/>
      <c r="E401" s="176"/>
      <c r="F401" s="176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</row>
    <row r="402" spans="1:22" x14ac:dyDescent="0.2">
      <c r="A402" s="119"/>
      <c r="B402" s="119"/>
      <c r="C402" s="176"/>
      <c r="D402" s="119"/>
      <c r="E402" s="176"/>
      <c r="F402" s="176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</row>
    <row r="403" spans="1:22" x14ac:dyDescent="0.2">
      <c r="A403" s="119"/>
      <c r="B403" s="119"/>
      <c r="C403" s="176"/>
      <c r="D403" s="119"/>
      <c r="E403" s="176"/>
      <c r="F403" s="176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</row>
    <row r="404" spans="1:22" x14ac:dyDescent="0.2">
      <c r="A404" s="119"/>
      <c r="B404" s="119"/>
      <c r="C404" s="176"/>
      <c r="D404" s="119"/>
      <c r="E404" s="176"/>
      <c r="F404" s="176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</row>
    <row r="405" spans="1:22" x14ac:dyDescent="0.2">
      <c r="A405" s="119"/>
      <c r="B405" s="119"/>
      <c r="C405" s="176"/>
      <c r="D405" s="119"/>
      <c r="E405" s="176"/>
      <c r="F405" s="176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</row>
    <row r="406" spans="1:22" x14ac:dyDescent="0.2">
      <c r="A406" s="119"/>
      <c r="B406" s="119"/>
      <c r="C406" s="176"/>
      <c r="D406" s="119"/>
      <c r="E406" s="176"/>
      <c r="F406" s="176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</row>
    <row r="407" spans="1:22" x14ac:dyDescent="0.2">
      <c r="A407" s="119"/>
      <c r="B407" s="119"/>
      <c r="C407" s="176"/>
      <c r="D407" s="119"/>
      <c r="E407" s="176"/>
      <c r="F407" s="176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</row>
    <row r="408" spans="1:22" x14ac:dyDescent="0.2">
      <c r="A408" s="119"/>
      <c r="B408" s="119"/>
      <c r="C408" s="176"/>
      <c r="D408" s="119"/>
      <c r="E408" s="176"/>
      <c r="F408" s="176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</row>
    <row r="409" spans="1:22" x14ac:dyDescent="0.2">
      <c r="A409" s="119"/>
      <c r="B409" s="119"/>
      <c r="C409" s="176"/>
      <c r="D409" s="119"/>
      <c r="E409" s="176"/>
      <c r="F409" s="176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</row>
    <row r="410" spans="1:22" x14ac:dyDescent="0.2">
      <c r="A410" s="119"/>
      <c r="B410" s="119"/>
      <c r="C410" s="176"/>
      <c r="D410" s="119"/>
      <c r="E410" s="176"/>
      <c r="F410" s="176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</row>
    <row r="411" spans="1:22" x14ac:dyDescent="0.2">
      <c r="A411" s="119"/>
      <c r="B411" s="119"/>
      <c r="C411" s="176"/>
      <c r="D411" s="119"/>
      <c r="E411" s="176"/>
      <c r="F411" s="176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</row>
    <row r="412" spans="1:22" x14ac:dyDescent="0.2">
      <c r="A412" s="119"/>
      <c r="B412" s="119"/>
      <c r="C412" s="176"/>
      <c r="D412" s="119"/>
      <c r="E412" s="176"/>
      <c r="F412" s="176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</row>
    <row r="413" spans="1:22" x14ac:dyDescent="0.2">
      <c r="A413" s="119"/>
      <c r="B413" s="119"/>
      <c r="C413" s="176"/>
      <c r="D413" s="119"/>
      <c r="E413" s="176"/>
      <c r="F413" s="176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</row>
    <row r="414" spans="1:22" x14ac:dyDescent="0.2">
      <c r="A414" s="119"/>
      <c r="B414" s="119"/>
      <c r="C414" s="176"/>
      <c r="D414" s="119"/>
      <c r="E414" s="176"/>
      <c r="F414" s="176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</row>
    <row r="415" spans="1:22" x14ac:dyDescent="0.2">
      <c r="A415" s="119"/>
      <c r="B415" s="119"/>
      <c r="C415" s="176"/>
      <c r="D415" s="119"/>
      <c r="E415" s="176"/>
      <c r="F415" s="176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</row>
    <row r="416" spans="1:22" x14ac:dyDescent="0.2">
      <c r="A416" s="119"/>
      <c r="B416" s="119"/>
      <c r="C416" s="176"/>
      <c r="D416" s="119"/>
      <c r="E416" s="176"/>
      <c r="F416" s="176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</row>
    <row r="417" spans="1:22" x14ac:dyDescent="0.2">
      <c r="A417" s="119"/>
      <c r="B417" s="119"/>
      <c r="C417" s="176"/>
      <c r="D417" s="119"/>
      <c r="E417" s="176"/>
      <c r="F417" s="176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</row>
    <row r="418" spans="1:22" x14ac:dyDescent="0.2">
      <c r="A418" s="119"/>
      <c r="B418" s="119"/>
      <c r="C418" s="176"/>
      <c r="D418" s="119"/>
      <c r="E418" s="176"/>
      <c r="F418" s="176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</row>
    <row r="419" spans="1:22" x14ac:dyDescent="0.2">
      <c r="A419" s="119"/>
      <c r="B419" s="119"/>
      <c r="C419" s="176"/>
      <c r="D419" s="119"/>
      <c r="E419" s="176"/>
      <c r="F419" s="176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</row>
    <row r="420" spans="1:22" x14ac:dyDescent="0.2">
      <c r="A420" s="119"/>
      <c r="B420" s="119"/>
      <c r="C420" s="176"/>
      <c r="D420" s="119"/>
      <c r="E420" s="176"/>
      <c r="F420" s="176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</row>
    <row r="421" spans="1:22" x14ac:dyDescent="0.2">
      <c r="A421" s="119"/>
      <c r="B421" s="119"/>
      <c r="C421" s="176"/>
      <c r="D421" s="119"/>
      <c r="E421" s="176"/>
      <c r="F421" s="176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</row>
    <row r="422" spans="1:22" x14ac:dyDescent="0.2">
      <c r="A422" s="119"/>
      <c r="B422" s="119"/>
      <c r="C422" s="176"/>
      <c r="D422" s="119"/>
      <c r="E422" s="176"/>
      <c r="F422" s="176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</row>
    <row r="423" spans="1:22" x14ac:dyDescent="0.2">
      <c r="A423" s="119"/>
      <c r="B423" s="119"/>
      <c r="C423" s="176"/>
      <c r="D423" s="119"/>
      <c r="E423" s="176"/>
      <c r="F423" s="176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</row>
    <row r="424" spans="1:22" x14ac:dyDescent="0.2">
      <c r="A424" s="119"/>
      <c r="B424" s="119"/>
      <c r="C424" s="176"/>
      <c r="D424" s="119"/>
      <c r="E424" s="176"/>
      <c r="F424" s="176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</row>
    <row r="425" spans="1:22" x14ac:dyDescent="0.2">
      <c r="A425" s="119"/>
      <c r="B425" s="119"/>
      <c r="C425" s="176"/>
      <c r="D425" s="119"/>
      <c r="E425" s="176"/>
      <c r="F425" s="176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</row>
    <row r="426" spans="1:22" x14ac:dyDescent="0.2">
      <c r="A426" s="119"/>
      <c r="B426" s="119"/>
      <c r="C426" s="176"/>
      <c r="D426" s="119"/>
      <c r="E426" s="176"/>
      <c r="F426" s="176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</row>
    <row r="427" spans="1:22" x14ac:dyDescent="0.2">
      <c r="A427" s="119"/>
      <c r="B427" s="119"/>
      <c r="C427" s="176"/>
      <c r="D427" s="119"/>
      <c r="E427" s="176"/>
      <c r="F427" s="176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</row>
    <row r="428" spans="1:22" x14ac:dyDescent="0.2">
      <c r="A428" s="119"/>
      <c r="B428" s="119"/>
      <c r="C428" s="176"/>
      <c r="D428" s="119"/>
      <c r="E428" s="176"/>
      <c r="F428" s="176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</row>
    <row r="429" spans="1:22" x14ac:dyDescent="0.2">
      <c r="A429" s="119"/>
      <c r="B429" s="119"/>
      <c r="C429" s="176"/>
      <c r="D429" s="119"/>
      <c r="E429" s="176"/>
      <c r="F429" s="176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</row>
    <row r="430" spans="1:22" x14ac:dyDescent="0.2">
      <c r="A430" s="119"/>
      <c r="B430" s="119"/>
      <c r="C430" s="176"/>
      <c r="D430" s="119"/>
      <c r="E430" s="176"/>
      <c r="F430" s="176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</row>
    <row r="431" spans="1:22" x14ac:dyDescent="0.2">
      <c r="A431" s="119"/>
      <c r="B431" s="119"/>
      <c r="C431" s="176"/>
      <c r="D431" s="119"/>
      <c r="E431" s="176"/>
      <c r="F431" s="176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</row>
    <row r="432" spans="1:22" x14ac:dyDescent="0.2">
      <c r="A432" s="119"/>
      <c r="B432" s="119"/>
      <c r="C432" s="176"/>
      <c r="D432" s="119"/>
      <c r="E432" s="176"/>
      <c r="F432" s="176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</row>
    <row r="433" spans="1:22" x14ac:dyDescent="0.2">
      <c r="A433" s="119"/>
      <c r="B433" s="119"/>
      <c r="C433" s="176"/>
      <c r="D433" s="119"/>
      <c r="E433" s="176"/>
      <c r="F433" s="176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</row>
    <row r="434" spans="1:22" x14ac:dyDescent="0.2">
      <c r="A434" s="119"/>
      <c r="B434" s="119"/>
      <c r="C434" s="176"/>
      <c r="D434" s="119"/>
      <c r="E434" s="176"/>
      <c r="F434" s="176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</row>
    <row r="435" spans="1:22" x14ac:dyDescent="0.2">
      <c r="A435" s="119"/>
      <c r="B435" s="119"/>
      <c r="C435" s="176"/>
      <c r="D435" s="119"/>
      <c r="E435" s="176"/>
      <c r="F435" s="176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</row>
    <row r="436" spans="1:22" x14ac:dyDescent="0.2">
      <c r="A436" s="119"/>
      <c r="B436" s="119"/>
      <c r="C436" s="176"/>
      <c r="D436" s="119"/>
      <c r="E436" s="176"/>
      <c r="F436" s="176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</row>
    <row r="437" spans="1:22" x14ac:dyDescent="0.2">
      <c r="A437" s="119"/>
      <c r="B437" s="119"/>
      <c r="C437" s="176"/>
      <c r="D437" s="119"/>
      <c r="E437" s="176"/>
      <c r="F437" s="176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</row>
    <row r="438" spans="1:22" x14ac:dyDescent="0.2">
      <c r="A438" s="119"/>
      <c r="B438" s="119"/>
      <c r="C438" s="176"/>
      <c r="D438" s="119"/>
      <c r="E438" s="176"/>
      <c r="F438" s="176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</row>
    <row r="439" spans="1:22" x14ac:dyDescent="0.2">
      <c r="A439" s="119"/>
      <c r="B439" s="119"/>
      <c r="C439" s="176"/>
      <c r="D439" s="119"/>
      <c r="E439" s="176"/>
      <c r="F439" s="176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</row>
    <row r="440" spans="1:22" x14ac:dyDescent="0.2">
      <c r="A440" s="119"/>
      <c r="B440" s="119"/>
      <c r="C440" s="176"/>
      <c r="D440" s="119"/>
      <c r="E440" s="176"/>
      <c r="F440" s="176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</row>
    <row r="441" spans="1:22" x14ac:dyDescent="0.2">
      <c r="A441" s="119"/>
      <c r="B441" s="119"/>
      <c r="C441" s="176"/>
      <c r="D441" s="119"/>
      <c r="E441" s="176"/>
      <c r="F441" s="176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</row>
    <row r="442" spans="1:22" x14ac:dyDescent="0.2">
      <c r="A442" s="119"/>
      <c r="B442" s="119"/>
      <c r="C442" s="176"/>
      <c r="D442" s="119"/>
      <c r="E442" s="176"/>
      <c r="F442" s="176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</row>
    <row r="443" spans="1:22" x14ac:dyDescent="0.2">
      <c r="A443" s="119"/>
      <c r="B443" s="119"/>
      <c r="C443" s="176"/>
      <c r="D443" s="119"/>
      <c r="E443" s="176"/>
      <c r="F443" s="176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</row>
    <row r="444" spans="1:22" x14ac:dyDescent="0.2">
      <c r="A444" s="119"/>
      <c r="B444" s="119"/>
      <c r="C444" s="176"/>
      <c r="D444" s="119"/>
      <c r="E444" s="176"/>
      <c r="F444" s="176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</row>
    <row r="445" spans="1:22" x14ac:dyDescent="0.2">
      <c r="A445" s="119"/>
      <c r="B445" s="119"/>
      <c r="C445" s="176"/>
      <c r="D445" s="119"/>
      <c r="E445" s="176"/>
      <c r="F445" s="176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</row>
    <row r="446" spans="1:22" x14ac:dyDescent="0.2">
      <c r="A446" s="119"/>
      <c r="B446" s="119"/>
      <c r="C446" s="176"/>
      <c r="D446" s="119"/>
      <c r="E446" s="176"/>
      <c r="F446" s="176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</row>
    <row r="447" spans="1:22" x14ac:dyDescent="0.2">
      <c r="A447" s="119"/>
      <c r="B447" s="119"/>
      <c r="C447" s="176"/>
      <c r="D447" s="119"/>
      <c r="E447" s="176"/>
      <c r="F447" s="176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</row>
    <row r="448" spans="1:22" x14ac:dyDescent="0.2">
      <c r="A448" s="119"/>
      <c r="B448" s="119"/>
      <c r="C448" s="176"/>
      <c r="D448" s="119"/>
      <c r="E448" s="176"/>
      <c r="F448" s="176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</row>
    <row r="449" spans="1:22" x14ac:dyDescent="0.2">
      <c r="A449" s="119"/>
      <c r="B449" s="119"/>
      <c r="C449" s="176"/>
      <c r="D449" s="119"/>
      <c r="E449" s="176"/>
      <c r="F449" s="176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</row>
    <row r="450" spans="1:22" x14ac:dyDescent="0.2">
      <c r="A450" s="119"/>
      <c r="B450" s="119"/>
      <c r="C450" s="176"/>
      <c r="D450" s="119"/>
      <c r="E450" s="176"/>
      <c r="F450" s="176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</row>
    <row r="451" spans="1:22" x14ac:dyDescent="0.2">
      <c r="A451" s="119"/>
      <c r="B451" s="119"/>
      <c r="C451" s="176"/>
      <c r="D451" s="119"/>
      <c r="E451" s="176"/>
      <c r="F451" s="176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</row>
    <row r="452" spans="1:22" x14ac:dyDescent="0.2">
      <c r="A452" s="119"/>
      <c r="B452" s="119"/>
      <c r="C452" s="176"/>
      <c r="D452" s="119"/>
      <c r="E452" s="176"/>
      <c r="F452" s="176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</row>
    <row r="453" spans="1:22" x14ac:dyDescent="0.2">
      <c r="A453" s="119"/>
      <c r="B453" s="119"/>
      <c r="C453" s="176"/>
      <c r="D453" s="119"/>
      <c r="E453" s="176"/>
      <c r="F453" s="176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</row>
    <row r="454" spans="1:22" x14ac:dyDescent="0.2">
      <c r="A454" s="119"/>
      <c r="B454" s="119"/>
      <c r="C454" s="176"/>
      <c r="D454" s="119"/>
      <c r="E454" s="176"/>
      <c r="F454" s="176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</row>
    <row r="455" spans="1:22" x14ac:dyDescent="0.2">
      <c r="A455" s="119"/>
      <c r="B455" s="119"/>
      <c r="C455" s="176"/>
      <c r="D455" s="119"/>
      <c r="E455" s="176"/>
      <c r="F455" s="176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</row>
    <row r="456" spans="1:22" x14ac:dyDescent="0.2">
      <c r="A456" s="119"/>
      <c r="B456" s="119"/>
      <c r="C456" s="176"/>
      <c r="D456" s="119"/>
      <c r="E456" s="176"/>
      <c r="F456" s="176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</row>
    <row r="457" spans="1:22" x14ac:dyDescent="0.2">
      <c r="A457" s="119"/>
      <c r="B457" s="119"/>
      <c r="C457" s="176"/>
      <c r="D457" s="119"/>
      <c r="E457" s="176"/>
      <c r="F457" s="176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</row>
    <row r="458" spans="1:22" x14ac:dyDescent="0.2">
      <c r="A458" s="119"/>
      <c r="B458" s="119"/>
      <c r="C458" s="176"/>
      <c r="D458" s="119"/>
      <c r="E458" s="176"/>
      <c r="F458" s="176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</row>
    <row r="459" spans="1:22" x14ac:dyDescent="0.2">
      <c r="A459" s="119"/>
      <c r="B459" s="119"/>
      <c r="C459" s="176"/>
      <c r="D459" s="119"/>
      <c r="E459" s="176"/>
      <c r="F459" s="176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</row>
    <row r="460" spans="1:22" x14ac:dyDescent="0.2">
      <c r="A460" s="119"/>
      <c r="B460" s="119"/>
      <c r="C460" s="176"/>
      <c r="D460" s="119"/>
      <c r="E460" s="176"/>
      <c r="F460" s="176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</row>
    <row r="461" spans="1:22" x14ac:dyDescent="0.2">
      <c r="A461" s="119"/>
      <c r="B461" s="119"/>
      <c r="C461" s="176"/>
      <c r="D461" s="119"/>
      <c r="E461" s="176"/>
      <c r="F461" s="176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</row>
    <row r="462" spans="1:22" x14ac:dyDescent="0.2">
      <c r="A462" s="119"/>
      <c r="B462" s="119"/>
      <c r="C462" s="176"/>
      <c r="D462" s="119"/>
      <c r="E462" s="176"/>
      <c r="F462" s="176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</row>
    <row r="463" spans="1:22" x14ac:dyDescent="0.2">
      <c r="A463" s="119"/>
      <c r="B463" s="119"/>
      <c r="C463" s="176"/>
      <c r="D463" s="119"/>
      <c r="E463" s="176"/>
      <c r="F463" s="176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</row>
    <row r="464" spans="1:22" x14ac:dyDescent="0.2">
      <c r="A464" s="119"/>
      <c r="B464" s="119"/>
      <c r="C464" s="176"/>
      <c r="D464" s="119"/>
      <c r="E464" s="176"/>
      <c r="F464" s="176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</row>
    <row r="465" spans="1:22" x14ac:dyDescent="0.2">
      <c r="A465" s="119"/>
      <c r="B465" s="119"/>
      <c r="C465" s="176"/>
      <c r="D465" s="119"/>
      <c r="E465" s="176"/>
      <c r="F465" s="176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</row>
    <row r="466" spans="1:22" x14ac:dyDescent="0.2">
      <c r="A466" s="119"/>
      <c r="B466" s="119"/>
      <c r="C466" s="176"/>
      <c r="D466" s="119"/>
      <c r="E466" s="176"/>
      <c r="F466" s="176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</row>
    <row r="467" spans="1:22" x14ac:dyDescent="0.2">
      <c r="A467" s="119"/>
      <c r="B467" s="119"/>
      <c r="C467" s="176"/>
      <c r="D467" s="119"/>
      <c r="E467" s="176"/>
      <c r="F467" s="176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</row>
    <row r="468" spans="1:22" x14ac:dyDescent="0.2">
      <c r="A468" s="119"/>
      <c r="B468" s="119"/>
      <c r="C468" s="176"/>
      <c r="D468" s="119"/>
      <c r="E468" s="176"/>
      <c r="F468" s="176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</row>
    <row r="469" spans="1:22" x14ac:dyDescent="0.2">
      <c r="A469" s="119"/>
      <c r="B469" s="119"/>
      <c r="C469" s="176"/>
      <c r="D469" s="119"/>
      <c r="E469" s="176"/>
      <c r="F469" s="176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</row>
    <row r="470" spans="1:22" x14ac:dyDescent="0.2">
      <c r="A470" s="119"/>
      <c r="B470" s="119"/>
      <c r="C470" s="176"/>
      <c r="D470" s="119"/>
      <c r="E470" s="176"/>
      <c r="F470" s="176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</row>
    <row r="471" spans="1:22" x14ac:dyDescent="0.2">
      <c r="A471" s="119"/>
      <c r="B471" s="119"/>
      <c r="C471" s="176"/>
      <c r="D471" s="119"/>
      <c r="E471" s="176"/>
      <c r="F471" s="176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</row>
    <row r="472" spans="1:22" x14ac:dyDescent="0.2">
      <c r="A472" s="119"/>
      <c r="B472" s="119"/>
      <c r="C472" s="176"/>
      <c r="D472" s="119"/>
      <c r="E472" s="176"/>
      <c r="F472" s="176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</row>
    <row r="473" spans="1:22" x14ac:dyDescent="0.2">
      <c r="A473" s="119"/>
      <c r="B473" s="119"/>
      <c r="C473" s="176"/>
      <c r="D473" s="119"/>
      <c r="E473" s="176"/>
      <c r="F473" s="176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</row>
    <row r="474" spans="1:22" x14ac:dyDescent="0.2">
      <c r="A474" s="119"/>
      <c r="B474" s="119"/>
      <c r="C474" s="176"/>
      <c r="D474" s="119"/>
      <c r="E474" s="176"/>
      <c r="F474" s="176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</row>
    <row r="475" spans="1:22" x14ac:dyDescent="0.2">
      <c r="A475" s="119"/>
      <c r="B475" s="119"/>
      <c r="C475" s="176"/>
      <c r="D475" s="119"/>
      <c r="E475" s="176"/>
      <c r="F475" s="176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</row>
    <row r="476" spans="1:22" x14ac:dyDescent="0.2">
      <c r="A476" s="119"/>
      <c r="B476" s="119"/>
      <c r="C476" s="176"/>
      <c r="D476" s="119"/>
      <c r="E476" s="176"/>
      <c r="F476" s="176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</row>
    <row r="477" spans="1:22" x14ac:dyDescent="0.2">
      <c r="A477" s="119"/>
      <c r="B477" s="119"/>
      <c r="C477" s="176"/>
      <c r="D477" s="119"/>
      <c r="E477" s="176"/>
      <c r="F477" s="176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</row>
    <row r="478" spans="1:22" x14ac:dyDescent="0.2">
      <c r="A478" s="119"/>
      <c r="B478" s="119"/>
      <c r="C478" s="176"/>
      <c r="D478" s="119"/>
      <c r="E478" s="176"/>
      <c r="F478" s="176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</row>
    <row r="479" spans="1:22" x14ac:dyDescent="0.2">
      <c r="A479" s="119"/>
      <c r="B479" s="119"/>
      <c r="C479" s="176"/>
      <c r="D479" s="119"/>
      <c r="E479" s="176"/>
      <c r="F479" s="176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</row>
    <row r="480" spans="1:22" x14ac:dyDescent="0.2">
      <c r="A480" s="119"/>
      <c r="B480" s="119"/>
      <c r="C480" s="176"/>
      <c r="D480" s="119"/>
      <c r="E480" s="176"/>
      <c r="F480" s="176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</row>
    <row r="481" spans="1:22" x14ac:dyDescent="0.2">
      <c r="A481" s="119"/>
      <c r="B481" s="119"/>
      <c r="C481" s="176"/>
      <c r="D481" s="119"/>
      <c r="E481" s="176"/>
      <c r="F481" s="176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</row>
    <row r="482" spans="1:22" x14ac:dyDescent="0.2">
      <c r="A482" s="119"/>
      <c r="B482" s="119"/>
      <c r="C482" s="176"/>
      <c r="D482" s="119"/>
      <c r="E482" s="176"/>
      <c r="F482" s="176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</row>
    <row r="483" spans="1:22" x14ac:dyDescent="0.2">
      <c r="A483" s="119"/>
      <c r="B483" s="119"/>
      <c r="C483" s="176"/>
      <c r="D483" s="119"/>
      <c r="E483" s="176"/>
      <c r="F483" s="176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</row>
    <row r="484" spans="1:22" x14ac:dyDescent="0.2">
      <c r="A484" s="119"/>
      <c r="B484" s="119"/>
      <c r="C484" s="176"/>
      <c r="D484" s="119"/>
      <c r="E484" s="176"/>
      <c r="F484" s="176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</row>
    <row r="485" spans="1:22" x14ac:dyDescent="0.2">
      <c r="A485" s="119"/>
      <c r="B485" s="119"/>
      <c r="C485" s="176"/>
      <c r="D485" s="119"/>
      <c r="E485" s="176"/>
      <c r="F485" s="176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</row>
    <row r="486" spans="1:22" x14ac:dyDescent="0.2">
      <c r="A486" s="119"/>
      <c r="B486" s="119"/>
      <c r="C486" s="176"/>
      <c r="D486" s="119"/>
      <c r="E486" s="176"/>
      <c r="F486" s="176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</row>
    <row r="487" spans="1:22" x14ac:dyDescent="0.2">
      <c r="A487" s="119"/>
      <c r="B487" s="119"/>
      <c r="C487" s="176"/>
      <c r="D487" s="119"/>
      <c r="E487" s="176"/>
      <c r="F487" s="176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</row>
    <row r="488" spans="1:22" x14ac:dyDescent="0.2">
      <c r="A488" s="119"/>
      <c r="B488" s="119"/>
      <c r="C488" s="176"/>
      <c r="D488" s="119"/>
      <c r="E488" s="176"/>
      <c r="F488" s="176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</row>
    <row r="489" spans="1:22" x14ac:dyDescent="0.2">
      <c r="A489" s="119"/>
      <c r="B489" s="119"/>
      <c r="C489" s="176"/>
      <c r="D489" s="119"/>
      <c r="E489" s="176"/>
      <c r="F489" s="176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</row>
    <row r="490" spans="1:22" x14ac:dyDescent="0.2">
      <c r="A490" s="119"/>
      <c r="B490" s="119"/>
      <c r="C490" s="176"/>
      <c r="D490" s="119"/>
      <c r="E490" s="176"/>
      <c r="F490" s="176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</row>
    <row r="491" spans="1:22" x14ac:dyDescent="0.2">
      <c r="A491" s="119"/>
      <c r="B491" s="119"/>
      <c r="C491" s="176"/>
      <c r="D491" s="119"/>
      <c r="E491" s="176"/>
      <c r="F491" s="176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</row>
    <row r="492" spans="1:22" x14ac:dyDescent="0.2">
      <c r="A492" s="119"/>
      <c r="B492" s="119"/>
      <c r="C492" s="176"/>
      <c r="D492" s="119"/>
      <c r="E492" s="176"/>
      <c r="F492" s="176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</row>
    <row r="493" spans="1:22" x14ac:dyDescent="0.2">
      <c r="A493" s="119"/>
      <c r="B493" s="119"/>
      <c r="C493" s="176"/>
      <c r="D493" s="119"/>
      <c r="E493" s="176"/>
      <c r="F493" s="176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</row>
    <row r="494" spans="1:22" x14ac:dyDescent="0.2">
      <c r="A494" s="119"/>
      <c r="B494" s="119"/>
      <c r="C494" s="176"/>
      <c r="D494" s="119"/>
      <c r="E494" s="176"/>
      <c r="F494" s="176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</row>
    <row r="495" spans="1:22" x14ac:dyDescent="0.2">
      <c r="A495" s="119"/>
      <c r="B495" s="119"/>
      <c r="C495" s="176"/>
      <c r="D495" s="119"/>
      <c r="E495" s="176"/>
      <c r="F495" s="176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</row>
    <row r="496" spans="1:22" x14ac:dyDescent="0.2">
      <c r="A496" s="119"/>
      <c r="B496" s="119"/>
      <c r="C496" s="176"/>
      <c r="D496" s="119"/>
      <c r="E496" s="176"/>
      <c r="F496" s="176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</row>
    <row r="497" spans="1:22" x14ac:dyDescent="0.2">
      <c r="A497" s="119"/>
      <c r="B497" s="119"/>
      <c r="C497" s="176"/>
      <c r="D497" s="119"/>
      <c r="E497" s="176"/>
      <c r="F497" s="176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</row>
    <row r="498" spans="1:22" x14ac:dyDescent="0.2">
      <c r="A498" s="119"/>
      <c r="B498" s="119"/>
      <c r="C498" s="176"/>
      <c r="D498" s="119"/>
      <c r="E498" s="176"/>
      <c r="F498" s="176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</row>
    <row r="499" spans="1:22" x14ac:dyDescent="0.2">
      <c r="A499" s="119"/>
      <c r="B499" s="119"/>
      <c r="C499" s="176"/>
      <c r="D499" s="119"/>
      <c r="E499" s="176"/>
      <c r="F499" s="176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</row>
    <row r="500" spans="1:22" x14ac:dyDescent="0.2">
      <c r="A500" s="119"/>
      <c r="B500" s="119"/>
      <c r="C500" s="176"/>
      <c r="D500" s="119"/>
      <c r="E500" s="176"/>
      <c r="F500" s="176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</row>
    <row r="501" spans="1:22" x14ac:dyDescent="0.2">
      <c r="A501" s="119"/>
      <c r="B501" s="119"/>
      <c r="C501" s="176"/>
      <c r="D501" s="119"/>
      <c r="E501" s="176"/>
      <c r="F501" s="176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</row>
    <row r="502" spans="1:22" x14ac:dyDescent="0.2">
      <c r="A502" s="119"/>
      <c r="B502" s="119"/>
      <c r="C502" s="176"/>
      <c r="D502" s="119"/>
      <c r="E502" s="176"/>
      <c r="F502" s="176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</row>
    <row r="503" spans="1:22" x14ac:dyDescent="0.2">
      <c r="A503" s="119"/>
      <c r="B503" s="119"/>
      <c r="C503" s="176"/>
      <c r="D503" s="119"/>
      <c r="E503" s="176"/>
      <c r="F503" s="176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</row>
    <row r="504" spans="1:22" x14ac:dyDescent="0.2">
      <c r="A504" s="119"/>
      <c r="B504" s="119"/>
      <c r="C504" s="176"/>
      <c r="D504" s="119"/>
      <c r="E504" s="176"/>
      <c r="F504" s="176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</row>
    <row r="505" spans="1:22" x14ac:dyDescent="0.2">
      <c r="A505" s="119"/>
      <c r="B505" s="119"/>
      <c r="C505" s="176"/>
      <c r="D505" s="119"/>
      <c r="E505" s="176"/>
      <c r="F505" s="176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</row>
    <row r="506" spans="1:22" x14ac:dyDescent="0.2">
      <c r="A506" s="119"/>
      <c r="B506" s="119"/>
      <c r="C506" s="176"/>
      <c r="D506" s="119"/>
      <c r="E506" s="176"/>
      <c r="F506" s="176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</row>
    <row r="507" spans="1:22" x14ac:dyDescent="0.2">
      <c r="A507" s="119"/>
      <c r="B507" s="119"/>
      <c r="C507" s="176"/>
      <c r="D507" s="119"/>
      <c r="E507" s="176"/>
      <c r="F507" s="176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</row>
    <row r="508" spans="1:22" x14ac:dyDescent="0.2">
      <c r="A508" s="119"/>
      <c r="B508" s="119"/>
      <c r="C508" s="176"/>
      <c r="D508" s="119"/>
      <c r="E508" s="176"/>
      <c r="F508" s="176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</row>
    <row r="509" spans="1:22" x14ac:dyDescent="0.2">
      <c r="A509" s="119"/>
      <c r="B509" s="119"/>
      <c r="C509" s="176"/>
      <c r="D509" s="119"/>
      <c r="E509" s="176"/>
      <c r="F509" s="176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</row>
    <row r="510" spans="1:22" x14ac:dyDescent="0.2">
      <c r="A510" s="119"/>
      <c r="B510" s="119"/>
      <c r="C510" s="176"/>
      <c r="D510" s="119"/>
      <c r="E510" s="176"/>
      <c r="F510" s="176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</row>
    <row r="511" spans="1:22" x14ac:dyDescent="0.2">
      <c r="A511" s="119"/>
      <c r="B511" s="119"/>
      <c r="C511" s="176"/>
      <c r="D511" s="119"/>
      <c r="E511" s="176"/>
      <c r="F511" s="176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</row>
    <row r="512" spans="1:22" x14ac:dyDescent="0.2">
      <c r="A512" s="119"/>
      <c r="B512" s="119"/>
      <c r="C512" s="176"/>
      <c r="D512" s="119"/>
      <c r="E512" s="176"/>
      <c r="F512" s="176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</row>
    <row r="513" spans="1:22" x14ac:dyDescent="0.2">
      <c r="A513" s="119"/>
      <c r="B513" s="119"/>
      <c r="C513" s="176"/>
      <c r="D513" s="119"/>
      <c r="E513" s="176"/>
      <c r="F513" s="176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</row>
    <row r="514" spans="1:22" x14ac:dyDescent="0.2">
      <c r="A514" s="119"/>
      <c r="B514" s="119"/>
      <c r="C514" s="176"/>
      <c r="D514" s="119"/>
      <c r="E514" s="176"/>
      <c r="F514" s="176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</row>
    <row r="515" spans="1:22" x14ac:dyDescent="0.2">
      <c r="A515" s="119"/>
      <c r="B515" s="119"/>
      <c r="C515" s="176"/>
      <c r="D515" s="119"/>
      <c r="E515" s="176"/>
      <c r="F515" s="176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</row>
    <row r="516" spans="1:22" x14ac:dyDescent="0.2">
      <c r="A516" s="119"/>
      <c r="B516" s="119"/>
      <c r="C516" s="176"/>
      <c r="D516" s="119"/>
      <c r="E516" s="176"/>
      <c r="F516" s="176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</row>
    <row r="517" spans="1:22" x14ac:dyDescent="0.2">
      <c r="A517" s="119"/>
      <c r="B517" s="119"/>
      <c r="C517" s="176"/>
      <c r="D517" s="119"/>
      <c r="E517" s="176"/>
      <c r="F517" s="176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</row>
    <row r="518" spans="1:22" x14ac:dyDescent="0.2">
      <c r="A518" s="119"/>
      <c r="B518" s="119"/>
      <c r="C518" s="176"/>
      <c r="D518" s="119"/>
      <c r="E518" s="176"/>
      <c r="F518" s="176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</row>
    <row r="519" spans="1:22" x14ac:dyDescent="0.2">
      <c r="A519" s="119"/>
      <c r="B519" s="119"/>
      <c r="C519" s="176"/>
      <c r="D519" s="119"/>
      <c r="E519" s="176"/>
      <c r="F519" s="176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</row>
    <row r="520" spans="1:22" x14ac:dyDescent="0.2">
      <c r="A520" s="119"/>
      <c r="B520" s="119"/>
      <c r="C520" s="176"/>
      <c r="D520" s="119"/>
      <c r="E520" s="176"/>
      <c r="F520" s="176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</row>
    <row r="521" spans="1:22" x14ac:dyDescent="0.2">
      <c r="A521" s="119"/>
      <c r="B521" s="119"/>
      <c r="C521" s="176"/>
      <c r="D521" s="119"/>
      <c r="E521" s="176"/>
      <c r="F521" s="176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</row>
    <row r="522" spans="1:22" x14ac:dyDescent="0.2">
      <c r="A522" s="119"/>
      <c r="B522" s="119"/>
      <c r="C522" s="176"/>
      <c r="D522" s="119"/>
      <c r="E522" s="176"/>
      <c r="F522" s="176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</row>
    <row r="523" spans="1:22" x14ac:dyDescent="0.2">
      <c r="A523" s="119"/>
      <c r="B523" s="119"/>
      <c r="C523" s="176"/>
      <c r="D523" s="119"/>
      <c r="E523" s="176"/>
      <c r="F523" s="176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</row>
    <row r="524" spans="1:22" x14ac:dyDescent="0.2">
      <c r="A524" s="119"/>
      <c r="B524" s="119"/>
      <c r="C524" s="176"/>
      <c r="D524" s="119"/>
      <c r="E524" s="176"/>
      <c r="F524" s="176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</row>
    <row r="525" spans="1:22" x14ac:dyDescent="0.2">
      <c r="A525" s="119"/>
      <c r="B525" s="119"/>
      <c r="C525" s="176"/>
      <c r="D525" s="119"/>
      <c r="E525" s="176"/>
      <c r="F525" s="176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</row>
    <row r="526" spans="1:22" x14ac:dyDescent="0.2">
      <c r="A526" s="119"/>
      <c r="B526" s="119"/>
      <c r="C526" s="176"/>
      <c r="D526" s="119"/>
      <c r="E526" s="176"/>
      <c r="F526" s="176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</row>
    <row r="527" spans="1:22" x14ac:dyDescent="0.2">
      <c r="A527" s="119"/>
      <c r="B527" s="119"/>
      <c r="C527" s="176"/>
      <c r="D527" s="119"/>
      <c r="E527" s="176"/>
      <c r="F527" s="176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</row>
    <row r="528" spans="1:22" x14ac:dyDescent="0.2">
      <c r="A528" s="119"/>
      <c r="B528" s="119"/>
      <c r="C528" s="176"/>
      <c r="D528" s="119"/>
      <c r="E528" s="176"/>
      <c r="F528" s="176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</row>
    <row r="529" spans="1:22" x14ac:dyDescent="0.2">
      <c r="A529" s="119"/>
      <c r="B529" s="119"/>
      <c r="C529" s="176"/>
      <c r="D529" s="119"/>
      <c r="E529" s="176"/>
      <c r="F529" s="176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</row>
    <row r="530" spans="1:22" x14ac:dyDescent="0.2">
      <c r="A530" s="119"/>
      <c r="B530" s="119"/>
      <c r="C530" s="176"/>
      <c r="D530" s="119"/>
      <c r="E530" s="176"/>
      <c r="F530" s="176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</row>
    <row r="531" spans="1:22" x14ac:dyDescent="0.2">
      <c r="A531" s="119"/>
      <c r="B531" s="119"/>
      <c r="C531" s="176"/>
      <c r="D531" s="119"/>
      <c r="E531" s="176"/>
      <c r="F531" s="176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</row>
    <row r="532" spans="1:22" x14ac:dyDescent="0.2">
      <c r="A532" s="119"/>
      <c r="B532" s="119"/>
      <c r="C532" s="176"/>
      <c r="D532" s="119"/>
      <c r="E532" s="176"/>
      <c r="F532" s="176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</row>
    <row r="533" spans="1:22" x14ac:dyDescent="0.2">
      <c r="A533" s="119"/>
      <c r="B533" s="119"/>
      <c r="C533" s="176"/>
      <c r="D533" s="119"/>
      <c r="E533" s="176"/>
      <c r="F533" s="176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</row>
    <row r="534" spans="1:22" x14ac:dyDescent="0.2">
      <c r="A534" s="119"/>
      <c r="B534" s="119"/>
      <c r="C534" s="176"/>
      <c r="D534" s="119"/>
      <c r="E534" s="176"/>
      <c r="F534" s="176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</row>
    <row r="535" spans="1:22" x14ac:dyDescent="0.2">
      <c r="A535" s="119"/>
      <c r="B535" s="119"/>
      <c r="C535" s="176"/>
      <c r="D535" s="119"/>
      <c r="E535" s="176"/>
      <c r="F535" s="176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</row>
    <row r="536" spans="1:22" x14ac:dyDescent="0.2">
      <c r="A536" s="119"/>
      <c r="B536" s="119"/>
      <c r="C536" s="176"/>
      <c r="D536" s="119"/>
      <c r="E536" s="176"/>
      <c r="F536" s="176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</row>
    <row r="537" spans="1:22" x14ac:dyDescent="0.2">
      <c r="A537" s="119"/>
      <c r="B537" s="119"/>
      <c r="C537" s="176"/>
      <c r="D537" s="119"/>
      <c r="E537" s="176"/>
      <c r="F537" s="176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</row>
    <row r="538" spans="1:22" x14ac:dyDescent="0.2">
      <c r="A538" s="119"/>
      <c r="B538" s="119"/>
      <c r="C538" s="176"/>
      <c r="D538" s="119"/>
      <c r="E538" s="176"/>
      <c r="F538" s="176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</row>
    <row r="539" spans="1:22" x14ac:dyDescent="0.2">
      <c r="A539" s="119"/>
      <c r="B539" s="119"/>
      <c r="C539" s="176"/>
      <c r="D539" s="119"/>
      <c r="E539" s="176"/>
      <c r="F539" s="176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</row>
    <row r="540" spans="1:22" x14ac:dyDescent="0.2">
      <c r="A540" s="119"/>
      <c r="B540" s="119"/>
      <c r="C540" s="176"/>
      <c r="D540" s="119"/>
      <c r="E540" s="176"/>
      <c r="F540" s="176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</row>
    <row r="541" spans="1:22" x14ac:dyDescent="0.2">
      <c r="A541" s="119"/>
      <c r="B541" s="119"/>
      <c r="C541" s="176"/>
      <c r="D541" s="119"/>
      <c r="E541" s="176"/>
      <c r="F541" s="176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</row>
    <row r="542" spans="1:22" x14ac:dyDescent="0.2">
      <c r="A542" s="119"/>
      <c r="B542" s="119"/>
      <c r="C542" s="176"/>
      <c r="D542" s="119"/>
      <c r="E542" s="176"/>
      <c r="F542" s="176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</row>
    <row r="543" spans="1:22" x14ac:dyDescent="0.2">
      <c r="A543" s="119"/>
      <c r="B543" s="119"/>
      <c r="C543" s="176"/>
      <c r="D543" s="119"/>
      <c r="E543" s="176"/>
      <c r="F543" s="176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</row>
    <row r="544" spans="1:22" x14ac:dyDescent="0.2">
      <c r="A544" s="119"/>
      <c r="B544" s="119"/>
      <c r="C544" s="176"/>
      <c r="D544" s="119"/>
      <c r="E544" s="176"/>
      <c r="F544" s="176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</row>
    <row r="545" spans="1:22" x14ac:dyDescent="0.2">
      <c r="A545" s="119"/>
      <c r="B545" s="119"/>
      <c r="C545" s="176"/>
      <c r="D545" s="119"/>
      <c r="E545" s="176"/>
      <c r="F545" s="176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</row>
    <row r="546" spans="1:22" x14ac:dyDescent="0.2">
      <c r="A546" s="119"/>
      <c r="B546" s="119"/>
      <c r="C546" s="176"/>
      <c r="D546" s="119"/>
      <c r="E546" s="176"/>
      <c r="F546" s="176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</row>
    <row r="547" spans="1:22" x14ac:dyDescent="0.2">
      <c r="A547" s="119"/>
      <c r="B547" s="119"/>
      <c r="C547" s="176"/>
      <c r="D547" s="119"/>
      <c r="E547" s="176"/>
      <c r="F547" s="176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</row>
    <row r="548" spans="1:22" x14ac:dyDescent="0.2">
      <c r="A548" s="119"/>
      <c r="B548" s="119"/>
      <c r="C548" s="176"/>
      <c r="D548" s="119"/>
      <c r="E548" s="176"/>
      <c r="F548" s="176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</row>
    <row r="549" spans="1:22" x14ac:dyDescent="0.2">
      <c r="A549" s="119"/>
      <c r="B549" s="119"/>
      <c r="C549" s="176"/>
      <c r="D549" s="119"/>
      <c r="E549" s="176"/>
      <c r="F549" s="176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</row>
    <row r="550" spans="1:22" x14ac:dyDescent="0.2">
      <c r="A550" s="119"/>
      <c r="B550" s="119"/>
      <c r="C550" s="176"/>
      <c r="D550" s="119"/>
      <c r="E550" s="176"/>
      <c r="F550" s="176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</row>
    <row r="551" spans="1:22" x14ac:dyDescent="0.2">
      <c r="A551" s="119"/>
      <c r="B551" s="119"/>
      <c r="C551" s="176"/>
      <c r="D551" s="119"/>
      <c r="E551" s="176"/>
      <c r="F551" s="176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</row>
    <row r="552" spans="1:22" x14ac:dyDescent="0.2">
      <c r="A552" s="119"/>
      <c r="B552" s="119"/>
      <c r="C552" s="176"/>
      <c r="D552" s="119"/>
      <c r="E552" s="176"/>
      <c r="F552" s="176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</row>
    <row r="553" spans="1:22" x14ac:dyDescent="0.2">
      <c r="A553" s="119"/>
      <c r="B553" s="119"/>
      <c r="C553" s="176"/>
      <c r="D553" s="119"/>
      <c r="E553" s="176"/>
      <c r="F553" s="176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</row>
    <row r="554" spans="1:22" x14ac:dyDescent="0.2">
      <c r="A554" s="119"/>
      <c r="B554" s="119"/>
      <c r="C554" s="176"/>
      <c r="D554" s="119"/>
      <c r="E554" s="176"/>
      <c r="F554" s="176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</row>
    <row r="555" spans="1:22" x14ac:dyDescent="0.2">
      <c r="A555" s="119"/>
      <c r="B555" s="119"/>
      <c r="C555" s="176"/>
      <c r="D555" s="119"/>
      <c r="E555" s="176"/>
      <c r="F555" s="176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</row>
    <row r="556" spans="1:22" x14ac:dyDescent="0.2">
      <c r="A556" s="119"/>
      <c r="B556" s="119"/>
      <c r="C556" s="176"/>
      <c r="D556" s="119"/>
      <c r="E556" s="176"/>
      <c r="F556" s="176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</row>
    <row r="557" spans="1:22" x14ac:dyDescent="0.2">
      <c r="A557" s="119"/>
      <c r="B557" s="119"/>
      <c r="C557" s="176"/>
      <c r="D557" s="119"/>
      <c r="E557" s="176"/>
      <c r="F557" s="176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</row>
    <row r="558" spans="1:22" x14ac:dyDescent="0.2">
      <c r="A558" s="119"/>
      <c r="B558" s="119"/>
      <c r="C558" s="176"/>
      <c r="D558" s="119"/>
      <c r="E558" s="176"/>
      <c r="F558" s="176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</row>
    <row r="559" spans="1:22" x14ac:dyDescent="0.2">
      <c r="A559" s="119"/>
      <c r="B559" s="119"/>
      <c r="C559" s="176"/>
      <c r="D559" s="119"/>
      <c r="E559" s="176"/>
      <c r="F559" s="176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</row>
    <row r="560" spans="1:22" x14ac:dyDescent="0.2">
      <c r="A560" s="119"/>
      <c r="B560" s="119"/>
      <c r="C560" s="176"/>
      <c r="D560" s="119"/>
      <c r="E560" s="176"/>
      <c r="F560" s="176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</row>
    <row r="561" spans="1:22" x14ac:dyDescent="0.2">
      <c r="A561" s="119"/>
      <c r="B561" s="119"/>
      <c r="C561" s="176"/>
      <c r="D561" s="119"/>
      <c r="E561" s="176"/>
      <c r="F561" s="176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</row>
    <row r="562" spans="1:22" x14ac:dyDescent="0.2">
      <c r="A562" s="119"/>
      <c r="B562" s="119"/>
      <c r="C562" s="176"/>
      <c r="D562" s="119"/>
      <c r="E562" s="176"/>
      <c r="F562" s="176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</row>
    <row r="563" spans="1:22" x14ac:dyDescent="0.2">
      <c r="A563" s="119"/>
      <c r="B563" s="119"/>
      <c r="C563" s="176"/>
      <c r="D563" s="119"/>
      <c r="E563" s="176"/>
      <c r="F563" s="176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</row>
    <row r="564" spans="1:22" x14ac:dyDescent="0.2">
      <c r="A564" s="119"/>
      <c r="B564" s="119"/>
      <c r="C564" s="176"/>
      <c r="D564" s="119"/>
      <c r="E564" s="176"/>
      <c r="F564" s="176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</row>
    <row r="565" spans="1:22" x14ac:dyDescent="0.2">
      <c r="A565" s="119"/>
      <c r="B565" s="119"/>
      <c r="C565" s="176"/>
      <c r="D565" s="119"/>
      <c r="E565" s="176"/>
      <c r="F565" s="176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</row>
    <row r="566" spans="1:22" x14ac:dyDescent="0.2">
      <c r="A566" s="119"/>
      <c r="B566" s="119"/>
      <c r="C566" s="176"/>
      <c r="D566" s="119"/>
      <c r="E566" s="176"/>
      <c r="F566" s="176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</row>
    <row r="567" spans="1:22" x14ac:dyDescent="0.2">
      <c r="A567" s="119"/>
      <c r="B567" s="119"/>
      <c r="C567" s="176"/>
      <c r="D567" s="119"/>
      <c r="E567" s="176"/>
      <c r="F567" s="176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</row>
    <row r="568" spans="1:22" x14ac:dyDescent="0.2">
      <c r="A568" s="119"/>
      <c r="B568" s="119"/>
      <c r="C568" s="176"/>
      <c r="D568" s="119"/>
      <c r="E568" s="176"/>
      <c r="F568" s="176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</row>
    <row r="569" spans="1:22" x14ac:dyDescent="0.2">
      <c r="A569" s="119"/>
      <c r="B569" s="119"/>
      <c r="C569" s="176"/>
      <c r="D569" s="119"/>
      <c r="E569" s="176"/>
      <c r="F569" s="176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</row>
    <row r="570" spans="1:22" x14ac:dyDescent="0.2">
      <c r="A570" s="119"/>
      <c r="B570" s="119"/>
      <c r="C570" s="176"/>
      <c r="D570" s="119"/>
      <c r="E570" s="176"/>
      <c r="F570" s="176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</row>
    <row r="571" spans="1:22" x14ac:dyDescent="0.2">
      <c r="A571" s="119"/>
      <c r="B571" s="119"/>
      <c r="C571" s="176"/>
      <c r="D571" s="119"/>
      <c r="E571" s="176"/>
      <c r="F571" s="176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</row>
    <row r="572" spans="1:22" x14ac:dyDescent="0.2">
      <c r="A572" s="119"/>
      <c r="B572" s="119"/>
      <c r="C572" s="176"/>
      <c r="D572" s="119"/>
      <c r="E572" s="176"/>
      <c r="F572" s="176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</row>
    <row r="573" spans="1:22" x14ac:dyDescent="0.2">
      <c r="A573" s="119"/>
      <c r="B573" s="119"/>
      <c r="C573" s="176"/>
      <c r="D573" s="119"/>
      <c r="E573" s="176"/>
      <c r="F573" s="176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</row>
    <row r="574" spans="1:22" x14ac:dyDescent="0.2">
      <c r="A574" s="119"/>
      <c r="B574" s="119"/>
      <c r="C574" s="176"/>
      <c r="D574" s="119"/>
      <c r="E574" s="176"/>
      <c r="F574" s="176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</row>
    <row r="575" spans="1:22" x14ac:dyDescent="0.2">
      <c r="A575" s="119"/>
      <c r="B575" s="119"/>
      <c r="C575" s="176"/>
      <c r="D575" s="119"/>
      <c r="E575" s="176"/>
      <c r="F575" s="176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</row>
    <row r="576" spans="1:22" x14ac:dyDescent="0.2">
      <c r="A576" s="119"/>
      <c r="B576" s="119"/>
      <c r="C576" s="176"/>
      <c r="D576" s="119"/>
      <c r="E576" s="176"/>
      <c r="F576" s="176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</row>
    <row r="577" spans="1:22" x14ac:dyDescent="0.2">
      <c r="A577" s="119"/>
      <c r="B577" s="119"/>
      <c r="C577" s="176"/>
      <c r="D577" s="119"/>
      <c r="E577" s="176"/>
      <c r="F577" s="176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</row>
    <row r="578" spans="1:22" x14ac:dyDescent="0.2">
      <c r="A578" s="119"/>
      <c r="B578" s="119"/>
      <c r="C578" s="176"/>
      <c r="D578" s="119"/>
      <c r="E578" s="176"/>
      <c r="F578" s="176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</row>
    <row r="579" spans="1:22" x14ac:dyDescent="0.2">
      <c r="A579" s="119"/>
      <c r="B579" s="119"/>
      <c r="C579" s="176"/>
      <c r="D579" s="119"/>
      <c r="E579" s="176"/>
      <c r="F579" s="176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</row>
    <row r="580" spans="1:22" x14ac:dyDescent="0.2">
      <c r="A580" s="119"/>
      <c r="B580" s="119"/>
      <c r="C580" s="176"/>
      <c r="D580" s="119"/>
      <c r="E580" s="176"/>
      <c r="F580" s="176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</row>
    <row r="581" spans="1:22" x14ac:dyDescent="0.2">
      <c r="A581" s="119"/>
      <c r="B581" s="119"/>
      <c r="C581" s="176"/>
      <c r="D581" s="119"/>
      <c r="E581" s="176"/>
      <c r="F581" s="176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</row>
    <row r="582" spans="1:22" x14ac:dyDescent="0.2">
      <c r="A582" s="119"/>
      <c r="B582" s="119"/>
      <c r="C582" s="176"/>
      <c r="D582" s="119"/>
      <c r="E582" s="176"/>
      <c r="F582" s="176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</row>
    <row r="583" spans="1:22" x14ac:dyDescent="0.2">
      <c r="A583" s="119"/>
      <c r="B583" s="119"/>
      <c r="C583" s="176"/>
      <c r="D583" s="119"/>
      <c r="E583" s="176"/>
      <c r="F583" s="176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</row>
    <row r="584" spans="1:22" x14ac:dyDescent="0.2">
      <c r="A584" s="119"/>
      <c r="B584" s="119"/>
      <c r="C584" s="176"/>
      <c r="D584" s="119"/>
      <c r="E584" s="176"/>
      <c r="F584" s="176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</row>
    <row r="585" spans="1:22" x14ac:dyDescent="0.2">
      <c r="A585" s="119"/>
      <c r="B585" s="119"/>
      <c r="C585" s="176"/>
      <c r="D585" s="119"/>
      <c r="E585" s="176"/>
      <c r="F585" s="176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</row>
    <row r="586" spans="1:22" x14ac:dyDescent="0.2">
      <c r="A586" s="119"/>
      <c r="B586" s="119"/>
      <c r="C586" s="176"/>
      <c r="D586" s="119"/>
      <c r="E586" s="176"/>
      <c r="F586" s="176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</row>
    <row r="587" spans="1:22" x14ac:dyDescent="0.2">
      <c r="A587" s="119"/>
      <c r="B587" s="119"/>
      <c r="C587" s="176"/>
      <c r="D587" s="119"/>
      <c r="E587" s="176"/>
      <c r="F587" s="176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</row>
    <row r="588" spans="1:22" x14ac:dyDescent="0.2">
      <c r="A588" s="119"/>
      <c r="B588" s="119"/>
      <c r="C588" s="176"/>
      <c r="D588" s="119"/>
      <c r="E588" s="176"/>
      <c r="F588" s="176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</row>
    <row r="589" spans="1:22" x14ac:dyDescent="0.2">
      <c r="A589" s="119"/>
      <c r="B589" s="119"/>
      <c r="C589" s="176"/>
      <c r="D589" s="119"/>
      <c r="E589" s="176"/>
      <c r="F589" s="176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</row>
    <row r="590" spans="1:22" x14ac:dyDescent="0.2">
      <c r="A590" s="119"/>
      <c r="B590" s="119"/>
      <c r="C590" s="176"/>
      <c r="D590" s="119"/>
      <c r="E590" s="176"/>
      <c r="F590" s="176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</row>
    <row r="591" spans="1:22" x14ac:dyDescent="0.2">
      <c r="A591" s="119"/>
      <c r="B591" s="119"/>
      <c r="C591" s="176"/>
      <c r="D591" s="119"/>
      <c r="E591" s="176"/>
      <c r="F591" s="176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</row>
    <row r="592" spans="1:22" x14ac:dyDescent="0.2">
      <c r="A592" s="119"/>
      <c r="B592" s="119"/>
      <c r="C592" s="176"/>
      <c r="D592" s="119"/>
      <c r="E592" s="176"/>
      <c r="F592" s="176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</row>
    <row r="593" spans="1:22" x14ac:dyDescent="0.2">
      <c r="A593" s="119"/>
      <c r="B593" s="119"/>
      <c r="C593" s="176"/>
      <c r="D593" s="119"/>
      <c r="E593" s="176"/>
      <c r="F593" s="176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</row>
    <row r="594" spans="1:22" x14ac:dyDescent="0.2">
      <c r="A594" s="119"/>
      <c r="B594" s="119"/>
      <c r="C594" s="176"/>
      <c r="D594" s="119"/>
      <c r="E594" s="176"/>
      <c r="F594" s="176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</row>
    <row r="595" spans="1:22" x14ac:dyDescent="0.2">
      <c r="A595" s="119"/>
      <c r="B595" s="119"/>
      <c r="C595" s="176"/>
      <c r="D595" s="119"/>
      <c r="E595" s="176"/>
      <c r="F595" s="176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</row>
    <row r="596" spans="1:22" x14ac:dyDescent="0.2">
      <c r="A596" s="119"/>
      <c r="B596" s="119"/>
      <c r="C596" s="176"/>
      <c r="D596" s="119"/>
      <c r="E596" s="176"/>
      <c r="F596" s="176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</row>
    <row r="597" spans="1:22" x14ac:dyDescent="0.2">
      <c r="A597" s="119"/>
      <c r="B597" s="119"/>
      <c r="C597" s="176"/>
      <c r="D597" s="119"/>
      <c r="E597" s="176"/>
      <c r="F597" s="176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</row>
    <row r="598" spans="1:22" x14ac:dyDescent="0.2">
      <c r="A598" s="119"/>
      <c r="B598" s="119"/>
      <c r="C598" s="176"/>
      <c r="D598" s="119"/>
      <c r="E598" s="176"/>
      <c r="F598" s="176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</row>
    <row r="599" spans="1:22" x14ac:dyDescent="0.2">
      <c r="A599" s="119"/>
      <c r="B599" s="119"/>
      <c r="C599" s="176"/>
      <c r="D599" s="119"/>
      <c r="E599" s="176"/>
      <c r="F599" s="176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</row>
    <row r="600" spans="1:22" x14ac:dyDescent="0.2">
      <c r="A600" s="119"/>
      <c r="B600" s="119"/>
      <c r="C600" s="176"/>
      <c r="D600" s="119"/>
      <c r="E600" s="176"/>
      <c r="F600" s="176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</row>
    <row r="601" spans="1:22" x14ac:dyDescent="0.2">
      <c r="A601" s="119"/>
      <c r="B601" s="119"/>
      <c r="C601" s="176"/>
      <c r="D601" s="119"/>
      <c r="E601" s="176"/>
      <c r="F601" s="176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</row>
    <row r="602" spans="1:22" x14ac:dyDescent="0.2">
      <c r="A602" s="119"/>
      <c r="B602" s="119"/>
      <c r="C602" s="176"/>
      <c r="D602" s="119"/>
      <c r="E602" s="176"/>
      <c r="F602" s="176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</row>
    <row r="603" spans="1:22" x14ac:dyDescent="0.2">
      <c r="A603" s="119"/>
      <c r="B603" s="119"/>
      <c r="C603" s="176"/>
      <c r="D603" s="119"/>
      <c r="E603" s="176"/>
      <c r="F603" s="176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</row>
    <row r="604" spans="1:22" x14ac:dyDescent="0.2">
      <c r="A604" s="119"/>
      <c r="B604" s="119"/>
      <c r="C604" s="176"/>
      <c r="D604" s="119"/>
      <c r="E604" s="176"/>
      <c r="F604" s="176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</row>
    <row r="605" spans="1:22" x14ac:dyDescent="0.2">
      <c r="A605" s="119"/>
      <c r="B605" s="119"/>
      <c r="C605" s="176"/>
      <c r="D605" s="119"/>
      <c r="E605" s="176"/>
      <c r="F605" s="176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</row>
    <row r="606" spans="1:22" x14ac:dyDescent="0.2">
      <c r="A606" s="119"/>
      <c r="B606" s="119"/>
      <c r="C606" s="176"/>
      <c r="D606" s="119"/>
      <c r="E606" s="176"/>
      <c r="F606" s="176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</row>
    <row r="607" spans="1:22" x14ac:dyDescent="0.2">
      <c r="A607" s="119"/>
      <c r="B607" s="119"/>
      <c r="C607" s="176"/>
      <c r="D607" s="119"/>
      <c r="E607" s="176"/>
      <c r="F607" s="176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</row>
    <row r="608" spans="1:22" x14ac:dyDescent="0.2">
      <c r="A608" s="119"/>
      <c r="B608" s="119"/>
      <c r="C608" s="176"/>
      <c r="D608" s="119"/>
      <c r="E608" s="176"/>
      <c r="F608" s="176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</row>
    <row r="609" spans="1:22" x14ac:dyDescent="0.2">
      <c r="A609" s="119"/>
      <c r="B609" s="119"/>
      <c r="C609" s="176"/>
      <c r="D609" s="119"/>
      <c r="E609" s="176"/>
      <c r="F609" s="176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</row>
    <row r="610" spans="1:22" x14ac:dyDescent="0.2">
      <c r="A610" s="119"/>
      <c r="B610" s="119"/>
      <c r="C610" s="176"/>
      <c r="D610" s="119"/>
      <c r="E610" s="176"/>
      <c r="F610" s="176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</row>
    <row r="611" spans="1:22" x14ac:dyDescent="0.2">
      <c r="A611" s="119"/>
      <c r="B611" s="119"/>
      <c r="C611" s="176"/>
      <c r="D611" s="119"/>
      <c r="E611" s="176"/>
      <c r="F611" s="176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</row>
    <row r="612" spans="1:22" x14ac:dyDescent="0.2">
      <c r="A612" s="119"/>
      <c r="B612" s="119"/>
      <c r="C612" s="176"/>
      <c r="D612" s="119"/>
      <c r="E612" s="176"/>
      <c r="F612" s="176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</row>
    <row r="613" spans="1:22" x14ac:dyDescent="0.2">
      <c r="A613" s="119"/>
      <c r="B613" s="119"/>
      <c r="C613" s="176"/>
      <c r="D613" s="119"/>
      <c r="E613" s="176"/>
      <c r="F613" s="176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</row>
    <row r="614" spans="1:22" x14ac:dyDescent="0.2">
      <c r="A614" s="119"/>
      <c r="B614" s="119"/>
      <c r="C614" s="176"/>
      <c r="D614" s="119"/>
      <c r="E614" s="176"/>
      <c r="F614" s="176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</row>
    <row r="615" spans="1:22" x14ac:dyDescent="0.2">
      <c r="A615" s="119"/>
      <c r="B615" s="119"/>
      <c r="C615" s="176"/>
      <c r="D615" s="119"/>
      <c r="E615" s="176"/>
      <c r="F615" s="176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</row>
    <row r="616" spans="1:22" x14ac:dyDescent="0.2">
      <c r="A616" s="119"/>
      <c r="B616" s="119"/>
      <c r="C616" s="176"/>
      <c r="D616" s="119"/>
      <c r="E616" s="176"/>
      <c r="F616" s="176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</row>
    <row r="617" spans="1:22" x14ac:dyDescent="0.2">
      <c r="A617" s="119"/>
      <c r="B617" s="119"/>
      <c r="C617" s="176"/>
      <c r="D617" s="119"/>
      <c r="E617" s="176"/>
      <c r="F617" s="176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</row>
    <row r="618" spans="1:22" x14ac:dyDescent="0.2">
      <c r="A618" s="119"/>
      <c r="B618" s="119"/>
      <c r="C618" s="176"/>
      <c r="D618" s="119"/>
      <c r="E618" s="176"/>
      <c r="F618" s="176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</row>
    <row r="619" spans="1:22" x14ac:dyDescent="0.2">
      <c r="A619" s="119"/>
      <c r="B619" s="119"/>
      <c r="C619" s="176"/>
      <c r="D619" s="119"/>
      <c r="E619" s="176"/>
      <c r="F619" s="176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</row>
    <row r="620" spans="1:22" x14ac:dyDescent="0.2">
      <c r="A620" s="119"/>
      <c r="B620" s="119"/>
      <c r="C620" s="176"/>
      <c r="D620" s="119"/>
      <c r="E620" s="176"/>
      <c r="F620" s="176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</row>
    <row r="621" spans="1:22" x14ac:dyDescent="0.2">
      <c r="A621" s="119"/>
      <c r="B621" s="119"/>
      <c r="C621" s="176"/>
      <c r="D621" s="119"/>
      <c r="E621" s="176"/>
      <c r="F621" s="176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</row>
    <row r="622" spans="1:22" x14ac:dyDescent="0.2">
      <c r="A622" s="119"/>
      <c r="B622" s="119"/>
      <c r="C622" s="176"/>
      <c r="D622" s="119"/>
      <c r="E622" s="176"/>
      <c r="F622" s="176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</row>
    <row r="623" spans="1:22" x14ac:dyDescent="0.2">
      <c r="A623" s="119"/>
      <c r="B623" s="119"/>
      <c r="C623" s="176"/>
      <c r="D623" s="119"/>
      <c r="E623" s="176"/>
      <c r="F623" s="176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</row>
    <row r="624" spans="1:22" x14ac:dyDescent="0.2">
      <c r="A624" s="119"/>
      <c r="B624" s="119"/>
      <c r="C624" s="176"/>
      <c r="D624" s="119"/>
      <c r="E624" s="176"/>
      <c r="F624" s="176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</row>
    <row r="625" spans="1:22" x14ac:dyDescent="0.2">
      <c r="A625" s="119"/>
      <c r="B625" s="119"/>
      <c r="C625" s="176"/>
      <c r="D625" s="119"/>
      <c r="E625" s="176"/>
      <c r="F625" s="176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</row>
    <row r="626" spans="1:22" x14ac:dyDescent="0.2">
      <c r="A626" s="119"/>
      <c r="B626" s="119"/>
      <c r="C626" s="176"/>
      <c r="D626" s="119"/>
      <c r="E626" s="176"/>
      <c r="F626" s="176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</row>
    <row r="627" spans="1:22" x14ac:dyDescent="0.2">
      <c r="A627" s="119"/>
      <c r="B627" s="119"/>
      <c r="C627" s="176"/>
      <c r="D627" s="119"/>
      <c r="E627" s="176"/>
      <c r="F627" s="176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</row>
    <row r="628" spans="1:22" x14ac:dyDescent="0.2">
      <c r="A628" s="119"/>
      <c r="B628" s="119"/>
      <c r="C628" s="176"/>
      <c r="D628" s="119"/>
      <c r="E628" s="176"/>
      <c r="F628" s="176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</row>
    <row r="629" spans="1:22" x14ac:dyDescent="0.2">
      <c r="A629" s="119"/>
      <c r="B629" s="119"/>
      <c r="C629" s="176"/>
      <c r="D629" s="119"/>
      <c r="E629" s="176"/>
      <c r="F629" s="176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</row>
    <row r="630" spans="1:22" x14ac:dyDescent="0.2">
      <c r="A630" s="119"/>
      <c r="B630" s="119"/>
      <c r="C630" s="176"/>
      <c r="D630" s="119"/>
      <c r="E630" s="176"/>
      <c r="F630" s="176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</row>
    <row r="631" spans="1:22" x14ac:dyDescent="0.2">
      <c r="A631" s="119"/>
      <c r="B631" s="119"/>
      <c r="C631" s="176"/>
      <c r="D631" s="119"/>
      <c r="E631" s="176"/>
      <c r="F631" s="176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</row>
    <row r="632" spans="1:22" x14ac:dyDescent="0.2">
      <c r="A632" s="119"/>
      <c r="B632" s="119"/>
      <c r="C632" s="176"/>
      <c r="D632" s="119"/>
      <c r="E632" s="176"/>
      <c r="F632" s="176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</row>
    <row r="633" spans="1:22" x14ac:dyDescent="0.2">
      <c r="A633" s="119"/>
      <c r="B633" s="119"/>
      <c r="C633" s="176"/>
      <c r="D633" s="119"/>
      <c r="E633" s="176"/>
      <c r="F633" s="176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</row>
    <row r="634" spans="1:22" x14ac:dyDescent="0.2">
      <c r="A634" s="119"/>
      <c r="B634" s="119"/>
      <c r="C634" s="176"/>
      <c r="D634" s="119"/>
      <c r="E634" s="176"/>
      <c r="F634" s="176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</row>
    <row r="635" spans="1:22" x14ac:dyDescent="0.2">
      <c r="A635" s="119"/>
      <c r="B635" s="119"/>
      <c r="C635" s="176"/>
      <c r="D635" s="119"/>
      <c r="E635" s="176"/>
      <c r="F635" s="176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</row>
    <row r="636" spans="1:22" x14ac:dyDescent="0.2">
      <c r="A636" s="119"/>
      <c r="B636" s="119"/>
      <c r="C636" s="176"/>
      <c r="D636" s="119"/>
      <c r="E636" s="176"/>
      <c r="F636" s="176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</row>
    <row r="637" spans="1:22" x14ac:dyDescent="0.2">
      <c r="A637" s="119"/>
      <c r="B637" s="119"/>
      <c r="C637" s="176"/>
      <c r="D637" s="119"/>
      <c r="E637" s="176"/>
      <c r="F637" s="176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</row>
    <row r="638" spans="1:22" x14ac:dyDescent="0.2">
      <c r="A638" s="119"/>
      <c r="B638" s="119"/>
      <c r="C638" s="176"/>
      <c r="D638" s="119"/>
      <c r="E638" s="176"/>
      <c r="F638" s="176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</row>
    <row r="639" spans="1:22" x14ac:dyDescent="0.2">
      <c r="A639" s="119"/>
      <c r="B639" s="119"/>
      <c r="C639" s="176"/>
      <c r="D639" s="119"/>
      <c r="E639" s="176"/>
      <c r="F639" s="176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</row>
    <row r="640" spans="1:22" x14ac:dyDescent="0.2">
      <c r="A640" s="119"/>
      <c r="B640" s="119"/>
      <c r="C640" s="176"/>
      <c r="D640" s="119"/>
      <c r="E640" s="176"/>
      <c r="F640" s="176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</row>
    <row r="641" spans="1:22" x14ac:dyDescent="0.2">
      <c r="A641" s="119"/>
      <c r="B641" s="119"/>
      <c r="C641" s="176"/>
      <c r="D641" s="119"/>
      <c r="E641" s="176"/>
      <c r="F641" s="176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</row>
    <row r="642" spans="1:22" x14ac:dyDescent="0.2">
      <c r="A642" s="119"/>
      <c r="B642" s="119"/>
      <c r="C642" s="176"/>
      <c r="D642" s="119"/>
      <c r="E642" s="176"/>
      <c r="F642" s="176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</row>
    <row r="643" spans="1:22" x14ac:dyDescent="0.2">
      <c r="A643" s="119"/>
      <c r="B643" s="119"/>
      <c r="C643" s="176"/>
      <c r="D643" s="119"/>
      <c r="E643" s="176"/>
      <c r="F643" s="176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</row>
    <row r="644" spans="1:22" x14ac:dyDescent="0.2">
      <c r="A644" s="119"/>
      <c r="B644" s="119"/>
      <c r="C644" s="176"/>
      <c r="D644" s="119"/>
      <c r="E644" s="176"/>
      <c r="F644" s="176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</row>
    <row r="645" spans="1:22" x14ac:dyDescent="0.2">
      <c r="A645" s="119"/>
      <c r="B645" s="119"/>
      <c r="C645" s="176"/>
      <c r="D645" s="119"/>
      <c r="E645" s="176"/>
      <c r="F645" s="176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</row>
    <row r="646" spans="1:22" x14ac:dyDescent="0.2">
      <c r="A646" s="119"/>
      <c r="B646" s="119"/>
      <c r="C646" s="176"/>
      <c r="D646" s="119"/>
      <c r="E646" s="176"/>
      <c r="F646" s="176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</row>
    <row r="647" spans="1:22" x14ac:dyDescent="0.2">
      <c r="A647" s="119"/>
      <c r="B647" s="119"/>
      <c r="C647" s="176"/>
      <c r="D647" s="119"/>
      <c r="E647" s="176"/>
      <c r="F647" s="176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</row>
    <row r="648" spans="1:22" x14ac:dyDescent="0.2">
      <c r="A648" s="119"/>
      <c r="B648" s="119"/>
      <c r="C648" s="176"/>
      <c r="D648" s="119"/>
      <c r="E648" s="176"/>
      <c r="F648" s="176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</row>
    <row r="649" spans="1:22" x14ac:dyDescent="0.2">
      <c r="A649" s="119"/>
      <c r="B649" s="119"/>
      <c r="C649" s="176"/>
      <c r="D649" s="119"/>
      <c r="E649" s="176"/>
      <c r="F649" s="176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</row>
    <row r="650" spans="1:22" x14ac:dyDescent="0.2">
      <c r="A650" s="119"/>
      <c r="B650" s="119"/>
      <c r="C650" s="176"/>
      <c r="D650" s="119"/>
      <c r="E650" s="176"/>
      <c r="F650" s="176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</row>
    <row r="651" spans="1:22" x14ac:dyDescent="0.2">
      <c r="A651" s="119"/>
      <c r="B651" s="119"/>
      <c r="C651" s="176"/>
      <c r="D651" s="119"/>
      <c r="E651" s="176"/>
      <c r="F651" s="176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</row>
    <row r="652" spans="1:22" x14ac:dyDescent="0.2">
      <c r="A652" s="119"/>
      <c r="B652" s="119"/>
      <c r="C652" s="176"/>
      <c r="D652" s="119"/>
      <c r="E652" s="176"/>
      <c r="F652" s="176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</row>
    <row r="653" spans="1:22" x14ac:dyDescent="0.2">
      <c r="A653" s="119"/>
      <c r="B653" s="119"/>
      <c r="C653" s="176"/>
      <c r="D653" s="119"/>
      <c r="E653" s="176"/>
      <c r="F653" s="176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</row>
    <row r="654" spans="1:22" x14ac:dyDescent="0.2">
      <c r="A654" s="119"/>
      <c r="B654" s="119"/>
      <c r="C654" s="176"/>
      <c r="D654" s="119"/>
      <c r="E654" s="176"/>
      <c r="F654" s="176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</row>
    <row r="655" spans="1:22" x14ac:dyDescent="0.2">
      <c r="A655" s="119"/>
      <c r="B655" s="119"/>
      <c r="C655" s="176"/>
      <c r="D655" s="119"/>
      <c r="E655" s="176"/>
      <c r="F655" s="176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</row>
    <row r="656" spans="1:22" x14ac:dyDescent="0.2">
      <c r="A656" s="119"/>
      <c r="B656" s="119"/>
      <c r="C656" s="176"/>
      <c r="D656" s="119"/>
      <c r="E656" s="176"/>
      <c r="F656" s="176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</row>
    <row r="657" spans="1:22" x14ac:dyDescent="0.2">
      <c r="A657" s="119"/>
      <c r="B657" s="119"/>
      <c r="C657" s="176"/>
      <c r="D657" s="119"/>
      <c r="E657" s="176"/>
      <c r="F657" s="176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</row>
    <row r="658" spans="1:22" x14ac:dyDescent="0.2">
      <c r="A658" s="119"/>
      <c r="B658" s="119"/>
      <c r="C658" s="176"/>
      <c r="D658" s="119"/>
      <c r="E658" s="176"/>
      <c r="F658" s="176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</row>
    <row r="659" spans="1:22" x14ac:dyDescent="0.2">
      <c r="A659" s="119"/>
      <c r="B659" s="119"/>
      <c r="C659" s="176"/>
      <c r="D659" s="119"/>
      <c r="E659" s="176"/>
      <c r="F659" s="176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</row>
    <row r="660" spans="1:22" x14ac:dyDescent="0.2">
      <c r="A660" s="119"/>
      <c r="B660" s="119"/>
      <c r="C660" s="176"/>
      <c r="D660" s="119"/>
      <c r="E660" s="176"/>
      <c r="F660" s="176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</row>
    <row r="661" spans="1:22" x14ac:dyDescent="0.2">
      <c r="A661" s="119"/>
      <c r="B661" s="119"/>
      <c r="C661" s="176"/>
      <c r="D661" s="119"/>
      <c r="E661" s="176"/>
      <c r="F661" s="176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</row>
    <row r="662" spans="1:22" x14ac:dyDescent="0.2">
      <c r="A662" s="119"/>
      <c r="B662" s="119"/>
      <c r="C662" s="176"/>
      <c r="D662" s="119"/>
      <c r="E662" s="176"/>
      <c r="F662" s="176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</row>
    <row r="663" spans="1:22" x14ac:dyDescent="0.2">
      <c r="A663" s="119"/>
      <c r="B663" s="119"/>
      <c r="C663" s="176"/>
      <c r="D663" s="119"/>
      <c r="E663" s="176"/>
      <c r="F663" s="176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</row>
    <row r="664" spans="1:22" x14ac:dyDescent="0.2">
      <c r="A664" s="119"/>
      <c r="B664" s="119"/>
      <c r="C664" s="176"/>
      <c r="D664" s="119"/>
      <c r="E664" s="176"/>
      <c r="F664" s="176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</row>
    <row r="665" spans="1:22" x14ac:dyDescent="0.2">
      <c r="A665" s="119"/>
      <c r="B665" s="119"/>
      <c r="C665" s="176"/>
      <c r="D665" s="119"/>
      <c r="E665" s="176"/>
      <c r="F665" s="176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</row>
    <row r="666" spans="1:22" x14ac:dyDescent="0.2">
      <c r="A666" s="119"/>
      <c r="B666" s="119"/>
      <c r="C666" s="176"/>
      <c r="D666" s="119"/>
      <c r="E666" s="176"/>
      <c r="F666" s="176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</row>
    <row r="667" spans="1:22" x14ac:dyDescent="0.2">
      <c r="A667" s="119"/>
      <c r="B667" s="119"/>
      <c r="C667" s="176"/>
      <c r="D667" s="119"/>
      <c r="E667" s="176"/>
      <c r="F667" s="176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</row>
    <row r="668" spans="1:22" x14ac:dyDescent="0.2">
      <c r="A668" s="119"/>
      <c r="B668" s="119"/>
      <c r="C668" s="176"/>
      <c r="D668" s="119"/>
      <c r="E668" s="176"/>
      <c r="F668" s="176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</row>
    <row r="669" spans="1:22" x14ac:dyDescent="0.2">
      <c r="A669" s="119"/>
      <c r="B669" s="119"/>
      <c r="C669" s="176"/>
      <c r="D669" s="119"/>
      <c r="E669" s="176"/>
      <c r="F669" s="176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</row>
    <row r="670" spans="1:22" x14ac:dyDescent="0.2">
      <c r="A670" s="119"/>
      <c r="B670" s="119"/>
      <c r="C670" s="176"/>
      <c r="D670" s="119"/>
      <c r="E670" s="176"/>
      <c r="F670" s="176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</row>
    <row r="671" spans="1:22" x14ac:dyDescent="0.2">
      <c r="A671" s="119"/>
      <c r="B671" s="119"/>
      <c r="C671" s="176"/>
      <c r="D671" s="119"/>
      <c r="E671" s="176"/>
      <c r="F671" s="176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</row>
    <row r="672" spans="1:22" x14ac:dyDescent="0.2">
      <c r="A672" s="119"/>
      <c r="B672" s="119"/>
      <c r="C672" s="176"/>
      <c r="D672" s="119"/>
      <c r="E672" s="176"/>
      <c r="F672" s="176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</row>
    <row r="673" spans="1:22" x14ac:dyDescent="0.2">
      <c r="A673" s="119"/>
      <c r="B673" s="119"/>
      <c r="C673" s="176"/>
      <c r="D673" s="119"/>
      <c r="E673" s="176"/>
      <c r="F673" s="176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</row>
    <row r="674" spans="1:22" x14ac:dyDescent="0.2">
      <c r="A674" s="119"/>
      <c r="B674" s="119"/>
      <c r="C674" s="176"/>
      <c r="D674" s="119"/>
      <c r="E674" s="176"/>
      <c r="F674" s="176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</row>
    <row r="675" spans="1:22" x14ac:dyDescent="0.2">
      <c r="A675" s="119"/>
      <c r="B675" s="119"/>
      <c r="C675" s="176"/>
      <c r="D675" s="119"/>
      <c r="E675" s="176"/>
      <c r="F675" s="176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</row>
    <row r="676" spans="1:22" x14ac:dyDescent="0.2">
      <c r="A676" s="119"/>
      <c r="B676" s="119"/>
      <c r="C676" s="176"/>
      <c r="D676" s="119"/>
      <c r="E676" s="176"/>
      <c r="F676" s="176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</row>
    <row r="677" spans="1:22" x14ac:dyDescent="0.2">
      <c r="A677" s="119"/>
      <c r="B677" s="119"/>
      <c r="C677" s="176"/>
      <c r="D677" s="119"/>
      <c r="E677" s="176"/>
      <c r="F677" s="176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</row>
    <row r="678" spans="1:22" x14ac:dyDescent="0.2">
      <c r="A678" s="119"/>
      <c r="B678" s="119"/>
      <c r="C678" s="176"/>
      <c r="D678" s="119"/>
      <c r="E678" s="176"/>
      <c r="F678" s="176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</row>
    <row r="679" spans="1:22" x14ac:dyDescent="0.2">
      <c r="A679" s="119"/>
      <c r="B679" s="119"/>
      <c r="C679" s="176"/>
      <c r="D679" s="119"/>
      <c r="E679" s="176"/>
      <c r="F679" s="176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</row>
    <row r="680" spans="1:22" x14ac:dyDescent="0.2">
      <c r="A680" s="119"/>
      <c r="B680" s="119"/>
      <c r="C680" s="176"/>
      <c r="D680" s="119"/>
      <c r="E680" s="176"/>
      <c r="F680" s="176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</row>
    <row r="681" spans="1:22" x14ac:dyDescent="0.2">
      <c r="A681" s="119"/>
      <c r="B681" s="119"/>
      <c r="C681" s="176"/>
      <c r="D681" s="119"/>
      <c r="E681" s="176"/>
      <c r="F681" s="176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</row>
    <row r="682" spans="1:22" x14ac:dyDescent="0.2">
      <c r="A682" s="119"/>
      <c r="B682" s="119"/>
      <c r="C682" s="176"/>
      <c r="D682" s="119"/>
      <c r="E682" s="176"/>
      <c r="F682" s="176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</row>
    <row r="683" spans="1:22" x14ac:dyDescent="0.2">
      <c r="A683" s="119"/>
      <c r="B683" s="119"/>
      <c r="C683" s="176"/>
      <c r="D683" s="119"/>
      <c r="E683" s="176"/>
      <c r="F683" s="176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</row>
    <row r="684" spans="1:22" x14ac:dyDescent="0.2">
      <c r="A684" s="119"/>
      <c r="B684" s="119"/>
      <c r="C684" s="176"/>
      <c r="D684" s="119"/>
      <c r="E684" s="176"/>
      <c r="F684" s="176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</row>
    <row r="685" spans="1:22" x14ac:dyDescent="0.2">
      <c r="A685" s="119"/>
      <c r="B685" s="119"/>
      <c r="C685" s="176"/>
      <c r="D685" s="119"/>
      <c r="E685" s="176"/>
      <c r="F685" s="176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</row>
    <row r="686" spans="1:22" x14ac:dyDescent="0.2">
      <c r="A686" s="119"/>
      <c r="B686" s="119"/>
      <c r="C686" s="176"/>
      <c r="D686" s="119"/>
      <c r="E686" s="176"/>
      <c r="F686" s="176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</row>
    <row r="687" spans="1:22" x14ac:dyDescent="0.2">
      <c r="A687" s="119"/>
      <c r="B687" s="119"/>
      <c r="C687" s="176"/>
      <c r="D687" s="119"/>
      <c r="E687" s="176"/>
      <c r="F687" s="176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</row>
    <row r="688" spans="1:22" x14ac:dyDescent="0.2">
      <c r="A688" s="119"/>
      <c r="B688" s="119"/>
      <c r="C688" s="176"/>
      <c r="D688" s="119"/>
      <c r="E688" s="176"/>
      <c r="F688" s="176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</row>
    <row r="689" spans="1:22" x14ac:dyDescent="0.2">
      <c r="A689" s="119"/>
      <c r="B689" s="119"/>
      <c r="C689" s="176"/>
      <c r="D689" s="119"/>
      <c r="E689" s="176"/>
      <c r="F689" s="176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</row>
    <row r="690" spans="1:22" x14ac:dyDescent="0.2">
      <c r="A690" s="119"/>
      <c r="B690" s="119"/>
      <c r="C690" s="176"/>
      <c r="D690" s="119"/>
      <c r="E690" s="176"/>
      <c r="F690" s="176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</row>
    <row r="691" spans="1:22" x14ac:dyDescent="0.2">
      <c r="A691" s="119"/>
      <c r="B691" s="119"/>
      <c r="C691" s="176"/>
      <c r="D691" s="119"/>
      <c r="E691" s="176"/>
      <c r="F691" s="176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</row>
    <row r="692" spans="1:22" x14ac:dyDescent="0.2">
      <c r="A692" s="119"/>
      <c r="B692" s="119"/>
      <c r="C692" s="176"/>
      <c r="D692" s="119"/>
      <c r="E692" s="176"/>
      <c r="F692" s="176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</row>
    <row r="693" spans="1:22" x14ac:dyDescent="0.2">
      <c r="A693" s="119"/>
      <c r="B693" s="119"/>
      <c r="C693" s="176"/>
      <c r="D693" s="119"/>
      <c r="E693" s="176"/>
      <c r="F693" s="176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</row>
    <row r="694" spans="1:22" x14ac:dyDescent="0.2">
      <c r="A694" s="119"/>
      <c r="B694" s="119"/>
      <c r="C694" s="176"/>
      <c r="D694" s="119"/>
      <c r="E694" s="176"/>
      <c r="F694" s="176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</row>
    <row r="695" spans="1:22" x14ac:dyDescent="0.2">
      <c r="A695" s="119"/>
      <c r="B695" s="119"/>
      <c r="C695" s="176"/>
      <c r="D695" s="119"/>
      <c r="E695" s="176"/>
      <c r="F695" s="176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</row>
    <row r="696" spans="1:22" x14ac:dyDescent="0.2">
      <c r="A696" s="119"/>
      <c r="B696" s="119"/>
      <c r="C696" s="176"/>
      <c r="D696" s="119"/>
      <c r="E696" s="176"/>
      <c r="F696" s="176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</row>
    <row r="697" spans="1:22" x14ac:dyDescent="0.2">
      <c r="A697" s="119"/>
      <c r="B697" s="119"/>
      <c r="C697" s="176"/>
      <c r="D697" s="119"/>
      <c r="E697" s="176"/>
      <c r="F697" s="176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</row>
    <row r="698" spans="1:22" x14ac:dyDescent="0.2">
      <c r="A698" s="119"/>
      <c r="B698" s="119"/>
      <c r="C698" s="176"/>
      <c r="D698" s="119"/>
      <c r="E698" s="176"/>
      <c r="F698" s="176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</row>
    <row r="699" spans="1:22" x14ac:dyDescent="0.2">
      <c r="A699" s="119"/>
      <c r="B699" s="119"/>
      <c r="C699" s="176"/>
      <c r="D699" s="119"/>
      <c r="E699" s="176"/>
      <c r="F699" s="176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</row>
    <row r="700" spans="1:22" x14ac:dyDescent="0.2">
      <c r="A700" s="119"/>
      <c r="B700" s="119"/>
      <c r="C700" s="176"/>
      <c r="D700" s="119"/>
      <c r="E700" s="176"/>
      <c r="F700" s="176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</row>
    <row r="701" spans="1:22" x14ac:dyDescent="0.2">
      <c r="A701" s="119"/>
      <c r="B701" s="119"/>
      <c r="C701" s="176"/>
      <c r="D701" s="119"/>
      <c r="E701" s="176"/>
      <c r="F701" s="176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</row>
    <row r="702" spans="1:22" x14ac:dyDescent="0.2">
      <c r="A702" s="119"/>
      <c r="B702" s="119"/>
      <c r="C702" s="176"/>
      <c r="D702" s="119"/>
      <c r="E702" s="176"/>
      <c r="F702" s="176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</row>
    <row r="703" spans="1:22" x14ac:dyDescent="0.2">
      <c r="A703" s="119"/>
      <c r="B703" s="119"/>
      <c r="C703" s="176"/>
      <c r="D703" s="119"/>
      <c r="E703" s="176"/>
      <c r="F703" s="176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</row>
    <row r="704" spans="1:22" x14ac:dyDescent="0.2">
      <c r="A704" s="119"/>
      <c r="B704" s="119"/>
      <c r="C704" s="176"/>
      <c r="D704" s="119"/>
      <c r="E704" s="176"/>
      <c r="F704" s="176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</row>
    <row r="705" spans="1:22" x14ac:dyDescent="0.2">
      <c r="A705" s="119"/>
      <c r="B705" s="119"/>
      <c r="C705" s="176"/>
      <c r="D705" s="119"/>
      <c r="E705" s="176"/>
      <c r="F705" s="176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</row>
    <row r="706" spans="1:22" x14ac:dyDescent="0.2">
      <c r="A706" s="119"/>
      <c r="B706" s="119"/>
      <c r="C706" s="176"/>
      <c r="D706" s="119"/>
      <c r="E706" s="176"/>
      <c r="F706" s="176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</row>
    <row r="707" spans="1:22" x14ac:dyDescent="0.2">
      <c r="A707" s="119"/>
      <c r="B707" s="119"/>
      <c r="C707" s="176"/>
      <c r="D707" s="119"/>
      <c r="E707" s="176"/>
      <c r="F707" s="176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</row>
    <row r="708" spans="1:22" x14ac:dyDescent="0.2">
      <c r="A708" s="119"/>
      <c r="B708" s="119"/>
      <c r="C708" s="176"/>
      <c r="D708" s="119"/>
      <c r="E708" s="176"/>
      <c r="F708" s="176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</row>
    <row r="709" spans="1:22" x14ac:dyDescent="0.2">
      <c r="A709" s="119"/>
      <c r="B709" s="119"/>
      <c r="C709" s="176"/>
      <c r="D709" s="119"/>
      <c r="E709" s="176"/>
      <c r="F709" s="176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</row>
    <row r="710" spans="1:22" x14ac:dyDescent="0.2">
      <c r="A710" s="119"/>
      <c r="B710" s="119"/>
      <c r="C710" s="176"/>
      <c r="D710" s="119"/>
      <c r="E710" s="176"/>
      <c r="F710" s="176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</row>
    <row r="711" spans="1:22" x14ac:dyDescent="0.2">
      <c r="A711" s="119"/>
      <c r="B711" s="119"/>
      <c r="C711" s="176"/>
      <c r="D711" s="119"/>
      <c r="E711" s="176"/>
      <c r="F711" s="176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</row>
    <row r="712" spans="1:22" x14ac:dyDescent="0.2">
      <c r="A712" s="119"/>
      <c r="B712" s="119"/>
      <c r="C712" s="176"/>
      <c r="D712" s="119"/>
      <c r="E712" s="176"/>
      <c r="F712" s="176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</row>
    <row r="713" spans="1:22" x14ac:dyDescent="0.2">
      <c r="A713" s="119"/>
      <c r="B713" s="119"/>
      <c r="C713" s="176"/>
      <c r="D713" s="119"/>
      <c r="E713" s="176"/>
      <c r="F713" s="176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</row>
    <row r="714" spans="1:22" x14ac:dyDescent="0.2">
      <c r="A714" s="119"/>
      <c r="B714" s="119"/>
      <c r="C714" s="176"/>
      <c r="D714" s="119"/>
      <c r="E714" s="176"/>
      <c r="F714" s="176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</row>
    <row r="715" spans="1:22" x14ac:dyDescent="0.2">
      <c r="A715" s="119"/>
      <c r="B715" s="119"/>
      <c r="C715" s="176"/>
      <c r="D715" s="119"/>
      <c r="E715" s="176"/>
      <c r="F715" s="176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</row>
    <row r="716" spans="1:22" x14ac:dyDescent="0.2">
      <c r="A716" s="119"/>
      <c r="B716" s="119"/>
      <c r="C716" s="176"/>
      <c r="D716" s="119"/>
      <c r="E716" s="176"/>
      <c r="F716" s="176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</row>
    <row r="717" spans="1:22" x14ac:dyDescent="0.2">
      <c r="A717" s="119"/>
      <c r="B717" s="119"/>
      <c r="C717" s="176"/>
      <c r="D717" s="119"/>
      <c r="E717" s="176"/>
      <c r="F717" s="176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</row>
    <row r="718" spans="1:22" x14ac:dyDescent="0.2">
      <c r="A718" s="119"/>
      <c r="B718" s="119"/>
      <c r="C718" s="176"/>
      <c r="D718" s="119"/>
      <c r="E718" s="176"/>
      <c r="F718" s="176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</row>
    <row r="719" spans="1:22" x14ac:dyDescent="0.2">
      <c r="A719" s="119"/>
      <c r="B719" s="119"/>
      <c r="C719" s="176"/>
      <c r="D719" s="119"/>
      <c r="E719" s="176"/>
      <c r="F719" s="176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</row>
    <row r="720" spans="1:22" x14ac:dyDescent="0.2">
      <c r="A720" s="119"/>
      <c r="B720" s="119"/>
      <c r="C720" s="176"/>
      <c r="D720" s="119"/>
      <c r="E720" s="176"/>
      <c r="F720" s="176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</row>
    <row r="721" spans="1:22" x14ac:dyDescent="0.2">
      <c r="A721" s="119"/>
      <c r="B721" s="119"/>
      <c r="C721" s="176"/>
      <c r="D721" s="119"/>
      <c r="E721" s="176"/>
      <c r="F721" s="176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</row>
    <row r="722" spans="1:22" x14ac:dyDescent="0.2">
      <c r="A722" s="119"/>
      <c r="B722" s="119"/>
      <c r="C722" s="176"/>
      <c r="D722" s="119"/>
      <c r="E722" s="176"/>
      <c r="F722" s="176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</row>
    <row r="723" spans="1:22" x14ac:dyDescent="0.2">
      <c r="A723" s="119"/>
      <c r="B723" s="119"/>
      <c r="C723" s="176"/>
      <c r="D723" s="119"/>
      <c r="E723" s="176"/>
      <c r="F723" s="176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</row>
    <row r="724" spans="1:22" x14ac:dyDescent="0.2">
      <c r="A724" s="119"/>
      <c r="B724" s="119"/>
      <c r="C724" s="176"/>
      <c r="D724" s="119"/>
      <c r="E724" s="176"/>
      <c r="F724" s="176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</row>
    <row r="725" spans="1:22" x14ac:dyDescent="0.2">
      <c r="A725" s="119"/>
      <c r="B725" s="119"/>
      <c r="C725" s="176"/>
      <c r="D725" s="119"/>
      <c r="E725" s="176"/>
      <c r="F725" s="176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</row>
    <row r="726" spans="1:22" x14ac:dyDescent="0.2">
      <c r="A726" s="119"/>
      <c r="B726" s="119"/>
      <c r="C726" s="176"/>
      <c r="D726" s="119"/>
      <c r="E726" s="176"/>
      <c r="F726" s="176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</row>
    <row r="727" spans="1:22" x14ac:dyDescent="0.2">
      <c r="A727" s="119"/>
      <c r="B727" s="119"/>
      <c r="C727" s="176"/>
      <c r="D727" s="119"/>
      <c r="E727" s="176"/>
      <c r="F727" s="176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</row>
    <row r="728" spans="1:22" x14ac:dyDescent="0.2">
      <c r="A728" s="119"/>
      <c r="B728" s="119"/>
      <c r="C728" s="176"/>
      <c r="D728" s="119"/>
      <c r="E728" s="176"/>
      <c r="F728" s="176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</row>
    <row r="729" spans="1:22" x14ac:dyDescent="0.2">
      <c r="A729" s="119"/>
      <c r="B729" s="119"/>
      <c r="C729" s="176"/>
      <c r="D729" s="119"/>
      <c r="E729" s="176"/>
      <c r="F729" s="176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</row>
    <row r="730" spans="1:22" x14ac:dyDescent="0.2">
      <c r="A730" s="119"/>
      <c r="B730" s="119"/>
      <c r="C730" s="176"/>
      <c r="D730" s="119"/>
      <c r="E730" s="176"/>
      <c r="F730" s="176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</row>
    <row r="731" spans="1:22" x14ac:dyDescent="0.2">
      <c r="A731" s="119"/>
      <c r="B731" s="119"/>
      <c r="C731" s="176"/>
      <c r="D731" s="119"/>
      <c r="E731" s="176"/>
      <c r="F731" s="176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</row>
    <row r="732" spans="1:22" x14ac:dyDescent="0.2">
      <c r="A732" s="119"/>
      <c r="B732" s="119"/>
      <c r="C732" s="176"/>
      <c r="D732" s="119"/>
      <c r="E732" s="176"/>
      <c r="F732" s="176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</row>
    <row r="733" spans="1:22" x14ac:dyDescent="0.2">
      <c r="A733" s="119"/>
      <c r="B733" s="119"/>
      <c r="C733" s="176"/>
      <c r="D733" s="119"/>
      <c r="E733" s="176"/>
      <c r="F733" s="176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</row>
    <row r="734" spans="1:22" x14ac:dyDescent="0.2">
      <c r="A734" s="119"/>
      <c r="B734" s="119"/>
      <c r="C734" s="176"/>
      <c r="D734" s="119"/>
      <c r="E734" s="176"/>
      <c r="F734" s="176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</row>
    <row r="735" spans="1:22" x14ac:dyDescent="0.2">
      <c r="A735" s="119"/>
      <c r="B735" s="119"/>
      <c r="C735" s="176"/>
      <c r="D735" s="119"/>
      <c r="E735" s="176"/>
      <c r="F735" s="176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</row>
    <row r="736" spans="1:22" x14ac:dyDescent="0.2">
      <c r="A736" s="119"/>
      <c r="B736" s="119"/>
      <c r="C736" s="176"/>
      <c r="D736" s="119"/>
      <c r="E736" s="176"/>
      <c r="F736" s="176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</row>
    <row r="737" spans="1:22" x14ac:dyDescent="0.2">
      <c r="A737" s="119"/>
      <c r="B737" s="119"/>
      <c r="C737" s="176"/>
      <c r="D737" s="119"/>
      <c r="E737" s="176"/>
      <c r="F737" s="176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</row>
    <row r="738" spans="1:22" x14ac:dyDescent="0.2">
      <c r="A738" s="119"/>
      <c r="B738" s="119"/>
      <c r="C738" s="176"/>
      <c r="D738" s="119"/>
      <c r="E738" s="176"/>
      <c r="F738" s="176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</row>
    <row r="739" spans="1:22" x14ac:dyDescent="0.2">
      <c r="A739" s="119"/>
      <c r="B739" s="119"/>
      <c r="C739" s="176"/>
      <c r="D739" s="119"/>
      <c r="E739" s="176"/>
      <c r="F739" s="176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</row>
    <row r="740" spans="1:22" x14ac:dyDescent="0.2">
      <c r="A740" s="119"/>
      <c r="B740" s="119"/>
      <c r="C740" s="176"/>
      <c r="D740" s="119"/>
      <c r="E740" s="176"/>
      <c r="F740" s="176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</row>
    <row r="741" spans="1:22" x14ac:dyDescent="0.2">
      <c r="A741" s="119"/>
      <c r="B741" s="119"/>
      <c r="C741" s="176"/>
      <c r="D741" s="119"/>
      <c r="E741" s="176"/>
      <c r="F741" s="176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</row>
    <row r="742" spans="1:22" x14ac:dyDescent="0.2">
      <c r="A742" s="119"/>
      <c r="B742" s="119"/>
      <c r="C742" s="176"/>
      <c r="D742" s="119"/>
      <c r="E742" s="176"/>
      <c r="F742" s="176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</row>
    <row r="743" spans="1:22" x14ac:dyDescent="0.2">
      <c r="A743" s="119"/>
      <c r="B743" s="119"/>
      <c r="C743" s="176"/>
      <c r="D743" s="119"/>
      <c r="E743" s="176"/>
      <c r="F743" s="176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</row>
    <row r="744" spans="1:22" x14ac:dyDescent="0.2">
      <c r="A744" s="119"/>
      <c r="B744" s="119"/>
      <c r="C744" s="176"/>
      <c r="D744" s="119"/>
      <c r="E744" s="176"/>
      <c r="F744" s="176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</row>
    <row r="745" spans="1:22" x14ac:dyDescent="0.2">
      <c r="A745" s="119"/>
      <c r="B745" s="119"/>
      <c r="C745" s="176"/>
      <c r="D745" s="119"/>
      <c r="E745" s="176"/>
      <c r="F745" s="176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</row>
    <row r="746" spans="1:22" x14ac:dyDescent="0.2">
      <c r="A746" s="119"/>
      <c r="B746" s="119"/>
      <c r="C746" s="176"/>
      <c r="D746" s="119"/>
      <c r="E746" s="176"/>
      <c r="F746" s="176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</row>
    <row r="747" spans="1:22" x14ac:dyDescent="0.2">
      <c r="A747" s="119"/>
      <c r="B747" s="119"/>
      <c r="C747" s="176"/>
      <c r="D747" s="119"/>
      <c r="E747" s="176"/>
      <c r="F747" s="176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</row>
    <row r="748" spans="1:22" x14ac:dyDescent="0.2">
      <c r="A748" s="119"/>
      <c r="B748" s="119"/>
      <c r="C748" s="176"/>
      <c r="D748" s="119"/>
      <c r="E748" s="176"/>
      <c r="F748" s="176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</row>
    <row r="749" spans="1:22" x14ac:dyDescent="0.2">
      <c r="A749" s="119"/>
      <c r="B749" s="119"/>
      <c r="C749" s="176"/>
      <c r="D749" s="119"/>
      <c r="E749" s="176"/>
      <c r="F749" s="176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</row>
    <row r="750" spans="1:22" x14ac:dyDescent="0.2">
      <c r="A750" s="119"/>
      <c r="B750" s="119"/>
      <c r="C750" s="176"/>
      <c r="D750" s="119"/>
      <c r="E750" s="176"/>
      <c r="F750" s="176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</row>
    <row r="751" spans="1:22" x14ac:dyDescent="0.2">
      <c r="A751" s="119"/>
      <c r="B751" s="119"/>
      <c r="C751" s="176"/>
      <c r="D751" s="119"/>
      <c r="E751" s="176"/>
      <c r="F751" s="176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</row>
    <row r="752" spans="1:22" x14ac:dyDescent="0.2">
      <c r="A752" s="119"/>
      <c r="B752" s="119"/>
      <c r="C752" s="176"/>
      <c r="D752" s="119"/>
      <c r="E752" s="176"/>
      <c r="F752" s="176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</row>
    <row r="753" spans="1:22" x14ac:dyDescent="0.2">
      <c r="A753" s="119"/>
      <c r="B753" s="119"/>
      <c r="C753" s="176"/>
      <c r="D753" s="119"/>
      <c r="E753" s="176"/>
      <c r="F753" s="176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</row>
    <row r="754" spans="1:22" x14ac:dyDescent="0.2">
      <c r="A754" s="119"/>
      <c r="B754" s="119"/>
      <c r="C754" s="176"/>
      <c r="D754" s="119"/>
      <c r="E754" s="176"/>
      <c r="F754" s="176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</row>
    <row r="755" spans="1:22" x14ac:dyDescent="0.2">
      <c r="A755" s="119"/>
      <c r="B755" s="119"/>
      <c r="C755" s="176"/>
      <c r="D755" s="119"/>
      <c r="E755" s="176"/>
      <c r="F755" s="176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</row>
    <row r="756" spans="1:22" x14ac:dyDescent="0.2">
      <c r="A756" s="119"/>
      <c r="B756" s="119"/>
      <c r="C756" s="176"/>
      <c r="D756" s="119"/>
      <c r="E756" s="176"/>
      <c r="F756" s="176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</row>
    <row r="757" spans="1:22" x14ac:dyDescent="0.2">
      <c r="A757" s="119"/>
      <c r="B757" s="119"/>
      <c r="C757" s="176"/>
      <c r="D757" s="119"/>
      <c r="E757" s="176"/>
      <c r="F757" s="176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</row>
    <row r="758" spans="1:22" x14ac:dyDescent="0.2">
      <c r="A758" s="119"/>
      <c r="B758" s="119"/>
      <c r="C758" s="176"/>
      <c r="D758" s="119"/>
      <c r="E758" s="176"/>
      <c r="F758" s="176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</row>
    <row r="759" spans="1:22" x14ac:dyDescent="0.2">
      <c r="A759" s="119"/>
      <c r="B759" s="119"/>
      <c r="C759" s="176"/>
      <c r="D759" s="119"/>
      <c r="E759" s="176"/>
      <c r="F759" s="176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</row>
    <row r="760" spans="1:22" x14ac:dyDescent="0.2">
      <c r="A760" s="119"/>
      <c r="B760" s="119"/>
      <c r="C760" s="176"/>
      <c r="D760" s="119"/>
      <c r="E760" s="176"/>
      <c r="F760" s="176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</row>
    <row r="761" spans="1:22" x14ac:dyDescent="0.2">
      <c r="A761" s="119"/>
      <c r="B761" s="119"/>
      <c r="C761" s="176"/>
      <c r="D761" s="119"/>
      <c r="E761" s="176"/>
      <c r="F761" s="176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</row>
    <row r="762" spans="1:22" x14ac:dyDescent="0.2">
      <c r="A762" s="119"/>
      <c r="B762" s="119"/>
      <c r="C762" s="176"/>
      <c r="D762" s="119"/>
      <c r="E762" s="176"/>
      <c r="F762" s="176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</row>
    <row r="763" spans="1:22" x14ac:dyDescent="0.2">
      <c r="A763" s="119"/>
      <c r="B763" s="119"/>
      <c r="C763" s="176"/>
      <c r="D763" s="119"/>
      <c r="E763" s="176"/>
      <c r="F763" s="176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</row>
    <row r="764" spans="1:22" x14ac:dyDescent="0.2">
      <c r="A764" s="119"/>
      <c r="B764" s="119"/>
      <c r="C764" s="176"/>
      <c r="D764" s="119"/>
      <c r="E764" s="176"/>
      <c r="F764" s="176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</row>
    <row r="765" spans="1:22" x14ac:dyDescent="0.2">
      <c r="A765" s="119"/>
      <c r="B765" s="119"/>
      <c r="C765" s="176"/>
      <c r="D765" s="119"/>
      <c r="E765" s="176"/>
      <c r="F765" s="176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</row>
    <row r="766" spans="1:22" x14ac:dyDescent="0.2">
      <c r="A766" s="119"/>
      <c r="B766" s="119"/>
      <c r="C766" s="176"/>
      <c r="D766" s="119"/>
      <c r="E766" s="176"/>
      <c r="F766" s="176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</row>
    <row r="767" spans="1:22" x14ac:dyDescent="0.2">
      <c r="A767" s="119"/>
      <c r="B767" s="119"/>
      <c r="C767" s="176"/>
      <c r="D767" s="119"/>
      <c r="E767" s="176"/>
      <c r="F767" s="176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</row>
    <row r="768" spans="1:22" x14ac:dyDescent="0.2">
      <c r="A768" s="119"/>
      <c r="B768" s="119"/>
      <c r="C768" s="176"/>
      <c r="D768" s="119"/>
      <c r="E768" s="176"/>
      <c r="F768" s="176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</row>
    <row r="769" spans="1:22" x14ac:dyDescent="0.2">
      <c r="A769" s="119"/>
      <c r="B769" s="119"/>
      <c r="C769" s="176"/>
      <c r="D769" s="119"/>
      <c r="E769" s="176"/>
      <c r="F769" s="176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</row>
    <row r="770" spans="1:22" x14ac:dyDescent="0.2">
      <c r="A770" s="119"/>
      <c r="B770" s="119"/>
      <c r="C770" s="176"/>
      <c r="D770" s="119"/>
      <c r="E770" s="176"/>
      <c r="F770" s="176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</row>
    <row r="771" spans="1:22" x14ac:dyDescent="0.2">
      <c r="A771" s="119"/>
      <c r="B771" s="119"/>
      <c r="C771" s="176"/>
      <c r="D771" s="119"/>
      <c r="E771" s="176"/>
      <c r="F771" s="176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</row>
    <row r="772" spans="1:22" x14ac:dyDescent="0.2">
      <c r="A772" s="119"/>
      <c r="B772" s="119"/>
      <c r="C772" s="176"/>
      <c r="D772" s="119"/>
      <c r="E772" s="176"/>
      <c r="F772" s="176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</row>
    <row r="773" spans="1:22" x14ac:dyDescent="0.2">
      <c r="A773" s="119"/>
      <c r="B773" s="119"/>
      <c r="C773" s="176"/>
      <c r="D773" s="119"/>
      <c r="E773" s="176"/>
      <c r="F773" s="176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</row>
    <row r="774" spans="1:22" x14ac:dyDescent="0.2">
      <c r="A774" s="119"/>
      <c r="B774" s="119"/>
      <c r="C774" s="176"/>
      <c r="D774" s="119"/>
      <c r="E774" s="176"/>
      <c r="F774" s="176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</row>
    <row r="775" spans="1:22" x14ac:dyDescent="0.2">
      <c r="A775" s="119"/>
      <c r="B775" s="119"/>
      <c r="C775" s="176"/>
      <c r="D775" s="119"/>
      <c r="E775" s="176"/>
      <c r="F775" s="176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</row>
    <row r="776" spans="1:22" x14ac:dyDescent="0.2">
      <c r="A776" s="119"/>
      <c r="B776" s="119"/>
      <c r="C776" s="176"/>
      <c r="D776" s="119"/>
      <c r="E776" s="176"/>
      <c r="F776" s="176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</row>
    <row r="777" spans="1:22" x14ac:dyDescent="0.2">
      <c r="A777" s="119"/>
      <c r="B777" s="119"/>
      <c r="C777" s="176"/>
      <c r="D777" s="119"/>
      <c r="E777" s="176"/>
      <c r="F777" s="176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</row>
    <row r="778" spans="1:22" x14ac:dyDescent="0.2">
      <c r="A778" s="119"/>
      <c r="B778" s="119"/>
      <c r="C778" s="176"/>
      <c r="D778" s="119"/>
      <c r="E778" s="176"/>
      <c r="F778" s="176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</row>
    <row r="779" spans="1:22" x14ac:dyDescent="0.2">
      <c r="A779" s="119"/>
      <c r="B779" s="119"/>
      <c r="C779" s="176"/>
      <c r="D779" s="119"/>
      <c r="E779" s="176"/>
      <c r="F779" s="176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</row>
    <row r="780" spans="1:22" x14ac:dyDescent="0.2">
      <c r="A780" s="119"/>
      <c r="B780" s="119"/>
      <c r="C780" s="176"/>
      <c r="D780" s="119"/>
      <c r="E780" s="176"/>
      <c r="F780" s="176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</row>
    <row r="781" spans="1:22" x14ac:dyDescent="0.2">
      <c r="A781" s="119"/>
      <c r="B781" s="119"/>
      <c r="C781" s="176"/>
      <c r="D781" s="119"/>
      <c r="E781" s="176"/>
      <c r="F781" s="176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</row>
    <row r="782" spans="1:22" x14ac:dyDescent="0.2">
      <c r="A782" s="119"/>
      <c r="B782" s="119"/>
      <c r="C782" s="176"/>
      <c r="D782" s="119"/>
      <c r="E782" s="176"/>
      <c r="F782" s="176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</row>
    <row r="783" spans="1:22" x14ac:dyDescent="0.2">
      <c r="A783" s="119"/>
      <c r="B783" s="119"/>
      <c r="C783" s="176"/>
      <c r="D783" s="119"/>
      <c r="E783" s="176"/>
      <c r="F783" s="176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</row>
    <row r="784" spans="1:22" x14ac:dyDescent="0.2">
      <c r="A784" s="119"/>
      <c r="B784" s="119"/>
      <c r="C784" s="176"/>
      <c r="D784" s="119"/>
      <c r="E784" s="176"/>
      <c r="F784" s="176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</row>
    <row r="785" spans="1:22" x14ac:dyDescent="0.2">
      <c r="A785" s="119"/>
      <c r="B785" s="119"/>
      <c r="C785" s="176"/>
      <c r="D785" s="119"/>
      <c r="E785" s="176"/>
      <c r="F785" s="176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</row>
    <row r="786" spans="1:22" x14ac:dyDescent="0.2">
      <c r="A786" s="119"/>
      <c r="B786" s="119"/>
      <c r="C786" s="176"/>
      <c r="D786" s="119"/>
      <c r="E786" s="176"/>
      <c r="F786" s="176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</row>
    <row r="787" spans="1:22" x14ac:dyDescent="0.2">
      <c r="A787" s="119"/>
      <c r="B787" s="119"/>
      <c r="C787" s="176"/>
      <c r="D787" s="119"/>
      <c r="E787" s="176"/>
      <c r="F787" s="176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</row>
    <row r="788" spans="1:22" x14ac:dyDescent="0.2">
      <c r="A788" s="119"/>
      <c r="B788" s="119"/>
      <c r="C788" s="176"/>
      <c r="D788" s="119"/>
      <c r="E788" s="176"/>
      <c r="F788" s="176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</row>
    <row r="789" spans="1:22" x14ac:dyDescent="0.2">
      <c r="A789" s="119"/>
      <c r="B789" s="119"/>
      <c r="C789" s="176"/>
      <c r="D789" s="119"/>
      <c r="E789" s="176"/>
      <c r="F789" s="176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</row>
    <row r="790" spans="1:22" x14ac:dyDescent="0.2">
      <c r="A790" s="119"/>
      <c r="B790" s="119"/>
      <c r="C790" s="176"/>
      <c r="D790" s="119"/>
      <c r="E790" s="176"/>
      <c r="F790" s="176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</row>
    <row r="791" spans="1:22" x14ac:dyDescent="0.2">
      <c r="A791" s="119"/>
      <c r="B791" s="119"/>
      <c r="C791" s="176"/>
      <c r="D791" s="119"/>
      <c r="E791" s="176"/>
      <c r="F791" s="176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</row>
    <row r="792" spans="1:22" x14ac:dyDescent="0.2">
      <c r="A792" s="119"/>
      <c r="B792" s="119"/>
      <c r="C792" s="176"/>
      <c r="D792" s="119"/>
      <c r="E792" s="176"/>
      <c r="F792" s="176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</row>
    <row r="793" spans="1:22" x14ac:dyDescent="0.2">
      <c r="A793" s="119"/>
      <c r="B793" s="119"/>
      <c r="C793" s="176"/>
      <c r="D793" s="119"/>
      <c r="E793" s="176"/>
      <c r="F793" s="176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</row>
    <row r="794" spans="1:22" x14ac:dyDescent="0.2">
      <c r="A794" s="119"/>
      <c r="B794" s="119"/>
      <c r="C794" s="176"/>
      <c r="D794" s="119"/>
      <c r="E794" s="176"/>
      <c r="F794" s="176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</row>
    <row r="795" spans="1:22" x14ac:dyDescent="0.2">
      <c r="A795" s="119"/>
      <c r="B795" s="119"/>
      <c r="C795" s="176"/>
      <c r="D795" s="119"/>
      <c r="E795" s="176"/>
      <c r="F795" s="176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</row>
    <row r="796" spans="1:22" x14ac:dyDescent="0.2">
      <c r="A796" s="119"/>
      <c r="B796" s="119"/>
      <c r="C796" s="176"/>
      <c r="D796" s="119"/>
      <c r="E796" s="176"/>
      <c r="F796" s="176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</row>
    <row r="797" spans="1:22" x14ac:dyDescent="0.2">
      <c r="A797" s="119"/>
      <c r="B797" s="119"/>
      <c r="C797" s="176"/>
      <c r="D797" s="119"/>
      <c r="E797" s="176"/>
      <c r="F797" s="176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</row>
    <row r="798" spans="1:22" x14ac:dyDescent="0.2">
      <c r="A798" s="119"/>
      <c r="B798" s="119"/>
      <c r="C798" s="176"/>
      <c r="D798" s="119"/>
      <c r="E798" s="176"/>
      <c r="F798" s="176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</row>
    <row r="799" spans="1:22" x14ac:dyDescent="0.2">
      <c r="A799" s="119"/>
      <c r="B799" s="119"/>
      <c r="C799" s="176"/>
      <c r="D799" s="119"/>
      <c r="E799" s="176"/>
      <c r="F799" s="176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</row>
    <row r="800" spans="1:22" x14ac:dyDescent="0.2">
      <c r="A800" s="119"/>
      <c r="B800" s="119"/>
      <c r="C800" s="176"/>
      <c r="D800" s="119"/>
      <c r="E800" s="176"/>
      <c r="F800" s="176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</row>
    <row r="801" spans="1:22" x14ac:dyDescent="0.2">
      <c r="A801" s="119"/>
      <c r="B801" s="119"/>
      <c r="C801" s="176"/>
      <c r="D801" s="119"/>
      <c r="E801" s="176"/>
      <c r="F801" s="176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</row>
    <row r="802" spans="1:22" x14ac:dyDescent="0.2">
      <c r="A802" s="119"/>
      <c r="B802" s="119"/>
      <c r="C802" s="176"/>
      <c r="D802" s="119"/>
      <c r="E802" s="176"/>
      <c r="F802" s="176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</row>
    <row r="803" spans="1:22" x14ac:dyDescent="0.2">
      <c r="A803" s="119"/>
      <c r="B803" s="119"/>
      <c r="C803" s="176"/>
      <c r="D803" s="119"/>
      <c r="E803" s="176"/>
      <c r="F803" s="176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</row>
    <row r="804" spans="1:22" x14ac:dyDescent="0.2">
      <c r="A804" s="119"/>
      <c r="B804" s="119"/>
      <c r="C804" s="176"/>
      <c r="D804" s="119"/>
      <c r="E804" s="176"/>
      <c r="F804" s="176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</row>
    <row r="805" spans="1:22" x14ac:dyDescent="0.2">
      <c r="A805" s="119"/>
      <c r="B805" s="119"/>
      <c r="C805" s="176"/>
      <c r="D805" s="119"/>
      <c r="E805" s="176"/>
      <c r="F805" s="176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</row>
    <row r="806" spans="1:22" x14ac:dyDescent="0.2">
      <c r="A806" s="119"/>
      <c r="B806" s="119"/>
      <c r="C806" s="176"/>
      <c r="D806" s="119"/>
      <c r="E806" s="176"/>
      <c r="F806" s="176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</row>
    <row r="807" spans="1:22" x14ac:dyDescent="0.2">
      <c r="A807" s="119"/>
      <c r="B807" s="119"/>
      <c r="C807" s="176"/>
      <c r="D807" s="119"/>
      <c r="E807" s="176"/>
      <c r="F807" s="176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</row>
    <row r="808" spans="1:22" x14ac:dyDescent="0.2">
      <c r="A808" s="119"/>
      <c r="B808" s="119"/>
      <c r="C808" s="176"/>
      <c r="D808" s="119"/>
      <c r="E808" s="176"/>
      <c r="F808" s="176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</row>
    <row r="809" spans="1:22" x14ac:dyDescent="0.2">
      <c r="A809" s="119"/>
      <c r="B809" s="119"/>
      <c r="C809" s="176"/>
      <c r="D809" s="119"/>
      <c r="E809" s="176"/>
      <c r="F809" s="176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</row>
    <row r="810" spans="1:22" x14ac:dyDescent="0.2">
      <c r="A810" s="119"/>
      <c r="B810" s="119"/>
      <c r="C810" s="176"/>
      <c r="D810" s="119"/>
      <c r="E810" s="176"/>
      <c r="F810" s="176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</row>
    <row r="811" spans="1:22" x14ac:dyDescent="0.2">
      <c r="A811" s="119"/>
      <c r="B811" s="119"/>
      <c r="C811" s="176"/>
      <c r="D811" s="119"/>
      <c r="E811" s="176"/>
      <c r="F811" s="176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</row>
    <row r="812" spans="1:22" x14ac:dyDescent="0.2">
      <c r="A812" s="119"/>
      <c r="B812" s="119"/>
      <c r="C812" s="176"/>
      <c r="D812" s="119"/>
      <c r="E812" s="176"/>
      <c r="F812" s="176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</row>
    <row r="813" spans="1:22" x14ac:dyDescent="0.2">
      <c r="A813" s="119"/>
      <c r="B813" s="119"/>
      <c r="C813" s="176"/>
      <c r="D813" s="119"/>
      <c r="E813" s="176"/>
      <c r="F813" s="176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</row>
    <row r="814" spans="1:22" x14ac:dyDescent="0.2">
      <c r="A814" s="119"/>
      <c r="B814" s="119"/>
      <c r="C814" s="176"/>
      <c r="D814" s="119"/>
      <c r="E814" s="176"/>
      <c r="F814" s="176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</row>
    <row r="815" spans="1:22" x14ac:dyDescent="0.2">
      <c r="A815" s="119"/>
      <c r="B815" s="119"/>
      <c r="C815" s="176"/>
      <c r="D815" s="119"/>
      <c r="E815" s="176"/>
      <c r="F815" s="176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</row>
    <row r="816" spans="1:22" x14ac:dyDescent="0.2">
      <c r="A816" s="119"/>
      <c r="B816" s="119"/>
      <c r="C816" s="176"/>
      <c r="D816" s="119"/>
      <c r="E816" s="176"/>
      <c r="F816" s="176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</row>
    <row r="817" spans="1:22" x14ac:dyDescent="0.2">
      <c r="A817" s="119"/>
      <c r="B817" s="119"/>
      <c r="C817" s="176"/>
      <c r="D817" s="119"/>
      <c r="E817" s="176"/>
      <c r="F817" s="176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</row>
    <row r="818" spans="1:22" x14ac:dyDescent="0.2">
      <c r="A818" s="119"/>
      <c r="B818" s="119"/>
      <c r="C818" s="176"/>
      <c r="D818" s="119"/>
      <c r="E818" s="176"/>
      <c r="F818" s="176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</row>
    <row r="819" spans="1:22" x14ac:dyDescent="0.2">
      <c r="A819" s="119"/>
      <c r="B819" s="119"/>
      <c r="C819" s="176"/>
      <c r="D819" s="119"/>
      <c r="E819" s="176"/>
      <c r="F819" s="176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</row>
    <row r="820" spans="1:22" x14ac:dyDescent="0.2">
      <c r="A820" s="119"/>
      <c r="B820" s="119"/>
      <c r="C820" s="176"/>
      <c r="D820" s="119"/>
      <c r="E820" s="176"/>
      <c r="F820" s="176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</row>
    <row r="821" spans="1:22" x14ac:dyDescent="0.2">
      <c r="A821" s="119"/>
      <c r="B821" s="119"/>
      <c r="C821" s="176"/>
      <c r="D821" s="119"/>
      <c r="E821" s="176"/>
      <c r="F821" s="176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</row>
    <row r="822" spans="1:22" x14ac:dyDescent="0.2">
      <c r="A822" s="119"/>
      <c r="B822" s="119"/>
      <c r="C822" s="176"/>
      <c r="D822" s="119"/>
      <c r="E822" s="176"/>
      <c r="F822" s="176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</row>
    <row r="823" spans="1:22" x14ac:dyDescent="0.2">
      <c r="A823" s="119"/>
      <c r="B823" s="119"/>
      <c r="C823" s="176"/>
      <c r="D823" s="119"/>
      <c r="E823" s="176"/>
      <c r="F823" s="176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</row>
    <row r="824" spans="1:22" x14ac:dyDescent="0.2">
      <c r="A824" s="119"/>
      <c r="B824" s="119"/>
      <c r="C824" s="176"/>
      <c r="D824" s="119"/>
      <c r="E824" s="176"/>
      <c r="F824" s="176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</row>
    <row r="825" spans="1:22" x14ac:dyDescent="0.2">
      <c r="A825" s="119"/>
      <c r="B825" s="119"/>
      <c r="C825" s="176"/>
      <c r="D825" s="119"/>
      <c r="E825" s="176"/>
      <c r="F825" s="176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</row>
    <row r="826" spans="1:22" x14ac:dyDescent="0.2">
      <c r="A826" s="119"/>
      <c r="B826" s="119"/>
      <c r="C826" s="176"/>
      <c r="D826" s="119"/>
      <c r="E826" s="176"/>
      <c r="F826" s="176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</row>
    <row r="827" spans="1:22" x14ac:dyDescent="0.2">
      <c r="A827" s="119"/>
      <c r="B827" s="119"/>
      <c r="C827" s="176"/>
      <c r="D827" s="119"/>
      <c r="E827" s="176"/>
      <c r="F827" s="176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</row>
    <row r="828" spans="1:22" x14ac:dyDescent="0.2">
      <c r="A828" s="119"/>
      <c r="B828" s="119"/>
      <c r="C828" s="176"/>
      <c r="D828" s="119"/>
      <c r="E828" s="176"/>
      <c r="F828" s="176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</row>
    <row r="829" spans="1:22" x14ac:dyDescent="0.2">
      <c r="A829" s="119"/>
      <c r="B829" s="119"/>
      <c r="C829" s="176"/>
      <c r="D829" s="119"/>
      <c r="E829" s="176"/>
      <c r="F829" s="176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</row>
    <row r="830" spans="1:22" x14ac:dyDescent="0.2">
      <c r="A830" s="119"/>
      <c r="B830" s="119"/>
      <c r="C830" s="176"/>
      <c r="D830" s="119"/>
      <c r="E830" s="176"/>
      <c r="F830" s="176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</row>
    <row r="831" spans="1:22" x14ac:dyDescent="0.2">
      <c r="A831" s="119"/>
      <c r="B831" s="119"/>
      <c r="C831" s="176"/>
      <c r="D831" s="119"/>
      <c r="E831" s="176"/>
      <c r="F831" s="176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</row>
    <row r="832" spans="1:22" x14ac:dyDescent="0.2">
      <c r="A832" s="119"/>
      <c r="B832" s="119"/>
      <c r="C832" s="176"/>
      <c r="D832" s="119"/>
      <c r="E832" s="176"/>
      <c r="F832" s="176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</row>
    <row r="833" spans="1:22" x14ac:dyDescent="0.2">
      <c r="A833" s="119"/>
      <c r="B833" s="119"/>
      <c r="C833" s="176"/>
      <c r="D833" s="119"/>
      <c r="E833" s="176"/>
      <c r="F833" s="176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</row>
    <row r="834" spans="1:22" x14ac:dyDescent="0.2">
      <c r="A834" s="119"/>
      <c r="B834" s="119"/>
      <c r="C834" s="176"/>
      <c r="D834" s="119"/>
      <c r="E834" s="176"/>
      <c r="F834" s="176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</row>
    <row r="835" spans="1:22" x14ac:dyDescent="0.2">
      <c r="A835" s="119"/>
      <c r="B835" s="119"/>
      <c r="C835" s="176"/>
      <c r="D835" s="119"/>
      <c r="E835" s="176"/>
      <c r="F835" s="176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</row>
    <row r="836" spans="1:22" x14ac:dyDescent="0.2">
      <c r="A836" s="119"/>
      <c r="B836" s="119"/>
      <c r="C836" s="176"/>
      <c r="D836" s="119"/>
      <c r="E836" s="176"/>
      <c r="F836" s="176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</row>
    <row r="837" spans="1:22" x14ac:dyDescent="0.2">
      <c r="A837" s="119"/>
      <c r="B837" s="119"/>
      <c r="C837" s="176"/>
      <c r="D837" s="119"/>
      <c r="E837" s="176"/>
      <c r="F837" s="176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</row>
    <row r="838" spans="1:22" x14ac:dyDescent="0.2">
      <c r="A838" s="119"/>
      <c r="B838" s="119"/>
      <c r="C838" s="176"/>
      <c r="D838" s="119"/>
      <c r="E838" s="176"/>
      <c r="F838" s="176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</row>
    <row r="839" spans="1:22" x14ac:dyDescent="0.2">
      <c r="A839" s="119"/>
      <c r="B839" s="119"/>
      <c r="C839" s="176"/>
      <c r="D839" s="119"/>
      <c r="E839" s="176"/>
      <c r="F839" s="176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</row>
    <row r="840" spans="1:22" x14ac:dyDescent="0.2">
      <c r="A840" s="119"/>
      <c r="B840" s="119"/>
      <c r="C840" s="176"/>
      <c r="D840" s="119"/>
      <c r="E840" s="176"/>
      <c r="F840" s="176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</row>
    <row r="841" spans="1:22" x14ac:dyDescent="0.2">
      <c r="A841" s="119"/>
      <c r="B841" s="119"/>
      <c r="C841" s="176"/>
      <c r="D841" s="119"/>
      <c r="E841" s="176"/>
      <c r="F841" s="176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</row>
    <row r="842" spans="1:22" x14ac:dyDescent="0.2">
      <c r="A842" s="119"/>
      <c r="B842" s="119"/>
      <c r="C842" s="176"/>
      <c r="D842" s="119"/>
      <c r="E842" s="176"/>
      <c r="F842" s="176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</row>
    <row r="843" spans="1:22" x14ac:dyDescent="0.2">
      <c r="A843" s="119"/>
      <c r="B843" s="119"/>
      <c r="C843" s="176"/>
      <c r="D843" s="119"/>
      <c r="E843" s="176"/>
      <c r="F843" s="176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</row>
    <row r="844" spans="1:22" x14ac:dyDescent="0.2">
      <c r="A844" s="119"/>
      <c r="B844" s="119"/>
      <c r="C844" s="176"/>
      <c r="D844" s="119"/>
      <c r="E844" s="176"/>
      <c r="F844" s="176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</row>
    <row r="845" spans="1:22" x14ac:dyDescent="0.2">
      <c r="A845" s="119"/>
      <c r="B845" s="119"/>
      <c r="C845" s="176"/>
      <c r="D845" s="119"/>
      <c r="E845" s="176"/>
      <c r="F845" s="176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</row>
    <row r="846" spans="1:22" x14ac:dyDescent="0.2">
      <c r="A846" s="119"/>
      <c r="B846" s="119"/>
      <c r="C846" s="176"/>
      <c r="D846" s="119"/>
      <c r="E846" s="176"/>
      <c r="F846" s="176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</row>
    <row r="847" spans="1:22" x14ac:dyDescent="0.2">
      <c r="A847" s="119"/>
      <c r="B847" s="119"/>
      <c r="C847" s="176"/>
      <c r="D847" s="119"/>
      <c r="E847" s="176"/>
      <c r="F847" s="176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</row>
    <row r="848" spans="1:22" x14ac:dyDescent="0.2">
      <c r="A848" s="119"/>
      <c r="B848" s="119"/>
      <c r="C848" s="176"/>
      <c r="D848" s="119"/>
      <c r="E848" s="176"/>
      <c r="F848" s="176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</row>
    <row r="849" spans="1:22" x14ac:dyDescent="0.2">
      <c r="A849" s="119"/>
      <c r="B849" s="119"/>
      <c r="C849" s="176"/>
      <c r="D849" s="119"/>
      <c r="E849" s="176"/>
      <c r="F849" s="176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</row>
    <row r="850" spans="1:22" x14ac:dyDescent="0.2">
      <c r="A850" s="119"/>
      <c r="B850" s="119"/>
      <c r="C850" s="176"/>
      <c r="D850" s="119"/>
      <c r="E850" s="176"/>
      <c r="F850" s="176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</row>
    <row r="851" spans="1:22" x14ac:dyDescent="0.2">
      <c r="A851" s="119"/>
      <c r="B851" s="119"/>
      <c r="C851" s="176"/>
      <c r="D851" s="119"/>
      <c r="E851" s="176"/>
      <c r="F851" s="176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</row>
    <row r="852" spans="1:22" x14ac:dyDescent="0.2">
      <c r="A852" s="119"/>
      <c r="B852" s="119"/>
      <c r="C852" s="176"/>
      <c r="D852" s="119"/>
      <c r="E852" s="176"/>
      <c r="F852" s="176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</row>
    <row r="853" spans="1:22" x14ac:dyDescent="0.2">
      <c r="A853" s="119"/>
      <c r="B853" s="119"/>
      <c r="C853" s="176"/>
      <c r="D853" s="119"/>
      <c r="E853" s="176"/>
      <c r="F853" s="176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</row>
    <row r="854" spans="1:22" x14ac:dyDescent="0.2">
      <c r="A854" s="119"/>
      <c r="B854" s="119"/>
      <c r="C854" s="176"/>
      <c r="D854" s="119"/>
      <c r="E854" s="176"/>
      <c r="F854" s="176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</row>
    <row r="855" spans="1:22" x14ac:dyDescent="0.2">
      <c r="A855" s="119"/>
      <c r="B855" s="119"/>
      <c r="C855" s="176"/>
      <c r="D855" s="119"/>
      <c r="E855" s="176"/>
      <c r="F855" s="176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</row>
    <row r="856" spans="1:22" x14ac:dyDescent="0.2">
      <c r="A856" s="119"/>
      <c r="B856" s="119"/>
      <c r="C856" s="176"/>
      <c r="D856" s="119"/>
      <c r="E856" s="176"/>
      <c r="F856" s="176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</row>
    <row r="857" spans="1:22" x14ac:dyDescent="0.2">
      <c r="A857" s="119"/>
      <c r="B857" s="119"/>
      <c r="C857" s="176"/>
      <c r="D857" s="119"/>
      <c r="E857" s="176"/>
      <c r="F857" s="176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</row>
    <row r="858" spans="1:22" x14ac:dyDescent="0.2">
      <c r="A858" s="119"/>
      <c r="B858" s="119"/>
      <c r="C858" s="176"/>
      <c r="D858" s="119"/>
      <c r="E858" s="176"/>
      <c r="F858" s="176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</row>
    <row r="859" spans="1:22" x14ac:dyDescent="0.2">
      <c r="A859" s="119"/>
      <c r="B859" s="119"/>
      <c r="C859" s="176"/>
      <c r="D859" s="119"/>
      <c r="E859" s="176"/>
      <c r="F859" s="176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</row>
    <row r="860" spans="1:22" x14ac:dyDescent="0.2">
      <c r="A860" s="119"/>
      <c r="B860" s="119"/>
      <c r="C860" s="176"/>
      <c r="D860" s="119"/>
      <c r="E860" s="176"/>
      <c r="F860" s="176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</row>
    <row r="861" spans="1:22" x14ac:dyDescent="0.2">
      <c r="A861" s="119"/>
      <c r="B861" s="119"/>
      <c r="C861" s="176"/>
      <c r="D861" s="119"/>
      <c r="E861" s="176"/>
      <c r="F861" s="176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</row>
    <row r="862" spans="1:22" x14ac:dyDescent="0.2">
      <c r="A862" s="119"/>
      <c r="B862" s="119"/>
      <c r="C862" s="176"/>
      <c r="D862" s="119"/>
      <c r="E862" s="176"/>
      <c r="F862" s="176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</row>
    <row r="863" spans="1:22" x14ac:dyDescent="0.2">
      <c r="A863" s="119"/>
      <c r="B863" s="119"/>
      <c r="C863" s="176"/>
      <c r="D863" s="119"/>
      <c r="E863" s="176"/>
      <c r="F863" s="176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</row>
    <row r="864" spans="1:22" x14ac:dyDescent="0.2">
      <c r="A864" s="119"/>
      <c r="B864" s="119"/>
      <c r="C864" s="176"/>
      <c r="D864" s="119"/>
      <c r="E864" s="176"/>
      <c r="F864" s="176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</row>
    <row r="865" spans="1:22" x14ac:dyDescent="0.2">
      <c r="A865" s="119"/>
      <c r="B865" s="119"/>
      <c r="C865" s="176"/>
      <c r="D865" s="119"/>
      <c r="E865" s="176"/>
      <c r="F865" s="176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</row>
    <row r="866" spans="1:22" x14ac:dyDescent="0.2">
      <c r="A866" s="119"/>
      <c r="B866" s="119"/>
      <c r="C866" s="176"/>
      <c r="D866" s="119"/>
      <c r="E866" s="176"/>
      <c r="F866" s="176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</row>
    <row r="867" spans="1:22" x14ac:dyDescent="0.2">
      <c r="A867" s="119"/>
      <c r="B867" s="119"/>
      <c r="C867" s="176"/>
      <c r="D867" s="119"/>
      <c r="E867" s="176"/>
      <c r="F867" s="176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</row>
    <row r="868" spans="1:22" x14ac:dyDescent="0.2">
      <c r="A868" s="119"/>
      <c r="B868" s="119"/>
      <c r="C868" s="176"/>
      <c r="D868" s="119"/>
      <c r="E868" s="176"/>
      <c r="F868" s="176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</row>
    <row r="869" spans="1:22" x14ac:dyDescent="0.2">
      <c r="A869" s="119"/>
      <c r="B869" s="119"/>
      <c r="C869" s="176"/>
      <c r="D869" s="119"/>
      <c r="E869" s="176"/>
      <c r="F869" s="176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</row>
    <row r="870" spans="1:22" x14ac:dyDescent="0.2">
      <c r="A870" s="119"/>
      <c r="B870" s="119"/>
      <c r="C870" s="176"/>
      <c r="D870" s="119"/>
      <c r="E870" s="176"/>
      <c r="F870" s="176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</row>
    <row r="871" spans="1:22" x14ac:dyDescent="0.2">
      <c r="A871" s="119"/>
      <c r="B871" s="119"/>
      <c r="C871" s="176"/>
      <c r="D871" s="119"/>
      <c r="E871" s="176"/>
      <c r="F871" s="176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</row>
    <row r="872" spans="1:22" x14ac:dyDescent="0.2">
      <c r="A872" s="119"/>
      <c r="B872" s="119"/>
      <c r="C872" s="176"/>
      <c r="D872" s="119"/>
      <c r="E872" s="176"/>
      <c r="F872" s="176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</row>
    <row r="873" spans="1:22" x14ac:dyDescent="0.2">
      <c r="A873" s="119"/>
      <c r="B873" s="119"/>
      <c r="C873" s="176"/>
      <c r="D873" s="119"/>
      <c r="E873" s="176"/>
      <c r="F873" s="176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</row>
    <row r="874" spans="1:22" x14ac:dyDescent="0.2">
      <c r="A874" s="119"/>
      <c r="B874" s="119"/>
      <c r="C874" s="176"/>
      <c r="D874" s="119"/>
      <c r="E874" s="176"/>
      <c r="F874" s="176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</row>
    <row r="875" spans="1:22" x14ac:dyDescent="0.2">
      <c r="A875" s="119"/>
      <c r="B875" s="119"/>
      <c r="C875" s="176"/>
      <c r="D875" s="119"/>
      <c r="E875" s="176"/>
      <c r="F875" s="176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</row>
    <row r="876" spans="1:22" x14ac:dyDescent="0.2">
      <c r="A876" s="119"/>
      <c r="B876" s="119"/>
      <c r="C876" s="176"/>
      <c r="D876" s="119"/>
      <c r="E876" s="176"/>
      <c r="F876" s="176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</row>
    <row r="877" spans="1:22" x14ac:dyDescent="0.2">
      <c r="A877" s="119"/>
      <c r="B877" s="119"/>
      <c r="C877" s="176"/>
      <c r="D877" s="119"/>
      <c r="E877" s="176"/>
      <c r="F877" s="176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</row>
    <row r="878" spans="1:22" x14ac:dyDescent="0.2">
      <c r="A878" s="119"/>
      <c r="B878" s="119"/>
      <c r="C878" s="176"/>
      <c r="D878" s="119"/>
      <c r="E878" s="176"/>
      <c r="F878" s="176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</row>
    <row r="879" spans="1:22" x14ac:dyDescent="0.2">
      <c r="A879" s="119"/>
      <c r="B879" s="119"/>
      <c r="C879" s="176"/>
      <c r="D879" s="119"/>
      <c r="E879" s="176"/>
      <c r="F879" s="176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</row>
    <row r="880" spans="1:22" x14ac:dyDescent="0.2">
      <c r="A880" s="119"/>
      <c r="B880" s="119"/>
      <c r="C880" s="176"/>
      <c r="D880" s="119"/>
      <c r="E880" s="176"/>
      <c r="F880" s="176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</row>
    <row r="881" spans="1:22" x14ac:dyDescent="0.2">
      <c r="A881" s="119"/>
      <c r="B881" s="119"/>
      <c r="C881" s="176"/>
      <c r="D881" s="119"/>
      <c r="E881" s="176"/>
      <c r="F881" s="176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</row>
    <row r="882" spans="1:22" x14ac:dyDescent="0.2">
      <c r="A882" s="119"/>
      <c r="B882" s="119"/>
      <c r="C882" s="176"/>
      <c r="D882" s="119"/>
      <c r="E882" s="176"/>
      <c r="F882" s="176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</row>
    <row r="883" spans="1:22" x14ac:dyDescent="0.2">
      <c r="A883" s="119"/>
      <c r="B883" s="119"/>
      <c r="C883" s="176"/>
      <c r="D883" s="119"/>
      <c r="E883" s="176"/>
      <c r="F883" s="176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</row>
    <row r="884" spans="1:22" x14ac:dyDescent="0.2">
      <c r="A884" s="119"/>
      <c r="B884" s="119"/>
      <c r="C884" s="176"/>
      <c r="D884" s="119"/>
      <c r="E884" s="176"/>
      <c r="F884" s="176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</row>
    <row r="885" spans="1:22" x14ac:dyDescent="0.2">
      <c r="A885" s="119"/>
      <c r="B885" s="119"/>
      <c r="C885" s="176"/>
      <c r="D885" s="119"/>
      <c r="E885" s="176"/>
      <c r="F885" s="176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</row>
    <row r="886" spans="1:22" x14ac:dyDescent="0.2">
      <c r="A886" s="119"/>
      <c r="B886" s="119"/>
      <c r="C886" s="176"/>
      <c r="D886" s="119"/>
      <c r="E886" s="176"/>
      <c r="F886" s="176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</row>
    <row r="887" spans="1:22" x14ac:dyDescent="0.2">
      <c r="A887" s="119"/>
      <c r="B887" s="119"/>
      <c r="C887" s="176"/>
      <c r="D887" s="119"/>
      <c r="E887" s="176"/>
      <c r="F887" s="176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</row>
    <row r="888" spans="1:22" x14ac:dyDescent="0.2">
      <c r="A888" s="119"/>
      <c r="B888" s="119"/>
      <c r="C888" s="176"/>
      <c r="D888" s="119"/>
      <c r="E888" s="176"/>
      <c r="F888" s="176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</row>
    <row r="889" spans="1:22" x14ac:dyDescent="0.2">
      <c r="A889" s="119"/>
      <c r="B889" s="119"/>
      <c r="C889" s="176"/>
      <c r="D889" s="119"/>
      <c r="E889" s="176"/>
      <c r="F889" s="176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</row>
    <row r="890" spans="1:22" x14ac:dyDescent="0.2">
      <c r="A890" s="119"/>
      <c r="B890" s="119"/>
      <c r="C890" s="176"/>
      <c r="D890" s="119"/>
      <c r="E890" s="176"/>
      <c r="F890" s="176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</row>
    <row r="891" spans="1:22" x14ac:dyDescent="0.2">
      <c r="A891" s="119"/>
      <c r="B891" s="119"/>
      <c r="C891" s="176"/>
      <c r="D891" s="119"/>
      <c r="E891" s="176"/>
      <c r="F891" s="176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</row>
    <row r="892" spans="1:22" x14ac:dyDescent="0.2">
      <c r="A892" s="119"/>
      <c r="B892" s="119"/>
      <c r="C892" s="176"/>
      <c r="D892" s="119"/>
      <c r="E892" s="176"/>
      <c r="F892" s="176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</row>
    <row r="893" spans="1:22" x14ac:dyDescent="0.2">
      <c r="A893" s="119"/>
      <c r="B893" s="119"/>
      <c r="C893" s="176"/>
      <c r="D893" s="119"/>
      <c r="E893" s="176"/>
      <c r="F893" s="176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</row>
    <row r="894" spans="1:22" x14ac:dyDescent="0.2">
      <c r="A894" s="119"/>
      <c r="B894" s="119"/>
      <c r="C894" s="176"/>
      <c r="D894" s="119"/>
      <c r="E894" s="176"/>
      <c r="F894" s="176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</row>
    <row r="895" spans="1:22" x14ac:dyDescent="0.2">
      <c r="A895" s="119"/>
      <c r="B895" s="119"/>
      <c r="C895" s="176"/>
      <c r="D895" s="119"/>
      <c r="E895" s="176"/>
      <c r="F895" s="176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</row>
    <row r="896" spans="1:22" x14ac:dyDescent="0.2">
      <c r="A896" s="119"/>
      <c r="B896" s="119"/>
      <c r="C896" s="176"/>
      <c r="D896" s="119"/>
      <c r="E896" s="176"/>
      <c r="F896" s="176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</row>
    <row r="897" spans="1:22" x14ac:dyDescent="0.2">
      <c r="A897" s="119"/>
      <c r="B897" s="119"/>
      <c r="C897" s="176"/>
      <c r="D897" s="119"/>
      <c r="E897" s="176"/>
      <c r="F897" s="176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</row>
    <row r="898" spans="1:22" x14ac:dyDescent="0.2">
      <c r="A898" s="119"/>
      <c r="B898" s="119"/>
      <c r="C898" s="176"/>
      <c r="D898" s="119"/>
      <c r="E898" s="176"/>
      <c r="F898" s="176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</row>
    <row r="899" spans="1:22" x14ac:dyDescent="0.2">
      <c r="A899" s="119"/>
      <c r="B899" s="119"/>
      <c r="C899" s="176"/>
      <c r="D899" s="119"/>
      <c r="E899" s="176"/>
      <c r="F899" s="176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</row>
    <row r="900" spans="1:22" x14ac:dyDescent="0.2">
      <c r="A900" s="119"/>
      <c r="B900" s="119"/>
      <c r="C900" s="176"/>
      <c r="D900" s="119"/>
      <c r="E900" s="176"/>
      <c r="F900" s="176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</row>
    <row r="901" spans="1:22" x14ac:dyDescent="0.2">
      <c r="A901" s="119"/>
      <c r="B901" s="119"/>
      <c r="C901" s="176"/>
      <c r="D901" s="119"/>
      <c r="E901" s="176"/>
      <c r="F901" s="176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</row>
    <row r="902" spans="1:22" x14ac:dyDescent="0.2">
      <c r="A902" s="119"/>
      <c r="B902" s="119"/>
      <c r="C902" s="176"/>
      <c r="D902" s="119"/>
      <c r="E902" s="176"/>
      <c r="F902" s="176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</row>
    <row r="903" spans="1:22" x14ac:dyDescent="0.2">
      <c r="A903" s="119"/>
      <c r="B903" s="119"/>
      <c r="C903" s="176"/>
      <c r="D903" s="119"/>
      <c r="E903" s="176"/>
      <c r="F903" s="176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</row>
    <row r="904" spans="1:22" x14ac:dyDescent="0.2">
      <c r="A904" s="119"/>
      <c r="B904" s="119"/>
      <c r="C904" s="176"/>
      <c r="D904" s="119"/>
      <c r="E904" s="176"/>
      <c r="F904" s="176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</row>
    <row r="905" spans="1:22" x14ac:dyDescent="0.2">
      <c r="A905" s="119"/>
      <c r="B905" s="119"/>
      <c r="C905" s="176"/>
      <c r="D905" s="119"/>
      <c r="E905" s="176"/>
      <c r="F905" s="176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</row>
    <row r="906" spans="1:22" x14ac:dyDescent="0.2">
      <c r="A906" s="119"/>
      <c r="B906" s="119"/>
      <c r="C906" s="176"/>
      <c r="D906" s="119"/>
      <c r="E906" s="176"/>
      <c r="F906" s="176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</row>
    <row r="907" spans="1:22" x14ac:dyDescent="0.2">
      <c r="A907" s="119"/>
      <c r="B907" s="119"/>
      <c r="C907" s="176"/>
      <c r="D907" s="119"/>
      <c r="E907" s="176"/>
      <c r="F907" s="176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</row>
    <row r="908" spans="1:22" x14ac:dyDescent="0.2">
      <c r="A908" s="119"/>
      <c r="B908" s="119"/>
      <c r="C908" s="176"/>
      <c r="D908" s="119"/>
      <c r="E908" s="176"/>
      <c r="F908" s="176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</row>
    <row r="909" spans="1:22" x14ac:dyDescent="0.2">
      <c r="A909" s="119"/>
      <c r="B909" s="119"/>
      <c r="C909" s="176"/>
      <c r="D909" s="119"/>
      <c r="E909" s="176"/>
      <c r="F909" s="176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</row>
    <row r="910" spans="1:22" x14ac:dyDescent="0.2">
      <c r="A910" s="119"/>
      <c r="B910" s="119"/>
      <c r="C910" s="176"/>
      <c r="D910" s="119"/>
      <c r="E910" s="176"/>
      <c r="F910" s="176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</row>
    <row r="911" spans="1:22" x14ac:dyDescent="0.2">
      <c r="A911" s="119"/>
      <c r="B911" s="119"/>
      <c r="C911" s="176"/>
      <c r="D911" s="119"/>
      <c r="E911" s="176"/>
      <c r="F911" s="176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</row>
    <row r="912" spans="1:22" x14ac:dyDescent="0.2">
      <c r="A912" s="119"/>
      <c r="B912" s="119"/>
      <c r="C912" s="176"/>
      <c r="D912" s="119"/>
      <c r="E912" s="176"/>
      <c r="F912" s="176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</row>
    <row r="913" spans="1:22" x14ac:dyDescent="0.2">
      <c r="A913" s="119"/>
      <c r="B913" s="119"/>
      <c r="C913" s="176"/>
      <c r="D913" s="119"/>
      <c r="E913" s="176"/>
      <c r="F913" s="176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</row>
    <row r="914" spans="1:22" x14ac:dyDescent="0.2">
      <c r="A914" s="119"/>
      <c r="B914" s="119"/>
      <c r="C914" s="176"/>
      <c r="D914" s="119"/>
      <c r="E914" s="176"/>
      <c r="F914" s="176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</row>
    <row r="915" spans="1:22" x14ac:dyDescent="0.2">
      <c r="A915" s="119"/>
      <c r="B915" s="119"/>
      <c r="C915" s="176"/>
      <c r="D915" s="119"/>
      <c r="E915" s="176"/>
      <c r="F915" s="176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</row>
    <row r="916" spans="1:22" x14ac:dyDescent="0.2">
      <c r="A916" s="119"/>
      <c r="B916" s="119"/>
      <c r="C916" s="176"/>
      <c r="D916" s="119"/>
      <c r="E916" s="176"/>
      <c r="F916" s="176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</row>
    <row r="917" spans="1:22" x14ac:dyDescent="0.2">
      <c r="A917" s="119"/>
      <c r="B917" s="119"/>
      <c r="C917" s="176"/>
      <c r="D917" s="119"/>
      <c r="E917" s="176"/>
      <c r="F917" s="176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</row>
    <row r="918" spans="1:22" x14ac:dyDescent="0.2">
      <c r="A918" s="119"/>
      <c r="B918" s="119"/>
      <c r="C918" s="176"/>
      <c r="D918" s="119"/>
      <c r="E918" s="176"/>
      <c r="F918" s="176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</row>
    <row r="919" spans="1:22" x14ac:dyDescent="0.2">
      <c r="A919" s="119"/>
      <c r="B919" s="119"/>
      <c r="C919" s="176"/>
      <c r="D919" s="119"/>
      <c r="E919" s="176"/>
      <c r="F919" s="176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</row>
    <row r="920" spans="1:22" x14ac:dyDescent="0.2">
      <c r="A920" s="119"/>
      <c r="B920" s="119"/>
      <c r="C920" s="176"/>
      <c r="D920" s="119"/>
      <c r="E920" s="176"/>
      <c r="F920" s="176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</row>
    <row r="921" spans="1:22" x14ac:dyDescent="0.2">
      <c r="A921" s="119"/>
      <c r="B921" s="119"/>
      <c r="C921" s="176"/>
      <c r="D921" s="119"/>
      <c r="E921" s="176"/>
      <c r="F921" s="176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</row>
    <row r="922" spans="1:22" x14ac:dyDescent="0.2">
      <c r="A922" s="119"/>
      <c r="B922" s="119"/>
      <c r="C922" s="176"/>
      <c r="D922" s="119"/>
      <c r="E922" s="176"/>
      <c r="F922" s="176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</row>
    <row r="923" spans="1:22" x14ac:dyDescent="0.2">
      <c r="A923" s="119"/>
      <c r="B923" s="119"/>
      <c r="C923" s="176"/>
      <c r="D923" s="119"/>
      <c r="E923" s="176"/>
      <c r="F923" s="176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</row>
    <row r="924" spans="1:22" x14ac:dyDescent="0.2">
      <c r="A924" s="119"/>
      <c r="B924" s="119"/>
      <c r="C924" s="176"/>
      <c r="D924" s="119"/>
      <c r="E924" s="176"/>
      <c r="F924" s="176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</row>
    <row r="925" spans="1:22" x14ac:dyDescent="0.2">
      <c r="A925" s="119"/>
      <c r="B925" s="119"/>
      <c r="C925" s="176"/>
      <c r="D925" s="119"/>
      <c r="E925" s="176"/>
      <c r="F925" s="176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</row>
    <row r="926" spans="1:22" x14ac:dyDescent="0.2">
      <c r="A926" s="119"/>
      <c r="B926" s="119"/>
      <c r="C926" s="176"/>
      <c r="D926" s="119"/>
      <c r="E926" s="176"/>
      <c r="F926" s="176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</row>
    <row r="927" spans="1:22" x14ac:dyDescent="0.2">
      <c r="A927" s="119"/>
      <c r="B927" s="119"/>
      <c r="C927" s="176"/>
      <c r="D927" s="119"/>
      <c r="E927" s="176"/>
      <c r="F927" s="176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</row>
    <row r="928" spans="1:22" x14ac:dyDescent="0.2">
      <c r="A928" s="119"/>
      <c r="B928" s="119"/>
      <c r="C928" s="176"/>
      <c r="D928" s="119"/>
      <c r="E928" s="176"/>
      <c r="F928" s="176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</row>
    <row r="929" spans="1:22" x14ac:dyDescent="0.2">
      <c r="A929" s="119"/>
      <c r="B929" s="119"/>
      <c r="C929" s="176"/>
      <c r="D929" s="119"/>
      <c r="E929" s="176"/>
      <c r="F929" s="176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</row>
    <row r="930" spans="1:22" x14ac:dyDescent="0.2">
      <c r="A930" s="119"/>
      <c r="B930" s="119"/>
      <c r="C930" s="176"/>
      <c r="D930" s="119"/>
      <c r="E930" s="176"/>
      <c r="F930" s="176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</row>
    <row r="931" spans="1:22" x14ac:dyDescent="0.2">
      <c r="A931" s="119"/>
      <c r="B931" s="119"/>
      <c r="C931" s="176"/>
      <c r="D931" s="119"/>
      <c r="E931" s="176"/>
      <c r="F931" s="176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</row>
    <row r="932" spans="1:22" x14ac:dyDescent="0.2">
      <c r="A932" s="119"/>
      <c r="B932" s="119"/>
      <c r="C932" s="176"/>
      <c r="D932" s="119"/>
      <c r="E932" s="176"/>
      <c r="F932" s="176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</row>
    <row r="933" spans="1:22" x14ac:dyDescent="0.2">
      <c r="A933" s="119"/>
      <c r="B933" s="119"/>
      <c r="C933" s="176"/>
      <c r="D933" s="119"/>
      <c r="E933" s="176"/>
      <c r="F933" s="176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</row>
    <row r="934" spans="1:22" x14ac:dyDescent="0.2">
      <c r="A934" s="119"/>
      <c r="B934" s="119"/>
      <c r="C934" s="176"/>
      <c r="D934" s="119"/>
      <c r="E934" s="176"/>
      <c r="F934" s="176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</row>
    <row r="935" spans="1:22" x14ac:dyDescent="0.2">
      <c r="A935" s="119"/>
      <c r="B935" s="119"/>
      <c r="C935" s="176"/>
      <c r="D935" s="119"/>
      <c r="E935" s="176"/>
      <c r="F935" s="176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</row>
    <row r="936" spans="1:22" x14ac:dyDescent="0.2">
      <c r="A936" s="119"/>
      <c r="B936" s="119"/>
      <c r="C936" s="176"/>
      <c r="D936" s="119"/>
      <c r="E936" s="176"/>
      <c r="F936" s="176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</row>
    <row r="937" spans="1:22" x14ac:dyDescent="0.2">
      <c r="A937" s="119"/>
      <c r="B937" s="119"/>
      <c r="C937" s="176"/>
      <c r="D937" s="119"/>
      <c r="E937" s="176"/>
      <c r="F937" s="176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</row>
    <row r="938" spans="1:22" x14ac:dyDescent="0.2">
      <c r="A938" s="119"/>
      <c r="B938" s="119"/>
      <c r="C938" s="176"/>
      <c r="D938" s="119"/>
      <c r="E938" s="176"/>
      <c r="F938" s="176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</row>
    <row r="939" spans="1:22" x14ac:dyDescent="0.2">
      <c r="A939" s="119"/>
      <c r="B939" s="119"/>
      <c r="C939" s="176"/>
      <c r="D939" s="119"/>
      <c r="E939" s="176"/>
      <c r="F939" s="176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</row>
    <row r="940" spans="1:22" x14ac:dyDescent="0.2">
      <c r="A940" s="119"/>
      <c r="B940" s="119"/>
      <c r="C940" s="176"/>
      <c r="D940" s="119"/>
      <c r="E940" s="176"/>
      <c r="F940" s="176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</row>
    <row r="941" spans="1:22" x14ac:dyDescent="0.2">
      <c r="A941" s="119"/>
      <c r="B941" s="119"/>
      <c r="C941" s="176"/>
      <c r="D941" s="119"/>
      <c r="E941" s="176"/>
      <c r="F941" s="176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</row>
    <row r="942" spans="1:22" x14ac:dyDescent="0.2">
      <c r="A942" s="119"/>
      <c r="B942" s="119"/>
      <c r="C942" s="176"/>
      <c r="D942" s="119"/>
      <c r="E942" s="176"/>
      <c r="F942" s="176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</row>
    <row r="943" spans="1:22" x14ac:dyDescent="0.2">
      <c r="A943" s="119"/>
      <c r="B943" s="119"/>
      <c r="C943" s="176"/>
      <c r="D943" s="119"/>
      <c r="E943" s="176"/>
      <c r="F943" s="176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</row>
    <row r="944" spans="1:22" x14ac:dyDescent="0.2">
      <c r="A944" s="119"/>
      <c r="B944" s="119"/>
      <c r="C944" s="176"/>
      <c r="D944" s="119"/>
      <c r="E944" s="176"/>
      <c r="F944" s="176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</row>
    <row r="945" spans="1:22" x14ac:dyDescent="0.2">
      <c r="A945" s="119"/>
      <c r="B945" s="119"/>
      <c r="C945" s="176"/>
      <c r="D945" s="119"/>
      <c r="E945" s="176"/>
      <c r="F945" s="176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</row>
    <row r="946" spans="1:22" x14ac:dyDescent="0.2">
      <c r="A946" s="119"/>
      <c r="B946" s="119"/>
      <c r="C946" s="176"/>
      <c r="D946" s="119"/>
      <c r="E946" s="176"/>
      <c r="F946" s="176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</row>
    <row r="947" spans="1:22" x14ac:dyDescent="0.2">
      <c r="A947" s="119"/>
      <c r="B947" s="119"/>
      <c r="C947" s="176"/>
      <c r="D947" s="119"/>
      <c r="E947" s="176"/>
      <c r="F947" s="176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</row>
    <row r="948" spans="1:22" x14ac:dyDescent="0.2">
      <c r="A948" s="119"/>
      <c r="B948" s="119"/>
      <c r="C948" s="176"/>
      <c r="D948" s="119"/>
      <c r="E948" s="176"/>
      <c r="F948" s="176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</row>
    <row r="949" spans="1:22" x14ac:dyDescent="0.2">
      <c r="A949" s="119"/>
      <c r="B949" s="119"/>
      <c r="C949" s="176"/>
      <c r="D949" s="119"/>
      <c r="E949" s="176"/>
      <c r="F949" s="176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</row>
    <row r="950" spans="1:22" x14ac:dyDescent="0.2">
      <c r="A950" s="119"/>
      <c r="B950" s="119"/>
      <c r="C950" s="176"/>
      <c r="D950" s="119"/>
      <c r="E950" s="176"/>
      <c r="F950" s="176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</row>
    <row r="951" spans="1:22" x14ac:dyDescent="0.2">
      <c r="A951" s="119"/>
      <c r="B951" s="119"/>
      <c r="C951" s="176"/>
      <c r="D951" s="119"/>
      <c r="E951" s="176"/>
      <c r="F951" s="176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</row>
    <row r="952" spans="1:22" x14ac:dyDescent="0.2">
      <c r="A952" s="119"/>
      <c r="B952" s="119"/>
      <c r="C952" s="176"/>
      <c r="D952" s="119"/>
      <c r="E952" s="176"/>
      <c r="F952" s="176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</row>
    <row r="953" spans="1:22" x14ac:dyDescent="0.2">
      <c r="A953" s="119"/>
      <c r="B953" s="119"/>
      <c r="C953" s="176"/>
      <c r="D953" s="119"/>
      <c r="E953" s="176"/>
      <c r="F953" s="176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</row>
    <row r="954" spans="1:22" x14ac:dyDescent="0.2">
      <c r="A954" s="119"/>
      <c r="B954" s="119"/>
      <c r="C954" s="176"/>
      <c r="D954" s="119"/>
      <c r="E954" s="176"/>
      <c r="F954" s="176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</row>
    <row r="955" spans="1:22" x14ac:dyDescent="0.2">
      <c r="A955" s="119"/>
      <c r="B955" s="119"/>
      <c r="C955" s="176"/>
      <c r="D955" s="119"/>
      <c r="E955" s="176"/>
      <c r="F955" s="176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</row>
    <row r="956" spans="1:22" x14ac:dyDescent="0.2">
      <c r="A956" s="119"/>
      <c r="B956" s="119"/>
      <c r="C956" s="176"/>
      <c r="D956" s="119"/>
      <c r="E956" s="176"/>
      <c r="F956" s="176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</row>
    <row r="957" spans="1:22" x14ac:dyDescent="0.2">
      <c r="A957" s="119"/>
      <c r="B957" s="119"/>
      <c r="C957" s="176"/>
      <c r="D957" s="119"/>
      <c r="E957" s="176"/>
      <c r="F957" s="176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</row>
    <row r="958" spans="1:22" x14ac:dyDescent="0.2">
      <c r="A958" s="119"/>
      <c r="B958" s="119"/>
      <c r="C958" s="176"/>
      <c r="D958" s="119"/>
      <c r="E958" s="176"/>
      <c r="F958" s="176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</row>
    <row r="959" spans="1:22" x14ac:dyDescent="0.2">
      <c r="A959" s="119"/>
      <c r="B959" s="119"/>
      <c r="C959" s="176"/>
      <c r="D959" s="119"/>
      <c r="E959" s="176"/>
      <c r="F959" s="176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</row>
    <row r="960" spans="1:22" x14ac:dyDescent="0.2">
      <c r="A960" s="119"/>
      <c r="B960" s="119"/>
      <c r="C960" s="176"/>
      <c r="D960" s="119"/>
      <c r="E960" s="176"/>
      <c r="F960" s="176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</row>
    <row r="961" spans="1:22" x14ac:dyDescent="0.2">
      <c r="A961" s="119"/>
      <c r="B961" s="119"/>
      <c r="C961" s="176"/>
      <c r="D961" s="119"/>
      <c r="E961" s="176"/>
      <c r="F961" s="176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</row>
    <row r="962" spans="1:22" x14ac:dyDescent="0.2">
      <c r="A962" s="119"/>
      <c r="B962" s="119"/>
      <c r="C962" s="176"/>
      <c r="D962" s="119"/>
      <c r="E962" s="176"/>
      <c r="F962" s="176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</row>
    <row r="963" spans="1:22" x14ac:dyDescent="0.2">
      <c r="A963" s="119"/>
      <c r="B963" s="119"/>
      <c r="C963" s="176"/>
      <c r="D963" s="119"/>
      <c r="E963" s="176"/>
      <c r="F963" s="176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</row>
    <row r="964" spans="1:22" x14ac:dyDescent="0.2">
      <c r="A964" s="119"/>
      <c r="B964" s="119"/>
      <c r="C964" s="176"/>
      <c r="D964" s="119"/>
      <c r="E964" s="176"/>
      <c r="F964" s="176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</row>
    <row r="965" spans="1:22" x14ac:dyDescent="0.2">
      <c r="A965" s="119"/>
      <c r="B965" s="119"/>
      <c r="C965" s="176"/>
      <c r="D965" s="119"/>
      <c r="E965" s="176"/>
      <c r="F965" s="176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</row>
    <row r="966" spans="1:22" x14ac:dyDescent="0.2">
      <c r="A966" s="119"/>
      <c r="B966" s="119"/>
      <c r="C966" s="176"/>
      <c r="D966" s="119"/>
      <c r="E966" s="176"/>
      <c r="F966" s="176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</row>
    <row r="967" spans="1:22" x14ac:dyDescent="0.2">
      <c r="A967" s="119"/>
      <c r="B967" s="119"/>
      <c r="C967" s="176"/>
      <c r="D967" s="119"/>
      <c r="E967" s="176"/>
      <c r="F967" s="176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</row>
    <row r="968" spans="1:22" x14ac:dyDescent="0.2">
      <c r="A968" s="119"/>
      <c r="B968" s="119"/>
      <c r="C968" s="176"/>
      <c r="D968" s="119"/>
      <c r="E968" s="176"/>
      <c r="F968" s="176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</row>
    <row r="969" spans="1:22" x14ac:dyDescent="0.2">
      <c r="A969" s="119"/>
      <c r="B969" s="119"/>
      <c r="C969" s="176"/>
      <c r="D969" s="119"/>
      <c r="E969" s="176"/>
      <c r="F969" s="176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</row>
    <row r="970" spans="1:22" x14ac:dyDescent="0.2">
      <c r="A970" s="119"/>
      <c r="B970" s="119"/>
      <c r="C970" s="176"/>
      <c r="D970" s="119"/>
      <c r="E970" s="176"/>
      <c r="F970" s="176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</row>
    <row r="971" spans="1:22" x14ac:dyDescent="0.2">
      <c r="A971" s="119"/>
      <c r="B971" s="119"/>
      <c r="C971" s="176"/>
      <c r="D971" s="119"/>
      <c r="E971" s="176"/>
      <c r="F971" s="176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</row>
    <row r="972" spans="1:22" x14ac:dyDescent="0.2">
      <c r="A972" s="119"/>
      <c r="B972" s="119"/>
      <c r="C972" s="176"/>
      <c r="D972" s="119"/>
      <c r="E972" s="176"/>
      <c r="F972" s="176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</row>
    <row r="973" spans="1:22" x14ac:dyDescent="0.2">
      <c r="A973" s="119"/>
      <c r="B973" s="119"/>
      <c r="C973" s="176"/>
      <c r="D973" s="119"/>
      <c r="E973" s="176"/>
      <c r="F973" s="176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</row>
    <row r="974" spans="1:22" x14ac:dyDescent="0.2">
      <c r="A974" s="119"/>
      <c r="B974" s="119"/>
      <c r="C974" s="176"/>
      <c r="D974" s="119"/>
      <c r="E974" s="176"/>
      <c r="F974" s="176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</row>
    <row r="975" spans="1:22" x14ac:dyDescent="0.2">
      <c r="A975" s="119"/>
      <c r="B975" s="119"/>
      <c r="C975" s="176"/>
      <c r="D975" s="119"/>
      <c r="E975" s="176"/>
      <c r="F975" s="176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</row>
    <row r="976" spans="1:22" x14ac:dyDescent="0.2">
      <c r="A976" s="119"/>
      <c r="B976" s="119"/>
      <c r="C976" s="176"/>
      <c r="D976" s="119"/>
      <c r="E976" s="176"/>
      <c r="F976" s="176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</row>
    <row r="977" spans="1:22" x14ac:dyDescent="0.2">
      <c r="A977" s="119"/>
      <c r="B977" s="119"/>
      <c r="C977" s="176"/>
      <c r="D977" s="119"/>
      <c r="E977" s="176"/>
      <c r="F977" s="176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</row>
    <row r="978" spans="1:22" x14ac:dyDescent="0.2">
      <c r="A978" s="119"/>
      <c r="B978" s="119"/>
      <c r="C978" s="176"/>
      <c r="D978" s="119"/>
      <c r="E978" s="176"/>
      <c r="F978" s="176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</row>
    <row r="979" spans="1:22" x14ac:dyDescent="0.2">
      <c r="A979" s="119"/>
      <c r="B979" s="119"/>
      <c r="C979" s="176"/>
      <c r="D979" s="119"/>
      <c r="E979" s="176"/>
      <c r="F979" s="176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</row>
    <row r="980" spans="1:22" x14ac:dyDescent="0.2">
      <c r="A980" s="119"/>
      <c r="B980" s="119"/>
      <c r="C980" s="176"/>
      <c r="D980" s="119"/>
      <c r="E980" s="176"/>
      <c r="F980" s="176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</row>
    <row r="981" spans="1:22" x14ac:dyDescent="0.2">
      <c r="A981" s="119"/>
      <c r="B981" s="119"/>
      <c r="C981" s="176"/>
      <c r="D981" s="119"/>
      <c r="E981" s="176"/>
      <c r="F981" s="176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</row>
    <row r="982" spans="1:22" x14ac:dyDescent="0.2">
      <c r="A982" s="119"/>
      <c r="B982" s="119"/>
      <c r="C982" s="176"/>
      <c r="D982" s="119"/>
      <c r="E982" s="176"/>
      <c r="F982" s="176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</row>
    <row r="983" spans="1:22" x14ac:dyDescent="0.2">
      <c r="A983" s="119"/>
      <c r="B983" s="119"/>
      <c r="C983" s="176"/>
      <c r="D983" s="119"/>
      <c r="E983" s="176"/>
      <c r="F983" s="176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</row>
    <row r="984" spans="1:22" x14ac:dyDescent="0.2">
      <c r="A984" s="119"/>
      <c r="B984" s="119"/>
      <c r="C984" s="176"/>
      <c r="D984" s="119"/>
      <c r="E984" s="176"/>
      <c r="F984" s="176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</row>
    <row r="985" spans="1:22" x14ac:dyDescent="0.2">
      <c r="A985" s="119"/>
      <c r="B985" s="119"/>
      <c r="C985" s="176"/>
      <c r="D985" s="119"/>
      <c r="E985" s="176"/>
      <c r="F985" s="176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</row>
    <row r="986" spans="1:22" x14ac:dyDescent="0.2">
      <c r="A986" s="119"/>
      <c r="B986" s="119"/>
      <c r="C986" s="176"/>
      <c r="D986" s="119"/>
      <c r="E986" s="176"/>
      <c r="F986" s="176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</row>
    <row r="987" spans="1:22" x14ac:dyDescent="0.2">
      <c r="A987" s="119"/>
      <c r="B987" s="119"/>
      <c r="C987" s="176"/>
      <c r="D987" s="119"/>
      <c r="E987" s="176"/>
      <c r="F987" s="176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</row>
    <row r="988" spans="1:22" x14ac:dyDescent="0.2">
      <c r="A988" s="119"/>
      <c r="B988" s="119"/>
      <c r="C988" s="176"/>
      <c r="D988" s="119"/>
      <c r="E988" s="176"/>
      <c r="F988" s="176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</row>
    <row r="989" spans="1:22" x14ac:dyDescent="0.2">
      <c r="A989" s="119"/>
      <c r="B989" s="119"/>
      <c r="C989" s="176"/>
      <c r="D989" s="119"/>
      <c r="E989" s="176"/>
      <c r="F989" s="176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</row>
    <row r="990" spans="1:22" x14ac:dyDescent="0.2">
      <c r="A990" s="119"/>
      <c r="B990" s="119"/>
      <c r="C990" s="176"/>
      <c r="D990" s="119"/>
      <c r="E990" s="176"/>
      <c r="F990" s="176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</row>
    <row r="991" spans="1:22" x14ac:dyDescent="0.2">
      <c r="A991" s="119"/>
      <c r="B991" s="119"/>
      <c r="C991" s="176"/>
      <c r="D991" s="119"/>
      <c r="E991" s="176"/>
      <c r="F991" s="176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</row>
    <row r="992" spans="1:22" x14ac:dyDescent="0.2">
      <c r="A992" s="119"/>
      <c r="B992" s="119"/>
      <c r="C992" s="176"/>
      <c r="D992" s="119"/>
      <c r="E992" s="176"/>
      <c r="F992" s="176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</row>
    <row r="993" spans="1:22" x14ac:dyDescent="0.2">
      <c r="A993" s="119"/>
      <c r="B993" s="119"/>
      <c r="C993" s="176"/>
      <c r="D993" s="119"/>
      <c r="E993" s="176"/>
      <c r="F993" s="176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</row>
    <row r="994" spans="1:22" x14ac:dyDescent="0.2">
      <c r="A994" s="119"/>
      <c r="B994" s="119"/>
      <c r="C994" s="176"/>
      <c r="D994" s="119"/>
      <c r="E994" s="176"/>
      <c r="F994" s="176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</row>
    <row r="995" spans="1:22" x14ac:dyDescent="0.2">
      <c r="A995" s="119"/>
      <c r="B995" s="119"/>
      <c r="C995" s="176"/>
      <c r="D995" s="119"/>
      <c r="E995" s="176"/>
      <c r="F995" s="176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</row>
    <row r="996" spans="1:22" x14ac:dyDescent="0.2">
      <c r="A996" s="119"/>
      <c r="B996" s="119"/>
      <c r="C996" s="176"/>
      <c r="D996" s="119"/>
      <c r="E996" s="176"/>
      <c r="F996" s="176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</row>
    <row r="997" spans="1:22" x14ac:dyDescent="0.2">
      <c r="A997" s="119"/>
      <c r="B997" s="119"/>
      <c r="C997" s="176"/>
      <c r="D997" s="119"/>
      <c r="E997" s="176"/>
      <c r="F997" s="176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</row>
    <row r="998" spans="1:22" x14ac:dyDescent="0.2">
      <c r="A998" s="119"/>
      <c r="B998" s="119"/>
      <c r="C998" s="176"/>
      <c r="D998" s="119"/>
      <c r="E998" s="176"/>
      <c r="F998" s="176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</row>
    <row r="999" spans="1:22" x14ac:dyDescent="0.2">
      <c r="A999" s="119"/>
      <c r="B999" s="119"/>
      <c r="C999" s="176"/>
      <c r="D999" s="119"/>
      <c r="E999" s="176"/>
      <c r="F999" s="176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</row>
    <row r="1000" spans="1:22" x14ac:dyDescent="0.2">
      <c r="A1000" s="119"/>
      <c r="B1000" s="119"/>
      <c r="C1000" s="176"/>
      <c r="D1000" s="119"/>
      <c r="E1000" s="176"/>
      <c r="F1000" s="176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</row>
    <row r="1001" spans="1:22" x14ac:dyDescent="0.2">
      <c r="A1001" s="119"/>
      <c r="B1001" s="119"/>
      <c r="C1001" s="176"/>
      <c r="D1001" s="119"/>
      <c r="E1001" s="176"/>
      <c r="F1001" s="176"/>
      <c r="G1001" s="119"/>
      <c r="H1001" s="119"/>
      <c r="I1001" s="119"/>
      <c r="J1001" s="119"/>
      <c r="K1001" s="119"/>
      <c r="L1001" s="119"/>
      <c r="M1001" s="119"/>
      <c r="N1001" s="119"/>
      <c r="O1001" s="119"/>
      <c r="P1001" s="119"/>
      <c r="Q1001" s="119"/>
      <c r="R1001" s="119"/>
      <c r="S1001" s="119"/>
      <c r="T1001" s="119"/>
      <c r="U1001" s="119"/>
      <c r="V1001" s="119"/>
    </row>
    <row r="1002" spans="1:22" x14ac:dyDescent="0.2">
      <c r="A1002" s="119"/>
      <c r="B1002" s="119"/>
      <c r="C1002" s="176"/>
      <c r="D1002" s="119"/>
      <c r="E1002" s="176"/>
      <c r="F1002" s="176"/>
      <c r="G1002" s="119"/>
      <c r="H1002" s="119"/>
      <c r="I1002" s="119"/>
      <c r="J1002" s="119"/>
      <c r="K1002" s="119"/>
      <c r="L1002" s="119"/>
      <c r="M1002" s="119"/>
      <c r="N1002" s="119"/>
      <c r="O1002" s="119"/>
      <c r="P1002" s="119"/>
      <c r="Q1002" s="119"/>
      <c r="R1002" s="119"/>
      <c r="S1002" s="119"/>
      <c r="T1002" s="119"/>
      <c r="U1002" s="119"/>
      <c r="V1002" s="119"/>
    </row>
    <row r="1003" spans="1:22" x14ac:dyDescent="0.2">
      <c r="A1003" s="119"/>
      <c r="B1003" s="119"/>
      <c r="C1003" s="176"/>
      <c r="D1003" s="119"/>
      <c r="E1003" s="176"/>
      <c r="F1003" s="176"/>
      <c r="G1003" s="119"/>
      <c r="H1003" s="119"/>
      <c r="I1003" s="119"/>
      <c r="J1003" s="119"/>
      <c r="K1003" s="119"/>
      <c r="L1003" s="119"/>
      <c r="M1003" s="119"/>
      <c r="N1003" s="119"/>
      <c r="O1003" s="119"/>
      <c r="P1003" s="119"/>
      <c r="Q1003" s="119"/>
      <c r="R1003" s="119"/>
      <c r="S1003" s="119"/>
      <c r="T1003" s="119"/>
      <c r="U1003" s="119"/>
      <c r="V1003" s="119"/>
    </row>
    <row r="1004" spans="1:22" x14ac:dyDescent="0.2">
      <c r="A1004" s="119"/>
      <c r="B1004" s="119"/>
      <c r="C1004" s="176"/>
      <c r="D1004" s="119"/>
      <c r="E1004" s="176"/>
      <c r="F1004" s="176"/>
      <c r="G1004" s="119"/>
      <c r="H1004" s="119"/>
      <c r="I1004" s="119"/>
      <c r="J1004" s="119"/>
      <c r="K1004" s="119"/>
      <c r="L1004" s="119"/>
      <c r="M1004" s="119"/>
      <c r="N1004" s="119"/>
      <c r="O1004" s="119"/>
      <c r="P1004" s="119"/>
      <c r="Q1004" s="119"/>
      <c r="R1004" s="119"/>
      <c r="S1004" s="119"/>
      <c r="T1004" s="119"/>
      <c r="U1004" s="119"/>
      <c r="V1004" s="119"/>
    </row>
    <row r="1005" spans="1:22" x14ac:dyDescent="0.2">
      <c r="A1005" s="119"/>
      <c r="B1005" s="119"/>
      <c r="C1005" s="176"/>
      <c r="D1005" s="119"/>
      <c r="E1005" s="176"/>
      <c r="F1005" s="176"/>
      <c r="G1005" s="119"/>
      <c r="H1005" s="119"/>
      <c r="I1005" s="119"/>
      <c r="J1005" s="119"/>
      <c r="K1005" s="119"/>
      <c r="L1005" s="119"/>
      <c r="M1005" s="119"/>
      <c r="N1005" s="119"/>
      <c r="O1005" s="119"/>
      <c r="P1005" s="119"/>
      <c r="Q1005" s="119"/>
      <c r="R1005" s="119"/>
      <c r="S1005" s="119"/>
      <c r="T1005" s="119"/>
      <c r="U1005" s="119"/>
      <c r="V1005" s="119"/>
    </row>
    <row r="1006" spans="1:22" x14ac:dyDescent="0.2">
      <c r="A1006" s="119"/>
      <c r="B1006" s="119"/>
      <c r="C1006" s="176"/>
      <c r="D1006" s="119"/>
      <c r="E1006" s="176"/>
      <c r="F1006" s="176"/>
      <c r="G1006" s="119"/>
      <c r="H1006" s="119"/>
      <c r="I1006" s="119"/>
      <c r="J1006" s="119"/>
      <c r="K1006" s="119"/>
      <c r="L1006" s="119"/>
      <c r="M1006" s="119"/>
      <c r="N1006" s="119"/>
      <c r="O1006" s="119"/>
      <c r="P1006" s="119"/>
      <c r="Q1006" s="119"/>
      <c r="R1006" s="119"/>
      <c r="S1006" s="119"/>
      <c r="T1006" s="119"/>
      <c r="U1006" s="119"/>
      <c r="V1006" s="119"/>
    </row>
    <row r="1007" spans="1:22" x14ac:dyDescent="0.2">
      <c r="A1007" s="119"/>
      <c r="B1007" s="119"/>
      <c r="C1007" s="176"/>
      <c r="D1007" s="119"/>
      <c r="E1007" s="176"/>
      <c r="F1007" s="176"/>
      <c r="G1007" s="119"/>
      <c r="H1007" s="119"/>
      <c r="I1007" s="119"/>
      <c r="J1007" s="119"/>
      <c r="K1007" s="119"/>
      <c r="L1007" s="119"/>
      <c r="M1007" s="119"/>
      <c r="N1007" s="119"/>
      <c r="O1007" s="119"/>
      <c r="P1007" s="119"/>
      <c r="Q1007" s="119"/>
      <c r="R1007" s="119"/>
      <c r="S1007" s="119"/>
      <c r="T1007" s="119"/>
      <c r="U1007" s="119"/>
      <c r="V1007" s="119"/>
    </row>
    <row r="1008" spans="1:22" x14ac:dyDescent="0.2">
      <c r="A1008" s="119"/>
      <c r="B1008" s="119"/>
      <c r="C1008" s="176"/>
      <c r="D1008" s="119"/>
      <c r="E1008" s="176"/>
      <c r="F1008" s="176"/>
      <c r="G1008" s="119"/>
      <c r="H1008" s="119"/>
      <c r="I1008" s="119"/>
      <c r="J1008" s="119"/>
      <c r="K1008" s="119"/>
      <c r="L1008" s="119"/>
      <c r="M1008" s="119"/>
      <c r="N1008" s="119"/>
      <c r="O1008" s="119"/>
      <c r="P1008" s="119"/>
      <c r="Q1008" s="119"/>
      <c r="R1008" s="119"/>
      <c r="S1008" s="119"/>
      <c r="T1008" s="119"/>
      <c r="U1008" s="119"/>
      <c r="V1008" s="119"/>
    </row>
    <row r="1009" spans="1:22" x14ac:dyDescent="0.2">
      <c r="A1009" s="119"/>
      <c r="B1009" s="119"/>
      <c r="C1009" s="176"/>
      <c r="D1009" s="119"/>
      <c r="E1009" s="176"/>
      <c r="F1009" s="176"/>
      <c r="G1009" s="119"/>
      <c r="H1009" s="119"/>
      <c r="I1009" s="119"/>
      <c r="J1009" s="119"/>
      <c r="K1009" s="119"/>
      <c r="L1009" s="119"/>
      <c r="M1009" s="119"/>
      <c r="N1009" s="119"/>
      <c r="O1009" s="119"/>
      <c r="P1009" s="119"/>
      <c r="Q1009" s="119"/>
      <c r="R1009" s="119"/>
      <c r="S1009" s="119"/>
      <c r="T1009" s="119"/>
      <c r="U1009" s="119"/>
      <c r="V1009" s="119"/>
    </row>
    <row r="1010" spans="1:22" x14ac:dyDescent="0.2">
      <c r="A1010" s="119"/>
      <c r="B1010" s="119"/>
      <c r="C1010" s="176"/>
      <c r="D1010" s="119"/>
      <c r="E1010" s="176"/>
      <c r="F1010" s="176"/>
      <c r="G1010" s="119"/>
      <c r="H1010" s="119"/>
      <c r="I1010" s="119"/>
      <c r="J1010" s="119"/>
      <c r="K1010" s="119"/>
      <c r="L1010" s="119"/>
      <c r="M1010" s="119"/>
      <c r="N1010" s="119"/>
      <c r="O1010" s="119"/>
      <c r="P1010" s="119"/>
      <c r="Q1010" s="119"/>
      <c r="R1010" s="119"/>
      <c r="S1010" s="119"/>
      <c r="T1010" s="119"/>
      <c r="U1010" s="119"/>
      <c r="V1010" s="119"/>
    </row>
    <row r="1011" spans="1:22" x14ac:dyDescent="0.2">
      <c r="A1011" s="119"/>
      <c r="B1011" s="119"/>
      <c r="C1011" s="176"/>
      <c r="D1011" s="119"/>
      <c r="E1011" s="176"/>
      <c r="F1011" s="176"/>
      <c r="G1011" s="119"/>
      <c r="H1011" s="119"/>
      <c r="I1011" s="119"/>
      <c r="J1011" s="119"/>
      <c r="K1011" s="119"/>
      <c r="L1011" s="119"/>
      <c r="M1011" s="119"/>
      <c r="N1011" s="119"/>
      <c r="O1011" s="119"/>
      <c r="P1011" s="119"/>
      <c r="Q1011" s="119"/>
      <c r="R1011" s="119"/>
      <c r="S1011" s="119"/>
      <c r="T1011" s="119"/>
      <c r="U1011" s="119"/>
      <c r="V1011" s="119"/>
    </row>
    <row r="1012" spans="1:22" x14ac:dyDescent="0.2">
      <c r="A1012" s="119"/>
      <c r="B1012" s="119"/>
      <c r="C1012" s="176"/>
      <c r="D1012" s="119"/>
      <c r="E1012" s="176"/>
      <c r="F1012" s="176"/>
      <c r="G1012" s="119"/>
      <c r="H1012" s="119"/>
      <c r="I1012" s="119"/>
      <c r="J1012" s="119"/>
      <c r="K1012" s="119"/>
      <c r="L1012" s="119"/>
      <c r="M1012" s="119"/>
      <c r="N1012" s="119"/>
      <c r="O1012" s="119"/>
      <c r="P1012" s="119"/>
      <c r="Q1012" s="119"/>
      <c r="R1012" s="119"/>
      <c r="S1012" s="119"/>
      <c r="T1012" s="119"/>
      <c r="U1012" s="119"/>
      <c r="V1012" s="119"/>
    </row>
    <row r="1013" spans="1:22" x14ac:dyDescent="0.2">
      <c r="A1013" s="119"/>
      <c r="B1013" s="119"/>
      <c r="C1013" s="176"/>
      <c r="D1013" s="119"/>
      <c r="E1013" s="176"/>
      <c r="F1013" s="176"/>
      <c r="G1013" s="119"/>
      <c r="H1013" s="119"/>
      <c r="I1013" s="119"/>
      <c r="J1013" s="119"/>
      <c r="K1013" s="119"/>
      <c r="L1013" s="119"/>
      <c r="M1013" s="119"/>
      <c r="N1013" s="119"/>
      <c r="O1013" s="119"/>
      <c r="P1013" s="119"/>
      <c r="Q1013" s="119"/>
      <c r="R1013" s="119"/>
      <c r="S1013" s="119"/>
      <c r="T1013" s="119"/>
      <c r="U1013" s="119"/>
      <c r="V1013" s="119"/>
    </row>
    <row r="1014" spans="1:22" x14ac:dyDescent="0.2">
      <c r="A1014" s="119"/>
      <c r="B1014" s="119"/>
      <c r="C1014" s="176"/>
      <c r="D1014" s="119"/>
      <c r="E1014" s="176"/>
      <c r="F1014" s="176"/>
      <c r="G1014" s="119"/>
      <c r="H1014" s="119"/>
      <c r="I1014" s="119"/>
      <c r="J1014" s="119"/>
      <c r="K1014" s="119"/>
      <c r="L1014" s="119"/>
      <c r="M1014" s="119"/>
      <c r="N1014" s="119"/>
      <c r="O1014" s="119"/>
      <c r="P1014" s="119"/>
      <c r="Q1014" s="119"/>
      <c r="R1014" s="119"/>
      <c r="S1014" s="119"/>
      <c r="T1014" s="119"/>
      <c r="U1014" s="119"/>
      <c r="V1014" s="119"/>
    </row>
    <row r="1015" spans="1:22" x14ac:dyDescent="0.2">
      <c r="A1015" s="119"/>
      <c r="B1015" s="119"/>
      <c r="C1015" s="176"/>
      <c r="D1015" s="119"/>
      <c r="E1015" s="176"/>
      <c r="F1015" s="176"/>
      <c r="G1015" s="119"/>
      <c r="H1015" s="119"/>
      <c r="I1015" s="119"/>
      <c r="J1015" s="119"/>
      <c r="K1015" s="119"/>
      <c r="L1015" s="119"/>
      <c r="M1015" s="119"/>
      <c r="N1015" s="119"/>
      <c r="O1015" s="119"/>
      <c r="P1015" s="119"/>
      <c r="Q1015" s="119"/>
      <c r="R1015" s="119"/>
      <c r="S1015" s="119"/>
      <c r="T1015" s="119"/>
      <c r="U1015" s="119"/>
      <c r="V1015" s="119"/>
    </row>
    <row r="1016" spans="1:22" x14ac:dyDescent="0.2">
      <c r="A1016" s="119"/>
      <c r="B1016" s="119"/>
      <c r="C1016" s="176"/>
      <c r="D1016" s="119"/>
      <c r="E1016" s="176"/>
      <c r="F1016" s="176"/>
      <c r="G1016" s="119"/>
      <c r="H1016" s="119"/>
      <c r="I1016" s="119"/>
      <c r="J1016" s="119"/>
      <c r="K1016" s="119"/>
      <c r="L1016" s="119"/>
      <c r="M1016" s="119"/>
      <c r="N1016" s="119"/>
      <c r="O1016" s="119"/>
      <c r="P1016" s="119"/>
      <c r="Q1016" s="119"/>
      <c r="R1016" s="119"/>
      <c r="S1016" s="119"/>
      <c r="T1016" s="119"/>
      <c r="U1016" s="119"/>
      <c r="V1016" s="119"/>
    </row>
    <row r="1017" spans="1:22" x14ac:dyDescent="0.2">
      <c r="A1017" s="119"/>
      <c r="B1017" s="119"/>
      <c r="C1017" s="176"/>
      <c r="D1017" s="119"/>
      <c r="E1017" s="176"/>
      <c r="F1017" s="176"/>
      <c r="G1017" s="119"/>
      <c r="H1017" s="119"/>
      <c r="I1017" s="119"/>
      <c r="J1017" s="119"/>
      <c r="K1017" s="119"/>
      <c r="L1017" s="119"/>
      <c r="M1017" s="119"/>
      <c r="N1017" s="119"/>
      <c r="O1017" s="119"/>
      <c r="P1017" s="119"/>
      <c r="Q1017" s="119"/>
      <c r="R1017" s="119"/>
      <c r="S1017" s="119"/>
      <c r="T1017" s="119"/>
      <c r="U1017" s="119"/>
      <c r="V1017" s="119"/>
    </row>
    <row r="1018" spans="1:22" x14ac:dyDescent="0.2">
      <c r="A1018" s="119"/>
      <c r="B1018" s="119"/>
      <c r="C1018" s="176"/>
      <c r="D1018" s="119"/>
      <c r="E1018" s="176"/>
      <c r="F1018" s="176"/>
      <c r="G1018" s="119"/>
      <c r="H1018" s="119"/>
      <c r="I1018" s="119"/>
      <c r="J1018" s="119"/>
      <c r="K1018" s="119"/>
      <c r="L1018" s="119"/>
      <c r="M1018" s="119"/>
      <c r="N1018" s="119"/>
      <c r="O1018" s="119"/>
      <c r="P1018" s="119"/>
      <c r="Q1018" s="119"/>
      <c r="R1018" s="119"/>
      <c r="S1018" s="119"/>
      <c r="T1018" s="119"/>
      <c r="U1018" s="119"/>
      <c r="V1018" s="119"/>
    </row>
    <row r="1019" spans="1:22" x14ac:dyDescent="0.2">
      <c r="A1019" s="119"/>
      <c r="B1019" s="119"/>
      <c r="C1019" s="176"/>
      <c r="D1019" s="119"/>
      <c r="E1019" s="176"/>
      <c r="F1019" s="176"/>
      <c r="G1019" s="119"/>
      <c r="H1019" s="119"/>
      <c r="I1019" s="119"/>
      <c r="J1019" s="119"/>
      <c r="K1019" s="119"/>
      <c r="L1019" s="119"/>
      <c r="M1019" s="119"/>
      <c r="N1019" s="119"/>
      <c r="O1019" s="119"/>
      <c r="P1019" s="119"/>
      <c r="Q1019" s="119"/>
      <c r="R1019" s="119"/>
      <c r="S1019" s="119"/>
      <c r="T1019" s="119"/>
      <c r="U1019" s="119"/>
      <c r="V1019" s="119"/>
    </row>
    <row r="1020" spans="1:22" x14ac:dyDescent="0.2">
      <c r="A1020" s="119"/>
      <c r="B1020" s="119"/>
      <c r="C1020" s="176"/>
      <c r="D1020" s="119"/>
      <c r="E1020" s="176"/>
      <c r="F1020" s="176"/>
      <c r="G1020" s="119"/>
      <c r="H1020" s="119"/>
      <c r="I1020" s="119"/>
      <c r="J1020" s="119"/>
      <c r="K1020" s="119"/>
      <c r="L1020" s="119"/>
      <c r="M1020" s="119"/>
      <c r="N1020" s="119"/>
      <c r="O1020" s="119"/>
      <c r="P1020" s="119"/>
      <c r="Q1020" s="119"/>
      <c r="R1020" s="119"/>
      <c r="S1020" s="119"/>
      <c r="T1020" s="119"/>
      <c r="U1020" s="119"/>
      <c r="V1020" s="119"/>
    </row>
    <row r="1021" spans="1:22" x14ac:dyDescent="0.2">
      <c r="M1021" s="119"/>
      <c r="N1021" s="119"/>
      <c r="O1021" s="119"/>
      <c r="P1021" s="119"/>
      <c r="Q1021" s="119"/>
      <c r="R1021" s="119"/>
      <c r="S1021" s="119"/>
      <c r="T1021" s="119"/>
      <c r="U1021" s="119"/>
      <c r="V1021" s="119"/>
    </row>
    <row r="1022" spans="1:22" x14ac:dyDescent="0.2">
      <c r="M1022" s="119"/>
      <c r="N1022" s="119"/>
      <c r="O1022" s="119"/>
      <c r="P1022" s="119"/>
      <c r="Q1022" s="119"/>
      <c r="R1022" s="119"/>
      <c r="S1022" s="119"/>
      <c r="T1022" s="119"/>
      <c r="U1022" s="119"/>
      <c r="V1022" s="119"/>
    </row>
    <row r="1023" spans="1:22" x14ac:dyDescent="0.2">
      <c r="M1023" s="119"/>
      <c r="N1023" s="119"/>
      <c r="O1023" s="119"/>
      <c r="P1023" s="119"/>
      <c r="Q1023" s="119"/>
      <c r="R1023" s="119"/>
      <c r="S1023" s="119"/>
      <c r="T1023" s="119"/>
      <c r="U1023" s="119"/>
      <c r="V1023" s="119"/>
    </row>
    <row r="1024" spans="1:22" x14ac:dyDescent="0.2">
      <c r="M1024" s="119"/>
      <c r="N1024" s="119"/>
      <c r="O1024" s="119"/>
      <c r="P1024" s="119"/>
      <c r="Q1024" s="119"/>
      <c r="R1024" s="119"/>
      <c r="S1024" s="119"/>
      <c r="T1024" s="119"/>
      <c r="U1024" s="119"/>
      <c r="V1024" s="119"/>
    </row>
    <row r="1025" spans="13:22" x14ac:dyDescent="0.2">
      <c r="M1025" s="119"/>
      <c r="N1025" s="119"/>
      <c r="O1025" s="119"/>
      <c r="P1025" s="119"/>
      <c r="Q1025" s="119"/>
      <c r="R1025" s="119"/>
      <c r="S1025" s="119"/>
      <c r="T1025" s="119"/>
      <c r="U1025" s="119"/>
      <c r="V1025" s="119"/>
    </row>
    <row r="1026" spans="13:22" x14ac:dyDescent="0.2">
      <c r="M1026" s="119"/>
      <c r="N1026" s="119"/>
      <c r="O1026" s="119"/>
      <c r="P1026" s="119"/>
      <c r="Q1026" s="119"/>
      <c r="R1026" s="119"/>
      <c r="S1026" s="119"/>
      <c r="T1026" s="119"/>
      <c r="U1026" s="119"/>
      <c r="V1026" s="119"/>
    </row>
    <row r="1027" spans="13:22" x14ac:dyDescent="0.2">
      <c r="M1027" s="119"/>
      <c r="N1027" s="119"/>
      <c r="O1027" s="119"/>
      <c r="P1027" s="119"/>
      <c r="Q1027" s="119"/>
      <c r="R1027" s="119"/>
      <c r="S1027" s="119"/>
      <c r="T1027" s="119"/>
      <c r="U1027" s="119"/>
      <c r="V1027" s="119"/>
    </row>
  </sheetData>
  <mergeCells count="30">
    <mergeCell ref="A1:H1"/>
    <mergeCell ref="I1:P1"/>
    <mergeCell ref="R2:Z2"/>
    <mergeCell ref="U16:AE16"/>
    <mergeCell ref="AB18:AE18"/>
    <mergeCell ref="D20:H20"/>
    <mergeCell ref="B22:C22"/>
    <mergeCell ref="H22:I22"/>
    <mergeCell ref="F72:G72"/>
    <mergeCell ref="I72:J72"/>
    <mergeCell ref="D22:E22"/>
    <mergeCell ref="F22:G22"/>
    <mergeCell ref="A43:C43"/>
    <mergeCell ref="E43:K43"/>
    <mergeCell ref="G44:I44"/>
    <mergeCell ref="A70:J71"/>
    <mergeCell ref="B72:C72"/>
    <mergeCell ref="B108:C108"/>
    <mergeCell ref="D108:F108"/>
    <mergeCell ref="G108:K108"/>
    <mergeCell ref="L120:M121"/>
    <mergeCell ref="A124:I124"/>
    <mergeCell ref="J124:J125"/>
    <mergeCell ref="L102:M103"/>
    <mergeCell ref="A106:K107"/>
    <mergeCell ref="A88:K89"/>
    <mergeCell ref="B90:C90"/>
    <mergeCell ref="D90:E90"/>
    <mergeCell ref="F90:G90"/>
    <mergeCell ref="H90:K9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16"/>
  <sheetViews>
    <sheetView workbookViewId="0"/>
  </sheetViews>
  <sheetFormatPr defaultColWidth="11.21875" defaultRowHeight="15" customHeight="1" x14ac:dyDescent="0.2"/>
  <sheetData>
    <row r="1" spans="1:3" x14ac:dyDescent="0.2">
      <c r="A1" s="234" t="s">
        <v>684</v>
      </c>
      <c r="B1" s="234" t="s">
        <v>685</v>
      </c>
      <c r="C1" s="234" t="s">
        <v>152</v>
      </c>
    </row>
    <row r="2" spans="1:3" x14ac:dyDescent="0.2">
      <c r="A2" s="235">
        <v>45841</v>
      </c>
      <c r="B2" s="236">
        <v>150</v>
      </c>
      <c r="C2" s="236">
        <v>1601</v>
      </c>
    </row>
    <row r="3" spans="1:3" x14ac:dyDescent="0.2">
      <c r="A3" s="235">
        <v>45842</v>
      </c>
      <c r="B3" s="236">
        <v>114</v>
      </c>
      <c r="C3" s="236">
        <v>896</v>
      </c>
    </row>
    <row r="4" spans="1:3" x14ac:dyDescent="0.2">
      <c r="A4" s="237">
        <v>45844</v>
      </c>
      <c r="B4" s="236">
        <v>218</v>
      </c>
      <c r="C4" s="236">
        <v>1104</v>
      </c>
    </row>
    <row r="5" spans="1:3" x14ac:dyDescent="0.2">
      <c r="A5" s="237">
        <v>45849</v>
      </c>
      <c r="B5" s="236">
        <v>210</v>
      </c>
      <c r="C5" s="236">
        <v>1738</v>
      </c>
    </row>
    <row r="6" spans="1:3" x14ac:dyDescent="0.2">
      <c r="A6" s="237">
        <v>45850</v>
      </c>
      <c r="B6" s="236">
        <v>300</v>
      </c>
      <c r="C6" s="236">
        <v>1951</v>
      </c>
    </row>
    <row r="7" spans="1:3" x14ac:dyDescent="0.2">
      <c r="A7" s="237">
        <v>45851</v>
      </c>
      <c r="B7" s="236">
        <v>435</v>
      </c>
      <c r="C7" s="236">
        <v>1951</v>
      </c>
    </row>
    <row r="8" spans="1:3" x14ac:dyDescent="0.2">
      <c r="A8" s="237">
        <v>45855</v>
      </c>
      <c r="B8" s="236">
        <v>395</v>
      </c>
      <c r="C8" s="236">
        <v>2547</v>
      </c>
    </row>
    <row r="9" spans="1:3" x14ac:dyDescent="0.2">
      <c r="A9" s="237">
        <v>45856</v>
      </c>
      <c r="B9" s="236">
        <v>222</v>
      </c>
      <c r="C9" s="236">
        <v>1596</v>
      </c>
    </row>
    <row r="10" spans="1:3" x14ac:dyDescent="0.2">
      <c r="A10" s="237">
        <v>45857</v>
      </c>
      <c r="B10" s="236">
        <v>250</v>
      </c>
      <c r="C10" s="236">
        <v>1078</v>
      </c>
    </row>
    <row r="11" spans="1:3" x14ac:dyDescent="0.2">
      <c r="A11" s="237">
        <v>45858</v>
      </c>
      <c r="B11" s="236">
        <v>465</v>
      </c>
      <c r="C11" s="236">
        <v>2130</v>
      </c>
    </row>
    <row r="12" spans="1:3" x14ac:dyDescent="0.2">
      <c r="A12" s="238" t="s">
        <v>153</v>
      </c>
      <c r="B12" s="239">
        <f t="shared" ref="B12:C12" si="0">SUM(B2:B11)</f>
        <v>2759</v>
      </c>
      <c r="C12" s="239">
        <f t="shared" si="0"/>
        <v>16592</v>
      </c>
    </row>
    <row r="13" spans="1:3" x14ac:dyDescent="0.2">
      <c r="A13" s="237">
        <v>45862</v>
      </c>
      <c r="B13" s="236">
        <v>60</v>
      </c>
      <c r="C13" s="236">
        <v>1478.5</v>
      </c>
    </row>
    <row r="14" spans="1:3" x14ac:dyDescent="0.2">
      <c r="A14" s="237">
        <v>45863</v>
      </c>
      <c r="B14" s="236">
        <v>60.5</v>
      </c>
      <c r="C14" s="236">
        <v>2037</v>
      </c>
    </row>
    <row r="15" spans="1:3" x14ac:dyDescent="0.2">
      <c r="A15" s="237">
        <v>45864</v>
      </c>
      <c r="B15" s="236">
        <v>330</v>
      </c>
      <c r="C15" s="236">
        <v>2393</v>
      </c>
    </row>
    <row r="16" spans="1:3" x14ac:dyDescent="0.2">
      <c r="A16" s="237">
        <v>45865</v>
      </c>
      <c r="B16" s="236">
        <v>621</v>
      </c>
      <c r="C16" s="236">
        <v>1200.5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71"/>
  <sheetViews>
    <sheetView workbookViewId="0"/>
  </sheetViews>
  <sheetFormatPr defaultColWidth="11.21875" defaultRowHeight="15" customHeight="1" x14ac:dyDescent="0.2"/>
  <cols>
    <col min="2" max="2" width="27.00390625" customWidth="1"/>
    <col min="3" max="3" width="27.49609375" customWidth="1"/>
  </cols>
  <sheetData>
    <row r="1" spans="1:3" x14ac:dyDescent="0.2">
      <c r="A1" s="92" t="s">
        <v>168</v>
      </c>
      <c r="B1" s="92" t="s">
        <v>686</v>
      </c>
      <c r="C1" s="92" t="s">
        <v>687</v>
      </c>
    </row>
    <row r="2" spans="1:3" x14ac:dyDescent="0.2">
      <c r="A2" s="93" t="s">
        <v>190</v>
      </c>
    </row>
    <row r="3" spans="1:3" x14ac:dyDescent="0.2">
      <c r="A3" s="93" t="s">
        <v>172</v>
      </c>
    </row>
    <row r="4" spans="1:3" x14ac:dyDescent="0.2">
      <c r="A4" s="93" t="s">
        <v>313</v>
      </c>
      <c r="B4" s="93" t="s">
        <v>688</v>
      </c>
      <c r="C4" s="93" t="s">
        <v>689</v>
      </c>
    </row>
    <row r="5" spans="1:3" x14ac:dyDescent="0.2">
      <c r="A5" s="93" t="s">
        <v>308</v>
      </c>
      <c r="B5" s="93" t="s">
        <v>690</v>
      </c>
    </row>
    <row r="6" spans="1:3" x14ac:dyDescent="0.2">
      <c r="A6" s="93" t="s">
        <v>334</v>
      </c>
      <c r="B6" s="93" t="s">
        <v>691</v>
      </c>
    </row>
    <row r="7" spans="1:3" x14ac:dyDescent="0.2">
      <c r="A7" s="93" t="s">
        <v>192</v>
      </c>
      <c r="B7" s="93" t="s">
        <v>692</v>
      </c>
    </row>
    <row r="8" spans="1:3" x14ac:dyDescent="0.2">
      <c r="A8" s="93" t="s">
        <v>521</v>
      </c>
      <c r="B8" s="93" t="s">
        <v>693</v>
      </c>
    </row>
    <row r="9" spans="1:3" x14ac:dyDescent="0.2">
      <c r="A9" s="93" t="s">
        <v>286</v>
      </c>
      <c r="B9" s="93" t="s">
        <v>694</v>
      </c>
    </row>
    <row r="10" spans="1:3" x14ac:dyDescent="0.2">
      <c r="A10" s="93" t="s">
        <v>173</v>
      </c>
      <c r="B10" s="93" t="s">
        <v>695</v>
      </c>
    </row>
    <row r="11" spans="1:3" x14ac:dyDescent="0.2">
      <c r="A11" s="93" t="s">
        <v>170</v>
      </c>
      <c r="B11" s="93" t="s">
        <v>696</v>
      </c>
    </row>
    <row r="12" spans="1:3" x14ac:dyDescent="0.2">
      <c r="A12" s="93" t="s">
        <v>171</v>
      </c>
      <c r="B12" s="93" t="s">
        <v>697</v>
      </c>
    </row>
    <row r="13" spans="1:3" x14ac:dyDescent="0.2">
      <c r="A13" s="93" t="s">
        <v>176</v>
      </c>
      <c r="B13" s="93" t="s">
        <v>698</v>
      </c>
    </row>
    <row r="14" spans="1:3" x14ac:dyDescent="0.2">
      <c r="A14" s="93" t="s">
        <v>699</v>
      </c>
      <c r="B14" s="93" t="s">
        <v>700</v>
      </c>
    </row>
    <row r="15" spans="1:3" x14ac:dyDescent="0.2">
      <c r="A15" s="93" t="s">
        <v>701</v>
      </c>
      <c r="B15" s="93" t="s">
        <v>702</v>
      </c>
    </row>
    <row r="16" spans="1:3" x14ac:dyDescent="0.2">
      <c r="A16" s="93" t="s">
        <v>275</v>
      </c>
      <c r="B16" s="93" t="s">
        <v>703</v>
      </c>
    </row>
    <row r="17" spans="1:2" x14ac:dyDescent="0.2">
      <c r="A17" s="93" t="s">
        <v>704</v>
      </c>
      <c r="B17" s="93" t="s">
        <v>705</v>
      </c>
    </row>
    <row r="18" spans="1:2" x14ac:dyDescent="0.2">
      <c r="A18" s="93" t="s">
        <v>284</v>
      </c>
      <c r="B18" s="93" t="s">
        <v>706</v>
      </c>
    </row>
    <row r="19" spans="1:2" x14ac:dyDescent="0.2">
      <c r="A19" s="93" t="s">
        <v>176</v>
      </c>
      <c r="B19" s="93" t="s">
        <v>707</v>
      </c>
    </row>
    <row r="20" spans="1:2" x14ac:dyDescent="0.2">
      <c r="A20" s="93" t="s">
        <v>708</v>
      </c>
      <c r="B20" s="93" t="s">
        <v>707</v>
      </c>
    </row>
    <row r="21" spans="1:2" x14ac:dyDescent="0.2">
      <c r="A21" s="93" t="s">
        <v>196</v>
      </c>
      <c r="B21" s="93" t="s">
        <v>709</v>
      </c>
    </row>
    <row r="22" spans="1:2" x14ac:dyDescent="0.2">
      <c r="A22" s="93" t="s">
        <v>710</v>
      </c>
      <c r="B22" s="93" t="s">
        <v>585</v>
      </c>
    </row>
    <row r="23" spans="1:2" x14ac:dyDescent="0.2">
      <c r="A23" s="93" t="s">
        <v>197</v>
      </c>
      <c r="B23" s="93" t="s">
        <v>585</v>
      </c>
    </row>
    <row r="24" spans="1:2" x14ac:dyDescent="0.2">
      <c r="A24" s="93" t="s">
        <v>711</v>
      </c>
      <c r="B24" s="93" t="s">
        <v>585</v>
      </c>
    </row>
    <row r="25" spans="1:2" x14ac:dyDescent="0.2">
      <c r="A25" s="93" t="s">
        <v>594</v>
      </c>
      <c r="B25" s="93" t="s">
        <v>712</v>
      </c>
    </row>
    <row r="26" spans="1:2" x14ac:dyDescent="0.2">
      <c r="A26" s="93" t="s">
        <v>171</v>
      </c>
      <c r="B26" s="93" t="s">
        <v>713</v>
      </c>
    </row>
    <row r="27" spans="1:2" x14ac:dyDescent="0.2">
      <c r="A27" s="93" t="s">
        <v>714</v>
      </c>
      <c r="B27" s="93" t="s">
        <v>715</v>
      </c>
    </row>
    <row r="28" spans="1:2" x14ac:dyDescent="0.2">
      <c r="A28" s="93" t="s">
        <v>716</v>
      </c>
      <c r="B28" s="93" t="s">
        <v>717</v>
      </c>
    </row>
    <row r="29" spans="1:2" x14ac:dyDescent="0.2">
      <c r="A29" s="93" t="s">
        <v>718</v>
      </c>
      <c r="B29" s="93" t="s">
        <v>719</v>
      </c>
    </row>
    <row r="30" spans="1:2" x14ac:dyDescent="0.2">
      <c r="A30" s="93" t="s">
        <v>328</v>
      </c>
      <c r="B30" s="93" t="s">
        <v>720</v>
      </c>
    </row>
    <row r="31" spans="1:2" x14ac:dyDescent="0.2">
      <c r="A31" s="93" t="s">
        <v>183</v>
      </c>
      <c r="B31" s="93" t="s">
        <v>585</v>
      </c>
    </row>
    <row r="32" spans="1:2" x14ac:dyDescent="0.2">
      <c r="A32" s="93" t="s">
        <v>184</v>
      </c>
      <c r="B32" s="93" t="s">
        <v>585</v>
      </c>
    </row>
    <row r="33" spans="1:2" x14ac:dyDescent="0.2">
      <c r="A33" s="93" t="s">
        <v>180</v>
      </c>
      <c r="B33" s="93" t="s">
        <v>721</v>
      </c>
    </row>
    <row r="34" spans="1:2" x14ac:dyDescent="0.2">
      <c r="A34" s="93" t="s">
        <v>181</v>
      </c>
      <c r="B34" s="93" t="s">
        <v>722</v>
      </c>
    </row>
    <row r="35" spans="1:2" x14ac:dyDescent="0.2">
      <c r="A35" s="93" t="s">
        <v>276</v>
      </c>
      <c r="B35" s="93" t="s">
        <v>723</v>
      </c>
    </row>
    <row r="36" spans="1:2" x14ac:dyDescent="0.2">
      <c r="A36" s="93" t="s">
        <v>724</v>
      </c>
      <c r="B36" s="93" t="s">
        <v>723</v>
      </c>
    </row>
    <row r="37" spans="1:2" x14ac:dyDescent="0.2">
      <c r="A37" s="93" t="s">
        <v>725</v>
      </c>
      <c r="B37" s="93" t="s">
        <v>723</v>
      </c>
    </row>
    <row r="38" spans="1:2" x14ac:dyDescent="0.2">
      <c r="A38" s="93" t="s">
        <v>491</v>
      </c>
      <c r="B38" s="93" t="s">
        <v>726</v>
      </c>
    </row>
    <row r="39" spans="1:2" x14ac:dyDescent="0.2">
      <c r="A39" s="93" t="s">
        <v>494</v>
      </c>
      <c r="B39" s="93" t="s">
        <v>727</v>
      </c>
    </row>
    <row r="40" spans="1:2" x14ac:dyDescent="0.2">
      <c r="A40" s="93" t="s">
        <v>498</v>
      </c>
      <c r="B40" s="93" t="s">
        <v>728</v>
      </c>
    </row>
    <row r="41" spans="1:2" x14ac:dyDescent="0.2">
      <c r="A41" s="93" t="s">
        <v>729</v>
      </c>
      <c r="B41" s="93" t="s">
        <v>730</v>
      </c>
    </row>
    <row r="42" spans="1:2" x14ac:dyDescent="0.2">
      <c r="A42" s="93" t="s">
        <v>328</v>
      </c>
      <c r="B42" s="93" t="s">
        <v>731</v>
      </c>
    </row>
    <row r="43" spans="1:2" x14ac:dyDescent="0.2">
      <c r="A43" s="93" t="s">
        <v>732</v>
      </c>
      <c r="B43" s="93" t="s">
        <v>723</v>
      </c>
    </row>
    <row r="44" spans="1:2" x14ac:dyDescent="0.2">
      <c r="A44" s="93" t="s">
        <v>733</v>
      </c>
      <c r="B44" s="93" t="s">
        <v>585</v>
      </c>
    </row>
    <row r="45" spans="1:2" x14ac:dyDescent="0.2">
      <c r="A45" s="93" t="s">
        <v>186</v>
      </c>
      <c r="B45" s="93" t="s">
        <v>734</v>
      </c>
    </row>
    <row r="46" spans="1:2" x14ac:dyDescent="0.2">
      <c r="A46" s="93" t="s">
        <v>603</v>
      </c>
      <c r="B46" s="93" t="s">
        <v>734</v>
      </c>
    </row>
    <row r="47" spans="1:2" x14ac:dyDescent="0.2">
      <c r="A47" s="93" t="s">
        <v>185</v>
      </c>
      <c r="B47" s="93" t="s">
        <v>734</v>
      </c>
    </row>
    <row r="48" spans="1:2" x14ac:dyDescent="0.2">
      <c r="A48" s="93" t="s">
        <v>735</v>
      </c>
      <c r="B48" s="93" t="s">
        <v>734</v>
      </c>
    </row>
    <row r="49" spans="1:2" x14ac:dyDescent="0.2">
      <c r="A49" s="93" t="s">
        <v>736</v>
      </c>
      <c r="B49" s="93" t="s">
        <v>585</v>
      </c>
    </row>
    <row r="50" spans="1:2" x14ac:dyDescent="0.2">
      <c r="A50" s="93" t="s">
        <v>372</v>
      </c>
      <c r="B50" s="93" t="s">
        <v>723</v>
      </c>
    </row>
    <row r="51" spans="1:2" x14ac:dyDescent="0.2">
      <c r="A51" s="93" t="s">
        <v>737</v>
      </c>
      <c r="B51" s="93" t="s">
        <v>723</v>
      </c>
    </row>
    <row r="52" spans="1:2" x14ac:dyDescent="0.2">
      <c r="A52" s="93" t="s">
        <v>244</v>
      </c>
      <c r="B52" s="93" t="s">
        <v>723</v>
      </c>
    </row>
    <row r="53" spans="1:2" x14ac:dyDescent="0.2">
      <c r="A53" s="93" t="s">
        <v>738</v>
      </c>
      <c r="B53" s="93" t="s">
        <v>739</v>
      </c>
    </row>
    <row r="54" spans="1:2" x14ac:dyDescent="0.2">
      <c r="A54" s="93" t="s">
        <v>740</v>
      </c>
    </row>
    <row r="55" spans="1:2" x14ac:dyDescent="0.2">
      <c r="A55" s="93" t="s">
        <v>741</v>
      </c>
      <c r="B55" s="93" t="s">
        <v>734</v>
      </c>
    </row>
    <row r="56" spans="1:2" x14ac:dyDescent="0.2">
      <c r="A56" s="93" t="s">
        <v>742</v>
      </c>
      <c r="B56" s="93" t="s">
        <v>585</v>
      </c>
    </row>
    <row r="57" spans="1:2" x14ac:dyDescent="0.2">
      <c r="A57" s="93" t="s">
        <v>743</v>
      </c>
      <c r="B57" s="93" t="s">
        <v>723</v>
      </c>
    </row>
    <row r="58" spans="1:2" x14ac:dyDescent="0.2">
      <c r="A58" s="93" t="s">
        <v>744</v>
      </c>
      <c r="B58" s="93" t="s">
        <v>649</v>
      </c>
    </row>
    <row r="59" spans="1:2" x14ac:dyDescent="0.2">
      <c r="A59" s="93" t="s">
        <v>745</v>
      </c>
      <c r="B59" s="93" t="s">
        <v>734</v>
      </c>
    </row>
    <row r="60" spans="1:2" x14ac:dyDescent="0.2">
      <c r="A60" s="93" t="s">
        <v>746</v>
      </c>
      <c r="B60" s="93" t="s">
        <v>131</v>
      </c>
    </row>
    <row r="61" spans="1:2" x14ac:dyDescent="0.2">
      <c r="A61" s="93" t="s">
        <v>747</v>
      </c>
      <c r="B61" s="93" t="s">
        <v>734</v>
      </c>
    </row>
    <row r="62" spans="1:2" x14ac:dyDescent="0.2">
      <c r="A62" s="93" t="s">
        <v>748</v>
      </c>
      <c r="B62" s="93" t="s">
        <v>734</v>
      </c>
    </row>
    <row r="63" spans="1:2" x14ac:dyDescent="0.2">
      <c r="A63" s="93" t="s">
        <v>749</v>
      </c>
      <c r="B63" s="93" t="s">
        <v>750</v>
      </c>
    </row>
    <row r="64" spans="1:2" x14ac:dyDescent="0.2">
      <c r="A64" s="93" t="s">
        <v>751</v>
      </c>
      <c r="B64" s="93" t="s">
        <v>734</v>
      </c>
    </row>
    <row r="65" spans="1:2" x14ac:dyDescent="0.2">
      <c r="A65" s="93" t="s">
        <v>752</v>
      </c>
      <c r="B65" s="93" t="s">
        <v>649</v>
      </c>
    </row>
    <row r="66" spans="1:2" x14ac:dyDescent="0.2">
      <c r="A66" s="93" t="s">
        <v>753</v>
      </c>
      <c r="B66" s="93" t="s">
        <v>754</v>
      </c>
    </row>
    <row r="67" spans="1:2" x14ac:dyDescent="0.2">
      <c r="A67" s="93" t="s">
        <v>755</v>
      </c>
      <c r="B67" s="93" t="s">
        <v>756</v>
      </c>
    </row>
    <row r="68" spans="1:2" x14ac:dyDescent="0.2">
      <c r="A68" s="93" t="s">
        <v>757</v>
      </c>
      <c r="B68" s="93" t="s">
        <v>758</v>
      </c>
    </row>
    <row r="69" spans="1:2" x14ac:dyDescent="0.2">
      <c r="A69" s="93" t="s">
        <v>191</v>
      </c>
      <c r="B69" s="93" t="s">
        <v>759</v>
      </c>
    </row>
    <row r="70" spans="1:2" x14ac:dyDescent="0.2">
      <c r="A70" s="93" t="s">
        <v>760</v>
      </c>
      <c r="B70" s="93" t="s">
        <v>761</v>
      </c>
    </row>
    <row r="71" spans="1:2" x14ac:dyDescent="0.2">
      <c r="A71" s="93" t="s">
        <v>185</v>
      </c>
      <c r="B71" s="93" t="s">
        <v>762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S149"/>
  <sheetViews>
    <sheetView workbookViewId="0"/>
  </sheetViews>
  <sheetFormatPr defaultColWidth="11.21875" defaultRowHeight="15" customHeight="1" x14ac:dyDescent="0.2"/>
  <cols>
    <col min="1" max="1" width="14.0546875" customWidth="1"/>
    <col min="2" max="2" width="16.27734375" customWidth="1"/>
  </cols>
  <sheetData>
    <row r="1" spans="1:16" x14ac:dyDescent="0.2">
      <c r="A1" s="538" t="s">
        <v>763</v>
      </c>
      <c r="B1" s="537"/>
      <c r="C1" s="537"/>
      <c r="D1" s="537"/>
      <c r="E1" s="537"/>
      <c r="F1" s="537"/>
      <c r="G1" s="537"/>
      <c r="H1" s="531"/>
      <c r="I1" s="539" t="s">
        <v>199</v>
      </c>
      <c r="J1" s="537"/>
      <c r="K1" s="537"/>
      <c r="L1" s="537"/>
      <c r="M1" s="537"/>
      <c r="N1" s="537"/>
      <c r="O1" s="537"/>
      <c r="P1" s="531"/>
    </row>
    <row r="2" spans="1:16" x14ac:dyDescent="0.2">
      <c r="A2" s="78" t="s">
        <v>200</v>
      </c>
      <c r="B2" s="78" t="s">
        <v>201</v>
      </c>
      <c r="C2" s="79" t="s">
        <v>119</v>
      </c>
      <c r="D2" s="79" t="s">
        <v>202</v>
      </c>
      <c r="E2" s="79" t="s">
        <v>121</v>
      </c>
      <c r="F2" s="79" t="s">
        <v>203</v>
      </c>
      <c r="G2" s="79" t="s">
        <v>125</v>
      </c>
      <c r="H2" s="79" t="s">
        <v>204</v>
      </c>
      <c r="I2" s="80" t="s">
        <v>205</v>
      </c>
      <c r="J2" s="80" t="s">
        <v>142</v>
      </c>
      <c r="K2" s="80"/>
      <c r="L2" s="80" t="s">
        <v>206</v>
      </c>
      <c r="M2" s="80" t="s">
        <v>207</v>
      </c>
      <c r="N2" s="80" t="s">
        <v>143</v>
      </c>
      <c r="O2" s="80" t="s">
        <v>764</v>
      </c>
      <c r="P2" s="80" t="s">
        <v>209</v>
      </c>
    </row>
    <row r="3" spans="1:16" x14ac:dyDescent="0.2">
      <c r="A3" s="97" t="s">
        <v>291</v>
      </c>
      <c r="B3" s="97" t="s">
        <v>292</v>
      </c>
      <c r="C3" s="98" t="b">
        <v>0</v>
      </c>
      <c r="D3" s="99" t="b">
        <v>0</v>
      </c>
      <c r="E3" s="98" t="b">
        <v>0</v>
      </c>
      <c r="F3" s="98" t="b">
        <v>0</v>
      </c>
      <c r="G3" s="99" t="b">
        <v>0</v>
      </c>
      <c r="H3" s="100" t="b">
        <v>0</v>
      </c>
      <c r="I3" s="240" t="b">
        <v>0</v>
      </c>
      <c r="J3" s="101" t="b">
        <v>0</v>
      </c>
      <c r="K3" s="101" t="b">
        <v>0</v>
      </c>
      <c r="L3" s="101" t="b">
        <v>0</v>
      </c>
      <c r="M3" s="101" t="b">
        <v>0</v>
      </c>
      <c r="N3" s="98" t="b">
        <v>0</v>
      </c>
      <c r="O3" s="98" t="b">
        <v>0</v>
      </c>
      <c r="P3" s="101" t="b">
        <v>0</v>
      </c>
    </row>
    <row r="4" spans="1:16" x14ac:dyDescent="0.2">
      <c r="A4" s="241" t="s">
        <v>223</v>
      </c>
      <c r="B4" s="103" t="s">
        <v>765</v>
      </c>
      <c r="C4" s="83" t="b">
        <v>1</v>
      </c>
      <c r="D4" s="84" t="b">
        <v>1</v>
      </c>
      <c r="E4" s="83" t="b">
        <v>1</v>
      </c>
      <c r="F4" s="85" t="b">
        <v>0</v>
      </c>
      <c r="G4" s="86" t="b">
        <v>0</v>
      </c>
      <c r="H4" s="86" t="b">
        <v>0</v>
      </c>
      <c r="I4" s="22" t="b">
        <v>0</v>
      </c>
      <c r="J4" s="22" t="b">
        <v>1</v>
      </c>
      <c r="K4" s="22" t="b">
        <v>0</v>
      </c>
      <c r="L4" s="23" t="b">
        <v>0</v>
      </c>
      <c r="M4" s="22" t="b">
        <v>1</v>
      </c>
      <c r="N4" s="83" t="b">
        <v>1</v>
      </c>
      <c r="O4" s="83" t="b">
        <v>1</v>
      </c>
      <c r="P4" s="22" t="b">
        <v>0</v>
      </c>
    </row>
    <row r="5" spans="1:16" x14ac:dyDescent="0.2">
      <c r="A5" s="241" t="s">
        <v>145</v>
      </c>
      <c r="B5" s="103" t="s">
        <v>765</v>
      </c>
      <c r="C5" s="83" t="b">
        <v>1</v>
      </c>
      <c r="D5" s="84" t="b">
        <v>1</v>
      </c>
      <c r="E5" s="83" t="b">
        <v>1</v>
      </c>
      <c r="F5" s="85" t="b">
        <v>0</v>
      </c>
      <c r="G5" s="86" t="b">
        <v>0</v>
      </c>
      <c r="H5" s="86" t="b">
        <v>0</v>
      </c>
      <c r="I5" s="22" t="b">
        <v>0</v>
      </c>
      <c r="J5" s="22" t="b">
        <v>1</v>
      </c>
      <c r="K5" s="22" t="b">
        <v>0</v>
      </c>
      <c r="L5" s="23" t="b">
        <v>0</v>
      </c>
      <c r="M5" s="22" t="b">
        <v>1</v>
      </c>
      <c r="N5" s="83" t="b">
        <v>1</v>
      </c>
      <c r="O5" s="83" t="b">
        <v>1</v>
      </c>
      <c r="P5" s="22" t="b">
        <v>0</v>
      </c>
    </row>
    <row r="6" spans="1:16" x14ac:dyDescent="0.2">
      <c r="A6" s="241" t="s">
        <v>128</v>
      </c>
      <c r="B6" s="103" t="s">
        <v>766</v>
      </c>
      <c r="C6" s="83" t="b">
        <v>1</v>
      </c>
      <c r="D6" s="84" t="b">
        <v>1</v>
      </c>
      <c r="E6" s="83" t="b">
        <v>1</v>
      </c>
      <c r="F6" s="85" t="b">
        <v>0</v>
      </c>
      <c r="G6" s="86" t="b">
        <v>0</v>
      </c>
      <c r="H6" s="86" t="b">
        <v>0</v>
      </c>
      <c r="I6" s="22" t="b">
        <v>0</v>
      </c>
      <c r="J6" s="22" t="b">
        <v>1</v>
      </c>
      <c r="K6" s="22" t="b">
        <v>0</v>
      </c>
      <c r="L6" s="23" t="b">
        <v>0</v>
      </c>
      <c r="M6" s="22" t="b">
        <v>1</v>
      </c>
      <c r="N6" s="83" t="b">
        <v>1</v>
      </c>
      <c r="O6" s="83" t="b">
        <v>1</v>
      </c>
      <c r="P6" s="22" t="b">
        <v>0</v>
      </c>
    </row>
    <row r="7" spans="1:16" x14ac:dyDescent="0.2">
      <c r="A7" s="241" t="s">
        <v>143</v>
      </c>
      <c r="B7" s="103" t="s">
        <v>767</v>
      </c>
      <c r="C7" s="83" t="b">
        <v>1</v>
      </c>
      <c r="D7" s="84" t="b">
        <v>1</v>
      </c>
      <c r="E7" s="83" t="b">
        <v>1</v>
      </c>
      <c r="F7" s="85" t="b">
        <v>0</v>
      </c>
      <c r="G7" s="86" t="b">
        <v>0</v>
      </c>
      <c r="H7" s="86" t="b">
        <v>0</v>
      </c>
      <c r="I7" s="22" t="b">
        <v>0</v>
      </c>
      <c r="J7" s="22" t="b">
        <v>1</v>
      </c>
      <c r="K7" s="22" t="b">
        <v>0</v>
      </c>
      <c r="L7" s="23" t="b">
        <v>0</v>
      </c>
      <c r="M7" s="22" t="b">
        <v>1</v>
      </c>
      <c r="N7" s="83" t="b">
        <v>1</v>
      </c>
      <c r="O7" s="83" t="b">
        <v>1</v>
      </c>
      <c r="P7" s="22" t="b">
        <v>0</v>
      </c>
    </row>
    <row r="8" spans="1:16" x14ac:dyDescent="0.2">
      <c r="A8" s="241" t="s">
        <v>44</v>
      </c>
      <c r="B8" s="103" t="s">
        <v>767</v>
      </c>
      <c r="C8" s="83" t="b">
        <v>1</v>
      </c>
      <c r="D8" s="84" t="b">
        <v>1</v>
      </c>
      <c r="E8" s="83" t="b">
        <v>1</v>
      </c>
      <c r="F8" s="85" t="b">
        <v>0</v>
      </c>
      <c r="G8" s="86" t="b">
        <v>0</v>
      </c>
      <c r="H8" s="86" t="b">
        <v>0</v>
      </c>
      <c r="I8" s="23" t="b">
        <v>0</v>
      </c>
      <c r="J8" s="22" t="b">
        <v>1</v>
      </c>
      <c r="K8" s="22" t="b">
        <v>0</v>
      </c>
      <c r="L8" s="23" t="b">
        <v>0</v>
      </c>
      <c r="M8" s="22" t="b">
        <v>1</v>
      </c>
      <c r="N8" s="83" t="b">
        <v>1</v>
      </c>
      <c r="O8" s="83" t="b">
        <v>1</v>
      </c>
      <c r="P8" s="22" t="b">
        <v>0</v>
      </c>
    </row>
    <row r="9" spans="1:16" x14ac:dyDescent="0.2">
      <c r="A9" s="241" t="s">
        <v>161</v>
      </c>
      <c r="B9" s="103" t="s">
        <v>768</v>
      </c>
      <c r="C9" s="83" t="b">
        <v>1</v>
      </c>
      <c r="D9" s="84" t="b">
        <v>1</v>
      </c>
      <c r="E9" s="83" t="b">
        <v>1</v>
      </c>
      <c r="F9" s="85" t="b">
        <v>0</v>
      </c>
      <c r="G9" s="86" t="b">
        <v>0</v>
      </c>
      <c r="H9" s="86" t="b">
        <v>0</v>
      </c>
      <c r="I9" s="23" t="b">
        <v>0</v>
      </c>
      <c r="J9" s="22" t="b">
        <v>1</v>
      </c>
      <c r="K9" s="22" t="b">
        <v>0</v>
      </c>
      <c r="L9" s="23" t="b">
        <v>0</v>
      </c>
      <c r="M9" s="22" t="b">
        <v>1</v>
      </c>
      <c r="N9" s="83" t="b">
        <v>1</v>
      </c>
      <c r="O9" s="83" t="b">
        <v>1</v>
      </c>
      <c r="P9" s="22" t="b">
        <v>0</v>
      </c>
    </row>
    <row r="10" spans="1:16" x14ac:dyDescent="0.2">
      <c r="A10" s="241" t="s">
        <v>129</v>
      </c>
      <c r="B10" s="103" t="s">
        <v>768</v>
      </c>
      <c r="C10" s="83" t="b">
        <v>1</v>
      </c>
      <c r="D10" s="84" t="b">
        <v>1</v>
      </c>
      <c r="E10" s="83" t="b">
        <v>1</v>
      </c>
      <c r="F10" s="83" t="b">
        <v>0</v>
      </c>
      <c r="G10" s="86" t="b">
        <v>0</v>
      </c>
      <c r="H10" s="86" t="b">
        <v>0</v>
      </c>
      <c r="I10" s="23" t="b">
        <v>0</v>
      </c>
      <c r="J10" s="22" t="b">
        <v>1</v>
      </c>
      <c r="K10" s="22" t="b">
        <v>0</v>
      </c>
      <c r="L10" s="23" t="b">
        <v>0</v>
      </c>
      <c r="M10" s="22" t="b">
        <v>1</v>
      </c>
      <c r="N10" s="83" t="b">
        <v>1</v>
      </c>
      <c r="O10" s="83" t="b">
        <v>1</v>
      </c>
      <c r="P10" s="22" t="b">
        <v>0</v>
      </c>
    </row>
    <row r="11" spans="1:16" x14ac:dyDescent="0.2">
      <c r="A11" s="241" t="s">
        <v>145</v>
      </c>
      <c r="B11" s="103" t="s">
        <v>767</v>
      </c>
      <c r="C11" s="83" t="b">
        <v>1</v>
      </c>
      <c r="D11" s="84" t="b">
        <v>1</v>
      </c>
      <c r="E11" s="83" t="b">
        <v>1</v>
      </c>
      <c r="F11" s="85" t="b">
        <v>0</v>
      </c>
      <c r="G11" s="86" t="b">
        <v>0</v>
      </c>
      <c r="H11" s="86" t="b">
        <v>0</v>
      </c>
      <c r="I11" s="23" t="b">
        <v>0</v>
      </c>
      <c r="J11" s="22" t="b">
        <v>1</v>
      </c>
      <c r="K11" s="22" t="b">
        <v>0</v>
      </c>
      <c r="L11" s="23" t="b">
        <v>0</v>
      </c>
      <c r="M11" s="22" t="b">
        <v>1</v>
      </c>
      <c r="N11" s="83" t="b">
        <v>1</v>
      </c>
      <c r="O11" s="83" t="b">
        <v>1</v>
      </c>
      <c r="P11" s="22" t="b">
        <v>0</v>
      </c>
    </row>
    <row r="12" spans="1:16" x14ac:dyDescent="0.2">
      <c r="A12" s="242" t="s">
        <v>441</v>
      </c>
      <c r="B12" s="103" t="s">
        <v>767</v>
      </c>
      <c r="C12" s="83" t="b">
        <v>1</v>
      </c>
      <c r="D12" s="84" t="b">
        <v>1</v>
      </c>
      <c r="E12" s="83" t="b">
        <v>1</v>
      </c>
      <c r="F12" s="85" t="b">
        <v>0</v>
      </c>
      <c r="G12" s="86" t="b">
        <v>0</v>
      </c>
      <c r="H12" s="86" t="b">
        <v>0</v>
      </c>
      <c r="I12" s="23" t="b">
        <v>0</v>
      </c>
      <c r="J12" s="22" t="b">
        <v>1</v>
      </c>
      <c r="K12" s="22" t="b">
        <v>0</v>
      </c>
      <c r="L12" s="23" t="b">
        <v>0</v>
      </c>
      <c r="M12" s="22" t="b">
        <v>1</v>
      </c>
      <c r="N12" s="83" t="b">
        <v>1</v>
      </c>
      <c r="O12" s="83" t="b">
        <v>1</v>
      </c>
      <c r="P12" s="22" t="b">
        <v>0</v>
      </c>
    </row>
    <row r="13" spans="1:16" x14ac:dyDescent="0.2">
      <c r="A13" s="241" t="s">
        <v>215</v>
      </c>
      <c r="B13" s="103" t="s">
        <v>768</v>
      </c>
      <c r="C13" s="83" t="b">
        <v>1</v>
      </c>
      <c r="D13" s="84" t="b">
        <v>1</v>
      </c>
      <c r="E13" s="83" t="b">
        <v>1</v>
      </c>
      <c r="F13" s="85" t="b">
        <v>0</v>
      </c>
      <c r="G13" s="86" t="b">
        <v>0</v>
      </c>
      <c r="H13" s="86" t="b">
        <v>0</v>
      </c>
      <c r="I13" s="23" t="b">
        <v>0</v>
      </c>
      <c r="J13" s="22" t="b">
        <v>1</v>
      </c>
      <c r="K13" s="22" t="b">
        <v>0</v>
      </c>
      <c r="L13" s="23" t="b">
        <v>0</v>
      </c>
      <c r="M13" s="22" t="b">
        <v>1</v>
      </c>
      <c r="N13" s="83" t="b">
        <v>1</v>
      </c>
      <c r="O13" s="83" t="b">
        <v>1</v>
      </c>
      <c r="P13" s="22" t="b">
        <v>0</v>
      </c>
    </row>
    <row r="14" spans="1:16" x14ac:dyDescent="0.2">
      <c r="A14" s="243" t="s">
        <v>131</v>
      </c>
      <c r="B14" s="103" t="s">
        <v>769</v>
      </c>
      <c r="C14" s="83" t="b">
        <v>0</v>
      </c>
      <c r="D14" s="86" t="b">
        <v>0</v>
      </c>
      <c r="E14" s="83" t="b">
        <v>1</v>
      </c>
      <c r="F14" s="85" t="b">
        <v>0</v>
      </c>
      <c r="G14" s="86" t="b">
        <v>0</v>
      </c>
      <c r="H14" s="86" t="b">
        <v>0</v>
      </c>
      <c r="I14" s="23" t="b">
        <v>0</v>
      </c>
      <c r="J14" s="22" t="b">
        <v>1</v>
      </c>
      <c r="K14" s="22" t="b">
        <v>0</v>
      </c>
      <c r="L14" s="23" t="b">
        <v>0</v>
      </c>
      <c r="M14" s="22" t="b">
        <v>1</v>
      </c>
      <c r="N14" s="83" t="b">
        <v>1</v>
      </c>
      <c r="O14" s="83" t="b">
        <v>1</v>
      </c>
      <c r="P14" s="22" t="b">
        <v>0</v>
      </c>
    </row>
    <row r="15" spans="1:16" x14ac:dyDescent="0.2">
      <c r="A15" s="243" t="s">
        <v>131</v>
      </c>
      <c r="B15" s="103" t="s">
        <v>767</v>
      </c>
      <c r="C15" s="83" t="b">
        <v>1</v>
      </c>
      <c r="D15" s="84" t="b">
        <v>1</v>
      </c>
      <c r="E15" s="83" t="b">
        <v>1</v>
      </c>
      <c r="F15" s="85" t="b">
        <v>0</v>
      </c>
      <c r="G15" s="86" t="b">
        <v>0</v>
      </c>
      <c r="H15" s="86" t="b">
        <v>0</v>
      </c>
      <c r="I15" s="23" t="b">
        <v>0</v>
      </c>
      <c r="J15" s="22" t="b">
        <v>1</v>
      </c>
      <c r="K15" s="22" t="b">
        <v>0</v>
      </c>
      <c r="L15" s="23" t="b">
        <v>0</v>
      </c>
      <c r="M15" s="22" t="b">
        <v>1</v>
      </c>
      <c r="N15" s="83" t="b">
        <v>1</v>
      </c>
      <c r="O15" s="83" t="b">
        <v>1</v>
      </c>
      <c r="P15" s="22" t="b">
        <v>0</v>
      </c>
    </row>
    <row r="16" spans="1:16" x14ac:dyDescent="0.2">
      <c r="A16" s="241" t="s">
        <v>134</v>
      </c>
      <c r="B16" s="103" t="s">
        <v>770</v>
      </c>
      <c r="C16" s="83" t="b">
        <v>0</v>
      </c>
      <c r="D16" s="86" t="b">
        <v>0</v>
      </c>
      <c r="E16" s="85" t="b">
        <v>0</v>
      </c>
      <c r="F16" s="85" t="b">
        <v>0</v>
      </c>
      <c r="G16" s="86" t="b">
        <v>0</v>
      </c>
      <c r="H16" s="86" t="b">
        <v>0</v>
      </c>
      <c r="I16" s="23" t="b">
        <v>0</v>
      </c>
      <c r="J16" s="22" t="b">
        <v>1</v>
      </c>
      <c r="K16" s="22" t="b">
        <v>0</v>
      </c>
      <c r="L16" s="23" t="b">
        <v>0</v>
      </c>
      <c r="M16" s="22" t="b">
        <v>1</v>
      </c>
      <c r="N16" s="83" t="b">
        <v>1</v>
      </c>
      <c r="O16" s="83" t="b">
        <v>1</v>
      </c>
      <c r="P16" s="22" t="b">
        <v>0</v>
      </c>
    </row>
    <row r="20" spans="1:19" x14ac:dyDescent="0.2">
      <c r="A20" s="244" t="s">
        <v>457</v>
      </c>
      <c r="B20" s="568" t="s">
        <v>458</v>
      </c>
      <c r="C20" s="537"/>
      <c r="D20" s="537"/>
      <c r="E20" s="537"/>
      <c r="F20" s="531"/>
      <c r="G20" s="245"/>
      <c r="H20" s="245"/>
      <c r="I20" s="568" t="s">
        <v>201</v>
      </c>
      <c r="J20" s="531"/>
      <c r="L20" s="564" t="s">
        <v>504</v>
      </c>
      <c r="M20" s="537"/>
      <c r="N20" s="537"/>
      <c r="O20" s="537"/>
      <c r="P20" s="537"/>
      <c r="Q20" s="537"/>
      <c r="R20" s="537"/>
      <c r="S20" s="531"/>
    </row>
    <row r="21" spans="1:19" x14ac:dyDescent="0.2">
      <c r="A21" s="207"/>
      <c r="B21" s="246" t="s">
        <v>459</v>
      </c>
      <c r="C21" s="246" t="s">
        <v>460</v>
      </c>
      <c r="D21" s="246" t="s">
        <v>459</v>
      </c>
      <c r="E21" s="246" t="s">
        <v>460</v>
      </c>
      <c r="F21" s="246" t="s">
        <v>459</v>
      </c>
      <c r="G21" s="246" t="s">
        <v>460</v>
      </c>
      <c r="H21" s="246" t="s">
        <v>459</v>
      </c>
      <c r="I21" s="207"/>
      <c r="J21" s="23"/>
      <c r="L21" s="78" t="s">
        <v>200</v>
      </c>
      <c r="M21" s="78" t="s">
        <v>201</v>
      </c>
      <c r="N21" s="207"/>
      <c r="O21" s="151"/>
      <c r="P21" s="565" t="s">
        <v>96</v>
      </c>
      <c r="Q21" s="537"/>
      <c r="R21" s="531"/>
      <c r="S21" s="187" t="s">
        <v>153</v>
      </c>
    </row>
    <row r="22" spans="1:19" x14ac:dyDescent="0.2">
      <c r="A22" s="207"/>
      <c r="B22" s="567" t="s">
        <v>464</v>
      </c>
      <c r="C22" s="531"/>
      <c r="D22" s="567" t="s">
        <v>132</v>
      </c>
      <c r="E22" s="531"/>
      <c r="F22" s="567" t="s">
        <v>136</v>
      </c>
      <c r="G22" s="531"/>
      <c r="H22" s="247" t="s">
        <v>465</v>
      </c>
      <c r="I22" s="207"/>
      <c r="J22" s="23"/>
      <c r="L22" s="97" t="s">
        <v>291</v>
      </c>
      <c r="M22" s="97" t="s">
        <v>292</v>
      </c>
      <c r="N22" s="207"/>
      <c r="O22" s="151"/>
      <c r="P22" s="103" t="s">
        <v>126</v>
      </c>
      <c r="Q22" s="103" t="s">
        <v>132</v>
      </c>
      <c r="R22" s="103" t="s">
        <v>136</v>
      </c>
      <c r="S22" s="23"/>
    </row>
    <row r="23" spans="1:19" x14ac:dyDescent="0.2">
      <c r="A23" s="248" t="s">
        <v>223</v>
      </c>
      <c r="B23" s="153">
        <v>8</v>
      </c>
      <c r="C23" s="249">
        <v>9</v>
      </c>
      <c r="D23" s="153">
        <v>8</v>
      </c>
      <c r="E23" s="249">
        <v>9</v>
      </c>
      <c r="F23" s="153">
        <v>8</v>
      </c>
      <c r="G23" s="249">
        <v>9</v>
      </c>
      <c r="H23" s="151"/>
      <c r="I23" s="569" t="s">
        <v>765</v>
      </c>
      <c r="J23" s="531"/>
      <c r="L23" s="248" t="s">
        <v>223</v>
      </c>
      <c r="M23" s="103" t="s">
        <v>765</v>
      </c>
      <c r="N23" s="23"/>
      <c r="O23" s="23"/>
      <c r="P23" s="193">
        <v>6438</v>
      </c>
      <c r="Q23" s="193">
        <v>7258.5</v>
      </c>
      <c r="R23" s="193">
        <v>6871.05</v>
      </c>
      <c r="S23" s="194">
        <f>SUM(P23:R23)</f>
        <v>20567.55</v>
      </c>
    </row>
    <row r="24" spans="1:19" x14ac:dyDescent="0.2">
      <c r="A24" s="248" t="s">
        <v>145</v>
      </c>
      <c r="B24" s="153">
        <v>8</v>
      </c>
      <c r="C24" s="249">
        <v>9</v>
      </c>
      <c r="D24" s="153">
        <v>8</v>
      </c>
      <c r="E24" s="249">
        <v>9</v>
      </c>
      <c r="F24" s="153">
        <v>8</v>
      </c>
      <c r="G24" s="249">
        <v>9</v>
      </c>
      <c r="H24" s="151"/>
      <c r="I24" s="103" t="s">
        <v>765</v>
      </c>
      <c r="J24" s="23"/>
      <c r="L24" s="248" t="s">
        <v>145</v>
      </c>
      <c r="M24" s="103" t="s">
        <v>765</v>
      </c>
      <c r="N24" s="23"/>
      <c r="O24" s="23"/>
      <c r="P24" s="196">
        <v>4497</v>
      </c>
      <c r="Q24" s="196">
        <v>4895.3</v>
      </c>
      <c r="R24" s="196">
        <v>5993.65</v>
      </c>
      <c r="S24" s="194">
        <f t="shared" ref="S24:S35" si="0">SUM(P24:R24)</f>
        <v>15385.949999999999</v>
      </c>
    </row>
    <row r="25" spans="1:19" x14ac:dyDescent="0.2">
      <c r="A25" s="248" t="s">
        <v>128</v>
      </c>
      <c r="B25" s="153">
        <v>8</v>
      </c>
      <c r="C25" s="249">
        <v>9</v>
      </c>
      <c r="D25" s="153">
        <v>8</v>
      </c>
      <c r="E25" s="249">
        <v>9</v>
      </c>
      <c r="F25" s="153">
        <v>8</v>
      </c>
      <c r="G25" s="249">
        <v>9</v>
      </c>
      <c r="H25" s="151"/>
      <c r="I25" s="103" t="s">
        <v>766</v>
      </c>
      <c r="J25" s="23"/>
      <c r="L25" s="248" t="s">
        <v>128</v>
      </c>
      <c r="M25" s="103" t="s">
        <v>766</v>
      </c>
      <c r="N25" s="23"/>
      <c r="O25" s="23"/>
      <c r="P25" s="196">
        <v>11955</v>
      </c>
      <c r="Q25" s="196">
        <v>15466.25</v>
      </c>
      <c r="R25" s="196">
        <v>13656.25</v>
      </c>
      <c r="S25" s="194">
        <f t="shared" si="0"/>
        <v>41077.5</v>
      </c>
    </row>
    <row r="26" spans="1:19" x14ac:dyDescent="0.2">
      <c r="A26" s="248" t="s">
        <v>143</v>
      </c>
      <c r="B26" s="153">
        <v>5</v>
      </c>
      <c r="C26" s="249">
        <v>9</v>
      </c>
      <c r="D26" s="153">
        <v>5</v>
      </c>
      <c r="E26" s="249">
        <v>9</v>
      </c>
      <c r="F26" s="153">
        <v>5</v>
      </c>
      <c r="G26" s="249">
        <v>9</v>
      </c>
      <c r="H26" s="151"/>
      <c r="I26" s="103" t="s">
        <v>767</v>
      </c>
      <c r="J26" s="23"/>
      <c r="L26" s="248" t="s">
        <v>143</v>
      </c>
      <c r="M26" s="103" t="s">
        <v>767</v>
      </c>
      <c r="N26" s="23"/>
      <c r="O26" s="23"/>
      <c r="P26" s="196">
        <v>5373.5</v>
      </c>
      <c r="Q26" s="196">
        <v>5612.45</v>
      </c>
      <c r="R26" s="196">
        <v>6929.3</v>
      </c>
      <c r="S26" s="194">
        <f t="shared" si="0"/>
        <v>17915.25</v>
      </c>
    </row>
    <row r="27" spans="1:19" x14ac:dyDescent="0.2">
      <c r="A27" s="248" t="s">
        <v>44</v>
      </c>
      <c r="B27" s="153">
        <v>4</v>
      </c>
      <c r="C27" s="249">
        <v>9</v>
      </c>
      <c r="D27" s="153">
        <v>4</v>
      </c>
      <c r="E27" s="249">
        <v>9</v>
      </c>
      <c r="F27" s="153">
        <v>4</v>
      </c>
      <c r="G27" s="249">
        <v>9</v>
      </c>
      <c r="H27" s="151"/>
      <c r="I27" s="103" t="s">
        <v>767</v>
      </c>
      <c r="J27" s="23"/>
      <c r="L27" s="248" t="s">
        <v>44</v>
      </c>
      <c r="M27" s="103" t="s">
        <v>767</v>
      </c>
      <c r="N27" s="23"/>
      <c r="O27" s="23"/>
      <c r="P27" s="196">
        <v>1644.31</v>
      </c>
      <c r="Q27" s="196">
        <v>2033.23</v>
      </c>
      <c r="R27" s="196">
        <v>1256.93</v>
      </c>
      <c r="S27" s="194">
        <f t="shared" si="0"/>
        <v>4934.47</v>
      </c>
    </row>
    <row r="28" spans="1:19" x14ac:dyDescent="0.2">
      <c r="A28" s="248" t="s">
        <v>161</v>
      </c>
      <c r="B28" s="153">
        <v>8</v>
      </c>
      <c r="C28" s="249">
        <v>9</v>
      </c>
      <c r="D28" s="153">
        <v>8</v>
      </c>
      <c r="E28" s="249">
        <v>9</v>
      </c>
      <c r="F28" s="153">
        <v>8</v>
      </c>
      <c r="G28" s="249">
        <v>9</v>
      </c>
      <c r="H28" s="151"/>
      <c r="I28" s="103" t="s">
        <v>768</v>
      </c>
      <c r="J28" s="23"/>
      <c r="L28" s="248" t="s">
        <v>161</v>
      </c>
      <c r="M28" s="103" t="s">
        <v>768</v>
      </c>
      <c r="N28" s="23"/>
      <c r="O28" s="23"/>
      <c r="P28" s="196">
        <v>8938</v>
      </c>
      <c r="Q28" s="196">
        <v>11569.3</v>
      </c>
      <c r="R28" s="196">
        <v>11057.65</v>
      </c>
      <c r="S28" s="194">
        <f t="shared" si="0"/>
        <v>31564.949999999997</v>
      </c>
    </row>
    <row r="29" spans="1:19" x14ac:dyDescent="0.2">
      <c r="A29" s="248" t="s">
        <v>129</v>
      </c>
      <c r="B29" s="153">
        <v>3</v>
      </c>
      <c r="C29" s="249">
        <v>9</v>
      </c>
      <c r="D29" s="153">
        <v>3</v>
      </c>
      <c r="E29" s="249">
        <v>9</v>
      </c>
      <c r="F29" s="153">
        <v>3</v>
      </c>
      <c r="G29" s="249">
        <v>9</v>
      </c>
      <c r="H29" s="151"/>
      <c r="I29" s="103" t="s">
        <v>768</v>
      </c>
      <c r="J29" s="23"/>
      <c r="L29" s="248" t="s">
        <v>129</v>
      </c>
      <c r="M29" s="103" t="s">
        <v>768</v>
      </c>
      <c r="N29" s="23"/>
      <c r="O29" s="23"/>
      <c r="P29" s="196">
        <v>4448.75</v>
      </c>
      <c r="Q29" s="196">
        <v>5884.61</v>
      </c>
      <c r="R29" s="196">
        <v>4940.3</v>
      </c>
      <c r="S29" s="194">
        <f t="shared" si="0"/>
        <v>15273.66</v>
      </c>
    </row>
    <row r="30" spans="1:19" x14ac:dyDescent="0.2">
      <c r="A30" s="248" t="s">
        <v>145</v>
      </c>
      <c r="B30" s="153">
        <v>8</v>
      </c>
      <c r="C30" s="249">
        <v>9</v>
      </c>
      <c r="D30" s="153">
        <v>8</v>
      </c>
      <c r="E30" s="249">
        <v>9</v>
      </c>
      <c r="F30" s="153">
        <v>8</v>
      </c>
      <c r="G30" s="249">
        <v>9</v>
      </c>
      <c r="H30" s="151"/>
      <c r="I30" s="103" t="s">
        <v>767</v>
      </c>
      <c r="J30" s="23"/>
      <c r="L30" s="248" t="s">
        <v>145</v>
      </c>
      <c r="M30" s="103" t="s">
        <v>767</v>
      </c>
      <c r="N30" s="250"/>
      <c r="O30" s="23"/>
      <c r="P30" s="196">
        <v>7930</v>
      </c>
      <c r="Q30" s="196">
        <v>10858.3</v>
      </c>
      <c r="R30" s="196">
        <v>11961.6</v>
      </c>
      <c r="S30" s="194">
        <f t="shared" si="0"/>
        <v>30749.9</v>
      </c>
    </row>
    <row r="31" spans="1:19" x14ac:dyDescent="0.2">
      <c r="A31" s="251" t="s">
        <v>441</v>
      </c>
      <c r="B31" s="153">
        <v>5</v>
      </c>
      <c r="C31" s="249">
        <v>9</v>
      </c>
      <c r="D31" s="153">
        <v>5</v>
      </c>
      <c r="E31" s="249">
        <v>9</v>
      </c>
      <c r="F31" s="153">
        <v>5</v>
      </c>
      <c r="G31" s="249">
        <v>9</v>
      </c>
      <c r="H31" s="151"/>
      <c r="I31" s="103" t="s">
        <v>767</v>
      </c>
      <c r="J31" s="23"/>
      <c r="L31" s="251" t="s">
        <v>441</v>
      </c>
      <c r="M31" s="103" t="s">
        <v>767</v>
      </c>
      <c r="N31" s="23"/>
      <c r="O31" s="23"/>
      <c r="P31" s="196">
        <v>4727</v>
      </c>
      <c r="Q31" s="196">
        <v>7852.6</v>
      </c>
      <c r="R31" s="196">
        <v>6081.15</v>
      </c>
      <c r="S31" s="194">
        <f t="shared" si="0"/>
        <v>18660.75</v>
      </c>
    </row>
    <row r="32" spans="1:19" x14ac:dyDescent="0.2">
      <c r="A32" s="248" t="s">
        <v>215</v>
      </c>
      <c r="B32" s="153">
        <v>3</v>
      </c>
      <c r="C32" s="249">
        <v>9</v>
      </c>
      <c r="D32" s="153">
        <v>3</v>
      </c>
      <c r="E32" s="249">
        <v>9</v>
      </c>
      <c r="F32" s="153">
        <v>3</v>
      </c>
      <c r="G32" s="249">
        <v>9</v>
      </c>
      <c r="H32" s="151"/>
      <c r="I32" s="103" t="s">
        <v>768</v>
      </c>
      <c r="J32" s="23"/>
      <c r="L32" s="248" t="s">
        <v>215</v>
      </c>
      <c r="M32" s="103" t="s">
        <v>768</v>
      </c>
      <c r="N32" s="23"/>
      <c r="O32" s="23"/>
      <c r="P32" s="193">
        <v>9258.25</v>
      </c>
      <c r="Q32" s="193">
        <v>10832.5</v>
      </c>
      <c r="R32" s="193">
        <v>8694.5</v>
      </c>
      <c r="S32" s="194">
        <f t="shared" si="0"/>
        <v>28785.25</v>
      </c>
    </row>
    <row r="33" spans="1:19" x14ac:dyDescent="0.2">
      <c r="A33" s="252" t="s">
        <v>131</v>
      </c>
      <c r="B33" s="153">
        <v>3</v>
      </c>
      <c r="C33" s="249">
        <v>9</v>
      </c>
      <c r="D33" s="153">
        <v>3</v>
      </c>
      <c r="E33" s="249">
        <v>9</v>
      </c>
      <c r="F33" s="153">
        <v>3</v>
      </c>
      <c r="G33" s="249">
        <v>9</v>
      </c>
      <c r="H33" s="151"/>
      <c r="I33" s="103" t="s">
        <v>769</v>
      </c>
      <c r="J33" s="23"/>
      <c r="L33" s="252" t="s">
        <v>131</v>
      </c>
      <c r="M33" s="103" t="s">
        <v>769</v>
      </c>
      <c r="N33" s="23"/>
      <c r="O33" s="23"/>
      <c r="P33" s="196">
        <v>2022.8</v>
      </c>
      <c r="Q33" s="196">
        <v>3619.3</v>
      </c>
      <c r="R33" s="196">
        <v>2871.45</v>
      </c>
      <c r="S33" s="194">
        <f t="shared" si="0"/>
        <v>8513.5499999999993</v>
      </c>
    </row>
    <row r="34" spans="1:19" x14ac:dyDescent="0.2">
      <c r="A34" s="252" t="s">
        <v>131</v>
      </c>
      <c r="B34" s="153">
        <v>2</v>
      </c>
      <c r="C34" s="249">
        <v>9</v>
      </c>
      <c r="D34" s="153">
        <v>2</v>
      </c>
      <c r="E34" s="249">
        <v>9</v>
      </c>
      <c r="F34" s="153">
        <v>2</v>
      </c>
      <c r="G34" s="249">
        <v>9</v>
      </c>
      <c r="H34" s="151"/>
      <c r="I34" s="103" t="s">
        <v>767</v>
      </c>
      <c r="J34" s="23"/>
      <c r="L34" s="252" t="s">
        <v>131</v>
      </c>
      <c r="M34" s="103" t="s">
        <v>767</v>
      </c>
      <c r="N34" s="23"/>
      <c r="O34" s="23"/>
      <c r="P34" s="196">
        <v>3026.9</v>
      </c>
      <c r="Q34" s="196">
        <v>3843.55</v>
      </c>
      <c r="R34" s="196">
        <v>4243.1499999999996</v>
      </c>
      <c r="S34" s="194">
        <f t="shared" si="0"/>
        <v>11113.6</v>
      </c>
    </row>
    <row r="35" spans="1:19" x14ac:dyDescent="0.2">
      <c r="A35" s="248" t="s">
        <v>134</v>
      </c>
      <c r="B35" s="153">
        <v>2</v>
      </c>
      <c r="C35" s="249">
        <v>9</v>
      </c>
      <c r="D35" s="153">
        <v>2</v>
      </c>
      <c r="E35" s="249">
        <v>9</v>
      </c>
      <c r="F35" s="153">
        <v>2</v>
      </c>
      <c r="G35" s="249">
        <v>9</v>
      </c>
      <c r="H35" s="151"/>
      <c r="I35" s="103" t="s">
        <v>770</v>
      </c>
      <c r="J35" s="23"/>
      <c r="L35" s="248" t="s">
        <v>134</v>
      </c>
      <c r="M35" s="103" t="s">
        <v>771</v>
      </c>
      <c r="N35" s="23"/>
      <c r="O35" s="23"/>
      <c r="P35" s="196">
        <v>5385</v>
      </c>
      <c r="Q35" s="196">
        <v>4060.6</v>
      </c>
      <c r="R35" s="196">
        <v>2374.1</v>
      </c>
      <c r="S35" s="194">
        <f t="shared" si="0"/>
        <v>11819.7</v>
      </c>
    </row>
    <row r="36" spans="1:19" x14ac:dyDescent="0.2">
      <c r="A36" s="103" t="s">
        <v>134</v>
      </c>
      <c r="B36" s="154">
        <v>2</v>
      </c>
      <c r="C36" s="249">
        <v>9</v>
      </c>
      <c r="D36" s="154">
        <v>2</v>
      </c>
      <c r="E36" s="249">
        <v>9</v>
      </c>
      <c r="F36" s="154">
        <v>2</v>
      </c>
      <c r="G36" s="249">
        <v>9</v>
      </c>
      <c r="H36" s="155"/>
      <c r="I36" s="103" t="s">
        <v>770</v>
      </c>
      <c r="J36" s="23"/>
      <c r="L36" s="103" t="s">
        <v>134</v>
      </c>
      <c r="M36" s="22" t="s">
        <v>772</v>
      </c>
      <c r="N36" s="23"/>
      <c r="O36" s="22"/>
      <c r="P36" s="196">
        <v>4000</v>
      </c>
      <c r="Q36" s="196">
        <v>3289</v>
      </c>
      <c r="R36" s="196">
        <v>1710</v>
      </c>
      <c r="S36" s="253">
        <f>SUM(P36, Q36, R36)</f>
        <v>8999</v>
      </c>
    </row>
    <row r="37" spans="1:19" x14ac:dyDescent="0.2">
      <c r="A37" s="126"/>
      <c r="B37" s="177"/>
      <c r="C37" s="254"/>
      <c r="D37" s="177"/>
      <c r="E37" s="254"/>
      <c r="F37" s="177"/>
      <c r="G37" s="254"/>
      <c r="H37" s="178"/>
      <c r="I37" s="126"/>
      <c r="J37" s="23"/>
      <c r="L37" s="103" t="s">
        <v>134</v>
      </c>
      <c r="M37" s="22" t="s">
        <v>773</v>
      </c>
      <c r="N37" s="23"/>
      <c r="O37" s="22"/>
      <c r="P37" s="196" t="s">
        <v>774</v>
      </c>
      <c r="Q37" s="196">
        <v>3755</v>
      </c>
      <c r="R37" s="196">
        <v>2690</v>
      </c>
      <c r="S37" s="253"/>
    </row>
    <row r="38" spans="1:19" x14ac:dyDescent="0.2">
      <c r="J38" s="23"/>
      <c r="L38" s="23"/>
      <c r="M38" s="23"/>
      <c r="N38" s="23"/>
      <c r="O38" s="187" t="s">
        <v>153</v>
      </c>
      <c r="P38" s="200">
        <f>SUM(P23:P37)</f>
        <v>79644.509999999995</v>
      </c>
      <c r="Q38" s="200">
        <f>SUM(Q23:Q37)</f>
        <v>100830.49000000002</v>
      </c>
      <c r="R38" s="200">
        <f>SUM(R23:R35)</f>
        <v>86931.08</v>
      </c>
      <c r="S38" s="201">
        <f t="shared" ref="S38:S40" si="1">SUM(P38, Q38, R38)</f>
        <v>267406.08000000002</v>
      </c>
    </row>
    <row r="39" spans="1:19" x14ac:dyDescent="0.2">
      <c r="A39" s="255" t="s">
        <v>487</v>
      </c>
      <c r="B39" s="154">
        <v>4</v>
      </c>
      <c r="C39" s="249">
        <v>9</v>
      </c>
      <c r="D39" s="154">
        <v>4</v>
      </c>
      <c r="E39" s="249">
        <v>9</v>
      </c>
      <c r="F39" s="154">
        <v>4</v>
      </c>
      <c r="G39" s="249">
        <v>9</v>
      </c>
      <c r="H39" s="155"/>
      <c r="I39" s="207" t="s">
        <v>467</v>
      </c>
      <c r="J39" s="23"/>
      <c r="L39" s="151"/>
      <c r="M39" s="151"/>
      <c r="N39" s="207"/>
      <c r="O39" s="202" t="s">
        <v>561</v>
      </c>
      <c r="P39" s="200">
        <f t="shared" ref="P39:R39" si="2">P38*20%</f>
        <v>15928.902</v>
      </c>
      <c r="Q39" s="200">
        <f t="shared" si="2"/>
        <v>20166.098000000005</v>
      </c>
      <c r="R39" s="200">
        <f t="shared" si="2"/>
        <v>17386.216</v>
      </c>
      <c r="S39" s="203">
        <f t="shared" si="1"/>
        <v>53481.216000000008</v>
      </c>
    </row>
    <row r="40" spans="1:19" x14ac:dyDescent="0.2">
      <c r="A40" s="256" t="s">
        <v>153</v>
      </c>
      <c r="B40" s="72">
        <f>SUM(B23:B39)</f>
        <v>73</v>
      </c>
      <c r="L40" s="151"/>
      <c r="M40" s="151"/>
      <c r="N40" s="207"/>
      <c r="O40" s="204" t="s">
        <v>565</v>
      </c>
      <c r="P40" s="200">
        <f t="shared" ref="P40:R40" si="3">P38-P39</f>
        <v>63715.607999999993</v>
      </c>
      <c r="Q40" s="200">
        <f t="shared" si="3"/>
        <v>80664.392000000022</v>
      </c>
      <c r="R40" s="200">
        <f t="shared" si="3"/>
        <v>69544.864000000001</v>
      </c>
      <c r="S40" s="205">
        <f t="shared" si="1"/>
        <v>213924.864</v>
      </c>
    </row>
    <row r="41" spans="1:19" x14ac:dyDescent="0.2">
      <c r="L41" s="176"/>
      <c r="M41" s="176"/>
      <c r="N41" s="119"/>
      <c r="O41" s="206" t="s">
        <v>571</v>
      </c>
      <c r="P41" s="207"/>
      <c r="Q41" s="207"/>
      <c r="R41" s="207"/>
      <c r="S41" s="208"/>
    </row>
    <row r="42" spans="1:19" x14ac:dyDescent="0.2">
      <c r="O42" s="209" t="s">
        <v>577</v>
      </c>
      <c r="P42" s="23"/>
      <c r="Q42" s="207"/>
      <c r="R42" s="207"/>
      <c r="S42" s="210"/>
    </row>
    <row r="44" spans="1:19" x14ac:dyDescent="0.2">
      <c r="A44" s="568" t="s">
        <v>448</v>
      </c>
      <c r="B44" s="537"/>
      <c r="C44" s="537"/>
      <c r="D44" s="537"/>
      <c r="E44" s="537"/>
      <c r="F44" s="537"/>
      <c r="G44" s="537"/>
      <c r="H44" s="537"/>
      <c r="I44" s="537"/>
      <c r="J44" s="537"/>
      <c r="K44" s="537"/>
      <c r="L44" s="537"/>
      <c r="M44" s="531"/>
    </row>
    <row r="45" spans="1:19" x14ac:dyDescent="0.2">
      <c r="A45" s="207"/>
      <c r="B45" s="207"/>
      <c r="C45" s="207"/>
      <c r="D45" s="207"/>
      <c r="E45" s="207"/>
      <c r="F45" s="207"/>
      <c r="G45" s="207"/>
      <c r="H45" s="207"/>
      <c r="I45" s="207"/>
      <c r="J45" s="207"/>
      <c r="K45" s="23"/>
      <c r="L45" s="23"/>
      <c r="M45" s="23"/>
    </row>
    <row r="46" spans="1:19" x14ac:dyDescent="0.2">
      <c r="A46" s="257" t="s">
        <v>449</v>
      </c>
      <c r="B46" s="258" t="s">
        <v>450</v>
      </c>
      <c r="C46" s="258" t="s">
        <v>451</v>
      </c>
      <c r="D46" s="258" t="s">
        <v>452</v>
      </c>
      <c r="E46" s="258" t="s">
        <v>453</v>
      </c>
      <c r="F46" s="257" t="s">
        <v>454</v>
      </c>
      <c r="G46" s="257" t="s">
        <v>775</v>
      </c>
      <c r="H46" s="567" t="s">
        <v>456</v>
      </c>
      <c r="I46" s="537"/>
      <c r="J46" s="531"/>
      <c r="K46" s="567" t="s">
        <v>678</v>
      </c>
      <c r="L46" s="537"/>
      <c r="M46" s="531"/>
    </row>
    <row r="47" spans="1:19" x14ac:dyDescent="0.2">
      <c r="A47" s="23"/>
      <c r="B47" s="207"/>
      <c r="C47" s="207"/>
      <c r="D47" s="207"/>
      <c r="E47" s="207"/>
      <c r="F47" s="207"/>
      <c r="G47" s="207"/>
      <c r="H47" s="259" t="s">
        <v>126</v>
      </c>
      <c r="I47" s="259" t="s">
        <v>132</v>
      </c>
      <c r="J47" s="259" t="s">
        <v>136</v>
      </c>
      <c r="K47" s="84" t="s">
        <v>776</v>
      </c>
      <c r="L47" s="84" t="s">
        <v>777</v>
      </c>
      <c r="M47" s="84" t="s">
        <v>778</v>
      </c>
    </row>
    <row r="48" spans="1:19" x14ac:dyDescent="0.2">
      <c r="A48" s="260"/>
      <c r="B48" s="261" t="b">
        <v>0</v>
      </c>
      <c r="C48" s="207" t="s">
        <v>172</v>
      </c>
      <c r="D48" s="207" t="s">
        <v>779</v>
      </c>
      <c r="E48" s="262">
        <v>857140539</v>
      </c>
      <c r="F48" s="207"/>
      <c r="G48" s="207"/>
      <c r="H48" s="263" t="b">
        <v>0</v>
      </c>
      <c r="I48" s="263" t="b">
        <v>0</v>
      </c>
      <c r="J48" s="263" t="b">
        <v>0</v>
      </c>
      <c r="K48" s="261" t="b">
        <v>0</v>
      </c>
      <c r="L48" s="23">
        <f t="shared" ref="L48:L147" si="4">COUNTIF(H48:J48,TRUE)</f>
        <v>0</v>
      </c>
      <c r="M48" s="264">
        <f t="shared" ref="M48:M147" si="5">L48*120</f>
        <v>0</v>
      </c>
    </row>
    <row r="49" spans="1:13" x14ac:dyDescent="0.2">
      <c r="A49" s="260"/>
      <c r="B49" s="261" t="b">
        <v>0</v>
      </c>
      <c r="C49" s="207" t="s">
        <v>461</v>
      </c>
      <c r="D49" s="207" t="s">
        <v>779</v>
      </c>
      <c r="E49" s="265">
        <v>852402555</v>
      </c>
      <c r="F49" s="207"/>
      <c r="G49" s="207"/>
      <c r="H49" s="263" t="b">
        <v>0</v>
      </c>
      <c r="I49" s="263" t="b">
        <v>0</v>
      </c>
      <c r="J49" s="263" t="b">
        <v>0</v>
      </c>
      <c r="K49" s="261" t="b">
        <v>0</v>
      </c>
      <c r="L49" s="23">
        <f t="shared" si="4"/>
        <v>0</v>
      </c>
      <c r="M49" s="264">
        <f t="shared" si="5"/>
        <v>0</v>
      </c>
    </row>
    <row r="50" spans="1:13" x14ac:dyDescent="0.2">
      <c r="A50" s="260"/>
      <c r="B50" s="261" t="b">
        <v>0</v>
      </c>
      <c r="C50" s="207" t="s">
        <v>461</v>
      </c>
      <c r="D50" s="207" t="s">
        <v>779</v>
      </c>
      <c r="E50" s="265">
        <v>862539642</v>
      </c>
      <c r="F50" s="207"/>
      <c r="G50" s="207"/>
      <c r="H50" s="263" t="b">
        <v>0</v>
      </c>
      <c r="I50" s="263" t="b">
        <v>0</v>
      </c>
      <c r="J50" s="263" t="b">
        <v>0</v>
      </c>
      <c r="K50" s="261" t="b">
        <v>0</v>
      </c>
      <c r="L50" s="23">
        <f t="shared" si="4"/>
        <v>0</v>
      </c>
      <c r="M50" s="264">
        <f t="shared" si="5"/>
        <v>0</v>
      </c>
    </row>
    <row r="51" spans="1:13" x14ac:dyDescent="0.2">
      <c r="A51" s="260"/>
      <c r="B51" s="261" t="b">
        <v>0</v>
      </c>
      <c r="C51" s="207" t="s">
        <v>466</v>
      </c>
      <c r="D51" s="207" t="s">
        <v>779</v>
      </c>
      <c r="E51" s="265">
        <v>876192047</v>
      </c>
      <c r="F51" s="207"/>
      <c r="G51" s="207"/>
      <c r="H51" s="263" t="b">
        <v>0</v>
      </c>
      <c r="I51" s="263" t="b">
        <v>0</v>
      </c>
      <c r="J51" s="263" t="b">
        <v>0</v>
      </c>
      <c r="K51" s="261" t="b">
        <v>0</v>
      </c>
      <c r="L51" s="23">
        <f t="shared" si="4"/>
        <v>0</v>
      </c>
      <c r="M51" s="264">
        <f t="shared" si="5"/>
        <v>0</v>
      </c>
    </row>
    <row r="52" spans="1:13" x14ac:dyDescent="0.2">
      <c r="A52" s="260"/>
      <c r="B52" s="261" t="b">
        <v>0</v>
      </c>
      <c r="C52" s="207" t="s">
        <v>236</v>
      </c>
      <c r="D52" s="207" t="s">
        <v>779</v>
      </c>
      <c r="E52" s="265">
        <v>852194071</v>
      </c>
      <c r="F52" s="207"/>
      <c r="G52" s="207"/>
      <c r="H52" s="263" t="b">
        <v>0</v>
      </c>
      <c r="I52" s="263" t="b">
        <v>0</v>
      </c>
      <c r="J52" s="261" t="b">
        <v>0</v>
      </c>
      <c r="K52" s="261" t="b">
        <v>0</v>
      </c>
      <c r="L52" s="23">
        <f t="shared" si="4"/>
        <v>0</v>
      </c>
      <c r="M52" s="264">
        <f t="shared" si="5"/>
        <v>0</v>
      </c>
    </row>
    <row r="53" spans="1:13" x14ac:dyDescent="0.2">
      <c r="A53" s="260"/>
      <c r="B53" s="261" t="b">
        <v>0</v>
      </c>
      <c r="C53" s="207" t="s">
        <v>780</v>
      </c>
      <c r="D53" s="207" t="s">
        <v>781</v>
      </c>
      <c r="E53" s="265">
        <v>858321069</v>
      </c>
      <c r="F53" s="207"/>
      <c r="G53" s="207"/>
      <c r="H53" s="263" t="b">
        <v>0</v>
      </c>
      <c r="I53" s="261" t="b">
        <v>0</v>
      </c>
      <c r="J53" s="261" t="b">
        <v>0</v>
      </c>
      <c r="K53" s="261" t="b">
        <v>0</v>
      </c>
      <c r="L53" s="23">
        <f t="shared" si="4"/>
        <v>0</v>
      </c>
      <c r="M53" s="264">
        <f t="shared" si="5"/>
        <v>0</v>
      </c>
    </row>
    <row r="54" spans="1:13" x14ac:dyDescent="0.2">
      <c r="A54" s="260"/>
      <c r="B54" s="261" t="b">
        <v>0</v>
      </c>
      <c r="C54" s="207" t="s">
        <v>619</v>
      </c>
      <c r="D54" s="207" t="s">
        <v>620</v>
      </c>
      <c r="E54" s="265">
        <v>852788111</v>
      </c>
      <c r="F54" s="207"/>
      <c r="G54" s="207"/>
      <c r="H54" s="263" t="b">
        <v>1</v>
      </c>
      <c r="I54" s="263" t="b">
        <v>1</v>
      </c>
      <c r="J54" s="263" t="b">
        <v>1</v>
      </c>
      <c r="K54" s="261" t="b">
        <v>0</v>
      </c>
      <c r="L54" s="23">
        <f t="shared" si="4"/>
        <v>3</v>
      </c>
      <c r="M54" s="264">
        <f t="shared" si="5"/>
        <v>360</v>
      </c>
    </row>
    <row r="55" spans="1:13" x14ac:dyDescent="0.2">
      <c r="A55" s="260"/>
      <c r="B55" s="261" t="b">
        <v>0</v>
      </c>
      <c r="C55" s="207" t="s">
        <v>582</v>
      </c>
      <c r="D55" s="207" t="s">
        <v>782</v>
      </c>
      <c r="E55" s="265">
        <v>851203406</v>
      </c>
      <c r="F55" s="207"/>
      <c r="G55" s="207"/>
      <c r="H55" s="263" t="b">
        <v>1</v>
      </c>
      <c r="I55" s="263" t="b">
        <v>1</v>
      </c>
      <c r="J55" s="263" t="b">
        <v>1</v>
      </c>
      <c r="K55" s="261" t="b">
        <v>0</v>
      </c>
      <c r="L55" s="23">
        <f t="shared" si="4"/>
        <v>3</v>
      </c>
      <c r="M55" s="264">
        <f t="shared" si="5"/>
        <v>360</v>
      </c>
    </row>
    <row r="56" spans="1:13" x14ac:dyDescent="0.2">
      <c r="A56" s="260"/>
      <c r="B56" s="261" t="b">
        <v>0</v>
      </c>
      <c r="C56" s="207" t="s">
        <v>105</v>
      </c>
      <c r="D56" s="207" t="s">
        <v>783</v>
      </c>
      <c r="E56" s="265">
        <v>851948435</v>
      </c>
      <c r="F56" s="207"/>
      <c r="G56" s="207"/>
      <c r="H56" s="263" t="b">
        <v>1</v>
      </c>
      <c r="I56" s="263" t="b">
        <v>1</v>
      </c>
      <c r="J56" s="263" t="b">
        <v>1</v>
      </c>
      <c r="K56" s="261" t="b">
        <v>0</v>
      </c>
      <c r="L56" s="23">
        <f t="shared" si="4"/>
        <v>3</v>
      </c>
      <c r="M56" s="264">
        <f t="shared" si="5"/>
        <v>360</v>
      </c>
    </row>
    <row r="57" spans="1:13" x14ac:dyDescent="0.2">
      <c r="A57" s="260"/>
      <c r="B57" s="261" t="b">
        <v>0</v>
      </c>
      <c r="C57" s="266" t="s">
        <v>196</v>
      </c>
      <c r="D57" s="266" t="s">
        <v>784</v>
      </c>
      <c r="E57" s="265">
        <v>852184259</v>
      </c>
      <c r="F57" s="207"/>
      <c r="G57" s="207"/>
      <c r="H57" s="263" t="b">
        <v>1</v>
      </c>
      <c r="I57" s="263" t="b">
        <v>1</v>
      </c>
      <c r="J57" s="263" t="b">
        <v>1</v>
      </c>
      <c r="K57" s="261" t="b">
        <v>0</v>
      </c>
      <c r="L57" s="23">
        <f t="shared" si="4"/>
        <v>3</v>
      </c>
      <c r="M57" s="264">
        <f t="shared" si="5"/>
        <v>360</v>
      </c>
    </row>
    <row r="58" spans="1:13" x14ac:dyDescent="0.2">
      <c r="A58" s="260"/>
      <c r="B58" s="261" t="b">
        <v>0</v>
      </c>
      <c r="C58" s="207" t="s">
        <v>732</v>
      </c>
      <c r="D58" s="207" t="s">
        <v>785</v>
      </c>
      <c r="E58" s="265">
        <v>857553712</v>
      </c>
      <c r="F58" s="207"/>
      <c r="G58" s="207"/>
      <c r="H58" s="263" t="b">
        <v>1</v>
      </c>
      <c r="I58" s="263" t="b">
        <v>1</v>
      </c>
      <c r="J58" s="263" t="b">
        <v>1</v>
      </c>
      <c r="K58" s="261" t="b">
        <v>0</v>
      </c>
      <c r="L58" s="23">
        <f t="shared" si="4"/>
        <v>3</v>
      </c>
      <c r="M58" s="264">
        <f t="shared" si="5"/>
        <v>360</v>
      </c>
    </row>
    <row r="59" spans="1:13" x14ac:dyDescent="0.2">
      <c r="A59" s="260"/>
      <c r="B59" s="261" t="b">
        <v>0</v>
      </c>
      <c r="C59" s="207" t="s">
        <v>172</v>
      </c>
      <c r="D59" s="207" t="s">
        <v>786</v>
      </c>
      <c r="E59" s="265">
        <v>876971204</v>
      </c>
      <c r="F59" s="207"/>
      <c r="G59" s="207"/>
      <c r="H59" s="263" t="b">
        <v>1</v>
      </c>
      <c r="I59" s="263" t="b">
        <v>1</v>
      </c>
      <c r="J59" s="263" t="b">
        <v>1</v>
      </c>
      <c r="K59" s="261" t="b">
        <v>0</v>
      </c>
      <c r="L59" s="23">
        <f t="shared" si="4"/>
        <v>3</v>
      </c>
      <c r="M59" s="264">
        <f t="shared" si="5"/>
        <v>360</v>
      </c>
    </row>
    <row r="60" spans="1:13" x14ac:dyDescent="0.2">
      <c r="A60" s="260"/>
      <c r="B60" s="261" t="b">
        <v>0</v>
      </c>
      <c r="C60" s="207" t="s">
        <v>675</v>
      </c>
      <c r="D60" s="207" t="s">
        <v>787</v>
      </c>
      <c r="E60" s="265">
        <v>851442233</v>
      </c>
      <c r="F60" s="207"/>
      <c r="G60" s="207"/>
      <c r="H60" s="263" t="b">
        <v>1</v>
      </c>
      <c r="I60" s="263" t="b">
        <v>1</v>
      </c>
      <c r="J60" s="263" t="b">
        <v>1</v>
      </c>
      <c r="K60" s="261" t="b">
        <v>0</v>
      </c>
      <c r="L60" s="23">
        <f t="shared" si="4"/>
        <v>3</v>
      </c>
      <c r="M60" s="264">
        <f t="shared" si="5"/>
        <v>360</v>
      </c>
    </row>
    <row r="61" spans="1:13" x14ac:dyDescent="0.2">
      <c r="A61" s="260"/>
      <c r="B61" s="261" t="b">
        <v>0</v>
      </c>
      <c r="C61" s="103" t="s">
        <v>788</v>
      </c>
      <c r="D61" s="103" t="s">
        <v>789</v>
      </c>
      <c r="E61" s="267">
        <v>861246732</v>
      </c>
      <c r="F61" s="207"/>
      <c r="G61" s="207"/>
      <c r="H61" s="263" t="b">
        <v>1</v>
      </c>
      <c r="I61" s="263" t="b">
        <v>1</v>
      </c>
      <c r="J61" s="263" t="b">
        <v>1</v>
      </c>
      <c r="K61" s="261" t="b">
        <v>0</v>
      </c>
      <c r="L61" s="23">
        <f t="shared" si="4"/>
        <v>3</v>
      </c>
      <c r="M61" s="264">
        <f t="shared" si="5"/>
        <v>360</v>
      </c>
    </row>
    <row r="62" spans="1:13" x14ac:dyDescent="0.2">
      <c r="A62" s="260"/>
      <c r="B62" s="261" t="b">
        <v>0</v>
      </c>
      <c r="C62" s="103" t="s">
        <v>172</v>
      </c>
      <c r="D62" s="103" t="s">
        <v>790</v>
      </c>
      <c r="E62" s="267">
        <v>872367198</v>
      </c>
      <c r="F62" s="207"/>
      <c r="G62" s="207"/>
      <c r="H62" s="263" t="b">
        <v>1</v>
      </c>
      <c r="I62" s="263" t="b">
        <v>0</v>
      </c>
      <c r="J62" s="263" t="b">
        <v>1</v>
      </c>
      <c r="K62" s="261" t="b">
        <v>0</v>
      </c>
      <c r="L62" s="23">
        <f t="shared" si="4"/>
        <v>2</v>
      </c>
      <c r="M62" s="264">
        <f t="shared" si="5"/>
        <v>240</v>
      </c>
    </row>
    <row r="63" spans="1:13" x14ac:dyDescent="0.2">
      <c r="A63" s="260"/>
      <c r="B63" s="261" t="b">
        <v>0</v>
      </c>
      <c r="C63" s="103" t="s">
        <v>275</v>
      </c>
      <c r="D63" s="103" t="s">
        <v>782</v>
      </c>
      <c r="E63" s="267">
        <v>852378642</v>
      </c>
      <c r="F63" s="207"/>
      <c r="G63" s="207"/>
      <c r="H63" s="263" t="b">
        <v>1</v>
      </c>
      <c r="I63" s="263" t="b">
        <v>1</v>
      </c>
      <c r="J63" s="263" t="b">
        <v>1</v>
      </c>
      <c r="K63" s="261" t="b">
        <v>0</v>
      </c>
      <c r="L63" s="23">
        <f t="shared" si="4"/>
        <v>3</v>
      </c>
      <c r="M63" s="264">
        <f t="shared" si="5"/>
        <v>360</v>
      </c>
    </row>
    <row r="64" spans="1:13" x14ac:dyDescent="0.2">
      <c r="A64" s="260"/>
      <c r="B64" s="261" t="b">
        <v>0</v>
      </c>
      <c r="C64" s="103" t="s">
        <v>704</v>
      </c>
      <c r="D64" s="103" t="s">
        <v>791</v>
      </c>
      <c r="E64" s="267">
        <v>857168392</v>
      </c>
      <c r="F64" s="207"/>
      <c r="G64" s="207"/>
      <c r="H64" s="263" t="b">
        <v>1</v>
      </c>
      <c r="I64" s="263" t="b">
        <v>1</v>
      </c>
      <c r="J64" s="263" t="b">
        <v>1</v>
      </c>
      <c r="K64" s="261" t="b">
        <v>0</v>
      </c>
      <c r="L64" s="23">
        <f t="shared" si="4"/>
        <v>3</v>
      </c>
      <c r="M64" s="264">
        <f t="shared" si="5"/>
        <v>360</v>
      </c>
    </row>
    <row r="65" spans="1:13" x14ac:dyDescent="0.2">
      <c r="A65" s="260"/>
      <c r="B65" s="261" t="b">
        <v>0</v>
      </c>
      <c r="C65" s="103" t="s">
        <v>276</v>
      </c>
      <c r="D65" s="103" t="s">
        <v>782</v>
      </c>
      <c r="E65" s="267">
        <v>872678901</v>
      </c>
      <c r="F65" s="207"/>
      <c r="G65" s="207"/>
      <c r="H65" s="263" t="b">
        <v>1</v>
      </c>
      <c r="I65" s="263" t="b">
        <v>1</v>
      </c>
      <c r="J65" s="263" t="b">
        <v>1</v>
      </c>
      <c r="K65" s="261" t="b">
        <v>0</v>
      </c>
      <c r="L65" s="23">
        <f t="shared" si="4"/>
        <v>3</v>
      </c>
      <c r="M65" s="264">
        <f t="shared" si="5"/>
        <v>360</v>
      </c>
    </row>
    <row r="66" spans="1:13" x14ac:dyDescent="0.2">
      <c r="A66" s="260"/>
      <c r="B66" s="261" t="b">
        <v>0</v>
      </c>
      <c r="C66" s="103" t="s">
        <v>792</v>
      </c>
      <c r="D66" s="103" t="s">
        <v>793</v>
      </c>
      <c r="E66" s="267">
        <v>857889013</v>
      </c>
      <c r="F66" s="207"/>
      <c r="G66" s="207"/>
      <c r="H66" s="263" t="b">
        <v>1</v>
      </c>
      <c r="I66" s="261" t="b">
        <v>0</v>
      </c>
      <c r="J66" s="263" t="b">
        <v>1</v>
      </c>
      <c r="K66" s="261" t="b">
        <v>0</v>
      </c>
      <c r="L66" s="23">
        <f t="shared" si="4"/>
        <v>2</v>
      </c>
      <c r="M66" s="264">
        <f t="shared" si="5"/>
        <v>240</v>
      </c>
    </row>
    <row r="67" spans="1:13" x14ac:dyDescent="0.2">
      <c r="A67" s="260"/>
      <c r="B67" s="261" t="b">
        <v>0</v>
      </c>
      <c r="C67" s="103" t="s">
        <v>195</v>
      </c>
      <c r="D67" s="103" t="s">
        <v>794</v>
      </c>
      <c r="E67" s="267">
        <v>862783964</v>
      </c>
      <c r="F67" s="207"/>
      <c r="G67" s="207"/>
      <c r="H67" s="263" t="b">
        <v>1</v>
      </c>
      <c r="I67" s="263" t="b">
        <v>1</v>
      </c>
      <c r="J67" s="263" t="b">
        <v>1</v>
      </c>
      <c r="K67" s="261" t="b">
        <v>0</v>
      </c>
      <c r="L67" s="23">
        <f t="shared" si="4"/>
        <v>3</v>
      </c>
      <c r="M67" s="264">
        <f t="shared" si="5"/>
        <v>360</v>
      </c>
    </row>
    <row r="68" spans="1:13" x14ac:dyDescent="0.2">
      <c r="A68" s="260"/>
      <c r="B68" s="261" t="b">
        <v>0</v>
      </c>
      <c r="C68" s="103" t="s">
        <v>795</v>
      </c>
      <c r="D68" s="103" t="s">
        <v>796</v>
      </c>
      <c r="E68" s="267">
        <v>862290765</v>
      </c>
      <c r="F68" s="207"/>
      <c r="G68" s="207"/>
      <c r="H68" s="263" t="b">
        <v>1</v>
      </c>
      <c r="I68" s="263" t="b">
        <v>0</v>
      </c>
      <c r="J68" s="263" t="b">
        <v>0</v>
      </c>
      <c r="K68" s="261" t="b">
        <v>0</v>
      </c>
      <c r="L68" s="23">
        <f t="shared" si="4"/>
        <v>1</v>
      </c>
      <c r="M68" s="264">
        <f t="shared" si="5"/>
        <v>120</v>
      </c>
    </row>
    <row r="69" spans="1:13" x14ac:dyDescent="0.2">
      <c r="A69" s="260"/>
      <c r="B69" s="261" t="b">
        <v>0</v>
      </c>
      <c r="C69" s="103" t="s">
        <v>483</v>
      </c>
      <c r="D69" s="103" t="s">
        <v>797</v>
      </c>
      <c r="E69" s="267">
        <v>857189056</v>
      </c>
      <c r="F69" s="207"/>
      <c r="G69" s="207"/>
      <c r="H69" s="263" t="b">
        <v>1</v>
      </c>
      <c r="I69" s="263" t="b">
        <v>1</v>
      </c>
      <c r="J69" s="263" t="b">
        <v>1</v>
      </c>
      <c r="K69" s="261" t="b">
        <v>0</v>
      </c>
      <c r="L69" s="23">
        <f t="shared" si="4"/>
        <v>3</v>
      </c>
      <c r="M69" s="264">
        <f t="shared" si="5"/>
        <v>360</v>
      </c>
    </row>
    <row r="70" spans="1:13" x14ac:dyDescent="0.2">
      <c r="A70" s="260"/>
      <c r="B70" s="261" t="b">
        <v>0</v>
      </c>
      <c r="C70" s="103" t="s">
        <v>798</v>
      </c>
      <c r="D70" s="103" t="s">
        <v>799</v>
      </c>
      <c r="E70" s="267">
        <v>877260922</v>
      </c>
      <c r="F70" s="207"/>
      <c r="G70" s="207"/>
      <c r="H70" s="263" t="b">
        <v>1</v>
      </c>
      <c r="I70" s="263" t="b">
        <v>1</v>
      </c>
      <c r="J70" s="263" t="b">
        <v>1</v>
      </c>
      <c r="K70" s="261" t="b">
        <v>0</v>
      </c>
      <c r="L70" s="23">
        <f t="shared" si="4"/>
        <v>3</v>
      </c>
      <c r="M70" s="264">
        <f t="shared" si="5"/>
        <v>360</v>
      </c>
    </row>
    <row r="71" spans="1:13" x14ac:dyDescent="0.2">
      <c r="A71" s="260"/>
      <c r="B71" s="261" t="b">
        <v>0</v>
      </c>
      <c r="C71" s="103" t="s">
        <v>800</v>
      </c>
      <c r="D71" s="103" t="s">
        <v>801</v>
      </c>
      <c r="E71" s="267">
        <v>872638098</v>
      </c>
      <c r="F71" s="207"/>
      <c r="G71" s="207"/>
      <c r="H71" s="263" t="b">
        <v>1</v>
      </c>
      <c r="I71" s="263" t="b">
        <v>1</v>
      </c>
      <c r="J71" s="263" t="b">
        <v>1</v>
      </c>
      <c r="K71" s="261" t="b">
        <v>0</v>
      </c>
      <c r="L71" s="23">
        <f t="shared" si="4"/>
        <v>3</v>
      </c>
      <c r="M71" s="264">
        <f t="shared" si="5"/>
        <v>360</v>
      </c>
    </row>
    <row r="72" spans="1:13" x14ac:dyDescent="0.2">
      <c r="A72" s="260"/>
      <c r="B72" s="261" t="b">
        <v>0</v>
      </c>
      <c r="C72" s="103" t="s">
        <v>802</v>
      </c>
      <c r="D72" s="103" t="s">
        <v>803</v>
      </c>
      <c r="E72" s="267">
        <v>872389011</v>
      </c>
      <c r="F72" s="214"/>
      <c r="G72" s="214"/>
      <c r="H72" s="263" t="b">
        <v>1</v>
      </c>
      <c r="I72" s="263" t="b">
        <v>0</v>
      </c>
      <c r="J72" s="263" t="b">
        <v>1</v>
      </c>
      <c r="K72" s="261" t="b">
        <v>0</v>
      </c>
      <c r="L72" s="23">
        <f t="shared" si="4"/>
        <v>2</v>
      </c>
      <c r="M72" s="264">
        <f t="shared" si="5"/>
        <v>240</v>
      </c>
    </row>
    <row r="73" spans="1:13" x14ac:dyDescent="0.2">
      <c r="A73" s="260"/>
      <c r="B73" s="261" t="b">
        <v>0</v>
      </c>
      <c r="C73" s="219" t="s">
        <v>804</v>
      </c>
      <c r="D73" s="219" t="s">
        <v>805</v>
      </c>
      <c r="E73" s="268">
        <v>869278100</v>
      </c>
      <c r="F73" s="214"/>
      <c r="G73" s="214"/>
      <c r="H73" s="269" t="b">
        <v>1</v>
      </c>
      <c r="I73" s="269" t="b">
        <v>0</v>
      </c>
      <c r="J73" s="270" t="b">
        <v>0</v>
      </c>
      <c r="K73" s="270" t="b">
        <v>0</v>
      </c>
      <c r="L73" s="23">
        <f t="shared" si="4"/>
        <v>1</v>
      </c>
      <c r="M73" s="264">
        <f t="shared" si="5"/>
        <v>120</v>
      </c>
    </row>
    <row r="74" spans="1:13" x14ac:dyDescent="0.2">
      <c r="A74" s="260"/>
      <c r="B74" s="261" t="b">
        <v>0</v>
      </c>
      <c r="C74" s="219" t="s">
        <v>806</v>
      </c>
      <c r="D74" s="219" t="s">
        <v>807</v>
      </c>
      <c r="E74" s="268">
        <v>862789037</v>
      </c>
      <c r="F74" s="207"/>
      <c r="G74" s="207"/>
      <c r="H74" s="269" t="b">
        <v>1</v>
      </c>
      <c r="I74" s="269" t="b">
        <v>1</v>
      </c>
      <c r="J74" s="269" t="b">
        <v>1</v>
      </c>
      <c r="K74" s="270" t="b">
        <v>0</v>
      </c>
      <c r="L74" s="23">
        <f t="shared" si="4"/>
        <v>3</v>
      </c>
      <c r="M74" s="264">
        <f t="shared" si="5"/>
        <v>360</v>
      </c>
    </row>
    <row r="75" spans="1:13" x14ac:dyDescent="0.2">
      <c r="A75" s="260"/>
      <c r="B75" s="261" t="b">
        <v>0</v>
      </c>
      <c r="C75" s="103" t="s">
        <v>808</v>
      </c>
      <c r="D75" s="103" t="s">
        <v>809</v>
      </c>
      <c r="E75" s="267">
        <v>856172890</v>
      </c>
      <c r="F75" s="207"/>
      <c r="G75" s="207"/>
      <c r="H75" s="263" t="b">
        <v>1</v>
      </c>
      <c r="I75" s="263" t="b">
        <v>1</v>
      </c>
      <c r="J75" s="263" t="b">
        <v>1</v>
      </c>
      <c r="K75" s="261" t="b">
        <v>0</v>
      </c>
      <c r="L75" s="23">
        <f t="shared" si="4"/>
        <v>3</v>
      </c>
      <c r="M75" s="264">
        <f t="shared" si="5"/>
        <v>360</v>
      </c>
    </row>
    <row r="76" spans="1:13" x14ac:dyDescent="0.2">
      <c r="A76" s="260"/>
      <c r="B76" s="261" t="b">
        <v>0</v>
      </c>
      <c r="C76" s="103" t="s">
        <v>810</v>
      </c>
      <c r="D76" s="103" t="s">
        <v>811</v>
      </c>
      <c r="E76" s="267">
        <v>838990635</v>
      </c>
      <c r="F76" s="207"/>
      <c r="G76" s="207"/>
      <c r="H76" s="263" t="b">
        <v>1</v>
      </c>
      <c r="I76" s="263" t="b">
        <v>1</v>
      </c>
      <c r="J76" s="263" t="b">
        <v>1</v>
      </c>
      <c r="K76" s="261" t="b">
        <v>0</v>
      </c>
      <c r="L76" s="23">
        <f t="shared" si="4"/>
        <v>3</v>
      </c>
      <c r="M76" s="264">
        <f t="shared" si="5"/>
        <v>360</v>
      </c>
    </row>
    <row r="77" spans="1:13" x14ac:dyDescent="0.2">
      <c r="A77" s="260"/>
      <c r="B77" s="261" t="b">
        <v>0</v>
      </c>
      <c r="C77" s="103" t="s">
        <v>411</v>
      </c>
      <c r="D77" s="103" t="s">
        <v>812</v>
      </c>
      <c r="E77" s="267">
        <v>830684493</v>
      </c>
      <c r="F77" s="207"/>
      <c r="G77" s="207"/>
      <c r="H77" s="263" t="b">
        <v>1</v>
      </c>
      <c r="I77" s="263" t="b">
        <v>1</v>
      </c>
      <c r="J77" s="263" t="b">
        <v>1</v>
      </c>
      <c r="K77" s="261" t="b">
        <v>0</v>
      </c>
      <c r="L77" s="23">
        <f t="shared" si="4"/>
        <v>3</v>
      </c>
      <c r="M77" s="264">
        <f t="shared" si="5"/>
        <v>360</v>
      </c>
    </row>
    <row r="78" spans="1:13" x14ac:dyDescent="0.2">
      <c r="A78" s="260"/>
      <c r="B78" s="261" t="b">
        <v>0</v>
      </c>
      <c r="C78" s="103" t="s">
        <v>813</v>
      </c>
      <c r="D78" s="103" t="s">
        <v>814</v>
      </c>
      <c r="E78" s="267">
        <v>832090114</v>
      </c>
      <c r="F78" s="207"/>
      <c r="G78" s="207"/>
      <c r="H78" s="263" t="b">
        <v>1</v>
      </c>
      <c r="I78" s="263" t="b">
        <v>1</v>
      </c>
      <c r="J78" s="263" t="b">
        <v>1</v>
      </c>
      <c r="K78" s="261" t="b">
        <v>0</v>
      </c>
      <c r="L78" s="23">
        <f t="shared" si="4"/>
        <v>3</v>
      </c>
      <c r="M78" s="264">
        <f t="shared" si="5"/>
        <v>360</v>
      </c>
    </row>
    <row r="79" spans="1:13" x14ac:dyDescent="0.2">
      <c r="A79" s="260"/>
      <c r="B79" s="261" t="b">
        <v>0</v>
      </c>
      <c r="C79" s="103" t="s">
        <v>276</v>
      </c>
      <c r="D79" s="103" t="s">
        <v>815</v>
      </c>
      <c r="E79" s="267">
        <v>851298854</v>
      </c>
      <c r="F79" s="207"/>
      <c r="G79" s="207"/>
      <c r="H79" s="263" t="b">
        <v>1</v>
      </c>
      <c r="I79" s="263" t="b">
        <v>1</v>
      </c>
      <c r="J79" s="263" t="b">
        <v>1</v>
      </c>
      <c r="K79" s="261" t="b">
        <v>0</v>
      </c>
      <c r="L79" s="23">
        <f t="shared" si="4"/>
        <v>3</v>
      </c>
      <c r="M79" s="264">
        <f t="shared" si="5"/>
        <v>360</v>
      </c>
    </row>
    <row r="80" spans="1:13" x14ac:dyDescent="0.2">
      <c r="A80" s="260"/>
      <c r="B80" s="261" t="b">
        <v>0</v>
      </c>
      <c r="C80" s="103" t="s">
        <v>816</v>
      </c>
      <c r="D80" s="103" t="s">
        <v>817</v>
      </c>
      <c r="E80" s="267">
        <v>831325785</v>
      </c>
      <c r="F80" s="207"/>
      <c r="G80" s="207"/>
      <c r="H80" s="263" t="b">
        <v>1</v>
      </c>
      <c r="I80" s="263" t="b">
        <v>1</v>
      </c>
      <c r="J80" s="263" t="b">
        <v>1</v>
      </c>
      <c r="K80" s="261" t="b">
        <v>0</v>
      </c>
      <c r="L80" s="23">
        <f t="shared" si="4"/>
        <v>3</v>
      </c>
      <c r="M80" s="264">
        <f t="shared" si="5"/>
        <v>360</v>
      </c>
    </row>
    <row r="81" spans="1:13" x14ac:dyDescent="0.2">
      <c r="A81" s="260"/>
      <c r="B81" s="261" t="b">
        <v>0</v>
      </c>
      <c r="C81" s="103" t="s">
        <v>818</v>
      </c>
      <c r="D81" s="103" t="s">
        <v>819</v>
      </c>
      <c r="E81" s="267">
        <v>831325785</v>
      </c>
      <c r="F81" s="207"/>
      <c r="G81" s="207"/>
      <c r="H81" s="263" t="b">
        <v>0</v>
      </c>
      <c r="I81" s="263" t="b">
        <v>1</v>
      </c>
      <c r="J81" s="263" t="b">
        <v>1</v>
      </c>
      <c r="K81" s="261" t="b">
        <v>0</v>
      </c>
      <c r="L81" s="23">
        <f t="shared" si="4"/>
        <v>2</v>
      </c>
      <c r="M81" s="264">
        <f t="shared" si="5"/>
        <v>240</v>
      </c>
    </row>
    <row r="82" spans="1:13" x14ac:dyDescent="0.2">
      <c r="A82" s="260"/>
      <c r="B82" s="261" t="b">
        <v>0</v>
      </c>
      <c r="C82" s="103" t="s">
        <v>820</v>
      </c>
      <c r="D82" s="103" t="s">
        <v>821</v>
      </c>
      <c r="E82" s="267">
        <v>899449892</v>
      </c>
      <c r="F82" s="207"/>
      <c r="G82" s="207"/>
      <c r="H82" s="263" t="b">
        <v>0</v>
      </c>
      <c r="I82" s="263" t="b">
        <v>1</v>
      </c>
      <c r="J82" s="263" t="b">
        <v>0</v>
      </c>
      <c r="K82" s="261" t="b">
        <v>0</v>
      </c>
      <c r="L82" s="23">
        <f t="shared" si="4"/>
        <v>1</v>
      </c>
      <c r="M82" s="264">
        <f t="shared" si="5"/>
        <v>120</v>
      </c>
    </row>
    <row r="83" spans="1:13" x14ac:dyDescent="0.2">
      <c r="A83" s="260"/>
      <c r="B83" s="261" t="b">
        <v>0</v>
      </c>
      <c r="C83" s="103" t="s">
        <v>822</v>
      </c>
      <c r="D83" s="103" t="s">
        <v>823</v>
      </c>
      <c r="E83" s="267">
        <v>838213569</v>
      </c>
      <c r="F83" s="207"/>
      <c r="G83" s="207"/>
      <c r="H83" s="263" t="b">
        <v>1</v>
      </c>
      <c r="I83" s="263" t="b">
        <v>1</v>
      </c>
      <c r="J83" s="263" t="b">
        <v>0</v>
      </c>
      <c r="K83" s="261" t="b">
        <v>0</v>
      </c>
      <c r="L83" s="23">
        <f t="shared" si="4"/>
        <v>2</v>
      </c>
      <c r="M83" s="264">
        <f t="shared" si="5"/>
        <v>240</v>
      </c>
    </row>
    <row r="84" spans="1:13" x14ac:dyDescent="0.2">
      <c r="A84" s="260"/>
      <c r="B84" s="261" t="b">
        <v>0</v>
      </c>
      <c r="C84" s="103" t="s">
        <v>824</v>
      </c>
      <c r="D84" s="103" t="s">
        <v>825</v>
      </c>
      <c r="E84" s="267">
        <v>834737120</v>
      </c>
      <c r="F84" s="207"/>
      <c r="G84" s="207"/>
      <c r="H84" s="263" t="b">
        <v>1</v>
      </c>
      <c r="I84" s="263" t="b">
        <v>1</v>
      </c>
      <c r="J84" s="263" t="b">
        <v>1</v>
      </c>
      <c r="K84" s="261" t="b">
        <v>0</v>
      </c>
      <c r="L84" s="23">
        <f t="shared" si="4"/>
        <v>3</v>
      </c>
      <c r="M84" s="264">
        <f t="shared" si="5"/>
        <v>360</v>
      </c>
    </row>
    <row r="85" spans="1:13" x14ac:dyDescent="0.2">
      <c r="A85" s="260"/>
      <c r="B85" s="261" t="b">
        <v>0</v>
      </c>
      <c r="C85" s="103" t="s">
        <v>312</v>
      </c>
      <c r="D85" s="103" t="s">
        <v>826</v>
      </c>
      <c r="E85" s="267">
        <v>838950806</v>
      </c>
      <c r="F85" s="207"/>
      <c r="G85" s="207"/>
      <c r="H85" s="263" t="b">
        <v>1</v>
      </c>
      <c r="I85" s="263" t="b">
        <v>0</v>
      </c>
      <c r="J85" s="263" t="b">
        <v>1</v>
      </c>
      <c r="K85" s="261" t="b">
        <v>0</v>
      </c>
      <c r="L85" s="23">
        <f t="shared" si="4"/>
        <v>2</v>
      </c>
      <c r="M85" s="264">
        <f t="shared" si="5"/>
        <v>240</v>
      </c>
    </row>
    <row r="86" spans="1:13" x14ac:dyDescent="0.2">
      <c r="A86" s="260"/>
      <c r="B86" s="261" t="b">
        <v>0</v>
      </c>
      <c r="C86" s="103" t="s">
        <v>827</v>
      </c>
      <c r="D86" s="103" t="s">
        <v>828</v>
      </c>
      <c r="E86" s="267">
        <v>833215534</v>
      </c>
      <c r="F86" s="207"/>
      <c r="G86" s="207"/>
      <c r="H86" s="263" t="b">
        <v>1</v>
      </c>
      <c r="I86" s="263" t="b">
        <v>0</v>
      </c>
      <c r="J86" s="263" t="b">
        <v>1</v>
      </c>
      <c r="K86" s="261" t="b">
        <v>0</v>
      </c>
      <c r="L86" s="23">
        <f t="shared" si="4"/>
        <v>2</v>
      </c>
      <c r="M86" s="264">
        <f t="shared" si="5"/>
        <v>240</v>
      </c>
    </row>
    <row r="87" spans="1:13" x14ac:dyDescent="0.2">
      <c r="A87" s="260"/>
      <c r="B87" s="261" t="b">
        <v>0</v>
      </c>
      <c r="C87" s="103" t="s">
        <v>184</v>
      </c>
      <c r="D87" s="103" t="s">
        <v>522</v>
      </c>
      <c r="E87" s="267">
        <v>856175255</v>
      </c>
      <c r="F87" s="207"/>
      <c r="G87" s="207"/>
      <c r="H87" s="263" t="b">
        <v>1</v>
      </c>
      <c r="I87" s="263" t="b">
        <v>1</v>
      </c>
      <c r="J87" s="263" t="b">
        <v>1</v>
      </c>
      <c r="K87" s="261" t="b">
        <v>0</v>
      </c>
      <c r="L87" s="23">
        <f t="shared" si="4"/>
        <v>3</v>
      </c>
      <c r="M87" s="264">
        <f t="shared" si="5"/>
        <v>360</v>
      </c>
    </row>
    <row r="88" spans="1:13" x14ac:dyDescent="0.2">
      <c r="A88" s="260"/>
      <c r="B88" s="261" t="b">
        <v>0</v>
      </c>
      <c r="C88" s="103" t="s">
        <v>286</v>
      </c>
      <c r="D88" s="103" t="s">
        <v>482</v>
      </c>
      <c r="E88" s="267">
        <v>857160926</v>
      </c>
      <c r="F88" s="207"/>
      <c r="G88" s="207"/>
      <c r="H88" s="263" t="b">
        <v>1</v>
      </c>
      <c r="I88" s="263" t="b">
        <v>1</v>
      </c>
      <c r="J88" s="263" t="b">
        <v>1</v>
      </c>
      <c r="K88" s="261" t="b">
        <v>0</v>
      </c>
      <c r="L88" s="23">
        <f t="shared" si="4"/>
        <v>3</v>
      </c>
      <c r="M88" s="264">
        <f t="shared" si="5"/>
        <v>360</v>
      </c>
    </row>
    <row r="89" spans="1:13" x14ac:dyDescent="0.2">
      <c r="A89" s="260"/>
      <c r="B89" s="261" t="b">
        <v>0</v>
      </c>
      <c r="C89" s="103" t="s">
        <v>521</v>
      </c>
      <c r="D89" s="103" t="s">
        <v>522</v>
      </c>
      <c r="E89" s="267">
        <v>862790876</v>
      </c>
      <c r="F89" s="207"/>
      <c r="G89" s="207"/>
      <c r="H89" s="263" t="b">
        <v>1</v>
      </c>
      <c r="I89" s="263" t="b">
        <v>0</v>
      </c>
      <c r="J89" s="263" t="b">
        <v>1</v>
      </c>
      <c r="K89" s="261" t="b">
        <v>0</v>
      </c>
      <c r="L89" s="23">
        <f t="shared" si="4"/>
        <v>2</v>
      </c>
      <c r="M89" s="264">
        <f t="shared" si="5"/>
        <v>240</v>
      </c>
    </row>
    <row r="90" spans="1:13" x14ac:dyDescent="0.2">
      <c r="A90" s="260"/>
      <c r="B90" s="261" t="b">
        <v>0</v>
      </c>
      <c r="C90" s="103" t="s">
        <v>491</v>
      </c>
      <c r="D90" s="103" t="s">
        <v>829</v>
      </c>
      <c r="E90" s="267">
        <v>857260389</v>
      </c>
      <c r="F90" s="103"/>
      <c r="G90" s="207"/>
      <c r="H90" s="263" t="b">
        <v>1</v>
      </c>
      <c r="I90" s="263" t="b">
        <v>1</v>
      </c>
      <c r="J90" s="263" t="b">
        <v>1</v>
      </c>
      <c r="K90" s="261" t="b">
        <v>0</v>
      </c>
      <c r="L90" s="23">
        <f t="shared" si="4"/>
        <v>3</v>
      </c>
      <c r="M90" s="264">
        <f t="shared" si="5"/>
        <v>360</v>
      </c>
    </row>
    <row r="91" spans="1:13" x14ac:dyDescent="0.2">
      <c r="A91" s="260"/>
      <c r="B91" s="261" t="b">
        <v>0</v>
      </c>
      <c r="C91" s="103" t="s">
        <v>494</v>
      </c>
      <c r="D91" s="103" t="s">
        <v>830</v>
      </c>
      <c r="E91" s="267">
        <v>862538098</v>
      </c>
      <c r="F91" s="207"/>
      <c r="G91" s="207"/>
      <c r="H91" s="263" t="b">
        <v>1</v>
      </c>
      <c r="I91" s="263" t="b">
        <v>1</v>
      </c>
      <c r="J91" s="263" t="b">
        <v>1</v>
      </c>
      <c r="K91" s="261" t="b">
        <v>0</v>
      </c>
      <c r="L91" s="23">
        <f t="shared" si="4"/>
        <v>3</v>
      </c>
      <c r="M91" s="264">
        <f t="shared" si="5"/>
        <v>360</v>
      </c>
    </row>
    <row r="92" spans="1:13" x14ac:dyDescent="0.2">
      <c r="A92" s="260"/>
      <c r="B92" s="261" t="b">
        <v>0</v>
      </c>
      <c r="C92" s="103" t="s">
        <v>334</v>
      </c>
      <c r="D92" s="103" t="s">
        <v>831</v>
      </c>
      <c r="E92" s="267">
        <v>851620638</v>
      </c>
      <c r="F92" s="207"/>
      <c r="G92" s="207"/>
      <c r="H92" s="263" t="b">
        <v>1</v>
      </c>
      <c r="I92" s="263" t="b">
        <v>1</v>
      </c>
      <c r="J92" s="263" t="b">
        <v>1</v>
      </c>
      <c r="K92" s="261" t="b">
        <v>0</v>
      </c>
      <c r="L92" s="23">
        <f t="shared" si="4"/>
        <v>3</v>
      </c>
      <c r="M92" s="264">
        <f t="shared" si="5"/>
        <v>360</v>
      </c>
    </row>
    <row r="93" spans="1:13" x14ac:dyDescent="0.2">
      <c r="A93" s="260"/>
      <c r="B93" s="261" t="b">
        <v>0</v>
      </c>
      <c r="C93" s="103" t="s">
        <v>832</v>
      </c>
      <c r="D93" s="103" t="s">
        <v>833</v>
      </c>
      <c r="E93" s="267">
        <v>890192833</v>
      </c>
      <c r="F93" s="207"/>
      <c r="G93" s="207"/>
      <c r="H93" s="263" t="b">
        <v>1</v>
      </c>
      <c r="I93" s="263" t="b">
        <v>1</v>
      </c>
      <c r="J93" s="263" t="b">
        <v>1</v>
      </c>
      <c r="K93" s="261" t="b">
        <v>0</v>
      </c>
      <c r="L93" s="23">
        <f t="shared" si="4"/>
        <v>3</v>
      </c>
      <c r="M93" s="264">
        <f t="shared" si="5"/>
        <v>360</v>
      </c>
    </row>
    <row r="94" spans="1:13" x14ac:dyDescent="0.2">
      <c r="A94" s="260"/>
      <c r="B94" s="261" t="b">
        <v>0</v>
      </c>
      <c r="C94" s="103" t="s">
        <v>834</v>
      </c>
      <c r="D94" s="103" t="s">
        <v>835</v>
      </c>
      <c r="E94" s="267">
        <v>862153091</v>
      </c>
      <c r="F94" s="207"/>
      <c r="G94" s="207"/>
      <c r="H94" s="263" t="b">
        <v>0</v>
      </c>
      <c r="I94" s="263" t="b">
        <v>0</v>
      </c>
      <c r="J94" s="263" t="b">
        <v>0</v>
      </c>
      <c r="K94" s="261" t="b">
        <v>0</v>
      </c>
      <c r="L94" s="23">
        <f t="shared" si="4"/>
        <v>0</v>
      </c>
      <c r="M94" s="264">
        <f t="shared" si="5"/>
        <v>0</v>
      </c>
    </row>
    <row r="95" spans="1:13" x14ac:dyDescent="0.2">
      <c r="A95" s="260"/>
      <c r="B95" s="261" t="b">
        <v>0</v>
      </c>
      <c r="C95" s="103" t="s">
        <v>836</v>
      </c>
      <c r="D95" s="103" t="s">
        <v>837</v>
      </c>
      <c r="E95" s="267">
        <v>862789067</v>
      </c>
      <c r="F95" s="207"/>
      <c r="G95" s="207"/>
      <c r="H95" s="263" t="b">
        <v>1</v>
      </c>
      <c r="I95" s="263" t="b">
        <v>1</v>
      </c>
      <c r="J95" s="263" t="b">
        <v>1</v>
      </c>
      <c r="K95" s="261" t="b">
        <v>0</v>
      </c>
      <c r="L95" s="23">
        <f t="shared" si="4"/>
        <v>3</v>
      </c>
      <c r="M95" s="264">
        <f t="shared" si="5"/>
        <v>360</v>
      </c>
    </row>
    <row r="96" spans="1:13" x14ac:dyDescent="0.2">
      <c r="A96" s="260"/>
      <c r="B96" s="261" t="b">
        <v>0</v>
      </c>
      <c r="C96" s="103" t="s">
        <v>171</v>
      </c>
      <c r="D96" s="103" t="s">
        <v>838</v>
      </c>
      <c r="E96" s="267">
        <v>892638904</v>
      </c>
      <c r="F96" s="207"/>
      <c r="G96" s="207"/>
      <c r="H96" s="263" t="b">
        <v>1</v>
      </c>
      <c r="I96" s="263" t="b">
        <v>1</v>
      </c>
      <c r="J96" s="263" t="b">
        <v>1</v>
      </c>
      <c r="K96" s="261" t="b">
        <v>0</v>
      </c>
      <c r="L96" s="23">
        <f t="shared" si="4"/>
        <v>3</v>
      </c>
      <c r="M96" s="264">
        <f t="shared" si="5"/>
        <v>360</v>
      </c>
    </row>
    <row r="97" spans="1:13" x14ac:dyDescent="0.2">
      <c r="A97" s="260"/>
      <c r="B97" s="261" t="b">
        <v>0</v>
      </c>
      <c r="C97" s="103" t="s">
        <v>839</v>
      </c>
      <c r="D97" s="103" t="s">
        <v>840</v>
      </c>
      <c r="E97" s="267">
        <v>862678019</v>
      </c>
      <c r="F97" s="207"/>
      <c r="G97" s="207"/>
      <c r="H97" s="263" t="b">
        <v>1</v>
      </c>
      <c r="I97" s="263" t="b">
        <v>0</v>
      </c>
      <c r="J97" s="263" t="b">
        <v>0</v>
      </c>
      <c r="K97" s="261" t="b">
        <v>0</v>
      </c>
      <c r="L97" s="23">
        <f t="shared" si="4"/>
        <v>1</v>
      </c>
      <c r="M97" s="264">
        <f t="shared" si="5"/>
        <v>120</v>
      </c>
    </row>
    <row r="98" spans="1:13" x14ac:dyDescent="0.2">
      <c r="A98" s="260"/>
      <c r="B98" s="261" t="b">
        <v>0</v>
      </c>
      <c r="C98" s="103" t="s">
        <v>841</v>
      </c>
      <c r="D98" s="103" t="s">
        <v>842</v>
      </c>
      <c r="E98" s="267">
        <v>852534876</v>
      </c>
      <c r="F98" s="207"/>
      <c r="G98" s="207"/>
      <c r="H98" s="263" t="b">
        <v>1</v>
      </c>
      <c r="I98" s="263" t="b">
        <v>1</v>
      </c>
      <c r="J98" s="263" t="b">
        <v>1</v>
      </c>
      <c r="K98" s="261" t="b">
        <v>0</v>
      </c>
      <c r="L98" s="23">
        <f t="shared" si="4"/>
        <v>3</v>
      </c>
      <c r="M98" s="264">
        <f t="shared" si="5"/>
        <v>360</v>
      </c>
    </row>
    <row r="99" spans="1:13" x14ac:dyDescent="0.2">
      <c r="A99" s="260"/>
      <c r="B99" s="261" t="b">
        <v>0</v>
      </c>
      <c r="C99" s="103" t="s">
        <v>843</v>
      </c>
      <c r="D99" s="103" t="s">
        <v>844</v>
      </c>
      <c r="E99" s="267">
        <v>862738909</v>
      </c>
      <c r="F99" s="207"/>
      <c r="G99" s="207"/>
      <c r="H99" s="263" t="b">
        <v>0</v>
      </c>
      <c r="I99" s="263" t="b">
        <v>0</v>
      </c>
      <c r="J99" s="263" t="b">
        <v>0</v>
      </c>
      <c r="K99" s="261" t="b">
        <v>0</v>
      </c>
      <c r="L99" s="23">
        <f t="shared" si="4"/>
        <v>0</v>
      </c>
      <c r="M99" s="264">
        <f t="shared" si="5"/>
        <v>0</v>
      </c>
    </row>
    <row r="100" spans="1:13" x14ac:dyDescent="0.2">
      <c r="A100" s="23"/>
      <c r="B100" s="263" t="b">
        <v>0</v>
      </c>
      <c r="C100" s="103" t="s">
        <v>845</v>
      </c>
      <c r="D100" s="103" t="s">
        <v>846</v>
      </c>
      <c r="E100" s="267" t="s">
        <v>847</v>
      </c>
      <c r="F100" s="207"/>
      <c r="G100" s="207"/>
      <c r="H100" s="263" t="b">
        <v>1</v>
      </c>
      <c r="I100" s="263" t="b">
        <v>0</v>
      </c>
      <c r="J100" s="263" t="b">
        <v>1</v>
      </c>
      <c r="K100" s="261" t="b">
        <v>0</v>
      </c>
      <c r="L100" s="23">
        <f t="shared" si="4"/>
        <v>2</v>
      </c>
      <c r="M100" s="264">
        <f t="shared" si="5"/>
        <v>240</v>
      </c>
    </row>
    <row r="101" spans="1:13" x14ac:dyDescent="0.2">
      <c r="A101" s="260"/>
      <c r="B101" s="261" t="b">
        <v>0</v>
      </c>
      <c r="C101" s="103" t="s">
        <v>848</v>
      </c>
      <c r="D101" s="103" t="s">
        <v>849</v>
      </c>
      <c r="E101" s="267">
        <v>872536478</v>
      </c>
      <c r="F101" s="207"/>
      <c r="G101" s="207"/>
      <c r="H101" s="263" t="b">
        <v>1</v>
      </c>
      <c r="I101" s="263" t="b">
        <v>1</v>
      </c>
      <c r="J101" s="263" t="b">
        <v>0</v>
      </c>
      <c r="K101" s="261" t="b">
        <v>0</v>
      </c>
      <c r="L101" s="23">
        <f t="shared" si="4"/>
        <v>2</v>
      </c>
      <c r="M101" s="264">
        <f t="shared" si="5"/>
        <v>240</v>
      </c>
    </row>
    <row r="102" spans="1:13" x14ac:dyDescent="0.2">
      <c r="A102" s="260"/>
      <c r="B102" s="261" t="b">
        <v>0</v>
      </c>
      <c r="C102" s="103" t="s">
        <v>850</v>
      </c>
      <c r="D102" s="103" t="s">
        <v>826</v>
      </c>
      <c r="E102" s="267">
        <v>867263548</v>
      </c>
      <c r="F102" s="207"/>
      <c r="G102" s="207"/>
      <c r="H102" s="263" t="b">
        <v>1</v>
      </c>
      <c r="I102" s="263" t="b">
        <v>0</v>
      </c>
      <c r="J102" s="263" t="b">
        <v>1</v>
      </c>
      <c r="K102" s="261" t="b">
        <v>0</v>
      </c>
      <c r="L102" s="23">
        <f t="shared" si="4"/>
        <v>2</v>
      </c>
      <c r="M102" s="264">
        <f t="shared" si="5"/>
        <v>240</v>
      </c>
    </row>
    <row r="103" spans="1:13" x14ac:dyDescent="0.2">
      <c r="A103" s="260"/>
      <c r="B103" s="261" t="b">
        <v>0</v>
      </c>
      <c r="C103" s="103" t="s">
        <v>603</v>
      </c>
      <c r="D103" s="103" t="s">
        <v>851</v>
      </c>
      <c r="E103" s="267">
        <v>862789067</v>
      </c>
      <c r="F103" s="207"/>
      <c r="G103" s="207"/>
      <c r="H103" s="263" t="b">
        <v>1</v>
      </c>
      <c r="I103" s="263" t="b">
        <v>1</v>
      </c>
      <c r="J103" s="263" t="b">
        <v>1</v>
      </c>
      <c r="K103" s="261" t="b">
        <v>0</v>
      </c>
      <c r="L103" s="23">
        <f t="shared" si="4"/>
        <v>3</v>
      </c>
      <c r="M103" s="264">
        <f t="shared" si="5"/>
        <v>360</v>
      </c>
    </row>
    <row r="104" spans="1:13" x14ac:dyDescent="0.2">
      <c r="A104" s="260"/>
      <c r="B104" s="261" t="b">
        <v>0</v>
      </c>
      <c r="C104" s="103" t="s">
        <v>185</v>
      </c>
      <c r="D104" s="103" t="s">
        <v>852</v>
      </c>
      <c r="E104" s="267">
        <v>862908936</v>
      </c>
      <c r="F104" s="207"/>
      <c r="G104" s="207"/>
      <c r="H104" s="263" t="b">
        <v>1</v>
      </c>
      <c r="I104" s="263" t="b">
        <v>1</v>
      </c>
      <c r="J104" s="263" t="b">
        <v>1</v>
      </c>
      <c r="K104" s="261" t="b">
        <v>0</v>
      </c>
      <c r="L104" s="23">
        <f t="shared" si="4"/>
        <v>3</v>
      </c>
      <c r="M104" s="264">
        <f t="shared" si="5"/>
        <v>360</v>
      </c>
    </row>
    <row r="105" spans="1:13" x14ac:dyDescent="0.2">
      <c r="A105" s="23"/>
      <c r="B105" s="261" t="b">
        <v>0</v>
      </c>
      <c r="C105" s="103" t="s">
        <v>853</v>
      </c>
      <c r="D105" s="103" t="s">
        <v>854</v>
      </c>
      <c r="E105" s="267">
        <v>864087290</v>
      </c>
      <c r="F105" s="207"/>
      <c r="G105" s="207"/>
      <c r="H105" s="263" t="b">
        <v>1</v>
      </c>
      <c r="I105" s="263" t="b">
        <v>1</v>
      </c>
      <c r="J105" s="263" t="b">
        <v>1</v>
      </c>
      <c r="K105" s="261" t="b">
        <v>0</v>
      </c>
      <c r="L105" s="23">
        <f t="shared" si="4"/>
        <v>3</v>
      </c>
      <c r="M105" s="264">
        <f t="shared" si="5"/>
        <v>360</v>
      </c>
    </row>
    <row r="106" spans="1:13" x14ac:dyDescent="0.2">
      <c r="A106" s="260"/>
      <c r="B106" s="261" t="b">
        <v>0</v>
      </c>
      <c r="C106" s="103" t="s">
        <v>471</v>
      </c>
      <c r="D106" s="103" t="s">
        <v>472</v>
      </c>
      <c r="E106" s="267">
        <v>879273645</v>
      </c>
      <c r="F106" s="207"/>
      <c r="G106" s="207"/>
      <c r="H106" s="263" t="b">
        <v>1</v>
      </c>
      <c r="I106" s="263" t="b">
        <v>1</v>
      </c>
      <c r="J106" s="263" t="b">
        <v>1</v>
      </c>
      <c r="K106" s="261" t="b">
        <v>0</v>
      </c>
      <c r="L106" s="23">
        <f t="shared" si="4"/>
        <v>3</v>
      </c>
      <c r="M106" s="264">
        <f t="shared" si="5"/>
        <v>360</v>
      </c>
    </row>
    <row r="107" spans="1:13" x14ac:dyDescent="0.2">
      <c r="A107" s="260"/>
      <c r="B107" s="261" t="b">
        <v>0</v>
      </c>
      <c r="C107" s="103" t="s">
        <v>855</v>
      </c>
      <c r="D107" s="103" t="s">
        <v>473</v>
      </c>
      <c r="E107" s="267">
        <v>896357289</v>
      </c>
      <c r="F107" s="207"/>
      <c r="G107" s="207"/>
      <c r="H107" s="263" t="b">
        <v>1</v>
      </c>
      <c r="I107" s="263" t="b">
        <v>1</v>
      </c>
      <c r="J107" s="263" t="b">
        <v>1</v>
      </c>
      <c r="K107" s="261" t="b">
        <v>0</v>
      </c>
      <c r="L107" s="23">
        <f t="shared" si="4"/>
        <v>3</v>
      </c>
      <c r="M107" s="264">
        <f t="shared" si="5"/>
        <v>360</v>
      </c>
    </row>
    <row r="108" spans="1:13" x14ac:dyDescent="0.2">
      <c r="A108" s="260"/>
      <c r="B108" s="261" t="b">
        <v>0</v>
      </c>
      <c r="C108" s="103" t="s">
        <v>856</v>
      </c>
      <c r="D108" s="103" t="s">
        <v>857</v>
      </c>
      <c r="E108" s="267">
        <v>862789098</v>
      </c>
      <c r="F108" s="207"/>
      <c r="G108" s="207"/>
      <c r="H108" s="263" t="b">
        <v>0</v>
      </c>
      <c r="I108" s="263" t="b">
        <v>0</v>
      </c>
      <c r="J108" s="263" t="b">
        <v>0</v>
      </c>
      <c r="K108" s="261" t="b">
        <v>0</v>
      </c>
      <c r="L108" s="23">
        <f t="shared" si="4"/>
        <v>0</v>
      </c>
      <c r="M108" s="264">
        <f t="shared" si="5"/>
        <v>0</v>
      </c>
    </row>
    <row r="109" spans="1:13" x14ac:dyDescent="0.2">
      <c r="A109" s="260"/>
      <c r="B109" s="261" t="b">
        <v>0</v>
      </c>
      <c r="C109" s="103" t="s">
        <v>858</v>
      </c>
      <c r="D109" s="103" t="s">
        <v>859</v>
      </c>
      <c r="E109" s="267">
        <v>872567890</v>
      </c>
      <c r="F109" s="207"/>
      <c r="G109" s="207"/>
      <c r="H109" s="263" t="b">
        <v>0</v>
      </c>
      <c r="I109" s="263" t="b">
        <v>0</v>
      </c>
      <c r="J109" s="263" t="b">
        <v>0</v>
      </c>
      <c r="K109" s="261" t="b">
        <v>0</v>
      </c>
      <c r="L109" s="23">
        <f t="shared" si="4"/>
        <v>0</v>
      </c>
      <c r="M109" s="264">
        <f t="shared" si="5"/>
        <v>0</v>
      </c>
    </row>
    <row r="110" spans="1:13" x14ac:dyDescent="0.2">
      <c r="A110" s="260"/>
      <c r="B110" s="261" t="b">
        <v>0</v>
      </c>
      <c r="C110" s="103" t="s">
        <v>860</v>
      </c>
      <c r="D110" s="103" t="s">
        <v>861</v>
      </c>
      <c r="E110" s="267">
        <v>867263546</v>
      </c>
      <c r="F110" s="207"/>
      <c r="G110" s="207"/>
      <c r="H110" s="263" t="b">
        <v>1</v>
      </c>
      <c r="I110" s="263" t="b">
        <v>1</v>
      </c>
      <c r="J110" s="263" t="b">
        <v>1</v>
      </c>
      <c r="K110" s="261" t="b">
        <v>0</v>
      </c>
      <c r="L110" s="23">
        <f t="shared" si="4"/>
        <v>3</v>
      </c>
      <c r="M110" s="264">
        <f t="shared" si="5"/>
        <v>360</v>
      </c>
    </row>
    <row r="111" spans="1:13" x14ac:dyDescent="0.2">
      <c r="A111" s="260"/>
      <c r="B111" s="261" t="b">
        <v>0</v>
      </c>
      <c r="C111" s="103" t="s">
        <v>786</v>
      </c>
      <c r="D111" s="103" t="s">
        <v>789</v>
      </c>
      <c r="E111" s="267">
        <v>872567890</v>
      </c>
      <c r="F111" s="207"/>
      <c r="G111" s="207"/>
      <c r="H111" s="263" t="b">
        <v>1</v>
      </c>
      <c r="I111" s="263" t="b">
        <v>1</v>
      </c>
      <c r="J111" s="263" t="b">
        <v>1</v>
      </c>
      <c r="K111" s="261" t="b">
        <v>0</v>
      </c>
      <c r="L111" s="23">
        <f t="shared" si="4"/>
        <v>3</v>
      </c>
      <c r="M111" s="264">
        <f t="shared" si="5"/>
        <v>360</v>
      </c>
    </row>
    <row r="112" spans="1:13" x14ac:dyDescent="0.2">
      <c r="A112" s="260"/>
      <c r="B112" s="261" t="b">
        <v>0</v>
      </c>
      <c r="C112" s="103" t="s">
        <v>862</v>
      </c>
      <c r="D112" s="103" t="s">
        <v>863</v>
      </c>
      <c r="E112" s="267">
        <v>856253645</v>
      </c>
      <c r="F112" s="207"/>
      <c r="G112" s="207"/>
      <c r="H112" s="263" t="b">
        <v>1</v>
      </c>
      <c r="I112" s="263" t="b">
        <v>1</v>
      </c>
      <c r="J112" s="263" t="b">
        <v>1</v>
      </c>
      <c r="K112" s="261" t="b">
        <v>0</v>
      </c>
      <c r="L112" s="23">
        <f t="shared" si="4"/>
        <v>3</v>
      </c>
      <c r="M112" s="264">
        <f t="shared" si="5"/>
        <v>360</v>
      </c>
    </row>
    <row r="113" spans="1:13" x14ac:dyDescent="0.2">
      <c r="A113" s="260"/>
      <c r="B113" s="261" t="b">
        <v>0</v>
      </c>
      <c r="C113" s="103" t="s">
        <v>864</v>
      </c>
      <c r="D113" s="103" t="s">
        <v>831</v>
      </c>
      <c r="E113" s="267">
        <v>867825367</v>
      </c>
      <c r="F113" s="207"/>
      <c r="G113" s="207"/>
      <c r="H113" s="263" t="b">
        <v>1</v>
      </c>
      <c r="I113" s="263" t="b">
        <v>1</v>
      </c>
      <c r="J113" s="263" t="b">
        <v>1</v>
      </c>
      <c r="K113" s="261" t="b">
        <v>0</v>
      </c>
      <c r="L113" s="23">
        <f t="shared" si="4"/>
        <v>3</v>
      </c>
      <c r="M113" s="264">
        <f t="shared" si="5"/>
        <v>360</v>
      </c>
    </row>
    <row r="114" spans="1:13" x14ac:dyDescent="0.2">
      <c r="A114" s="260"/>
      <c r="B114" s="261" t="b">
        <v>0</v>
      </c>
      <c r="C114" s="103" t="s">
        <v>191</v>
      </c>
      <c r="D114" s="103" t="s">
        <v>831</v>
      </c>
      <c r="E114" s="267">
        <v>851237890</v>
      </c>
      <c r="F114" s="207"/>
      <c r="G114" s="207"/>
      <c r="H114" s="263" t="b">
        <v>1</v>
      </c>
      <c r="I114" s="263" t="b">
        <v>1</v>
      </c>
      <c r="J114" s="263" t="b">
        <v>1</v>
      </c>
      <c r="K114" s="261" t="b">
        <v>0</v>
      </c>
      <c r="L114" s="23">
        <f t="shared" si="4"/>
        <v>3</v>
      </c>
      <c r="M114" s="264">
        <f t="shared" si="5"/>
        <v>360</v>
      </c>
    </row>
    <row r="115" spans="1:13" x14ac:dyDescent="0.2">
      <c r="A115" s="260"/>
      <c r="B115" s="261" t="b">
        <v>0</v>
      </c>
      <c r="C115" s="103" t="s">
        <v>865</v>
      </c>
      <c r="D115" s="103" t="s">
        <v>861</v>
      </c>
      <c r="E115" s="267">
        <v>862789098</v>
      </c>
      <c r="F115" s="207"/>
      <c r="G115" s="207"/>
      <c r="H115" s="263" t="b">
        <v>1</v>
      </c>
      <c r="I115" s="263" t="b">
        <v>1</v>
      </c>
      <c r="J115" s="263" t="b">
        <v>1</v>
      </c>
      <c r="K115" s="261" t="b">
        <v>0</v>
      </c>
      <c r="L115" s="23">
        <f t="shared" si="4"/>
        <v>3</v>
      </c>
      <c r="M115" s="264">
        <f t="shared" si="5"/>
        <v>360</v>
      </c>
    </row>
    <row r="116" spans="1:13" x14ac:dyDescent="0.2">
      <c r="A116" s="260"/>
      <c r="B116" s="261" t="b">
        <v>0</v>
      </c>
      <c r="C116" s="103" t="s">
        <v>257</v>
      </c>
      <c r="D116" s="103" t="s">
        <v>866</v>
      </c>
      <c r="E116" s="267">
        <v>867160389</v>
      </c>
      <c r="F116" s="207"/>
      <c r="G116" s="207"/>
      <c r="H116" s="263" t="b">
        <v>1</v>
      </c>
      <c r="I116" s="263" t="b">
        <v>1</v>
      </c>
      <c r="J116" s="263" t="b">
        <v>1</v>
      </c>
      <c r="K116" s="261" t="b">
        <v>0</v>
      </c>
      <c r="L116" s="23">
        <f t="shared" si="4"/>
        <v>3</v>
      </c>
      <c r="M116" s="264">
        <f t="shared" si="5"/>
        <v>360</v>
      </c>
    </row>
    <row r="117" spans="1:13" x14ac:dyDescent="0.2">
      <c r="A117" s="260"/>
      <c r="B117" s="261" t="b">
        <v>0</v>
      </c>
      <c r="C117" s="103" t="s">
        <v>867</v>
      </c>
      <c r="D117" s="103" t="s">
        <v>868</v>
      </c>
      <c r="E117" s="267">
        <v>852416098</v>
      </c>
      <c r="F117" s="207"/>
      <c r="G117" s="207"/>
      <c r="H117" s="263" t="b">
        <v>1</v>
      </c>
      <c r="I117" s="263" t="b">
        <v>1</v>
      </c>
      <c r="J117" s="263" t="b">
        <v>1</v>
      </c>
      <c r="K117" s="261" t="b">
        <v>0</v>
      </c>
      <c r="L117" s="23">
        <f t="shared" si="4"/>
        <v>3</v>
      </c>
      <c r="M117" s="264">
        <f t="shared" si="5"/>
        <v>360</v>
      </c>
    </row>
    <row r="118" spans="1:13" x14ac:dyDescent="0.2">
      <c r="A118" s="260"/>
      <c r="B118" s="261" t="b">
        <v>0</v>
      </c>
      <c r="C118" s="103" t="s">
        <v>869</v>
      </c>
      <c r="D118" s="103" t="s">
        <v>870</v>
      </c>
      <c r="E118" s="267">
        <v>862789098</v>
      </c>
      <c r="F118" s="207"/>
      <c r="G118" s="207"/>
      <c r="H118" s="263" t="b">
        <v>1</v>
      </c>
      <c r="I118" s="263" t="b">
        <v>1</v>
      </c>
      <c r="J118" s="263" t="b">
        <v>1</v>
      </c>
      <c r="K118" s="261" t="b">
        <v>0</v>
      </c>
      <c r="L118" s="23">
        <f t="shared" si="4"/>
        <v>3</v>
      </c>
      <c r="M118" s="264">
        <f t="shared" si="5"/>
        <v>360</v>
      </c>
    </row>
    <row r="119" spans="1:13" x14ac:dyDescent="0.2">
      <c r="A119" s="260"/>
      <c r="B119" s="261" t="b">
        <v>0</v>
      </c>
      <c r="C119" s="103" t="s">
        <v>699</v>
      </c>
      <c r="D119" s="103" t="s">
        <v>866</v>
      </c>
      <c r="E119" s="267">
        <v>852364789</v>
      </c>
      <c r="F119" s="207"/>
      <c r="G119" s="207"/>
      <c r="H119" s="263" t="b">
        <v>1</v>
      </c>
      <c r="I119" s="263" t="b">
        <v>0</v>
      </c>
      <c r="J119" s="263" t="b">
        <v>0</v>
      </c>
      <c r="K119" s="261" t="b">
        <v>0</v>
      </c>
      <c r="L119" s="23">
        <f t="shared" si="4"/>
        <v>1</v>
      </c>
      <c r="M119" s="264">
        <f t="shared" si="5"/>
        <v>120</v>
      </c>
    </row>
    <row r="120" spans="1:13" x14ac:dyDescent="0.2">
      <c r="A120" s="23"/>
      <c r="B120" s="23"/>
      <c r="C120" s="22" t="s">
        <v>187</v>
      </c>
      <c r="D120" s="22" t="s">
        <v>784</v>
      </c>
      <c r="E120" s="22">
        <v>872563789</v>
      </c>
      <c r="F120" s="23"/>
      <c r="G120" s="23"/>
      <c r="H120" s="263" t="b">
        <v>1</v>
      </c>
      <c r="I120" s="263" t="b">
        <v>1</v>
      </c>
      <c r="J120" s="263" t="b">
        <v>1</v>
      </c>
      <c r="K120" s="23"/>
      <c r="L120" s="23">
        <f t="shared" si="4"/>
        <v>3</v>
      </c>
      <c r="M120" s="264">
        <f t="shared" si="5"/>
        <v>360</v>
      </c>
    </row>
    <row r="121" spans="1:13" x14ac:dyDescent="0.2">
      <c r="A121" s="23"/>
      <c r="B121" s="23"/>
      <c r="C121" s="22" t="s">
        <v>479</v>
      </c>
      <c r="D121" s="22" t="s">
        <v>871</v>
      </c>
      <c r="E121" s="22">
        <v>862746890</v>
      </c>
      <c r="F121" s="23"/>
      <c r="G121" s="23"/>
      <c r="H121" s="263" t="b">
        <v>1</v>
      </c>
      <c r="I121" s="263" t="b">
        <v>0</v>
      </c>
      <c r="J121" s="263" t="b">
        <v>1</v>
      </c>
      <c r="K121" s="23"/>
      <c r="L121" s="23">
        <f t="shared" si="4"/>
        <v>2</v>
      </c>
      <c r="M121" s="264">
        <f t="shared" si="5"/>
        <v>240</v>
      </c>
    </row>
    <row r="122" spans="1:13" x14ac:dyDescent="0.2">
      <c r="A122" s="23"/>
      <c r="B122" s="23"/>
      <c r="C122" s="22" t="s">
        <v>183</v>
      </c>
      <c r="D122" s="22" t="s">
        <v>620</v>
      </c>
      <c r="E122" s="22">
        <v>867878535</v>
      </c>
      <c r="F122" s="23"/>
      <c r="G122" s="23"/>
      <c r="H122" s="263" t="b">
        <v>1</v>
      </c>
      <c r="I122" s="263" t="b">
        <v>1</v>
      </c>
      <c r="J122" s="263" t="b">
        <v>1</v>
      </c>
      <c r="K122" s="23"/>
      <c r="L122" s="23">
        <f t="shared" si="4"/>
        <v>3</v>
      </c>
      <c r="M122" s="264">
        <f t="shared" si="5"/>
        <v>360</v>
      </c>
    </row>
    <row r="123" spans="1:13" x14ac:dyDescent="0.2">
      <c r="A123" s="23"/>
      <c r="B123" s="23"/>
      <c r="C123" s="22" t="s">
        <v>308</v>
      </c>
      <c r="D123" s="22" t="s">
        <v>872</v>
      </c>
      <c r="E123" s="22">
        <v>876566789</v>
      </c>
      <c r="F123" s="23"/>
      <c r="G123" s="23"/>
      <c r="H123" s="263" t="b">
        <v>1</v>
      </c>
      <c r="I123" s="263" t="b">
        <v>1</v>
      </c>
      <c r="J123" s="263" t="b">
        <v>1</v>
      </c>
      <c r="K123" s="23"/>
      <c r="L123" s="23">
        <f t="shared" si="4"/>
        <v>3</v>
      </c>
      <c r="M123" s="264">
        <f t="shared" si="5"/>
        <v>360</v>
      </c>
    </row>
    <row r="124" spans="1:13" x14ac:dyDescent="0.2">
      <c r="A124" s="23"/>
      <c r="B124" s="23"/>
      <c r="C124" s="22" t="s">
        <v>232</v>
      </c>
      <c r="D124" s="22" t="s">
        <v>873</v>
      </c>
      <c r="E124" s="22">
        <v>856176533</v>
      </c>
      <c r="F124" s="23"/>
      <c r="G124" s="23"/>
      <c r="H124" s="263" t="b">
        <v>1</v>
      </c>
      <c r="I124" s="263" t="b">
        <v>1</v>
      </c>
      <c r="J124" s="263" t="b">
        <v>1</v>
      </c>
      <c r="K124" s="23"/>
      <c r="L124" s="23">
        <f t="shared" si="4"/>
        <v>3</v>
      </c>
      <c r="M124" s="264">
        <f t="shared" si="5"/>
        <v>360</v>
      </c>
    </row>
    <row r="125" spans="1:13" x14ac:dyDescent="0.2">
      <c r="A125" s="23"/>
      <c r="B125" s="23"/>
      <c r="C125" s="22" t="s">
        <v>874</v>
      </c>
      <c r="D125" s="22" t="s">
        <v>875</v>
      </c>
      <c r="E125" s="22">
        <v>857060891</v>
      </c>
      <c r="F125" s="23"/>
      <c r="G125" s="23"/>
      <c r="H125" s="263" t="b">
        <v>0</v>
      </c>
      <c r="I125" s="263" t="b">
        <v>0</v>
      </c>
      <c r="J125" s="263" t="b">
        <v>0</v>
      </c>
      <c r="K125" s="23"/>
      <c r="L125" s="23">
        <f t="shared" si="4"/>
        <v>0</v>
      </c>
      <c r="M125" s="264">
        <f t="shared" si="5"/>
        <v>0</v>
      </c>
    </row>
    <row r="126" spans="1:13" x14ac:dyDescent="0.2">
      <c r="A126" s="23"/>
      <c r="B126" s="23"/>
      <c r="C126" s="22" t="s">
        <v>197</v>
      </c>
      <c r="D126" s="22" t="s">
        <v>861</v>
      </c>
      <c r="E126" s="22">
        <v>852676553</v>
      </c>
      <c r="F126" s="23"/>
      <c r="G126" s="23"/>
      <c r="H126" s="261" t="b">
        <v>0</v>
      </c>
      <c r="I126" s="263" t="b">
        <v>1</v>
      </c>
      <c r="J126" s="263" t="b">
        <v>1</v>
      </c>
      <c r="K126" s="23"/>
      <c r="L126" s="23">
        <f t="shared" si="4"/>
        <v>2</v>
      </c>
      <c r="M126" s="264">
        <f t="shared" si="5"/>
        <v>240</v>
      </c>
    </row>
    <row r="127" spans="1:13" x14ac:dyDescent="0.2">
      <c r="A127" s="23"/>
      <c r="B127" s="23"/>
      <c r="C127" s="22" t="s">
        <v>724</v>
      </c>
      <c r="D127" s="22" t="s">
        <v>782</v>
      </c>
      <c r="E127" s="22">
        <v>862765633</v>
      </c>
      <c r="F127" s="23"/>
      <c r="G127" s="23"/>
      <c r="H127" s="261" t="b">
        <v>0</v>
      </c>
      <c r="I127" s="263" t="b">
        <v>1</v>
      </c>
      <c r="J127" s="261" t="b">
        <v>0</v>
      </c>
      <c r="K127" s="23"/>
      <c r="L127" s="23">
        <f t="shared" si="4"/>
        <v>1</v>
      </c>
      <c r="M127" s="264">
        <f t="shared" si="5"/>
        <v>120</v>
      </c>
    </row>
    <row r="128" spans="1:13" x14ac:dyDescent="0.2">
      <c r="A128" s="23"/>
      <c r="B128" s="23"/>
      <c r="C128" s="22" t="s">
        <v>876</v>
      </c>
      <c r="D128" s="22" t="s">
        <v>877</v>
      </c>
      <c r="E128" s="22">
        <v>853678998</v>
      </c>
      <c r="F128" s="23"/>
      <c r="G128" s="23"/>
      <c r="H128" s="263" t="b">
        <v>1</v>
      </c>
      <c r="I128" s="261" t="b">
        <v>0</v>
      </c>
      <c r="J128" s="261" t="b">
        <v>0</v>
      </c>
      <c r="K128" s="23"/>
      <c r="L128" s="23">
        <f t="shared" si="4"/>
        <v>1</v>
      </c>
      <c r="M128" s="264">
        <f t="shared" si="5"/>
        <v>120</v>
      </c>
    </row>
    <row r="129" spans="1:13" x14ac:dyDescent="0.2">
      <c r="A129" s="23"/>
      <c r="B129" s="23"/>
      <c r="C129" s="22" t="s">
        <v>878</v>
      </c>
      <c r="D129" s="22" t="s">
        <v>879</v>
      </c>
      <c r="E129" s="22">
        <v>830618223</v>
      </c>
      <c r="F129" s="23"/>
      <c r="G129" s="23"/>
      <c r="H129" s="263" t="b">
        <v>0</v>
      </c>
      <c r="I129" s="263" t="b">
        <v>0</v>
      </c>
      <c r="J129" s="263" t="b">
        <v>0</v>
      </c>
      <c r="K129" s="23"/>
      <c r="L129" s="23">
        <f t="shared" si="4"/>
        <v>0</v>
      </c>
      <c r="M129" s="264">
        <f t="shared" si="5"/>
        <v>0</v>
      </c>
    </row>
    <row r="130" spans="1:13" x14ac:dyDescent="0.2">
      <c r="A130" s="23"/>
      <c r="B130" s="23"/>
      <c r="C130" s="22" t="s">
        <v>175</v>
      </c>
      <c r="D130" s="22" t="s">
        <v>283</v>
      </c>
      <c r="E130" s="22">
        <v>852340300</v>
      </c>
      <c r="F130" s="23"/>
      <c r="G130" s="23"/>
      <c r="H130" s="263" t="b">
        <v>1</v>
      </c>
      <c r="I130" s="263" t="b">
        <v>1</v>
      </c>
      <c r="J130" s="263" t="b">
        <v>1</v>
      </c>
      <c r="K130" s="23"/>
      <c r="L130" s="23">
        <f t="shared" si="4"/>
        <v>3</v>
      </c>
      <c r="M130" s="264">
        <f t="shared" si="5"/>
        <v>360</v>
      </c>
    </row>
    <row r="131" spans="1:13" x14ac:dyDescent="0.2">
      <c r="A131" s="23"/>
      <c r="B131" s="23"/>
      <c r="C131" s="22" t="s">
        <v>738</v>
      </c>
      <c r="D131" s="22" t="s">
        <v>880</v>
      </c>
      <c r="E131" s="22">
        <v>874534223</v>
      </c>
      <c r="F131" s="23"/>
      <c r="G131" s="23"/>
      <c r="H131" s="263" t="b">
        <v>1</v>
      </c>
      <c r="I131" s="263" t="b">
        <v>1</v>
      </c>
      <c r="J131" s="263" t="b">
        <v>1</v>
      </c>
      <c r="K131" s="23"/>
      <c r="L131" s="23">
        <f t="shared" si="4"/>
        <v>3</v>
      </c>
      <c r="M131" s="264">
        <f t="shared" si="5"/>
        <v>360</v>
      </c>
    </row>
    <row r="132" spans="1:13" x14ac:dyDescent="0.2">
      <c r="A132" s="23"/>
      <c r="B132" s="23"/>
      <c r="C132" s="22" t="s">
        <v>282</v>
      </c>
      <c r="D132" s="22" t="s">
        <v>881</v>
      </c>
      <c r="E132" s="22">
        <v>867272763</v>
      </c>
      <c r="F132" s="23"/>
      <c r="G132" s="23"/>
      <c r="H132" s="261" t="b">
        <v>0</v>
      </c>
      <c r="I132" s="263" t="b">
        <v>1</v>
      </c>
      <c r="J132" s="263" t="b">
        <v>1</v>
      </c>
      <c r="K132" s="23"/>
      <c r="L132" s="23">
        <f t="shared" si="4"/>
        <v>2</v>
      </c>
      <c r="M132" s="264">
        <f t="shared" si="5"/>
        <v>240</v>
      </c>
    </row>
    <row r="133" spans="1:13" x14ac:dyDescent="0.2">
      <c r="A133" s="23"/>
      <c r="B133" s="23"/>
      <c r="C133" s="22" t="s">
        <v>725</v>
      </c>
      <c r="D133" s="22" t="s">
        <v>882</v>
      </c>
      <c r="E133" s="22">
        <v>862736890</v>
      </c>
      <c r="F133" s="23"/>
      <c r="G133" s="23"/>
      <c r="H133" s="261" t="b">
        <v>0</v>
      </c>
      <c r="I133" s="261" t="b">
        <v>0</v>
      </c>
      <c r="J133" s="263" t="b">
        <v>1</v>
      </c>
      <c r="K133" s="23"/>
      <c r="L133" s="23">
        <f t="shared" si="4"/>
        <v>1</v>
      </c>
      <c r="M133" s="264">
        <f t="shared" si="5"/>
        <v>120</v>
      </c>
    </row>
    <row r="134" spans="1:13" x14ac:dyDescent="0.2">
      <c r="A134" s="23"/>
      <c r="B134" s="23"/>
      <c r="C134" s="22" t="s">
        <v>181</v>
      </c>
      <c r="D134" s="22" t="s">
        <v>883</v>
      </c>
      <c r="E134" s="22">
        <v>862788902</v>
      </c>
      <c r="F134" s="23"/>
      <c r="G134" s="23"/>
      <c r="H134" s="261" t="b">
        <v>0</v>
      </c>
      <c r="I134" s="263" t="b">
        <v>1</v>
      </c>
      <c r="J134" s="263" t="b">
        <v>1</v>
      </c>
      <c r="K134" s="23"/>
      <c r="L134" s="23">
        <f t="shared" si="4"/>
        <v>2</v>
      </c>
      <c r="M134" s="264">
        <f t="shared" si="5"/>
        <v>240</v>
      </c>
    </row>
    <row r="135" spans="1:13" x14ac:dyDescent="0.2">
      <c r="A135" s="23"/>
      <c r="B135" s="23"/>
      <c r="C135" s="22" t="s">
        <v>276</v>
      </c>
      <c r="D135" s="22" t="s">
        <v>861</v>
      </c>
      <c r="E135" s="22">
        <v>878922098</v>
      </c>
      <c r="F135" s="23"/>
      <c r="G135" s="23"/>
      <c r="H135" s="261" t="b">
        <v>0</v>
      </c>
      <c r="I135" s="263" t="b">
        <v>0</v>
      </c>
      <c r="J135" s="263" t="b">
        <v>0</v>
      </c>
      <c r="K135" s="23"/>
      <c r="L135" s="23">
        <f t="shared" si="4"/>
        <v>0</v>
      </c>
      <c r="M135" s="264">
        <f t="shared" si="5"/>
        <v>0</v>
      </c>
    </row>
    <row r="136" spans="1:13" x14ac:dyDescent="0.2">
      <c r="A136" s="23"/>
      <c r="B136" s="23"/>
      <c r="C136" s="22" t="s">
        <v>485</v>
      </c>
      <c r="D136" s="22" t="s">
        <v>797</v>
      </c>
      <c r="E136" s="22">
        <v>876678902</v>
      </c>
      <c r="F136" s="23"/>
      <c r="G136" s="23"/>
      <c r="H136" s="261" t="b">
        <v>0</v>
      </c>
      <c r="I136" s="263" t="b">
        <v>1</v>
      </c>
      <c r="J136" s="263" t="b">
        <v>1</v>
      </c>
      <c r="K136" s="23"/>
      <c r="L136" s="23">
        <f t="shared" si="4"/>
        <v>2</v>
      </c>
      <c r="M136" s="264">
        <f t="shared" si="5"/>
        <v>240</v>
      </c>
    </row>
    <row r="137" spans="1:13" x14ac:dyDescent="0.2">
      <c r="A137" s="23"/>
      <c r="B137" s="23"/>
      <c r="C137" s="22" t="s">
        <v>276</v>
      </c>
      <c r="D137" s="22" t="s">
        <v>801</v>
      </c>
      <c r="E137" s="22">
        <v>872566731</v>
      </c>
      <c r="F137" s="23"/>
      <c r="G137" s="23"/>
      <c r="H137" s="261" t="b">
        <v>0</v>
      </c>
      <c r="I137" s="263" t="b">
        <v>0</v>
      </c>
      <c r="J137" s="263" t="b">
        <v>0</v>
      </c>
      <c r="K137" s="23"/>
      <c r="L137" s="23">
        <f t="shared" si="4"/>
        <v>0</v>
      </c>
      <c r="M137" s="264">
        <f t="shared" si="5"/>
        <v>0</v>
      </c>
    </row>
    <row r="138" spans="1:13" x14ac:dyDescent="0.2">
      <c r="A138" s="23"/>
      <c r="B138" s="23"/>
      <c r="C138" s="22" t="s">
        <v>884</v>
      </c>
      <c r="D138" s="22" t="s">
        <v>532</v>
      </c>
      <c r="E138" s="22">
        <v>862678990</v>
      </c>
      <c r="F138" s="23"/>
      <c r="G138" s="23"/>
      <c r="H138" s="261" t="b">
        <v>0</v>
      </c>
      <c r="I138" s="263" t="b">
        <v>1</v>
      </c>
      <c r="J138" s="263" t="b">
        <v>1</v>
      </c>
      <c r="K138" s="23"/>
      <c r="L138" s="23">
        <f t="shared" si="4"/>
        <v>2</v>
      </c>
      <c r="M138" s="264">
        <f t="shared" si="5"/>
        <v>240</v>
      </c>
    </row>
    <row r="139" spans="1:13" x14ac:dyDescent="0.2">
      <c r="A139" s="23"/>
      <c r="B139" s="23"/>
      <c r="C139" s="22" t="s">
        <v>244</v>
      </c>
      <c r="D139" s="22" t="s">
        <v>532</v>
      </c>
      <c r="E139" s="22">
        <v>857110929</v>
      </c>
      <c r="F139" s="23"/>
      <c r="G139" s="23"/>
      <c r="H139" s="261" t="b">
        <v>0</v>
      </c>
      <c r="I139" s="263" t="b">
        <v>1</v>
      </c>
      <c r="J139" s="263" t="b">
        <v>1</v>
      </c>
      <c r="K139" s="23"/>
      <c r="L139" s="23">
        <f t="shared" si="4"/>
        <v>2</v>
      </c>
      <c r="M139" s="264">
        <f t="shared" si="5"/>
        <v>240</v>
      </c>
    </row>
    <row r="140" spans="1:13" x14ac:dyDescent="0.2">
      <c r="A140" s="23"/>
      <c r="B140" s="23"/>
      <c r="C140" s="22" t="s">
        <v>885</v>
      </c>
      <c r="D140" s="22" t="s">
        <v>861</v>
      </c>
      <c r="E140" s="22">
        <v>861788901</v>
      </c>
      <c r="F140" s="23"/>
      <c r="G140" s="23"/>
      <c r="H140" s="261" t="b">
        <v>0</v>
      </c>
      <c r="I140" s="263" t="b">
        <v>1</v>
      </c>
      <c r="J140" s="263" t="b">
        <v>1</v>
      </c>
      <c r="K140" s="23"/>
      <c r="L140" s="23">
        <f t="shared" si="4"/>
        <v>2</v>
      </c>
      <c r="M140" s="264">
        <f t="shared" si="5"/>
        <v>240</v>
      </c>
    </row>
    <row r="141" spans="1:13" x14ac:dyDescent="0.2">
      <c r="A141" s="23"/>
      <c r="B141" s="23"/>
      <c r="C141" s="22" t="s">
        <v>886</v>
      </c>
      <c r="D141" s="22" t="s">
        <v>887</v>
      </c>
      <c r="E141" s="22">
        <v>857160291</v>
      </c>
      <c r="F141" s="23"/>
      <c r="G141" s="23"/>
      <c r="H141" s="261" t="b">
        <v>0</v>
      </c>
      <c r="I141" s="263" t="b">
        <v>0</v>
      </c>
      <c r="J141" s="263" t="b">
        <v>0</v>
      </c>
      <c r="K141" s="23"/>
      <c r="L141" s="23">
        <f t="shared" si="4"/>
        <v>0</v>
      </c>
      <c r="M141" s="264">
        <f t="shared" si="5"/>
        <v>0</v>
      </c>
    </row>
    <row r="142" spans="1:13" x14ac:dyDescent="0.2">
      <c r="A142" s="23"/>
      <c r="B142" s="23"/>
      <c r="C142" s="22" t="s">
        <v>888</v>
      </c>
      <c r="D142" s="22" t="s">
        <v>889</v>
      </c>
      <c r="E142" s="22">
        <v>862788901</v>
      </c>
      <c r="F142" s="23"/>
      <c r="G142" s="23"/>
      <c r="H142" s="261" t="b">
        <v>0</v>
      </c>
      <c r="I142" s="263" t="b">
        <v>0</v>
      </c>
      <c r="J142" s="261" t="b">
        <v>0</v>
      </c>
      <c r="K142" s="23"/>
      <c r="L142" s="23">
        <f t="shared" si="4"/>
        <v>0</v>
      </c>
      <c r="M142" s="264">
        <f t="shared" si="5"/>
        <v>0</v>
      </c>
    </row>
    <row r="143" spans="1:13" x14ac:dyDescent="0.2">
      <c r="A143" s="23"/>
      <c r="B143" s="23"/>
      <c r="C143" s="22" t="s">
        <v>890</v>
      </c>
      <c r="D143" s="22" t="s">
        <v>620</v>
      </c>
      <c r="E143" s="22">
        <v>856150639</v>
      </c>
      <c r="F143" s="23"/>
      <c r="G143" s="23"/>
      <c r="H143" s="261" t="b">
        <v>0</v>
      </c>
      <c r="I143" s="263" t="b">
        <v>1</v>
      </c>
      <c r="J143" s="263" t="b">
        <v>1</v>
      </c>
      <c r="K143" s="23"/>
      <c r="L143" s="23">
        <f t="shared" si="4"/>
        <v>2</v>
      </c>
      <c r="M143" s="264">
        <f t="shared" si="5"/>
        <v>240</v>
      </c>
    </row>
    <row r="144" spans="1:13" x14ac:dyDescent="0.2">
      <c r="A144" s="23"/>
      <c r="B144" s="23"/>
      <c r="C144" s="22" t="s">
        <v>891</v>
      </c>
      <c r="D144" s="22" t="s">
        <v>892</v>
      </c>
      <c r="E144" s="22">
        <v>871479412</v>
      </c>
      <c r="F144" s="23"/>
      <c r="G144" s="23"/>
      <c r="H144" s="261" t="b">
        <v>0</v>
      </c>
      <c r="I144" s="263" t="b">
        <v>0</v>
      </c>
      <c r="J144" s="261" t="b">
        <v>0</v>
      </c>
      <c r="K144" s="23"/>
      <c r="L144" s="23">
        <f t="shared" si="4"/>
        <v>0</v>
      </c>
      <c r="M144" s="264">
        <f t="shared" si="5"/>
        <v>0</v>
      </c>
    </row>
    <row r="145" spans="1:13" x14ac:dyDescent="0.2">
      <c r="A145" s="23"/>
      <c r="B145" s="23"/>
      <c r="C145" s="22" t="s">
        <v>893</v>
      </c>
      <c r="D145" s="22" t="s">
        <v>894</v>
      </c>
      <c r="E145" s="22">
        <v>96206216</v>
      </c>
      <c r="F145" s="23"/>
      <c r="G145" s="23"/>
      <c r="H145" s="261" t="b">
        <v>0</v>
      </c>
      <c r="I145" s="261" t="b">
        <v>0</v>
      </c>
      <c r="J145" s="263" t="b">
        <v>0</v>
      </c>
      <c r="K145" s="23"/>
      <c r="L145" s="23">
        <f t="shared" si="4"/>
        <v>0</v>
      </c>
      <c r="M145" s="264">
        <f t="shared" si="5"/>
        <v>0</v>
      </c>
    </row>
    <row r="146" spans="1:13" x14ac:dyDescent="0.2">
      <c r="A146" s="23"/>
      <c r="B146" s="23"/>
      <c r="C146" s="22" t="s">
        <v>334</v>
      </c>
      <c r="D146" s="22" t="s">
        <v>895</v>
      </c>
      <c r="E146" s="22">
        <v>862789667</v>
      </c>
      <c r="F146" s="23"/>
      <c r="G146" s="23"/>
      <c r="H146" s="261" t="b">
        <v>0</v>
      </c>
      <c r="I146" s="261" t="b">
        <v>0</v>
      </c>
      <c r="J146" s="261" t="b">
        <v>0</v>
      </c>
      <c r="K146" s="23"/>
      <c r="L146" s="23">
        <f t="shared" si="4"/>
        <v>0</v>
      </c>
      <c r="M146" s="264">
        <f t="shared" si="5"/>
        <v>0</v>
      </c>
    </row>
    <row r="147" spans="1:13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>
        <f t="shared" si="4"/>
        <v>0</v>
      </c>
      <c r="M147" s="264">
        <f t="shared" si="5"/>
        <v>0</v>
      </c>
    </row>
    <row r="148" spans="1:13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64"/>
    </row>
    <row r="149" spans="1:13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>
        <f>SUM(L48:L148)</f>
        <v>204</v>
      </c>
      <c r="M149" s="264">
        <f>SUM(M48:M147)</f>
        <v>24480</v>
      </c>
    </row>
  </sheetData>
  <mergeCells count="13">
    <mergeCell ref="I23:J23"/>
    <mergeCell ref="A44:M44"/>
    <mergeCell ref="H46:J46"/>
    <mergeCell ref="K46:M46"/>
    <mergeCell ref="P21:R21"/>
    <mergeCell ref="B22:C22"/>
    <mergeCell ref="A1:H1"/>
    <mergeCell ref="I1:P1"/>
    <mergeCell ref="B20:F20"/>
    <mergeCell ref="I20:J20"/>
    <mergeCell ref="L20:S20"/>
    <mergeCell ref="D22:E22"/>
    <mergeCell ref="F22:G2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T151"/>
  <sheetViews>
    <sheetView workbookViewId="0"/>
  </sheetViews>
  <sheetFormatPr defaultColWidth="11.21875" defaultRowHeight="15" customHeight="1" x14ac:dyDescent="0.2"/>
  <cols>
    <col min="1" max="1" width="8.75390625" customWidth="1"/>
    <col min="2" max="2" width="14.0546875" customWidth="1"/>
    <col min="3" max="3" width="16.27734375" customWidth="1"/>
  </cols>
  <sheetData>
    <row r="1" spans="1:17" x14ac:dyDescent="0.2">
      <c r="A1" s="271"/>
      <c r="B1" s="271"/>
      <c r="C1" s="271"/>
      <c r="D1" s="271"/>
      <c r="E1" s="271"/>
      <c r="F1" s="271"/>
      <c r="G1" s="271"/>
      <c r="H1" s="271"/>
      <c r="I1" s="271"/>
      <c r="J1" s="91"/>
      <c r="K1" s="91"/>
      <c r="L1" s="91"/>
      <c r="M1" s="91"/>
      <c r="N1" s="91"/>
      <c r="O1" s="91"/>
      <c r="P1" s="91"/>
      <c r="Q1" s="91"/>
    </row>
    <row r="2" spans="1:17" x14ac:dyDescent="0.2">
      <c r="A2" s="271"/>
      <c r="B2" s="271"/>
      <c r="C2" s="271"/>
      <c r="D2" s="271"/>
      <c r="E2" s="271"/>
      <c r="F2" s="271"/>
      <c r="G2" s="271"/>
      <c r="H2" s="271"/>
      <c r="I2" s="271"/>
      <c r="J2" s="91"/>
      <c r="K2" s="91"/>
      <c r="L2" s="91"/>
      <c r="M2" s="91"/>
      <c r="N2" s="91"/>
      <c r="O2" s="91"/>
      <c r="P2" s="91"/>
      <c r="Q2" s="91"/>
    </row>
    <row r="3" spans="1:17" x14ac:dyDescent="0.2">
      <c r="A3" s="271"/>
      <c r="B3" s="538" t="s">
        <v>896</v>
      </c>
      <c r="C3" s="537"/>
      <c r="D3" s="537"/>
      <c r="E3" s="537"/>
      <c r="F3" s="537"/>
      <c r="G3" s="537"/>
      <c r="H3" s="537"/>
      <c r="I3" s="531"/>
      <c r="J3" s="539" t="s">
        <v>199</v>
      </c>
      <c r="K3" s="537"/>
      <c r="L3" s="537"/>
      <c r="M3" s="537"/>
      <c r="N3" s="537"/>
      <c r="O3" s="537"/>
      <c r="P3" s="537"/>
      <c r="Q3" s="531"/>
    </row>
    <row r="4" spans="1:17" x14ac:dyDescent="0.2">
      <c r="A4" s="272"/>
      <c r="B4" s="78" t="s">
        <v>200</v>
      </c>
      <c r="C4" s="78" t="s">
        <v>201</v>
      </c>
      <c r="D4" s="79" t="s">
        <v>119</v>
      </c>
      <c r="E4" s="79" t="s">
        <v>202</v>
      </c>
      <c r="F4" s="79" t="s">
        <v>121</v>
      </c>
      <c r="G4" s="79" t="s">
        <v>203</v>
      </c>
      <c r="H4" s="79" t="s">
        <v>125</v>
      </c>
      <c r="I4" s="79" t="s">
        <v>204</v>
      </c>
      <c r="J4" s="80" t="s">
        <v>205</v>
      </c>
      <c r="K4" s="80" t="s">
        <v>142</v>
      </c>
      <c r="L4" s="80"/>
      <c r="M4" s="80" t="s">
        <v>206</v>
      </c>
      <c r="N4" s="80" t="s">
        <v>207</v>
      </c>
      <c r="O4" s="80" t="s">
        <v>143</v>
      </c>
      <c r="P4" s="80" t="s">
        <v>764</v>
      </c>
      <c r="Q4" s="80" t="s">
        <v>129</v>
      </c>
    </row>
    <row r="5" spans="1:17" x14ac:dyDescent="0.2">
      <c r="A5" s="126"/>
      <c r="B5" s="97" t="s">
        <v>291</v>
      </c>
      <c r="C5" s="97" t="s">
        <v>292</v>
      </c>
      <c r="D5" s="98" t="b">
        <v>0</v>
      </c>
      <c r="E5" s="99" t="b">
        <v>0</v>
      </c>
      <c r="F5" s="98" t="b">
        <v>0</v>
      </c>
      <c r="G5" s="98" t="b">
        <v>0</v>
      </c>
      <c r="H5" s="99" t="b">
        <v>0</v>
      </c>
      <c r="I5" s="100" t="b">
        <v>0</v>
      </c>
      <c r="J5" s="240" t="b">
        <v>0</v>
      </c>
      <c r="K5" s="101" t="b">
        <v>0</v>
      </c>
      <c r="L5" s="101" t="b">
        <v>0</v>
      </c>
      <c r="M5" s="101" t="b">
        <v>0</v>
      </c>
      <c r="N5" s="101" t="b">
        <v>0</v>
      </c>
      <c r="O5" s="98" t="b">
        <v>0</v>
      </c>
      <c r="P5" s="98" t="b">
        <v>0</v>
      </c>
      <c r="Q5" s="101" t="b">
        <v>0</v>
      </c>
    </row>
    <row r="6" spans="1:17" x14ac:dyDescent="0.2">
      <c r="A6" s="243"/>
      <c r="B6" s="252" t="s">
        <v>223</v>
      </c>
      <c r="C6" s="103"/>
      <c r="D6" s="83" t="b">
        <v>1</v>
      </c>
      <c r="E6" s="84" t="b">
        <v>0</v>
      </c>
      <c r="F6" s="83" t="b">
        <v>0</v>
      </c>
      <c r="G6" s="85" t="b">
        <v>0</v>
      </c>
      <c r="H6" s="86" t="b">
        <v>0</v>
      </c>
      <c r="I6" s="86" t="b">
        <v>0</v>
      </c>
      <c r="J6" s="22" t="b">
        <v>0</v>
      </c>
      <c r="K6" s="22" t="b">
        <v>1</v>
      </c>
      <c r="L6" s="22" t="b">
        <v>0</v>
      </c>
      <c r="M6" s="23" t="b">
        <v>0</v>
      </c>
      <c r="N6" s="22" t="b">
        <v>1</v>
      </c>
      <c r="O6" s="83" t="b">
        <v>0</v>
      </c>
      <c r="P6" s="83" t="b">
        <v>1</v>
      </c>
      <c r="Q6" s="22" t="b">
        <v>1</v>
      </c>
    </row>
    <row r="7" spans="1:17" x14ac:dyDescent="0.2">
      <c r="A7" s="243"/>
      <c r="B7" s="252" t="s">
        <v>897</v>
      </c>
      <c r="C7" s="103"/>
      <c r="D7" s="83" t="b">
        <v>1</v>
      </c>
      <c r="E7" s="84" t="b">
        <v>0</v>
      </c>
      <c r="F7" s="83" t="b">
        <v>0</v>
      </c>
      <c r="G7" s="85" t="b">
        <v>0</v>
      </c>
      <c r="H7" s="86" t="b">
        <v>0</v>
      </c>
      <c r="I7" s="86" t="b">
        <v>0</v>
      </c>
      <c r="J7" s="22" t="b">
        <v>0</v>
      </c>
      <c r="K7" s="22" t="b">
        <v>1</v>
      </c>
      <c r="L7" s="22" t="b">
        <v>0</v>
      </c>
      <c r="M7" s="23" t="b">
        <v>0</v>
      </c>
      <c r="N7" s="22" t="b">
        <v>1</v>
      </c>
      <c r="O7" s="83" t="b">
        <v>0</v>
      </c>
      <c r="P7" s="83" t="b">
        <v>1</v>
      </c>
      <c r="Q7" s="22" t="b">
        <v>1</v>
      </c>
    </row>
    <row r="8" spans="1:17" x14ac:dyDescent="0.2">
      <c r="A8" s="243"/>
      <c r="B8" s="252" t="s">
        <v>291</v>
      </c>
      <c r="C8" s="103"/>
      <c r="D8" s="83" t="b">
        <v>1</v>
      </c>
      <c r="E8" s="84" t="b">
        <v>0</v>
      </c>
      <c r="F8" s="83" t="b">
        <v>0</v>
      </c>
      <c r="G8" s="83" t="b">
        <v>1</v>
      </c>
      <c r="H8" s="86" t="b">
        <v>0</v>
      </c>
      <c r="I8" s="86" t="b">
        <v>0</v>
      </c>
      <c r="J8" s="22" t="b">
        <v>0</v>
      </c>
      <c r="K8" s="22" t="b">
        <v>1</v>
      </c>
      <c r="L8" s="22" t="b">
        <v>0</v>
      </c>
      <c r="M8" s="23" t="b">
        <v>0</v>
      </c>
      <c r="N8" s="22" t="b">
        <v>1</v>
      </c>
      <c r="O8" s="83" t="b">
        <v>0</v>
      </c>
      <c r="P8" s="83" t="b">
        <v>1</v>
      </c>
      <c r="Q8" s="22" t="b">
        <v>1</v>
      </c>
    </row>
    <row r="9" spans="1:17" x14ac:dyDescent="0.2">
      <c r="A9" s="243"/>
      <c r="B9" s="252" t="s">
        <v>130</v>
      </c>
      <c r="C9" s="103"/>
      <c r="D9" s="83" t="b">
        <v>1</v>
      </c>
      <c r="E9" s="84" t="b">
        <v>0</v>
      </c>
      <c r="F9" s="83" t="b">
        <v>0</v>
      </c>
      <c r="G9" s="85" t="b">
        <v>0</v>
      </c>
      <c r="H9" s="86" t="b">
        <v>0</v>
      </c>
      <c r="I9" s="86" t="b">
        <v>0</v>
      </c>
      <c r="J9" s="22" t="b">
        <v>0</v>
      </c>
      <c r="K9" s="22" t="b">
        <v>1</v>
      </c>
      <c r="L9" s="22" t="b">
        <v>0</v>
      </c>
      <c r="M9" s="23" t="b">
        <v>0</v>
      </c>
      <c r="N9" s="22" t="b">
        <v>1</v>
      </c>
      <c r="O9" s="83" t="b">
        <v>0</v>
      </c>
      <c r="P9" s="83" t="b">
        <v>1</v>
      </c>
      <c r="Q9" s="22" t="b">
        <v>1</v>
      </c>
    </row>
    <row r="10" spans="1:17" x14ac:dyDescent="0.2">
      <c r="A10" s="243"/>
      <c r="B10" s="252" t="s">
        <v>129</v>
      </c>
      <c r="C10" s="103"/>
      <c r="D10" s="83" t="b">
        <v>1</v>
      </c>
      <c r="E10" s="84" t="b">
        <v>0</v>
      </c>
      <c r="F10" s="83" t="b">
        <v>0</v>
      </c>
      <c r="G10" s="85" t="b">
        <v>0</v>
      </c>
      <c r="H10" s="86" t="b">
        <v>0</v>
      </c>
      <c r="I10" s="86" t="b">
        <v>0</v>
      </c>
      <c r="J10" s="23" t="b">
        <v>0</v>
      </c>
      <c r="K10" s="22" t="b">
        <v>1</v>
      </c>
      <c r="L10" s="22" t="b">
        <v>0</v>
      </c>
      <c r="M10" s="23" t="b">
        <v>0</v>
      </c>
      <c r="N10" s="22" t="b">
        <v>1</v>
      </c>
      <c r="O10" s="83" t="b">
        <v>0</v>
      </c>
      <c r="P10" s="83" t="b">
        <v>1</v>
      </c>
      <c r="Q10" s="22" t="b">
        <v>1</v>
      </c>
    </row>
    <row r="11" spans="1:17" x14ac:dyDescent="0.2">
      <c r="A11" s="243"/>
      <c r="B11" s="252" t="s">
        <v>161</v>
      </c>
      <c r="C11" s="103"/>
      <c r="D11" s="83" t="b">
        <v>1</v>
      </c>
      <c r="E11" s="84" t="b">
        <v>0</v>
      </c>
      <c r="F11" s="83" t="b">
        <v>0</v>
      </c>
      <c r="G11" s="85" t="b">
        <v>0</v>
      </c>
      <c r="H11" s="86" t="b">
        <v>0</v>
      </c>
      <c r="I11" s="86" t="b">
        <v>0</v>
      </c>
      <c r="J11" s="23" t="b">
        <v>0</v>
      </c>
      <c r="K11" s="22" t="b">
        <v>1</v>
      </c>
      <c r="L11" s="22" t="b">
        <v>0</v>
      </c>
      <c r="M11" s="23" t="b">
        <v>0</v>
      </c>
      <c r="N11" s="22" t="b">
        <v>1</v>
      </c>
      <c r="O11" s="83" t="b">
        <v>0</v>
      </c>
      <c r="P11" s="83" t="b">
        <v>1</v>
      </c>
      <c r="Q11" s="22" t="b">
        <v>1</v>
      </c>
    </row>
    <row r="12" spans="1:17" x14ac:dyDescent="0.2">
      <c r="A12" s="273"/>
      <c r="B12" s="274" t="s">
        <v>898</v>
      </c>
      <c r="C12" s="103"/>
      <c r="D12" s="83" t="b">
        <v>1</v>
      </c>
      <c r="E12" s="84" t="b">
        <v>0</v>
      </c>
      <c r="F12" s="83" t="b">
        <v>0</v>
      </c>
      <c r="G12" s="83" t="b">
        <v>0</v>
      </c>
      <c r="H12" s="86" t="b">
        <v>0</v>
      </c>
      <c r="I12" s="86" t="b">
        <v>0</v>
      </c>
      <c r="J12" s="23" t="b">
        <v>0</v>
      </c>
      <c r="K12" s="22" t="b">
        <v>1</v>
      </c>
      <c r="L12" s="22" t="b">
        <v>0</v>
      </c>
      <c r="M12" s="23" t="b">
        <v>0</v>
      </c>
      <c r="N12" s="22" t="b">
        <v>1</v>
      </c>
      <c r="O12" s="83" t="b">
        <v>0</v>
      </c>
      <c r="P12" s="83" t="b">
        <v>1</v>
      </c>
      <c r="Q12" s="22" t="b">
        <v>1</v>
      </c>
    </row>
    <row r="13" spans="1:17" x14ac:dyDescent="0.2">
      <c r="A13" s="243"/>
      <c r="B13" s="252" t="s">
        <v>134</v>
      </c>
      <c r="C13" s="103"/>
      <c r="D13" s="83" t="b">
        <v>1</v>
      </c>
      <c r="E13" s="84" t="b">
        <v>0</v>
      </c>
      <c r="F13" s="83" t="b">
        <v>0</v>
      </c>
      <c r="G13" s="85" t="b">
        <v>0</v>
      </c>
      <c r="H13" s="86" t="b">
        <v>0</v>
      </c>
      <c r="I13" s="86" t="b">
        <v>0</v>
      </c>
      <c r="J13" s="23" t="b">
        <v>0</v>
      </c>
      <c r="K13" s="22" t="b">
        <v>1</v>
      </c>
      <c r="L13" s="22" t="b">
        <v>0</v>
      </c>
      <c r="M13" s="23" t="b">
        <v>0</v>
      </c>
      <c r="N13" s="22" t="b">
        <v>1</v>
      </c>
      <c r="O13" s="83" t="b">
        <v>0</v>
      </c>
      <c r="P13" s="83" t="b">
        <v>1</v>
      </c>
      <c r="Q13" s="22" t="b">
        <v>1</v>
      </c>
    </row>
    <row r="14" spans="1:17" x14ac:dyDescent="0.2">
      <c r="A14" s="243"/>
      <c r="B14" s="252" t="s">
        <v>134</v>
      </c>
      <c r="C14" s="103"/>
      <c r="D14" s="83" t="b">
        <v>1</v>
      </c>
      <c r="E14" s="84" t="b">
        <v>0</v>
      </c>
      <c r="F14" s="83" t="b">
        <v>0</v>
      </c>
      <c r="G14" s="85" t="b">
        <v>0</v>
      </c>
      <c r="H14" s="86" t="b">
        <v>0</v>
      </c>
      <c r="I14" s="86" t="b">
        <v>0</v>
      </c>
      <c r="J14" s="23" t="b">
        <v>0</v>
      </c>
      <c r="K14" s="22" t="b">
        <v>1</v>
      </c>
      <c r="L14" s="22" t="b">
        <v>0</v>
      </c>
      <c r="M14" s="23" t="b">
        <v>0</v>
      </c>
      <c r="N14" s="22" t="b">
        <v>1</v>
      </c>
      <c r="O14" s="83" t="b">
        <v>0</v>
      </c>
      <c r="P14" s="83" t="b">
        <v>1</v>
      </c>
      <c r="Q14" s="22" t="b">
        <v>1</v>
      </c>
    </row>
    <row r="15" spans="1:17" x14ac:dyDescent="0.2">
      <c r="A15" s="243"/>
      <c r="B15" s="252" t="s">
        <v>478</v>
      </c>
      <c r="C15" s="103"/>
      <c r="D15" s="83" t="b">
        <v>1</v>
      </c>
      <c r="E15" s="84" t="b">
        <v>0</v>
      </c>
      <c r="F15" s="83" t="b">
        <v>0</v>
      </c>
      <c r="G15" s="85" t="b">
        <v>0</v>
      </c>
      <c r="H15" s="86" t="b">
        <v>0</v>
      </c>
      <c r="I15" s="86" t="b">
        <v>0</v>
      </c>
      <c r="J15" s="23" t="b">
        <v>0</v>
      </c>
      <c r="K15" s="22" t="b">
        <v>1</v>
      </c>
      <c r="L15" s="22" t="b">
        <v>0</v>
      </c>
      <c r="M15" s="23" t="b">
        <v>0</v>
      </c>
      <c r="N15" s="22" t="b">
        <v>1</v>
      </c>
      <c r="O15" s="83" t="b">
        <v>0</v>
      </c>
      <c r="P15" s="83" t="b">
        <v>1</v>
      </c>
      <c r="Q15" s="22" t="b">
        <v>1</v>
      </c>
    </row>
    <row r="16" spans="1:17" x14ac:dyDescent="0.2">
      <c r="A16" s="243"/>
      <c r="B16" s="252"/>
      <c r="C16" s="103"/>
      <c r="D16" s="83" t="b">
        <v>0</v>
      </c>
      <c r="E16" s="86" t="b">
        <v>0</v>
      </c>
      <c r="F16" s="83" t="b">
        <v>0</v>
      </c>
      <c r="G16" s="85" t="b">
        <v>0</v>
      </c>
      <c r="H16" s="86" t="b">
        <v>0</v>
      </c>
      <c r="I16" s="86" t="b">
        <v>0</v>
      </c>
      <c r="J16" s="23" t="b">
        <v>0</v>
      </c>
      <c r="K16" s="22" t="b">
        <v>1</v>
      </c>
      <c r="L16" s="22" t="b">
        <v>0</v>
      </c>
      <c r="M16" s="23" t="b">
        <v>0</v>
      </c>
      <c r="N16" s="22" t="b">
        <v>1</v>
      </c>
      <c r="O16" s="83" t="b">
        <v>0</v>
      </c>
      <c r="P16" s="83" t="b">
        <v>1</v>
      </c>
      <c r="Q16" s="22" t="b">
        <v>1</v>
      </c>
    </row>
    <row r="17" spans="1:20" x14ac:dyDescent="0.2">
      <c r="B17" s="23"/>
      <c r="C17" s="103"/>
      <c r="D17" s="83" t="b">
        <v>0</v>
      </c>
      <c r="E17" s="84" t="b">
        <v>0</v>
      </c>
      <c r="F17" s="83" t="b">
        <v>0</v>
      </c>
      <c r="G17" s="85" t="b">
        <v>0</v>
      </c>
      <c r="H17" s="86" t="b">
        <v>0</v>
      </c>
      <c r="I17" s="86" t="b">
        <v>0</v>
      </c>
      <c r="J17" s="23" t="b">
        <v>0</v>
      </c>
      <c r="K17" s="22" t="b">
        <v>1</v>
      </c>
      <c r="L17" s="22" t="b">
        <v>0</v>
      </c>
      <c r="M17" s="23" t="b">
        <v>0</v>
      </c>
      <c r="N17" s="22" t="b">
        <v>1</v>
      </c>
      <c r="O17" s="83" t="b">
        <v>0</v>
      </c>
      <c r="P17" s="83" t="b">
        <v>1</v>
      </c>
      <c r="Q17" s="22" t="b">
        <v>1</v>
      </c>
    </row>
    <row r="18" spans="1:20" x14ac:dyDescent="0.2">
      <c r="A18" s="241"/>
      <c r="B18" s="248"/>
      <c r="C18" s="103"/>
      <c r="D18" s="83" t="b">
        <v>0</v>
      </c>
      <c r="E18" s="86" t="b">
        <v>0</v>
      </c>
      <c r="F18" s="85" t="b">
        <v>0</v>
      </c>
      <c r="G18" s="85" t="b">
        <v>0</v>
      </c>
      <c r="H18" s="86" t="b">
        <v>0</v>
      </c>
      <c r="I18" s="86" t="b">
        <v>0</v>
      </c>
      <c r="J18" s="23" t="b">
        <v>0</v>
      </c>
      <c r="K18" s="22" t="b">
        <v>1</v>
      </c>
      <c r="L18" s="22" t="b">
        <v>0</v>
      </c>
      <c r="M18" s="23" t="b">
        <v>0</v>
      </c>
      <c r="N18" s="22" t="b">
        <v>1</v>
      </c>
      <c r="O18" s="83" t="b">
        <v>0</v>
      </c>
      <c r="P18" s="83" t="b">
        <v>1</v>
      </c>
      <c r="Q18" s="22" t="b">
        <v>1</v>
      </c>
    </row>
    <row r="22" spans="1:20" x14ac:dyDescent="0.2">
      <c r="A22" s="164"/>
      <c r="B22" s="244" t="s">
        <v>457</v>
      </c>
      <c r="C22" s="568" t="s">
        <v>458</v>
      </c>
      <c r="D22" s="537"/>
      <c r="E22" s="537"/>
      <c r="F22" s="537"/>
      <c r="G22" s="531"/>
      <c r="H22" s="245"/>
      <c r="I22" s="245"/>
      <c r="J22" s="568" t="s">
        <v>201</v>
      </c>
      <c r="K22" s="531"/>
      <c r="M22" s="564" t="s">
        <v>504</v>
      </c>
      <c r="N22" s="537"/>
      <c r="O22" s="537"/>
      <c r="P22" s="537"/>
      <c r="Q22" s="537"/>
      <c r="R22" s="537"/>
      <c r="S22" s="537"/>
      <c r="T22" s="531"/>
    </row>
    <row r="23" spans="1:20" x14ac:dyDescent="0.2">
      <c r="A23" s="119"/>
      <c r="B23" s="207"/>
      <c r="C23" s="246" t="s">
        <v>459</v>
      </c>
      <c r="D23" s="246" t="s">
        <v>460</v>
      </c>
      <c r="E23" s="246" t="s">
        <v>459</v>
      </c>
      <c r="F23" s="246" t="s">
        <v>460</v>
      </c>
      <c r="G23" s="246" t="s">
        <v>459</v>
      </c>
      <c r="H23" s="246" t="s">
        <v>460</v>
      </c>
      <c r="I23" s="246" t="s">
        <v>459</v>
      </c>
      <c r="J23" s="207"/>
      <c r="K23" s="23"/>
      <c r="M23" s="78" t="s">
        <v>200</v>
      </c>
      <c r="N23" s="78" t="s">
        <v>201</v>
      </c>
      <c r="O23" s="207"/>
      <c r="P23" s="151"/>
      <c r="Q23" s="565" t="s">
        <v>96</v>
      </c>
      <c r="R23" s="537"/>
      <c r="S23" s="531"/>
      <c r="T23" s="187" t="s">
        <v>153</v>
      </c>
    </row>
    <row r="24" spans="1:20" x14ac:dyDescent="0.2">
      <c r="A24" s="119"/>
      <c r="B24" s="207"/>
      <c r="C24" s="567" t="s">
        <v>464</v>
      </c>
      <c r="D24" s="531"/>
      <c r="E24" s="567" t="s">
        <v>132</v>
      </c>
      <c r="F24" s="531"/>
      <c r="G24" s="567" t="s">
        <v>136</v>
      </c>
      <c r="H24" s="531"/>
      <c r="I24" s="247" t="s">
        <v>465</v>
      </c>
      <c r="J24" s="207"/>
      <c r="K24" s="23"/>
      <c r="M24" s="97" t="s">
        <v>291</v>
      </c>
      <c r="N24" s="97" t="s">
        <v>292</v>
      </c>
      <c r="O24" s="207"/>
      <c r="P24" s="151"/>
      <c r="Q24" s="103" t="s">
        <v>126</v>
      </c>
      <c r="R24" s="103" t="s">
        <v>132</v>
      </c>
      <c r="S24" s="103" t="s">
        <v>136</v>
      </c>
      <c r="T24" s="23"/>
    </row>
    <row r="25" spans="1:20" x14ac:dyDescent="0.2">
      <c r="A25" s="243"/>
      <c r="B25" s="252" t="s">
        <v>223</v>
      </c>
      <c r="C25" s="153">
        <v>5</v>
      </c>
      <c r="D25" s="249">
        <v>9</v>
      </c>
      <c r="E25" s="153">
        <v>8</v>
      </c>
      <c r="F25" s="249">
        <v>9</v>
      </c>
      <c r="G25" s="153">
        <v>8</v>
      </c>
      <c r="H25" s="249">
        <v>9</v>
      </c>
      <c r="I25" s="151"/>
      <c r="J25" s="569"/>
      <c r="K25" s="531"/>
      <c r="M25" s="252" t="s">
        <v>223</v>
      </c>
      <c r="N25" s="103"/>
      <c r="O25" s="23"/>
      <c r="P25" s="23"/>
      <c r="Q25" s="193"/>
      <c r="R25" s="193"/>
      <c r="S25" s="193"/>
      <c r="T25" s="194">
        <f>SUM(Q25:S25)</f>
        <v>0</v>
      </c>
    </row>
    <row r="26" spans="1:20" x14ac:dyDescent="0.2">
      <c r="A26" s="243"/>
      <c r="B26" s="252" t="s">
        <v>897</v>
      </c>
      <c r="C26" s="153">
        <v>5</v>
      </c>
      <c r="D26" s="249">
        <v>9</v>
      </c>
      <c r="E26" s="153">
        <v>8</v>
      </c>
      <c r="F26" s="249">
        <v>9</v>
      </c>
      <c r="G26" s="153">
        <v>8</v>
      </c>
      <c r="H26" s="249">
        <v>9</v>
      </c>
      <c r="I26" s="151"/>
      <c r="J26" s="103"/>
      <c r="K26" s="23"/>
      <c r="M26" s="252" t="s">
        <v>897</v>
      </c>
      <c r="N26" s="103"/>
      <c r="O26" s="23"/>
      <c r="P26" s="23"/>
      <c r="Q26" s="196"/>
      <c r="R26" s="196"/>
      <c r="S26" s="196"/>
      <c r="T26" s="194">
        <f t="shared" ref="T26:T37" si="0">SUM(Q26:S26)</f>
        <v>0</v>
      </c>
    </row>
    <row r="27" spans="1:20" x14ac:dyDescent="0.2">
      <c r="A27" s="243"/>
      <c r="B27" s="252" t="s">
        <v>291</v>
      </c>
      <c r="C27" s="153">
        <v>4</v>
      </c>
      <c r="D27" s="249">
        <v>9</v>
      </c>
      <c r="E27" s="153">
        <v>5</v>
      </c>
      <c r="F27" s="249">
        <v>9</v>
      </c>
      <c r="G27" s="153">
        <v>5</v>
      </c>
      <c r="H27" s="249">
        <v>9</v>
      </c>
      <c r="I27" s="151"/>
      <c r="J27" s="103"/>
      <c r="K27" s="23"/>
      <c r="M27" s="252" t="s">
        <v>291</v>
      </c>
      <c r="N27" s="103"/>
      <c r="O27" s="23"/>
      <c r="P27" s="23"/>
      <c r="Q27" s="196"/>
      <c r="R27" s="196"/>
      <c r="S27" s="196"/>
      <c r="T27" s="194">
        <f t="shared" si="0"/>
        <v>0</v>
      </c>
    </row>
    <row r="28" spans="1:20" x14ac:dyDescent="0.2">
      <c r="A28" s="243"/>
      <c r="B28" s="252" t="s">
        <v>130</v>
      </c>
      <c r="C28" s="153">
        <v>3</v>
      </c>
      <c r="D28" s="249">
        <v>9</v>
      </c>
      <c r="E28" s="153">
        <v>4</v>
      </c>
      <c r="F28" s="249">
        <v>9</v>
      </c>
      <c r="G28" s="153">
        <v>4</v>
      </c>
      <c r="H28" s="249">
        <v>9</v>
      </c>
      <c r="I28" s="151"/>
      <c r="J28" s="103"/>
      <c r="K28" s="23"/>
      <c r="M28" s="252" t="s">
        <v>130</v>
      </c>
      <c r="N28" s="103"/>
      <c r="O28" s="23"/>
      <c r="P28" s="23"/>
      <c r="Q28" s="196"/>
      <c r="R28" s="196"/>
      <c r="S28" s="196"/>
      <c r="T28" s="194">
        <f t="shared" si="0"/>
        <v>0</v>
      </c>
    </row>
    <row r="29" spans="1:20" x14ac:dyDescent="0.2">
      <c r="A29" s="243"/>
      <c r="B29" s="252" t="s">
        <v>129</v>
      </c>
      <c r="C29" s="153">
        <v>3</v>
      </c>
      <c r="D29" s="249">
        <v>9</v>
      </c>
      <c r="E29" s="153">
        <v>4</v>
      </c>
      <c r="F29" s="249">
        <v>9</v>
      </c>
      <c r="G29" s="153">
        <v>4</v>
      </c>
      <c r="H29" s="249">
        <v>9</v>
      </c>
      <c r="I29" s="151"/>
      <c r="J29" s="103"/>
      <c r="K29" s="23"/>
      <c r="M29" s="252" t="s">
        <v>129</v>
      </c>
      <c r="N29" s="103"/>
      <c r="O29" s="23"/>
      <c r="P29" s="23"/>
      <c r="Q29" s="196"/>
      <c r="R29" s="196"/>
      <c r="S29" s="196"/>
      <c r="T29" s="194">
        <f t="shared" si="0"/>
        <v>0</v>
      </c>
    </row>
    <row r="30" spans="1:20" x14ac:dyDescent="0.2">
      <c r="A30" s="243"/>
      <c r="B30" s="252" t="s">
        <v>161</v>
      </c>
      <c r="C30" s="153">
        <v>6</v>
      </c>
      <c r="D30" s="249">
        <v>9</v>
      </c>
      <c r="E30" s="153">
        <v>8</v>
      </c>
      <c r="F30" s="249">
        <v>9</v>
      </c>
      <c r="G30" s="153">
        <v>8</v>
      </c>
      <c r="H30" s="249">
        <v>9</v>
      </c>
      <c r="I30" s="151"/>
      <c r="J30" s="103"/>
      <c r="K30" s="23"/>
      <c r="M30" s="252" t="s">
        <v>161</v>
      </c>
      <c r="N30" s="103"/>
      <c r="O30" s="23"/>
      <c r="P30" s="23"/>
      <c r="Q30" s="196"/>
      <c r="R30" s="196"/>
      <c r="S30" s="196"/>
      <c r="T30" s="194">
        <f t="shared" si="0"/>
        <v>0</v>
      </c>
    </row>
    <row r="31" spans="1:20" x14ac:dyDescent="0.2">
      <c r="A31" s="273"/>
      <c r="B31" s="274" t="s">
        <v>898</v>
      </c>
      <c r="C31" s="153">
        <v>2</v>
      </c>
      <c r="D31" s="249">
        <v>9</v>
      </c>
      <c r="E31" s="153">
        <v>3</v>
      </c>
      <c r="F31" s="249">
        <v>9</v>
      </c>
      <c r="G31" s="153">
        <v>3</v>
      </c>
      <c r="H31" s="249">
        <v>9</v>
      </c>
      <c r="I31" s="151"/>
      <c r="J31" s="103"/>
      <c r="K31" s="23"/>
      <c r="M31" s="274" t="s">
        <v>898</v>
      </c>
      <c r="N31" s="103"/>
      <c r="O31" s="23"/>
      <c r="P31" s="23"/>
      <c r="Q31" s="196"/>
      <c r="R31" s="196"/>
      <c r="S31" s="196"/>
      <c r="T31" s="194">
        <f t="shared" si="0"/>
        <v>0</v>
      </c>
    </row>
    <row r="32" spans="1:20" x14ac:dyDescent="0.2">
      <c r="A32" s="243"/>
      <c r="B32" s="252" t="s">
        <v>134</v>
      </c>
      <c r="C32" s="153">
        <v>1</v>
      </c>
      <c r="D32" s="249">
        <v>9</v>
      </c>
      <c r="E32" s="153">
        <v>2</v>
      </c>
      <c r="F32" s="249">
        <v>9</v>
      </c>
      <c r="G32" s="153">
        <v>2</v>
      </c>
      <c r="H32" s="249">
        <v>9</v>
      </c>
      <c r="I32" s="151"/>
      <c r="J32" s="103"/>
      <c r="K32" s="23"/>
      <c r="M32" s="252" t="s">
        <v>134</v>
      </c>
      <c r="N32" s="103"/>
      <c r="O32" s="250"/>
      <c r="P32" s="23"/>
      <c r="Q32" s="196"/>
      <c r="R32" s="196"/>
      <c r="S32" s="196"/>
      <c r="T32" s="194">
        <f t="shared" si="0"/>
        <v>0</v>
      </c>
    </row>
    <row r="33" spans="1:20" x14ac:dyDescent="0.2">
      <c r="A33" s="243"/>
      <c r="B33" s="252" t="s">
        <v>134</v>
      </c>
      <c r="C33" s="153">
        <v>1</v>
      </c>
      <c r="D33" s="249">
        <v>9</v>
      </c>
      <c r="E33" s="153">
        <v>2</v>
      </c>
      <c r="F33" s="249">
        <v>9</v>
      </c>
      <c r="G33" s="153">
        <v>2</v>
      </c>
      <c r="H33" s="249">
        <v>9</v>
      </c>
      <c r="I33" s="151"/>
      <c r="J33" s="103"/>
      <c r="K33" s="23"/>
      <c r="M33" s="252" t="s">
        <v>134</v>
      </c>
      <c r="N33" s="103"/>
      <c r="O33" s="23"/>
      <c r="P33" s="23"/>
      <c r="Q33" s="196"/>
      <c r="R33" s="196"/>
      <c r="S33" s="196"/>
      <c r="T33" s="194">
        <f t="shared" si="0"/>
        <v>0</v>
      </c>
    </row>
    <row r="34" spans="1:20" x14ac:dyDescent="0.2">
      <c r="A34" s="243"/>
      <c r="B34" s="252" t="s">
        <v>478</v>
      </c>
      <c r="C34" s="153">
        <v>1</v>
      </c>
      <c r="D34" s="249">
        <v>9</v>
      </c>
      <c r="E34" s="153">
        <v>1</v>
      </c>
      <c r="F34" s="249">
        <v>9</v>
      </c>
      <c r="G34" s="153">
        <v>1</v>
      </c>
      <c r="H34" s="249">
        <v>9</v>
      </c>
      <c r="I34" s="151"/>
      <c r="J34" s="103"/>
      <c r="K34" s="23"/>
      <c r="M34" s="252" t="s">
        <v>478</v>
      </c>
      <c r="N34" s="103"/>
      <c r="O34" s="23"/>
      <c r="P34" s="23"/>
      <c r="Q34" s="193"/>
      <c r="R34" s="193"/>
      <c r="S34" s="193"/>
      <c r="T34" s="194">
        <f t="shared" si="0"/>
        <v>0</v>
      </c>
    </row>
    <row r="35" spans="1:20" x14ac:dyDescent="0.2">
      <c r="A35" s="243"/>
      <c r="B35" s="252"/>
      <c r="C35" s="153"/>
      <c r="D35" s="249"/>
      <c r="E35" s="153"/>
      <c r="F35" s="249"/>
      <c r="G35" s="153"/>
      <c r="H35" s="249"/>
      <c r="I35" s="151"/>
      <c r="J35" s="103"/>
      <c r="K35" s="23"/>
      <c r="M35" s="252"/>
      <c r="N35" s="103"/>
      <c r="O35" s="23"/>
      <c r="P35" s="23"/>
      <c r="Q35" s="196"/>
      <c r="R35" s="196"/>
      <c r="S35" s="196"/>
      <c r="T35" s="194">
        <f t="shared" si="0"/>
        <v>0</v>
      </c>
    </row>
    <row r="36" spans="1:20" x14ac:dyDescent="0.2">
      <c r="A36" s="243"/>
      <c r="B36" s="252"/>
      <c r="C36" s="153"/>
      <c r="D36" s="249"/>
      <c r="E36" s="153"/>
      <c r="F36" s="249"/>
      <c r="G36" s="153"/>
      <c r="H36" s="249"/>
      <c r="I36" s="151"/>
      <c r="J36" s="103"/>
      <c r="K36" s="23"/>
      <c r="M36" s="252"/>
      <c r="N36" s="103"/>
      <c r="O36" s="23"/>
      <c r="P36" s="23"/>
      <c r="Q36" s="196"/>
      <c r="R36" s="196"/>
      <c r="S36" s="196"/>
      <c r="T36" s="194">
        <f t="shared" si="0"/>
        <v>0</v>
      </c>
    </row>
    <row r="37" spans="1:20" x14ac:dyDescent="0.2">
      <c r="A37" s="241"/>
      <c r="B37" s="248"/>
      <c r="C37" s="153"/>
      <c r="D37" s="249"/>
      <c r="E37" s="153"/>
      <c r="F37" s="249"/>
      <c r="G37" s="153"/>
      <c r="H37" s="249"/>
      <c r="I37" s="151"/>
      <c r="J37" s="103"/>
      <c r="K37" s="23"/>
      <c r="M37" s="248"/>
      <c r="N37" s="103"/>
      <c r="O37" s="23"/>
      <c r="P37" s="23"/>
      <c r="Q37" s="196"/>
      <c r="R37" s="196"/>
      <c r="S37" s="196"/>
      <c r="T37" s="194">
        <f t="shared" si="0"/>
        <v>0</v>
      </c>
    </row>
    <row r="38" spans="1:20" x14ac:dyDescent="0.2">
      <c r="A38" s="126"/>
      <c r="B38" s="103"/>
      <c r="C38" s="154"/>
      <c r="D38" s="249"/>
      <c r="E38" s="154"/>
      <c r="F38" s="249"/>
      <c r="G38" s="154"/>
      <c r="H38" s="249"/>
      <c r="I38" s="155"/>
      <c r="J38" s="103"/>
      <c r="K38" s="23"/>
      <c r="M38" s="103"/>
      <c r="N38" s="22"/>
      <c r="O38" s="23"/>
      <c r="P38" s="22"/>
      <c r="Q38" s="196"/>
      <c r="R38" s="196"/>
      <c r="S38" s="196"/>
      <c r="T38" s="253">
        <f>SUM(Q38, R38, S38)</f>
        <v>0</v>
      </c>
    </row>
    <row r="39" spans="1:20" x14ac:dyDescent="0.2">
      <c r="A39" s="126"/>
      <c r="B39" s="126"/>
      <c r="C39" s="177"/>
      <c r="D39" s="254"/>
      <c r="E39" s="177"/>
      <c r="F39" s="254"/>
      <c r="G39" s="177"/>
      <c r="H39" s="254"/>
      <c r="I39" s="178"/>
      <c r="J39" s="126"/>
      <c r="K39" s="23"/>
      <c r="M39" s="103"/>
      <c r="N39" s="22"/>
      <c r="O39" s="23"/>
      <c r="P39" s="22"/>
      <c r="Q39" s="196"/>
      <c r="R39" s="196"/>
      <c r="S39" s="196"/>
      <c r="T39" s="253"/>
    </row>
    <row r="40" spans="1:20" x14ac:dyDescent="0.2">
      <c r="K40" s="23"/>
      <c r="M40" s="23"/>
      <c r="N40" s="23"/>
      <c r="O40" s="23"/>
      <c r="P40" s="187" t="s">
        <v>153</v>
      </c>
      <c r="Q40" s="200">
        <f>SUM(Q25:Q39)</f>
        <v>0</v>
      </c>
      <c r="R40" s="200">
        <f>SUM(R25:R39)</f>
        <v>0</v>
      </c>
      <c r="S40" s="200">
        <f>SUM(S25:S37)</f>
        <v>0</v>
      </c>
      <c r="T40" s="201">
        <f t="shared" ref="T40:T42" si="1">SUM(Q40, R40, S40)</f>
        <v>0</v>
      </c>
    </row>
    <row r="41" spans="1:20" x14ac:dyDescent="0.2">
      <c r="A41" s="275"/>
      <c r="B41" s="255" t="s">
        <v>487</v>
      </c>
      <c r="C41" s="154">
        <v>2</v>
      </c>
      <c r="D41" s="249">
        <v>9</v>
      </c>
      <c r="E41" s="154">
        <v>3</v>
      </c>
      <c r="F41" s="249">
        <v>9</v>
      </c>
      <c r="G41" s="154">
        <v>3</v>
      </c>
      <c r="H41" s="249">
        <v>9</v>
      </c>
      <c r="I41" s="155"/>
      <c r="J41" s="207" t="s">
        <v>467</v>
      </c>
      <c r="K41" s="23"/>
      <c r="M41" s="151"/>
      <c r="N41" s="151"/>
      <c r="O41" s="207"/>
      <c r="P41" s="202" t="s">
        <v>561</v>
      </c>
      <c r="Q41" s="200">
        <f t="shared" ref="Q41:S41" si="2">Q40*20%</f>
        <v>0</v>
      </c>
      <c r="R41" s="200">
        <f t="shared" si="2"/>
        <v>0</v>
      </c>
      <c r="S41" s="200">
        <f t="shared" si="2"/>
        <v>0</v>
      </c>
      <c r="T41" s="203">
        <f t="shared" si="1"/>
        <v>0</v>
      </c>
    </row>
    <row r="42" spans="1:20" x14ac:dyDescent="0.2">
      <c r="A42" s="276"/>
      <c r="B42" s="256" t="s">
        <v>153</v>
      </c>
      <c r="C42" s="72">
        <f t="shared" ref="C42:K42" si="3">SUM(C25:C41)</f>
        <v>33</v>
      </c>
      <c r="D42" s="72">
        <f t="shared" si="3"/>
        <v>99</v>
      </c>
      <c r="E42" s="72">
        <f t="shared" si="3"/>
        <v>48</v>
      </c>
      <c r="F42" s="72">
        <f t="shared" si="3"/>
        <v>99</v>
      </c>
      <c r="G42" s="72">
        <f t="shared" si="3"/>
        <v>48</v>
      </c>
      <c r="H42" s="72">
        <f t="shared" si="3"/>
        <v>99</v>
      </c>
      <c r="I42" s="72">
        <f t="shared" si="3"/>
        <v>0</v>
      </c>
      <c r="J42" s="72">
        <f t="shared" si="3"/>
        <v>0</v>
      </c>
      <c r="K42" s="72">
        <f t="shared" si="3"/>
        <v>0</v>
      </c>
      <c r="M42" s="151"/>
      <c r="N42" s="151"/>
      <c r="O42" s="207"/>
      <c r="P42" s="204" t="s">
        <v>565</v>
      </c>
      <c r="Q42" s="200">
        <f t="shared" ref="Q42:S42" si="4">Q40-Q41</f>
        <v>0</v>
      </c>
      <c r="R42" s="200">
        <f t="shared" si="4"/>
        <v>0</v>
      </c>
      <c r="S42" s="200">
        <f t="shared" si="4"/>
        <v>0</v>
      </c>
      <c r="T42" s="205">
        <f t="shared" si="1"/>
        <v>0</v>
      </c>
    </row>
    <row r="43" spans="1:20" x14ac:dyDescent="0.2">
      <c r="M43" s="176"/>
      <c r="N43" s="176"/>
      <c r="O43" s="119"/>
      <c r="P43" s="206" t="s">
        <v>571</v>
      </c>
      <c r="Q43" s="207"/>
      <c r="R43" s="207"/>
      <c r="S43" s="207"/>
      <c r="T43" s="208"/>
    </row>
    <row r="44" spans="1:20" x14ac:dyDescent="0.2">
      <c r="P44" s="209" t="s">
        <v>577</v>
      </c>
      <c r="Q44" s="23"/>
      <c r="R44" s="207"/>
      <c r="S44" s="207"/>
      <c r="T44" s="210"/>
    </row>
    <row r="46" spans="1:20" x14ac:dyDescent="0.2">
      <c r="A46" s="171"/>
      <c r="B46" s="568" t="s">
        <v>448</v>
      </c>
      <c r="C46" s="537"/>
      <c r="D46" s="537"/>
      <c r="E46" s="537"/>
      <c r="F46" s="537"/>
      <c r="G46" s="537"/>
      <c r="H46" s="537"/>
      <c r="I46" s="537"/>
      <c r="J46" s="537"/>
      <c r="K46" s="537"/>
      <c r="L46" s="537"/>
      <c r="M46" s="537"/>
      <c r="N46" s="531"/>
    </row>
    <row r="47" spans="1:20" x14ac:dyDescent="0.2">
      <c r="A47" s="119"/>
      <c r="B47" s="207"/>
      <c r="C47" s="207"/>
      <c r="D47" s="207"/>
      <c r="E47" s="207"/>
      <c r="F47" s="207"/>
      <c r="G47" s="207"/>
      <c r="H47" s="207"/>
      <c r="I47" s="207"/>
      <c r="J47" s="207"/>
      <c r="K47" s="207"/>
      <c r="L47" s="23"/>
      <c r="M47" s="23"/>
      <c r="N47" s="23"/>
    </row>
    <row r="48" spans="1:20" x14ac:dyDescent="0.2">
      <c r="A48" s="271"/>
      <c r="B48" s="257" t="s">
        <v>449</v>
      </c>
      <c r="C48" s="258" t="s">
        <v>450</v>
      </c>
      <c r="D48" s="258" t="s">
        <v>451</v>
      </c>
      <c r="E48" s="258" t="s">
        <v>452</v>
      </c>
      <c r="F48" s="258" t="s">
        <v>453</v>
      </c>
      <c r="G48" s="257" t="s">
        <v>454</v>
      </c>
      <c r="H48" s="257" t="s">
        <v>775</v>
      </c>
      <c r="I48" s="567" t="s">
        <v>456</v>
      </c>
      <c r="J48" s="537"/>
      <c r="K48" s="531"/>
      <c r="L48" s="567" t="s">
        <v>678</v>
      </c>
      <c r="M48" s="537"/>
      <c r="N48" s="531"/>
    </row>
    <row r="49" spans="1:14" x14ac:dyDescent="0.2">
      <c r="B49" s="23"/>
      <c r="C49" s="207"/>
      <c r="D49" s="207"/>
      <c r="E49" s="207"/>
      <c r="F49" s="207"/>
      <c r="G49" s="207"/>
      <c r="H49" s="207"/>
      <c r="I49" s="259" t="s">
        <v>126</v>
      </c>
      <c r="J49" s="259" t="s">
        <v>132</v>
      </c>
      <c r="K49" s="259" t="s">
        <v>136</v>
      </c>
      <c r="L49" s="84" t="s">
        <v>776</v>
      </c>
      <c r="M49" s="84" t="s">
        <v>777</v>
      </c>
      <c r="N49" s="84" t="s">
        <v>778</v>
      </c>
    </row>
    <row r="50" spans="1:14" x14ac:dyDescent="0.2">
      <c r="A50" s="277"/>
      <c r="B50" s="260"/>
      <c r="C50" s="261" t="b">
        <v>0</v>
      </c>
      <c r="D50" s="103" t="s">
        <v>172</v>
      </c>
      <c r="E50" s="103" t="s">
        <v>779</v>
      </c>
      <c r="F50" s="262"/>
      <c r="G50" s="207"/>
      <c r="H50" s="207"/>
      <c r="I50" s="261" t="b">
        <v>0</v>
      </c>
      <c r="J50" s="261" t="b">
        <v>0</v>
      </c>
      <c r="K50" s="261" t="b">
        <v>0</v>
      </c>
      <c r="L50" s="261" t="b">
        <v>0</v>
      </c>
      <c r="M50" s="23">
        <f t="shared" ref="M50:M149" si="5">COUNTIF(I50:K50,TRUE)</f>
        <v>0</v>
      </c>
      <c r="N50" s="264">
        <f t="shared" ref="N50:N149" si="6">M50*120</f>
        <v>0</v>
      </c>
    </row>
    <row r="51" spans="1:14" x14ac:dyDescent="0.2">
      <c r="A51" s="277"/>
      <c r="B51" s="260"/>
      <c r="C51" s="261" t="b">
        <v>0</v>
      </c>
      <c r="D51" s="103" t="s">
        <v>461</v>
      </c>
      <c r="E51" s="103" t="s">
        <v>861</v>
      </c>
      <c r="F51" s="265"/>
      <c r="G51" s="207"/>
      <c r="H51" s="207"/>
      <c r="I51" s="261" t="b">
        <v>0</v>
      </c>
      <c r="J51" s="261" t="b">
        <v>0</v>
      </c>
      <c r="K51" s="261" t="b">
        <v>0</v>
      </c>
      <c r="L51" s="261" t="b">
        <v>0</v>
      </c>
      <c r="M51" s="23">
        <f t="shared" si="5"/>
        <v>0</v>
      </c>
      <c r="N51" s="264">
        <f t="shared" si="6"/>
        <v>0</v>
      </c>
    </row>
    <row r="52" spans="1:14" x14ac:dyDescent="0.2">
      <c r="A52" s="277"/>
      <c r="B52" s="260"/>
      <c r="C52" s="261" t="b">
        <v>0</v>
      </c>
      <c r="D52" s="103" t="s">
        <v>619</v>
      </c>
      <c r="E52" s="103" t="s">
        <v>899</v>
      </c>
      <c r="F52" s="265"/>
      <c r="G52" s="207"/>
      <c r="H52" s="207"/>
      <c r="I52" s="261" t="b">
        <v>0</v>
      </c>
      <c r="J52" s="261" t="b">
        <v>0</v>
      </c>
      <c r="K52" s="261" t="b">
        <v>0</v>
      </c>
      <c r="L52" s="261" t="b">
        <v>0</v>
      </c>
      <c r="M52" s="23">
        <f t="shared" si="5"/>
        <v>0</v>
      </c>
      <c r="N52" s="264">
        <f t="shared" si="6"/>
        <v>0</v>
      </c>
    </row>
    <row r="53" spans="1:14" x14ac:dyDescent="0.2">
      <c r="A53" s="277"/>
      <c r="B53" s="260"/>
      <c r="C53" s="261" t="b">
        <v>0</v>
      </c>
      <c r="D53" s="103" t="s">
        <v>582</v>
      </c>
      <c r="E53" s="103" t="s">
        <v>900</v>
      </c>
      <c r="F53" s="265"/>
      <c r="G53" s="207"/>
      <c r="H53" s="207"/>
      <c r="I53" s="261" t="b">
        <v>0</v>
      </c>
      <c r="J53" s="261" t="b">
        <v>0</v>
      </c>
      <c r="K53" s="261" t="b">
        <v>0</v>
      </c>
      <c r="L53" s="261" t="b">
        <v>0</v>
      </c>
      <c r="M53" s="23">
        <f t="shared" si="5"/>
        <v>0</v>
      </c>
      <c r="N53" s="264">
        <f t="shared" si="6"/>
        <v>0</v>
      </c>
    </row>
    <row r="54" spans="1:14" x14ac:dyDescent="0.2">
      <c r="A54" s="277"/>
      <c r="B54" s="260"/>
      <c r="C54" s="261" t="b">
        <v>0</v>
      </c>
      <c r="D54" s="103" t="s">
        <v>625</v>
      </c>
      <c r="E54" s="103" t="s">
        <v>626</v>
      </c>
      <c r="F54" s="265"/>
      <c r="G54" s="207"/>
      <c r="H54" s="207"/>
      <c r="I54" s="261" t="b">
        <v>0</v>
      </c>
      <c r="J54" s="261" t="b">
        <v>0</v>
      </c>
      <c r="K54" s="261" t="b">
        <v>0</v>
      </c>
      <c r="L54" s="261" t="b">
        <v>0</v>
      </c>
      <c r="M54" s="23">
        <f t="shared" si="5"/>
        <v>0</v>
      </c>
      <c r="N54" s="264">
        <f t="shared" si="6"/>
        <v>0</v>
      </c>
    </row>
    <row r="55" spans="1:14" x14ac:dyDescent="0.2">
      <c r="A55" s="277"/>
      <c r="B55" s="260"/>
      <c r="C55" s="261" t="b">
        <v>0</v>
      </c>
      <c r="D55" s="103" t="s">
        <v>623</v>
      </c>
      <c r="E55" s="103" t="s">
        <v>624</v>
      </c>
      <c r="F55" s="265"/>
      <c r="G55" s="207"/>
      <c r="H55" s="207"/>
      <c r="I55" s="261" t="b">
        <v>0</v>
      </c>
      <c r="J55" s="261" t="b">
        <v>0</v>
      </c>
      <c r="K55" s="261" t="b">
        <v>0</v>
      </c>
      <c r="L55" s="261" t="b">
        <v>0</v>
      </c>
      <c r="M55" s="23">
        <f t="shared" si="5"/>
        <v>0</v>
      </c>
      <c r="N55" s="264">
        <f t="shared" si="6"/>
        <v>0</v>
      </c>
    </row>
    <row r="56" spans="1:14" x14ac:dyDescent="0.2">
      <c r="A56" s="277"/>
      <c r="B56" s="260"/>
      <c r="C56" s="261" t="b">
        <v>0</v>
      </c>
      <c r="D56" s="103" t="s">
        <v>599</v>
      </c>
      <c r="E56" s="103" t="s">
        <v>484</v>
      </c>
      <c r="F56" s="265"/>
      <c r="G56" s="207"/>
      <c r="H56" s="207"/>
      <c r="I56" s="261" t="b">
        <v>0</v>
      </c>
      <c r="J56" s="261" t="b">
        <v>0</v>
      </c>
      <c r="K56" s="261" t="b">
        <v>0</v>
      </c>
      <c r="L56" s="261" t="b">
        <v>0</v>
      </c>
      <c r="M56" s="23">
        <f t="shared" si="5"/>
        <v>0</v>
      </c>
      <c r="N56" s="264">
        <f t="shared" si="6"/>
        <v>0</v>
      </c>
    </row>
    <row r="57" spans="1:14" x14ac:dyDescent="0.2">
      <c r="A57" s="277"/>
      <c r="B57" s="260"/>
      <c r="C57" s="261" t="b">
        <v>0</v>
      </c>
      <c r="D57" s="103" t="s">
        <v>190</v>
      </c>
      <c r="E57" s="103" t="s">
        <v>462</v>
      </c>
      <c r="F57" s="265"/>
      <c r="G57" s="207"/>
      <c r="H57" s="207"/>
      <c r="I57" s="263" t="b">
        <v>1</v>
      </c>
      <c r="J57" s="263" t="b">
        <v>1</v>
      </c>
      <c r="K57" s="263" t="b">
        <v>1</v>
      </c>
      <c r="L57" s="261" t="b">
        <v>0</v>
      </c>
      <c r="M57" s="23">
        <f t="shared" si="5"/>
        <v>3</v>
      </c>
      <c r="N57" s="264">
        <f t="shared" si="6"/>
        <v>360</v>
      </c>
    </row>
    <row r="58" spans="1:14" x14ac:dyDescent="0.2">
      <c r="A58" s="277"/>
      <c r="B58" s="260"/>
      <c r="C58" s="261" t="b">
        <v>0</v>
      </c>
      <c r="D58" s="103" t="s">
        <v>334</v>
      </c>
      <c r="E58" s="103" t="s">
        <v>489</v>
      </c>
      <c r="F58" s="265"/>
      <c r="G58" s="207"/>
      <c r="H58" s="207"/>
      <c r="I58" s="263" t="b">
        <v>1</v>
      </c>
      <c r="J58" s="263" t="b">
        <v>1</v>
      </c>
      <c r="K58" s="263" t="b">
        <v>1</v>
      </c>
      <c r="L58" s="261" t="b">
        <v>0</v>
      </c>
      <c r="M58" s="23">
        <f t="shared" si="5"/>
        <v>3</v>
      </c>
      <c r="N58" s="264">
        <f t="shared" si="6"/>
        <v>360</v>
      </c>
    </row>
    <row r="59" spans="1:14" x14ac:dyDescent="0.2">
      <c r="A59" s="277"/>
      <c r="B59" s="260"/>
      <c r="C59" s="261" t="b">
        <v>0</v>
      </c>
      <c r="D59" s="103" t="s">
        <v>491</v>
      </c>
      <c r="E59" s="103" t="s">
        <v>489</v>
      </c>
      <c r="F59" s="265"/>
      <c r="G59" s="207"/>
      <c r="H59" s="207"/>
      <c r="I59" s="263" t="b">
        <v>0</v>
      </c>
      <c r="J59" s="263" t="b">
        <v>1</v>
      </c>
      <c r="K59" s="263" t="b">
        <v>1</v>
      </c>
      <c r="L59" s="261" t="b">
        <v>0</v>
      </c>
      <c r="M59" s="23">
        <f t="shared" si="5"/>
        <v>2</v>
      </c>
      <c r="N59" s="264">
        <f t="shared" si="6"/>
        <v>240</v>
      </c>
    </row>
    <row r="60" spans="1:14" x14ac:dyDescent="0.2">
      <c r="A60" s="277"/>
      <c r="B60" s="260"/>
      <c r="C60" s="261" t="b">
        <v>0</v>
      </c>
      <c r="D60" s="103" t="s">
        <v>494</v>
      </c>
      <c r="E60" s="103" t="s">
        <v>489</v>
      </c>
      <c r="F60" s="265"/>
      <c r="G60" s="207"/>
      <c r="H60" s="207"/>
      <c r="I60" s="263" t="b">
        <v>0</v>
      </c>
      <c r="J60" s="263" t="b">
        <v>1</v>
      </c>
      <c r="K60" s="263" t="b">
        <v>1</v>
      </c>
      <c r="L60" s="261" t="b">
        <v>0</v>
      </c>
      <c r="M60" s="23">
        <f t="shared" si="5"/>
        <v>2</v>
      </c>
      <c r="N60" s="264">
        <f t="shared" si="6"/>
        <v>240</v>
      </c>
    </row>
    <row r="61" spans="1:14" x14ac:dyDescent="0.2">
      <c r="A61" s="277"/>
      <c r="B61" s="260"/>
      <c r="C61" s="261" t="b">
        <v>0</v>
      </c>
      <c r="D61" s="103" t="s">
        <v>498</v>
      </c>
      <c r="E61" s="103" t="s">
        <v>489</v>
      </c>
      <c r="F61" s="265"/>
      <c r="G61" s="207"/>
      <c r="H61" s="207"/>
      <c r="I61" s="263" t="b">
        <v>0</v>
      </c>
      <c r="J61" s="263" t="b">
        <v>1</v>
      </c>
      <c r="K61" s="263" t="b">
        <v>1</v>
      </c>
      <c r="L61" s="261" t="b">
        <v>0</v>
      </c>
      <c r="M61" s="23">
        <f t="shared" si="5"/>
        <v>2</v>
      </c>
      <c r="N61" s="264">
        <f t="shared" si="6"/>
        <v>240</v>
      </c>
    </row>
    <row r="62" spans="1:14" x14ac:dyDescent="0.2">
      <c r="A62" s="277"/>
      <c r="B62" s="260"/>
      <c r="C62" s="261" t="b">
        <v>0</v>
      </c>
      <c r="D62" s="103" t="s">
        <v>328</v>
      </c>
      <c r="E62" s="103" t="s">
        <v>489</v>
      </c>
      <c r="F62" s="265"/>
      <c r="G62" s="207"/>
      <c r="H62" s="207"/>
      <c r="I62" s="263" t="b">
        <v>0</v>
      </c>
      <c r="J62" s="263" t="b">
        <v>1</v>
      </c>
      <c r="K62" s="263" t="b">
        <v>1</v>
      </c>
      <c r="L62" s="261" t="b">
        <v>0</v>
      </c>
      <c r="M62" s="23">
        <f t="shared" si="5"/>
        <v>2</v>
      </c>
      <c r="N62" s="264">
        <f t="shared" si="6"/>
        <v>240</v>
      </c>
    </row>
    <row r="63" spans="1:14" x14ac:dyDescent="0.2">
      <c r="A63" s="277"/>
      <c r="B63" s="260"/>
      <c r="C63" s="261" t="b">
        <v>0</v>
      </c>
      <c r="D63" s="103" t="s">
        <v>275</v>
      </c>
      <c r="E63" s="103" t="s">
        <v>900</v>
      </c>
      <c r="F63" s="267"/>
      <c r="G63" s="207"/>
      <c r="H63" s="207"/>
      <c r="I63" s="263" t="b">
        <v>1</v>
      </c>
      <c r="J63" s="263" t="b">
        <v>1</v>
      </c>
      <c r="K63" s="263" t="b">
        <v>1</v>
      </c>
      <c r="L63" s="261" t="b">
        <v>0</v>
      </c>
      <c r="M63" s="23">
        <f t="shared" si="5"/>
        <v>3</v>
      </c>
      <c r="N63" s="264">
        <f t="shared" si="6"/>
        <v>360</v>
      </c>
    </row>
    <row r="64" spans="1:14" x14ac:dyDescent="0.2">
      <c r="A64" s="277"/>
      <c r="B64" s="260"/>
      <c r="C64" s="261" t="b">
        <v>0</v>
      </c>
      <c r="D64" s="103" t="s">
        <v>239</v>
      </c>
      <c r="E64" s="103" t="s">
        <v>901</v>
      </c>
      <c r="F64" s="267"/>
      <c r="G64" s="207"/>
      <c r="H64" s="207"/>
      <c r="I64" s="263" t="b">
        <v>1</v>
      </c>
      <c r="J64" s="263" t="b">
        <v>1</v>
      </c>
      <c r="K64" s="263" t="b">
        <v>1</v>
      </c>
      <c r="L64" s="261" t="b">
        <v>0</v>
      </c>
      <c r="M64" s="23">
        <f t="shared" si="5"/>
        <v>3</v>
      </c>
      <c r="N64" s="264">
        <f t="shared" si="6"/>
        <v>360</v>
      </c>
    </row>
    <row r="65" spans="1:14" x14ac:dyDescent="0.2">
      <c r="A65" s="277"/>
      <c r="B65" s="260"/>
      <c r="C65" s="261" t="b">
        <v>0</v>
      </c>
      <c r="D65" s="103" t="s">
        <v>724</v>
      </c>
      <c r="E65" s="103" t="s">
        <v>782</v>
      </c>
      <c r="F65" s="267"/>
      <c r="G65" s="207"/>
      <c r="H65" s="207"/>
      <c r="I65" s="263" t="b">
        <v>1</v>
      </c>
      <c r="J65" s="263" t="b">
        <v>1</v>
      </c>
      <c r="K65" s="263" t="b">
        <v>1</v>
      </c>
      <c r="L65" s="261" t="b">
        <v>0</v>
      </c>
      <c r="M65" s="23">
        <f t="shared" si="5"/>
        <v>3</v>
      </c>
      <c r="N65" s="264">
        <f t="shared" si="6"/>
        <v>360</v>
      </c>
    </row>
    <row r="66" spans="1:14" x14ac:dyDescent="0.2">
      <c r="A66" s="277"/>
      <c r="B66" s="260"/>
      <c r="C66" s="261" t="b">
        <v>0</v>
      </c>
      <c r="D66" s="103" t="s">
        <v>521</v>
      </c>
      <c r="E66" s="103" t="s">
        <v>626</v>
      </c>
      <c r="F66" s="267"/>
      <c r="G66" s="207"/>
      <c r="H66" s="207"/>
      <c r="I66" s="263" t="b">
        <v>1</v>
      </c>
      <c r="J66" s="263" t="b">
        <v>1</v>
      </c>
      <c r="K66" s="263" t="b">
        <v>1</v>
      </c>
      <c r="L66" s="261" t="b">
        <v>0</v>
      </c>
      <c r="M66" s="23">
        <f t="shared" si="5"/>
        <v>3</v>
      </c>
      <c r="N66" s="264">
        <f t="shared" si="6"/>
        <v>360</v>
      </c>
    </row>
    <row r="67" spans="1:14" x14ac:dyDescent="0.2">
      <c r="A67" s="277"/>
      <c r="B67" s="260"/>
      <c r="C67" s="261" t="b">
        <v>0</v>
      </c>
      <c r="D67" s="103" t="s">
        <v>286</v>
      </c>
      <c r="E67" s="103" t="s">
        <v>482</v>
      </c>
      <c r="F67" s="267"/>
      <c r="G67" s="207"/>
      <c r="H67" s="207"/>
      <c r="I67" s="263" t="b">
        <v>1</v>
      </c>
      <c r="J67" s="263" t="b">
        <v>1</v>
      </c>
      <c r="K67" s="263" t="b">
        <v>1</v>
      </c>
      <c r="L67" s="261" t="b">
        <v>0</v>
      </c>
      <c r="M67" s="23">
        <f t="shared" si="5"/>
        <v>3</v>
      </c>
      <c r="N67" s="264">
        <f t="shared" si="6"/>
        <v>360</v>
      </c>
    </row>
    <row r="68" spans="1:14" x14ac:dyDescent="0.2">
      <c r="A68" s="277"/>
      <c r="B68" s="260"/>
      <c r="C68" s="261" t="b">
        <v>0</v>
      </c>
      <c r="D68" s="103" t="s">
        <v>180</v>
      </c>
      <c r="E68" s="103" t="s">
        <v>482</v>
      </c>
      <c r="F68" s="267"/>
      <c r="G68" s="207"/>
      <c r="H68" s="207"/>
      <c r="I68" s="263" t="b">
        <v>1</v>
      </c>
      <c r="J68" s="263" t="b">
        <v>1</v>
      </c>
      <c r="K68" s="263" t="b">
        <v>1</v>
      </c>
      <c r="L68" s="261" t="b">
        <v>0</v>
      </c>
      <c r="M68" s="23">
        <f t="shared" si="5"/>
        <v>3</v>
      </c>
      <c r="N68" s="264">
        <f t="shared" si="6"/>
        <v>360</v>
      </c>
    </row>
    <row r="69" spans="1:14" x14ac:dyDescent="0.2">
      <c r="A69" s="277"/>
      <c r="B69" s="260"/>
      <c r="C69" s="261" t="b">
        <v>0</v>
      </c>
      <c r="D69" s="103" t="s">
        <v>184</v>
      </c>
      <c r="E69" s="103" t="s">
        <v>626</v>
      </c>
      <c r="F69" s="267"/>
      <c r="G69" s="207"/>
      <c r="H69" s="207"/>
      <c r="I69" s="263" t="b">
        <v>1</v>
      </c>
      <c r="J69" s="263" t="b">
        <v>1</v>
      </c>
      <c r="K69" s="263" t="b">
        <v>0</v>
      </c>
      <c r="L69" s="261" t="b">
        <v>0</v>
      </c>
      <c r="M69" s="23">
        <f t="shared" si="5"/>
        <v>2</v>
      </c>
      <c r="N69" s="264">
        <f t="shared" si="6"/>
        <v>240</v>
      </c>
    </row>
    <row r="70" spans="1:14" x14ac:dyDescent="0.2">
      <c r="A70" s="277"/>
      <c r="B70" s="260"/>
      <c r="C70" s="261" t="b">
        <v>0</v>
      </c>
      <c r="D70" s="103" t="s">
        <v>183</v>
      </c>
      <c r="E70" s="103" t="s">
        <v>899</v>
      </c>
      <c r="F70" s="267"/>
      <c r="G70" s="207"/>
      <c r="H70" s="207"/>
      <c r="I70" s="263" t="b">
        <v>1</v>
      </c>
      <c r="J70" s="263" t="b">
        <v>1</v>
      </c>
      <c r="K70" s="261" t="b">
        <v>0</v>
      </c>
      <c r="L70" s="261" t="b">
        <v>0</v>
      </c>
      <c r="M70" s="23">
        <f t="shared" si="5"/>
        <v>2</v>
      </c>
      <c r="N70" s="264">
        <f t="shared" si="6"/>
        <v>240</v>
      </c>
    </row>
    <row r="71" spans="1:14" x14ac:dyDescent="0.2">
      <c r="A71" s="277"/>
      <c r="B71" s="260"/>
      <c r="C71" s="261" t="b">
        <v>0</v>
      </c>
      <c r="D71" s="103" t="s">
        <v>603</v>
      </c>
      <c r="E71" s="103" t="s">
        <v>883</v>
      </c>
      <c r="F71" s="267"/>
      <c r="G71" s="207"/>
      <c r="H71" s="207"/>
      <c r="I71" s="263" t="b">
        <v>1</v>
      </c>
      <c r="J71" s="263" t="b">
        <v>0</v>
      </c>
      <c r="K71" s="263" t="b">
        <v>0</v>
      </c>
      <c r="L71" s="261" t="b">
        <v>0</v>
      </c>
      <c r="M71" s="23">
        <f t="shared" si="5"/>
        <v>1</v>
      </c>
      <c r="N71" s="264">
        <f t="shared" si="6"/>
        <v>120</v>
      </c>
    </row>
    <row r="72" spans="1:14" x14ac:dyDescent="0.2">
      <c r="A72" s="277"/>
      <c r="B72" s="260"/>
      <c r="C72" s="261" t="b">
        <v>0</v>
      </c>
      <c r="D72" s="103" t="s">
        <v>181</v>
      </c>
      <c r="E72" s="103" t="s">
        <v>883</v>
      </c>
      <c r="F72" s="267"/>
      <c r="G72" s="207"/>
      <c r="H72" s="207"/>
      <c r="I72" s="263" t="b">
        <v>1</v>
      </c>
      <c r="J72" s="261" t="b">
        <v>0</v>
      </c>
      <c r="K72" s="261" t="b">
        <v>0</v>
      </c>
      <c r="L72" s="261" t="b">
        <v>0</v>
      </c>
      <c r="M72" s="23">
        <f t="shared" si="5"/>
        <v>1</v>
      </c>
      <c r="N72" s="264">
        <f t="shared" si="6"/>
        <v>120</v>
      </c>
    </row>
    <row r="73" spans="1:14" x14ac:dyDescent="0.2">
      <c r="A73" s="277"/>
      <c r="B73" s="260"/>
      <c r="C73" s="261" t="b">
        <v>0</v>
      </c>
      <c r="D73" s="103" t="s">
        <v>186</v>
      </c>
      <c r="E73" s="103" t="s">
        <v>883</v>
      </c>
      <c r="F73" s="267"/>
      <c r="G73" s="207"/>
      <c r="H73" s="207"/>
      <c r="I73" s="263" t="b">
        <v>1</v>
      </c>
      <c r="J73" s="263" t="b">
        <v>0</v>
      </c>
      <c r="K73" s="263" t="b">
        <v>1</v>
      </c>
      <c r="L73" s="261" t="b">
        <v>0</v>
      </c>
      <c r="M73" s="23">
        <f t="shared" si="5"/>
        <v>2</v>
      </c>
      <c r="N73" s="264">
        <f t="shared" si="6"/>
        <v>240</v>
      </c>
    </row>
    <row r="74" spans="1:14" x14ac:dyDescent="0.2">
      <c r="A74" s="277"/>
      <c r="B74" s="260"/>
      <c r="C74" s="261" t="b">
        <v>0</v>
      </c>
      <c r="D74" s="103" t="s">
        <v>176</v>
      </c>
      <c r="E74" s="103" t="s">
        <v>902</v>
      </c>
      <c r="F74" s="267"/>
      <c r="G74" s="214"/>
      <c r="H74" s="214"/>
      <c r="I74" s="263" t="b">
        <v>1</v>
      </c>
      <c r="J74" s="263" t="b">
        <v>1</v>
      </c>
      <c r="K74" s="263" t="b">
        <v>1</v>
      </c>
      <c r="L74" s="261" t="b">
        <v>0</v>
      </c>
      <c r="M74" s="23">
        <f t="shared" si="5"/>
        <v>3</v>
      </c>
      <c r="N74" s="264">
        <f t="shared" si="6"/>
        <v>360</v>
      </c>
    </row>
    <row r="75" spans="1:14" x14ac:dyDescent="0.2">
      <c r="A75" s="277"/>
      <c r="B75" s="260"/>
      <c r="C75" s="261" t="b">
        <v>0</v>
      </c>
      <c r="D75" s="219" t="s">
        <v>176</v>
      </c>
      <c r="E75" s="219" t="s">
        <v>482</v>
      </c>
      <c r="F75" s="268"/>
      <c r="G75" s="214"/>
      <c r="H75" s="214"/>
      <c r="I75" s="263" t="b">
        <v>1</v>
      </c>
      <c r="J75" s="263" t="b">
        <v>1</v>
      </c>
      <c r="K75" s="261" t="b">
        <v>0</v>
      </c>
      <c r="L75" s="270" t="b">
        <v>0</v>
      </c>
      <c r="M75" s="23">
        <f t="shared" si="5"/>
        <v>2</v>
      </c>
      <c r="N75" s="264">
        <f t="shared" si="6"/>
        <v>240</v>
      </c>
    </row>
    <row r="76" spans="1:14" x14ac:dyDescent="0.2">
      <c r="A76" s="277"/>
      <c r="B76" s="260"/>
      <c r="C76" s="261" t="b">
        <v>0</v>
      </c>
      <c r="D76" s="219" t="s">
        <v>903</v>
      </c>
      <c r="E76" s="219" t="s">
        <v>904</v>
      </c>
      <c r="F76" s="268"/>
      <c r="G76" s="207"/>
      <c r="H76" s="207"/>
      <c r="I76" s="261" t="b">
        <v>0</v>
      </c>
      <c r="J76" s="261" t="b">
        <v>0</v>
      </c>
      <c r="K76" s="263" t="b">
        <v>1</v>
      </c>
      <c r="L76" s="270" t="b">
        <v>0</v>
      </c>
      <c r="M76" s="23">
        <f t="shared" si="5"/>
        <v>1</v>
      </c>
      <c r="N76" s="264">
        <f t="shared" si="6"/>
        <v>120</v>
      </c>
    </row>
    <row r="77" spans="1:14" x14ac:dyDescent="0.2">
      <c r="A77" s="277"/>
      <c r="B77" s="260"/>
      <c r="C77" s="261" t="b">
        <v>0</v>
      </c>
      <c r="D77" s="103" t="s">
        <v>836</v>
      </c>
      <c r="E77" s="103" t="s">
        <v>842</v>
      </c>
      <c r="F77" s="267"/>
      <c r="G77" s="207"/>
      <c r="H77" s="207"/>
      <c r="I77" s="263" t="b">
        <v>1</v>
      </c>
      <c r="J77" s="263" t="b">
        <v>1</v>
      </c>
      <c r="K77" s="263" t="b">
        <v>1</v>
      </c>
      <c r="L77" s="261" t="b">
        <v>0</v>
      </c>
      <c r="M77" s="23">
        <f t="shared" si="5"/>
        <v>3</v>
      </c>
      <c r="N77" s="264">
        <f t="shared" si="6"/>
        <v>360</v>
      </c>
    </row>
    <row r="78" spans="1:14" x14ac:dyDescent="0.2">
      <c r="A78" s="277"/>
      <c r="B78" s="260"/>
      <c r="C78" s="261" t="b">
        <v>0</v>
      </c>
      <c r="D78" s="103" t="s">
        <v>171</v>
      </c>
      <c r="E78" s="103" t="s">
        <v>842</v>
      </c>
      <c r="F78" s="267"/>
      <c r="G78" s="207"/>
      <c r="H78" s="207"/>
      <c r="I78" s="263" t="b">
        <v>1</v>
      </c>
      <c r="J78" s="263" t="b">
        <v>1</v>
      </c>
      <c r="K78" s="263" t="b">
        <v>1</v>
      </c>
      <c r="L78" s="261" t="b">
        <v>0</v>
      </c>
      <c r="M78" s="23">
        <f t="shared" si="5"/>
        <v>3</v>
      </c>
      <c r="N78" s="264">
        <f t="shared" si="6"/>
        <v>360</v>
      </c>
    </row>
    <row r="79" spans="1:14" x14ac:dyDescent="0.2">
      <c r="A79" s="277"/>
      <c r="B79" s="260"/>
      <c r="C79" s="261" t="b">
        <v>0</v>
      </c>
      <c r="D79" s="103" t="s">
        <v>170</v>
      </c>
      <c r="E79" s="103" t="s">
        <v>837</v>
      </c>
      <c r="F79" s="267"/>
      <c r="G79" s="207"/>
      <c r="H79" s="207"/>
      <c r="I79" s="263" t="b">
        <v>1</v>
      </c>
      <c r="J79" s="263" t="b">
        <v>1</v>
      </c>
      <c r="K79" s="263" t="b">
        <v>1</v>
      </c>
      <c r="L79" s="261" t="b">
        <v>0</v>
      </c>
      <c r="M79" s="23">
        <f t="shared" si="5"/>
        <v>3</v>
      </c>
      <c r="N79" s="264">
        <f t="shared" si="6"/>
        <v>360</v>
      </c>
    </row>
    <row r="80" spans="1:14" x14ac:dyDescent="0.2">
      <c r="A80" s="277"/>
      <c r="B80" s="260"/>
      <c r="C80" s="261" t="b">
        <v>0</v>
      </c>
      <c r="D80" s="103" t="s">
        <v>195</v>
      </c>
      <c r="E80" s="103" t="s">
        <v>794</v>
      </c>
      <c r="F80" s="267"/>
      <c r="G80" s="207"/>
      <c r="H80" s="207"/>
      <c r="I80" s="263" t="b">
        <v>1</v>
      </c>
      <c r="J80" s="263" t="b">
        <v>1</v>
      </c>
      <c r="K80" s="263" t="b">
        <v>1</v>
      </c>
      <c r="L80" s="261" t="b">
        <v>0</v>
      </c>
      <c r="M80" s="23">
        <f t="shared" si="5"/>
        <v>3</v>
      </c>
      <c r="N80" s="264">
        <f t="shared" si="6"/>
        <v>360</v>
      </c>
    </row>
    <row r="81" spans="1:14" x14ac:dyDescent="0.2">
      <c r="A81" s="277"/>
      <c r="B81" s="260"/>
      <c r="C81" s="261" t="b">
        <v>0</v>
      </c>
      <c r="D81" s="103" t="s">
        <v>500</v>
      </c>
      <c r="E81" s="103" t="s">
        <v>484</v>
      </c>
      <c r="F81" s="267"/>
      <c r="G81" s="207"/>
      <c r="H81" s="207"/>
      <c r="I81" s="263" t="b">
        <v>1</v>
      </c>
      <c r="J81" s="263" t="b">
        <v>1</v>
      </c>
      <c r="K81" s="263" t="b">
        <v>1</v>
      </c>
      <c r="L81" s="261" t="b">
        <v>0</v>
      </c>
      <c r="M81" s="23">
        <f t="shared" si="5"/>
        <v>3</v>
      </c>
      <c r="N81" s="264">
        <f t="shared" si="6"/>
        <v>360</v>
      </c>
    </row>
    <row r="82" spans="1:14" x14ac:dyDescent="0.2">
      <c r="A82" s="277"/>
      <c r="B82" s="260"/>
      <c r="C82" s="261" t="b">
        <v>0</v>
      </c>
      <c r="D82" s="103" t="s">
        <v>172</v>
      </c>
      <c r="E82" s="103" t="s">
        <v>905</v>
      </c>
      <c r="F82" s="267"/>
      <c r="G82" s="207"/>
      <c r="H82" s="207"/>
      <c r="I82" s="263" t="b">
        <v>1</v>
      </c>
      <c r="J82" s="261" t="b">
        <v>0</v>
      </c>
      <c r="K82" s="261" t="b">
        <v>0</v>
      </c>
      <c r="L82" s="261" t="b">
        <v>0</v>
      </c>
      <c r="M82" s="23">
        <f t="shared" si="5"/>
        <v>1</v>
      </c>
      <c r="N82" s="264">
        <f t="shared" si="6"/>
        <v>120</v>
      </c>
    </row>
    <row r="83" spans="1:14" x14ac:dyDescent="0.2">
      <c r="A83" s="277"/>
      <c r="B83" s="260"/>
      <c r="C83" s="261" t="b">
        <v>0</v>
      </c>
      <c r="D83" s="103" t="s">
        <v>282</v>
      </c>
      <c r="E83" s="103" t="s">
        <v>906</v>
      </c>
      <c r="F83" s="267"/>
      <c r="G83" s="207"/>
      <c r="H83" s="207"/>
      <c r="I83" s="261" t="b">
        <v>0</v>
      </c>
      <c r="J83" s="263" t="b">
        <v>1</v>
      </c>
      <c r="K83" s="263" t="b">
        <v>1</v>
      </c>
      <c r="L83" s="261" t="b">
        <v>0</v>
      </c>
      <c r="M83" s="23">
        <f t="shared" si="5"/>
        <v>2</v>
      </c>
      <c r="N83" s="264">
        <f t="shared" si="6"/>
        <v>240</v>
      </c>
    </row>
    <row r="84" spans="1:14" x14ac:dyDescent="0.2">
      <c r="A84" s="277"/>
      <c r="B84" s="260"/>
      <c r="C84" s="261" t="b">
        <v>0</v>
      </c>
      <c r="D84" s="103" t="s">
        <v>907</v>
      </c>
      <c r="E84" s="103" t="s">
        <v>595</v>
      </c>
      <c r="F84" s="267"/>
      <c r="G84" s="207"/>
      <c r="H84" s="207"/>
      <c r="I84" s="261" t="b">
        <v>0</v>
      </c>
      <c r="J84" s="261" t="b">
        <v>0</v>
      </c>
      <c r="K84" s="261" t="b">
        <v>0</v>
      </c>
      <c r="L84" s="261" t="b">
        <v>0</v>
      </c>
      <c r="M84" s="23">
        <f t="shared" si="5"/>
        <v>0</v>
      </c>
      <c r="N84" s="264">
        <f t="shared" si="6"/>
        <v>0</v>
      </c>
    </row>
    <row r="85" spans="1:14" x14ac:dyDescent="0.2">
      <c r="A85" s="277"/>
      <c r="B85" s="260"/>
      <c r="C85" s="261" t="b">
        <v>0</v>
      </c>
      <c r="D85" s="103" t="s">
        <v>187</v>
      </c>
      <c r="E85" s="103" t="s">
        <v>784</v>
      </c>
      <c r="F85" s="267"/>
      <c r="G85" s="207"/>
      <c r="H85" s="207"/>
      <c r="I85" s="263" t="b">
        <v>1</v>
      </c>
      <c r="J85" s="263" t="b">
        <v>1</v>
      </c>
      <c r="K85" s="261" t="b">
        <v>0</v>
      </c>
      <c r="L85" s="261" t="b">
        <v>0</v>
      </c>
      <c r="M85" s="23">
        <f t="shared" si="5"/>
        <v>2</v>
      </c>
      <c r="N85" s="264">
        <f t="shared" si="6"/>
        <v>240</v>
      </c>
    </row>
    <row r="86" spans="1:14" x14ac:dyDescent="0.2">
      <c r="A86" s="277"/>
      <c r="B86" s="260"/>
      <c r="C86" s="261" t="b">
        <v>0</v>
      </c>
      <c r="D86" s="103" t="s">
        <v>185</v>
      </c>
      <c r="E86" s="103" t="s">
        <v>626</v>
      </c>
      <c r="F86" s="267"/>
      <c r="G86" s="207"/>
      <c r="H86" s="207"/>
      <c r="I86" s="263" t="b">
        <v>1</v>
      </c>
      <c r="J86" s="263" t="b">
        <v>1</v>
      </c>
      <c r="K86" s="263" t="b">
        <v>1</v>
      </c>
      <c r="L86" s="261" t="b">
        <v>0</v>
      </c>
      <c r="M86" s="23">
        <f t="shared" si="5"/>
        <v>3</v>
      </c>
      <c r="N86" s="264">
        <f t="shared" si="6"/>
        <v>360</v>
      </c>
    </row>
    <row r="87" spans="1:14" x14ac:dyDescent="0.2">
      <c r="A87" s="277"/>
      <c r="B87" s="260"/>
      <c r="C87" s="261" t="b">
        <v>0</v>
      </c>
      <c r="D87" s="103" t="s">
        <v>908</v>
      </c>
      <c r="E87" s="103" t="s">
        <v>527</v>
      </c>
      <c r="F87" s="267"/>
      <c r="G87" s="207"/>
      <c r="H87" s="207"/>
      <c r="I87" s="261" t="b">
        <v>0</v>
      </c>
      <c r="J87" s="263" t="b">
        <v>1</v>
      </c>
      <c r="K87" s="263" t="b">
        <v>1</v>
      </c>
      <c r="L87" s="261" t="b">
        <v>0</v>
      </c>
      <c r="M87" s="23">
        <f t="shared" si="5"/>
        <v>2</v>
      </c>
      <c r="N87" s="264">
        <f t="shared" si="6"/>
        <v>240</v>
      </c>
    </row>
    <row r="88" spans="1:14" x14ac:dyDescent="0.2">
      <c r="A88" s="277"/>
      <c r="B88" s="260"/>
      <c r="C88" s="261" t="b">
        <v>0</v>
      </c>
      <c r="D88" s="103" t="s">
        <v>313</v>
      </c>
      <c r="E88" s="103" t="s">
        <v>909</v>
      </c>
      <c r="F88" s="267"/>
      <c r="G88" s="207"/>
      <c r="H88" s="207"/>
      <c r="I88" s="261" t="b">
        <v>0</v>
      </c>
      <c r="J88" s="263" t="b">
        <v>1</v>
      </c>
      <c r="K88" s="263" t="b">
        <v>1</v>
      </c>
      <c r="L88" s="261" t="b">
        <v>0</v>
      </c>
      <c r="M88" s="23">
        <f t="shared" si="5"/>
        <v>2</v>
      </c>
      <c r="N88" s="264">
        <f t="shared" si="6"/>
        <v>240</v>
      </c>
    </row>
    <row r="89" spans="1:14" x14ac:dyDescent="0.2">
      <c r="A89" s="277"/>
      <c r="B89" s="260"/>
      <c r="C89" s="261" t="b">
        <v>0</v>
      </c>
      <c r="D89" s="103" t="s">
        <v>483</v>
      </c>
      <c r="E89" s="103" t="s">
        <v>484</v>
      </c>
      <c r="F89" s="267"/>
      <c r="G89" s="207"/>
      <c r="H89" s="207"/>
      <c r="I89" s="263" t="b">
        <v>1</v>
      </c>
      <c r="J89" s="263" t="b">
        <v>1</v>
      </c>
      <c r="K89" s="261" t="b">
        <v>0</v>
      </c>
      <c r="L89" s="261" t="b">
        <v>0</v>
      </c>
      <c r="M89" s="23">
        <f t="shared" si="5"/>
        <v>2</v>
      </c>
      <c r="N89" s="264">
        <f t="shared" si="6"/>
        <v>240</v>
      </c>
    </row>
    <row r="90" spans="1:14" x14ac:dyDescent="0.2">
      <c r="A90" s="277"/>
      <c r="B90" s="260"/>
      <c r="C90" s="261" t="b">
        <v>0</v>
      </c>
      <c r="D90" s="103" t="s">
        <v>729</v>
      </c>
      <c r="E90" s="103" t="s">
        <v>910</v>
      </c>
      <c r="F90" s="267"/>
      <c r="G90" s="207"/>
      <c r="H90" s="207"/>
      <c r="I90" s="263" t="b">
        <v>1</v>
      </c>
      <c r="J90" s="263" t="b">
        <v>1</v>
      </c>
      <c r="K90" s="263" t="b">
        <v>1</v>
      </c>
      <c r="L90" s="261" t="b">
        <v>0</v>
      </c>
      <c r="M90" s="23">
        <f t="shared" si="5"/>
        <v>3</v>
      </c>
      <c r="N90" s="264">
        <f t="shared" si="6"/>
        <v>360</v>
      </c>
    </row>
    <row r="91" spans="1:14" x14ac:dyDescent="0.2">
      <c r="A91" s="277"/>
      <c r="B91" s="260"/>
      <c r="C91" s="261" t="b">
        <v>0</v>
      </c>
      <c r="D91" s="103" t="s">
        <v>802</v>
      </c>
      <c r="E91" s="103" t="s">
        <v>911</v>
      </c>
      <c r="F91" s="267"/>
      <c r="G91" s="207"/>
      <c r="H91" s="207"/>
      <c r="I91" s="263" t="b">
        <v>1</v>
      </c>
      <c r="J91" s="263" t="b">
        <v>1</v>
      </c>
      <c r="K91" s="261" t="b">
        <v>0</v>
      </c>
      <c r="L91" s="261" t="b">
        <v>0</v>
      </c>
      <c r="M91" s="23">
        <f t="shared" si="5"/>
        <v>2</v>
      </c>
      <c r="N91" s="264">
        <f t="shared" si="6"/>
        <v>240</v>
      </c>
    </row>
    <row r="92" spans="1:14" x14ac:dyDescent="0.2">
      <c r="A92" s="277"/>
      <c r="B92" s="260"/>
      <c r="C92" s="261" t="b">
        <v>0</v>
      </c>
      <c r="D92" s="103" t="s">
        <v>912</v>
      </c>
      <c r="E92" s="103" t="s">
        <v>913</v>
      </c>
      <c r="F92" s="267"/>
      <c r="G92" s="103"/>
      <c r="H92" s="207"/>
      <c r="I92" s="263" t="b">
        <v>1</v>
      </c>
      <c r="J92" s="263" t="b">
        <v>1</v>
      </c>
      <c r="K92" s="261" t="b">
        <v>0</v>
      </c>
      <c r="L92" s="261" t="b">
        <v>0</v>
      </c>
      <c r="M92" s="23">
        <f t="shared" si="5"/>
        <v>2</v>
      </c>
      <c r="N92" s="264">
        <f t="shared" si="6"/>
        <v>240</v>
      </c>
    </row>
    <row r="93" spans="1:14" x14ac:dyDescent="0.2">
      <c r="A93" s="277"/>
      <c r="B93" s="260"/>
      <c r="C93" s="261" t="b">
        <v>0</v>
      </c>
      <c r="D93" s="103" t="s">
        <v>914</v>
      </c>
      <c r="E93" s="103" t="s">
        <v>915</v>
      </c>
      <c r="F93" s="267"/>
      <c r="G93" s="207"/>
      <c r="H93" s="207"/>
      <c r="I93" s="263" t="b">
        <v>0</v>
      </c>
      <c r="J93" s="261" t="b">
        <v>0</v>
      </c>
      <c r="K93" s="261" t="b">
        <v>0</v>
      </c>
      <c r="L93" s="261" t="b">
        <v>0</v>
      </c>
      <c r="M93" s="23">
        <f t="shared" si="5"/>
        <v>0</v>
      </c>
      <c r="N93" s="264">
        <f t="shared" si="6"/>
        <v>0</v>
      </c>
    </row>
    <row r="94" spans="1:14" x14ac:dyDescent="0.2">
      <c r="A94" s="277"/>
      <c r="B94" s="260"/>
      <c r="C94" s="261" t="b">
        <v>0</v>
      </c>
      <c r="D94" s="103" t="s">
        <v>916</v>
      </c>
      <c r="E94" s="103" t="s">
        <v>917</v>
      </c>
      <c r="F94" s="267"/>
      <c r="G94" s="207"/>
      <c r="H94" s="207"/>
      <c r="I94" s="263" t="b">
        <v>1</v>
      </c>
      <c r="J94" s="263" t="b">
        <v>1</v>
      </c>
      <c r="K94" s="261" t="b">
        <v>0</v>
      </c>
      <c r="L94" s="261" t="b">
        <v>0</v>
      </c>
      <c r="M94" s="23">
        <f t="shared" si="5"/>
        <v>2</v>
      </c>
      <c r="N94" s="264">
        <f t="shared" si="6"/>
        <v>240</v>
      </c>
    </row>
    <row r="95" spans="1:14" x14ac:dyDescent="0.2">
      <c r="A95" s="277"/>
      <c r="B95" s="260"/>
      <c r="C95" s="261" t="b">
        <v>0</v>
      </c>
      <c r="D95" s="103" t="s">
        <v>858</v>
      </c>
      <c r="E95" s="103" t="s">
        <v>918</v>
      </c>
      <c r="F95" s="267"/>
      <c r="G95" s="207"/>
      <c r="H95" s="207"/>
      <c r="I95" s="263" t="b">
        <v>0</v>
      </c>
      <c r="J95" s="263" t="b">
        <v>1</v>
      </c>
      <c r="K95" s="261" t="b">
        <v>0</v>
      </c>
      <c r="L95" s="261" t="b">
        <v>0</v>
      </c>
      <c r="M95" s="23">
        <f t="shared" si="5"/>
        <v>1</v>
      </c>
      <c r="N95" s="264">
        <f t="shared" si="6"/>
        <v>120</v>
      </c>
    </row>
    <row r="96" spans="1:14" x14ac:dyDescent="0.2">
      <c r="A96" s="277"/>
      <c r="B96" s="260"/>
      <c r="C96" s="261" t="b">
        <v>0</v>
      </c>
      <c r="D96" s="103" t="s">
        <v>804</v>
      </c>
      <c r="E96" s="103" t="s">
        <v>919</v>
      </c>
      <c r="F96" s="267"/>
      <c r="G96" s="207"/>
      <c r="H96" s="207"/>
      <c r="I96" s="263" t="b">
        <v>1</v>
      </c>
      <c r="J96" s="263" t="b">
        <v>1</v>
      </c>
      <c r="K96" s="261" t="b">
        <v>0</v>
      </c>
      <c r="L96" s="261" t="b">
        <v>0</v>
      </c>
      <c r="M96" s="23">
        <f t="shared" si="5"/>
        <v>2</v>
      </c>
      <c r="N96" s="264">
        <f t="shared" si="6"/>
        <v>240</v>
      </c>
    </row>
    <row r="97" spans="1:14" x14ac:dyDescent="0.2">
      <c r="A97" s="277"/>
      <c r="B97" s="260"/>
      <c r="C97" s="261" t="b">
        <v>0</v>
      </c>
      <c r="D97" s="103" t="s">
        <v>729</v>
      </c>
      <c r="E97" s="103" t="s">
        <v>920</v>
      </c>
      <c r="F97" s="267"/>
      <c r="G97" s="207"/>
      <c r="H97" s="207"/>
      <c r="I97" s="263" t="b">
        <v>0</v>
      </c>
      <c r="J97" s="263" t="b">
        <v>0</v>
      </c>
      <c r="K97" s="263" t="b">
        <v>0</v>
      </c>
      <c r="L97" s="261" t="b">
        <v>0</v>
      </c>
      <c r="M97" s="23">
        <f t="shared" si="5"/>
        <v>0</v>
      </c>
      <c r="N97" s="264">
        <f t="shared" si="6"/>
        <v>0</v>
      </c>
    </row>
    <row r="98" spans="1:14" x14ac:dyDescent="0.2">
      <c r="A98" s="277"/>
      <c r="B98" s="260"/>
      <c r="C98" s="261" t="b">
        <v>0</v>
      </c>
      <c r="D98" s="103" t="s">
        <v>921</v>
      </c>
      <c r="E98" s="103" t="s">
        <v>481</v>
      </c>
      <c r="F98" s="267"/>
      <c r="G98" s="207"/>
      <c r="H98" s="207"/>
      <c r="I98" s="263" t="b">
        <v>1</v>
      </c>
      <c r="J98" s="263" t="b">
        <v>1</v>
      </c>
      <c r="K98" s="263" t="b">
        <v>1</v>
      </c>
      <c r="L98" s="261" t="b">
        <v>0</v>
      </c>
      <c r="M98" s="23">
        <f t="shared" si="5"/>
        <v>3</v>
      </c>
      <c r="N98" s="264">
        <f t="shared" si="6"/>
        <v>360</v>
      </c>
    </row>
    <row r="99" spans="1:14" x14ac:dyDescent="0.2">
      <c r="A99" s="277"/>
      <c r="B99" s="260"/>
      <c r="C99" s="261" t="b">
        <v>0</v>
      </c>
      <c r="D99" s="103" t="s">
        <v>735</v>
      </c>
      <c r="E99" s="103" t="s">
        <v>883</v>
      </c>
      <c r="F99" s="267"/>
      <c r="G99" s="207"/>
      <c r="H99" s="207"/>
      <c r="I99" s="263" t="b">
        <v>1</v>
      </c>
      <c r="J99" s="263" t="b">
        <v>0</v>
      </c>
      <c r="K99" s="261" t="b">
        <v>0</v>
      </c>
      <c r="L99" s="261" t="b">
        <v>0</v>
      </c>
      <c r="M99" s="23">
        <f t="shared" si="5"/>
        <v>1</v>
      </c>
      <c r="N99" s="264">
        <f t="shared" si="6"/>
        <v>120</v>
      </c>
    </row>
    <row r="100" spans="1:14" x14ac:dyDescent="0.2">
      <c r="A100" s="277"/>
      <c r="B100" s="260"/>
      <c r="C100" s="261" t="b">
        <v>0</v>
      </c>
      <c r="D100" s="103" t="s">
        <v>922</v>
      </c>
      <c r="E100" s="103" t="s">
        <v>923</v>
      </c>
      <c r="F100" s="267"/>
      <c r="G100" s="207"/>
      <c r="H100" s="207"/>
      <c r="I100" s="263" t="b">
        <v>1</v>
      </c>
      <c r="J100" s="261" t="b">
        <v>0</v>
      </c>
      <c r="K100" s="261" t="b">
        <v>0</v>
      </c>
      <c r="L100" s="261" t="b">
        <v>0</v>
      </c>
      <c r="M100" s="23">
        <f t="shared" si="5"/>
        <v>1</v>
      </c>
      <c r="N100" s="264">
        <f t="shared" si="6"/>
        <v>120</v>
      </c>
    </row>
    <row r="101" spans="1:14" x14ac:dyDescent="0.2">
      <c r="A101" s="277"/>
      <c r="B101" s="260"/>
      <c r="C101" s="261" t="b">
        <v>0</v>
      </c>
      <c r="D101" s="103" t="s">
        <v>924</v>
      </c>
      <c r="E101" s="103" t="s">
        <v>925</v>
      </c>
      <c r="F101" s="267"/>
      <c r="G101" s="207"/>
      <c r="H101" s="207"/>
      <c r="I101" s="263" t="b">
        <v>1</v>
      </c>
      <c r="J101" s="263" t="b">
        <v>1</v>
      </c>
      <c r="K101" s="261" t="b">
        <v>0</v>
      </c>
      <c r="L101" s="261" t="b">
        <v>0</v>
      </c>
      <c r="M101" s="23">
        <f t="shared" si="5"/>
        <v>2</v>
      </c>
      <c r="N101" s="264">
        <f t="shared" si="6"/>
        <v>240</v>
      </c>
    </row>
    <row r="102" spans="1:14" x14ac:dyDescent="0.2">
      <c r="B102" s="23"/>
      <c r="C102" s="263" t="b">
        <v>0</v>
      </c>
      <c r="D102" s="103" t="s">
        <v>926</v>
      </c>
      <c r="E102" s="103" t="s">
        <v>927</v>
      </c>
      <c r="F102" s="267"/>
      <c r="G102" s="207"/>
      <c r="H102" s="207"/>
      <c r="I102" s="263" t="b">
        <v>1</v>
      </c>
      <c r="J102" s="261" t="b">
        <v>0</v>
      </c>
      <c r="K102" s="261" t="b">
        <v>0</v>
      </c>
      <c r="L102" s="261" t="b">
        <v>0</v>
      </c>
      <c r="M102" s="23">
        <f t="shared" si="5"/>
        <v>1</v>
      </c>
      <c r="N102" s="264">
        <f t="shared" si="6"/>
        <v>120</v>
      </c>
    </row>
    <row r="103" spans="1:14" x14ac:dyDescent="0.2">
      <c r="A103" s="277"/>
      <c r="B103" s="260"/>
      <c r="C103" s="261" t="b">
        <v>0</v>
      </c>
      <c r="D103" s="103" t="s">
        <v>928</v>
      </c>
      <c r="E103" s="103" t="s">
        <v>919</v>
      </c>
      <c r="F103" s="267"/>
      <c r="G103" s="207"/>
      <c r="H103" s="207"/>
      <c r="I103" s="263" t="b">
        <v>0</v>
      </c>
      <c r="J103" s="261" t="b">
        <v>0</v>
      </c>
      <c r="K103" s="261" t="b">
        <v>0</v>
      </c>
      <c r="L103" s="261" t="b">
        <v>0</v>
      </c>
      <c r="M103" s="23">
        <f t="shared" si="5"/>
        <v>0</v>
      </c>
      <c r="N103" s="264">
        <f t="shared" si="6"/>
        <v>0</v>
      </c>
    </row>
    <row r="104" spans="1:14" x14ac:dyDescent="0.2">
      <c r="A104" s="277"/>
      <c r="B104" s="260"/>
      <c r="C104" s="261" t="b">
        <v>0</v>
      </c>
      <c r="D104" s="103" t="s">
        <v>856</v>
      </c>
      <c r="E104" s="103" t="s">
        <v>929</v>
      </c>
      <c r="F104" s="267"/>
      <c r="G104" s="207"/>
      <c r="H104" s="207"/>
      <c r="I104" s="263" t="b">
        <v>1</v>
      </c>
      <c r="J104" s="261" t="b">
        <v>0</v>
      </c>
      <c r="K104" s="261" t="b">
        <v>0</v>
      </c>
      <c r="L104" s="261" t="b">
        <v>0</v>
      </c>
      <c r="M104" s="23">
        <f t="shared" si="5"/>
        <v>1</v>
      </c>
      <c r="N104" s="264">
        <f t="shared" si="6"/>
        <v>120</v>
      </c>
    </row>
    <row r="105" spans="1:14" x14ac:dyDescent="0.2">
      <c r="A105" s="277"/>
      <c r="B105" s="260"/>
      <c r="C105" s="261" t="b">
        <v>0</v>
      </c>
      <c r="D105" s="103" t="s">
        <v>806</v>
      </c>
      <c r="E105" s="103" t="s">
        <v>930</v>
      </c>
      <c r="F105" s="267"/>
      <c r="G105" s="207"/>
      <c r="H105" s="207"/>
      <c r="I105" s="261" t="b">
        <v>0</v>
      </c>
      <c r="J105" s="263" t="b">
        <v>1</v>
      </c>
      <c r="K105" s="261" t="b">
        <v>0</v>
      </c>
      <c r="L105" s="261" t="b">
        <v>0</v>
      </c>
      <c r="M105" s="23">
        <f t="shared" si="5"/>
        <v>1</v>
      </c>
      <c r="N105" s="264">
        <f t="shared" si="6"/>
        <v>120</v>
      </c>
    </row>
    <row r="106" spans="1:14" x14ac:dyDescent="0.2">
      <c r="A106" s="277"/>
      <c r="B106" s="260"/>
      <c r="C106" s="261" t="b">
        <v>0</v>
      </c>
      <c r="D106" s="103" t="s">
        <v>931</v>
      </c>
      <c r="E106" s="103" t="s">
        <v>932</v>
      </c>
      <c r="F106" s="267"/>
      <c r="G106" s="207"/>
      <c r="H106" s="207"/>
      <c r="I106" s="261" t="b">
        <v>0</v>
      </c>
      <c r="J106" s="263" t="b">
        <v>1</v>
      </c>
      <c r="K106" s="261" t="b">
        <v>0</v>
      </c>
      <c r="L106" s="261" t="b">
        <v>0</v>
      </c>
      <c r="M106" s="23">
        <f t="shared" si="5"/>
        <v>1</v>
      </c>
      <c r="N106" s="264">
        <f t="shared" si="6"/>
        <v>120</v>
      </c>
    </row>
    <row r="107" spans="1:14" x14ac:dyDescent="0.2">
      <c r="B107" s="23"/>
      <c r="C107" s="261" t="b">
        <v>0</v>
      </c>
      <c r="D107" s="103" t="s">
        <v>733</v>
      </c>
      <c r="E107" s="103" t="s">
        <v>785</v>
      </c>
      <c r="F107" s="267"/>
      <c r="G107" s="207"/>
      <c r="H107" s="207"/>
      <c r="I107" s="263" t="b">
        <v>1</v>
      </c>
      <c r="J107" s="263" t="b">
        <v>1</v>
      </c>
      <c r="K107" s="263" t="b">
        <v>1</v>
      </c>
      <c r="L107" s="261" t="b">
        <v>0</v>
      </c>
      <c r="M107" s="23">
        <f t="shared" si="5"/>
        <v>3</v>
      </c>
      <c r="N107" s="264">
        <f t="shared" si="6"/>
        <v>360</v>
      </c>
    </row>
    <row r="108" spans="1:14" x14ac:dyDescent="0.2">
      <c r="A108" s="277"/>
      <c r="B108" s="260"/>
      <c r="C108" s="261" t="b">
        <v>0</v>
      </c>
      <c r="D108" s="103" t="s">
        <v>933</v>
      </c>
      <c r="E108" s="103" t="s">
        <v>902</v>
      </c>
      <c r="F108" s="267"/>
      <c r="G108" s="207"/>
      <c r="H108" s="207"/>
      <c r="I108" s="263" t="b">
        <v>1</v>
      </c>
      <c r="J108" s="263" t="b">
        <v>1</v>
      </c>
      <c r="K108" s="263" t="b">
        <v>1</v>
      </c>
      <c r="L108" s="261" t="b">
        <v>0</v>
      </c>
      <c r="M108" s="23">
        <f t="shared" si="5"/>
        <v>3</v>
      </c>
      <c r="N108" s="264">
        <f t="shared" si="6"/>
        <v>360</v>
      </c>
    </row>
    <row r="109" spans="1:14" x14ac:dyDescent="0.2">
      <c r="A109" s="277"/>
      <c r="B109" s="260"/>
      <c r="C109" s="261" t="b">
        <v>0</v>
      </c>
      <c r="D109" s="103"/>
      <c r="E109" s="103"/>
      <c r="F109" s="267"/>
      <c r="G109" s="207"/>
      <c r="H109" s="207"/>
      <c r="I109" s="261" t="b">
        <v>0</v>
      </c>
      <c r="J109" s="261" t="b">
        <v>0</v>
      </c>
      <c r="K109" s="261" t="b">
        <v>0</v>
      </c>
      <c r="L109" s="261" t="b">
        <v>0</v>
      </c>
      <c r="M109" s="23">
        <f t="shared" si="5"/>
        <v>0</v>
      </c>
      <c r="N109" s="264">
        <f t="shared" si="6"/>
        <v>0</v>
      </c>
    </row>
    <row r="110" spans="1:14" x14ac:dyDescent="0.2">
      <c r="A110" s="277"/>
      <c r="B110" s="260"/>
      <c r="C110" s="261" t="b">
        <v>0</v>
      </c>
      <c r="D110" s="103"/>
      <c r="E110" s="103"/>
      <c r="F110" s="267"/>
      <c r="G110" s="207"/>
      <c r="H110" s="207"/>
      <c r="I110" s="261" t="b">
        <v>0</v>
      </c>
      <c r="J110" s="261" t="b">
        <v>0</v>
      </c>
      <c r="K110" s="261" t="b">
        <v>0</v>
      </c>
      <c r="L110" s="261" t="b">
        <v>0</v>
      </c>
      <c r="M110" s="23">
        <f t="shared" si="5"/>
        <v>0</v>
      </c>
      <c r="N110" s="264">
        <f t="shared" si="6"/>
        <v>0</v>
      </c>
    </row>
    <row r="111" spans="1:14" x14ac:dyDescent="0.2">
      <c r="A111" s="277"/>
      <c r="B111" s="260"/>
      <c r="C111" s="261" t="b">
        <v>0</v>
      </c>
      <c r="D111" s="103"/>
      <c r="E111" s="103"/>
      <c r="F111" s="267"/>
      <c r="G111" s="207"/>
      <c r="H111" s="207"/>
      <c r="I111" s="261" t="b">
        <v>0</v>
      </c>
      <c r="J111" s="261" t="b">
        <v>0</v>
      </c>
      <c r="K111" s="261" t="b">
        <v>0</v>
      </c>
      <c r="L111" s="261" t="b">
        <v>0</v>
      </c>
      <c r="M111" s="23">
        <f t="shared" si="5"/>
        <v>0</v>
      </c>
      <c r="N111" s="264">
        <f t="shared" si="6"/>
        <v>0</v>
      </c>
    </row>
    <row r="112" spans="1:14" x14ac:dyDescent="0.2">
      <c r="A112" s="277"/>
      <c r="B112" s="260"/>
      <c r="C112" s="261" t="b">
        <v>0</v>
      </c>
      <c r="D112" s="103"/>
      <c r="E112" s="103"/>
      <c r="F112" s="267"/>
      <c r="G112" s="207"/>
      <c r="H112" s="207"/>
      <c r="I112" s="261" t="b">
        <v>0</v>
      </c>
      <c r="J112" s="261" t="b">
        <v>0</v>
      </c>
      <c r="K112" s="261" t="b">
        <v>0</v>
      </c>
      <c r="L112" s="261" t="b">
        <v>0</v>
      </c>
      <c r="M112" s="23">
        <f t="shared" si="5"/>
        <v>0</v>
      </c>
      <c r="N112" s="264">
        <f t="shared" si="6"/>
        <v>0</v>
      </c>
    </row>
    <row r="113" spans="1:14" x14ac:dyDescent="0.2">
      <c r="A113" s="277"/>
      <c r="B113" s="260"/>
      <c r="C113" s="261" t="b">
        <v>0</v>
      </c>
      <c r="D113" s="103"/>
      <c r="E113" s="103"/>
      <c r="F113" s="267"/>
      <c r="G113" s="207"/>
      <c r="H113" s="207"/>
      <c r="I113" s="261" t="b">
        <v>0</v>
      </c>
      <c r="J113" s="261" t="b">
        <v>0</v>
      </c>
      <c r="K113" s="261" t="b">
        <v>0</v>
      </c>
      <c r="L113" s="261" t="b">
        <v>0</v>
      </c>
      <c r="M113" s="23">
        <f t="shared" si="5"/>
        <v>0</v>
      </c>
      <c r="N113" s="264">
        <f t="shared" si="6"/>
        <v>0</v>
      </c>
    </row>
    <row r="114" spans="1:14" x14ac:dyDescent="0.2">
      <c r="A114" s="277"/>
      <c r="B114" s="260"/>
      <c r="C114" s="261" t="b">
        <v>0</v>
      </c>
      <c r="D114" s="103"/>
      <c r="E114" s="103"/>
      <c r="F114" s="267"/>
      <c r="G114" s="207"/>
      <c r="H114" s="207"/>
      <c r="I114" s="261" t="b">
        <v>0</v>
      </c>
      <c r="J114" s="261" t="b">
        <v>0</v>
      </c>
      <c r="K114" s="261" t="b">
        <v>0</v>
      </c>
      <c r="L114" s="261" t="b">
        <v>0</v>
      </c>
      <c r="M114" s="23">
        <f t="shared" si="5"/>
        <v>0</v>
      </c>
      <c r="N114" s="264">
        <f t="shared" si="6"/>
        <v>0</v>
      </c>
    </row>
    <row r="115" spans="1:14" x14ac:dyDescent="0.2">
      <c r="A115" s="277"/>
      <c r="B115" s="260"/>
      <c r="C115" s="261" t="b">
        <v>0</v>
      </c>
      <c r="D115" s="103"/>
      <c r="E115" s="103"/>
      <c r="F115" s="267"/>
      <c r="G115" s="207"/>
      <c r="H115" s="207"/>
      <c r="I115" s="261" t="b">
        <v>0</v>
      </c>
      <c r="J115" s="261" t="b">
        <v>0</v>
      </c>
      <c r="K115" s="261" t="b">
        <v>0</v>
      </c>
      <c r="L115" s="261" t="b">
        <v>0</v>
      </c>
      <c r="M115" s="23">
        <f t="shared" si="5"/>
        <v>0</v>
      </c>
      <c r="N115" s="264">
        <f t="shared" si="6"/>
        <v>0</v>
      </c>
    </row>
    <row r="116" spans="1:14" x14ac:dyDescent="0.2">
      <c r="A116" s="277"/>
      <c r="B116" s="260"/>
      <c r="C116" s="261" t="b">
        <v>0</v>
      </c>
      <c r="D116" s="103"/>
      <c r="E116" s="103"/>
      <c r="F116" s="267"/>
      <c r="G116" s="207"/>
      <c r="H116" s="207"/>
      <c r="I116" s="261" t="b">
        <v>0</v>
      </c>
      <c r="J116" s="261" t="b">
        <v>0</v>
      </c>
      <c r="K116" s="261" t="b">
        <v>0</v>
      </c>
      <c r="L116" s="261" t="b">
        <v>0</v>
      </c>
      <c r="M116" s="23">
        <f t="shared" si="5"/>
        <v>0</v>
      </c>
      <c r="N116" s="264">
        <f t="shared" si="6"/>
        <v>0</v>
      </c>
    </row>
    <row r="117" spans="1:14" x14ac:dyDescent="0.2">
      <c r="A117" s="277"/>
      <c r="B117" s="260"/>
      <c r="C117" s="261" t="b">
        <v>0</v>
      </c>
      <c r="D117" s="103"/>
      <c r="E117" s="103"/>
      <c r="F117" s="267"/>
      <c r="G117" s="207"/>
      <c r="H117" s="207"/>
      <c r="I117" s="261" t="b">
        <v>0</v>
      </c>
      <c r="J117" s="261" t="b">
        <v>0</v>
      </c>
      <c r="K117" s="261" t="b">
        <v>0</v>
      </c>
      <c r="L117" s="261" t="b">
        <v>0</v>
      </c>
      <c r="M117" s="23">
        <f t="shared" si="5"/>
        <v>0</v>
      </c>
      <c r="N117" s="264">
        <f t="shared" si="6"/>
        <v>0</v>
      </c>
    </row>
    <row r="118" spans="1:14" x14ac:dyDescent="0.2">
      <c r="A118" s="277"/>
      <c r="B118" s="260"/>
      <c r="C118" s="261" t="b">
        <v>0</v>
      </c>
      <c r="D118" s="103"/>
      <c r="E118" s="103"/>
      <c r="F118" s="267"/>
      <c r="G118" s="207"/>
      <c r="H118" s="207"/>
      <c r="I118" s="261" t="b">
        <v>0</v>
      </c>
      <c r="J118" s="261" t="b">
        <v>0</v>
      </c>
      <c r="K118" s="261" t="b">
        <v>0</v>
      </c>
      <c r="L118" s="261" t="b">
        <v>0</v>
      </c>
      <c r="M118" s="23">
        <f t="shared" si="5"/>
        <v>0</v>
      </c>
      <c r="N118" s="264">
        <f t="shared" si="6"/>
        <v>0</v>
      </c>
    </row>
    <row r="119" spans="1:14" x14ac:dyDescent="0.2">
      <c r="A119" s="277"/>
      <c r="B119" s="260"/>
      <c r="C119" s="261" t="b">
        <v>0</v>
      </c>
      <c r="D119" s="103"/>
      <c r="E119" s="103"/>
      <c r="F119" s="267"/>
      <c r="G119" s="207"/>
      <c r="H119" s="207"/>
      <c r="I119" s="261" t="b">
        <v>0</v>
      </c>
      <c r="J119" s="261" t="b">
        <v>0</v>
      </c>
      <c r="K119" s="261" t="b">
        <v>0</v>
      </c>
      <c r="L119" s="261" t="b">
        <v>0</v>
      </c>
      <c r="M119" s="23">
        <f t="shared" si="5"/>
        <v>0</v>
      </c>
      <c r="N119" s="264">
        <f t="shared" si="6"/>
        <v>0</v>
      </c>
    </row>
    <row r="120" spans="1:14" x14ac:dyDescent="0.2">
      <c r="A120" s="277"/>
      <c r="B120" s="260"/>
      <c r="C120" s="261" t="b">
        <v>0</v>
      </c>
      <c r="D120" s="103"/>
      <c r="E120" s="103"/>
      <c r="F120" s="267"/>
      <c r="G120" s="207"/>
      <c r="H120" s="207"/>
      <c r="I120" s="261" t="b">
        <v>0</v>
      </c>
      <c r="J120" s="261" t="b">
        <v>0</v>
      </c>
      <c r="K120" s="261" t="b">
        <v>0</v>
      </c>
      <c r="L120" s="261" t="b">
        <v>0</v>
      </c>
      <c r="M120" s="23">
        <f t="shared" si="5"/>
        <v>0</v>
      </c>
      <c r="N120" s="264">
        <f t="shared" si="6"/>
        <v>0</v>
      </c>
    </row>
    <row r="121" spans="1:14" x14ac:dyDescent="0.2">
      <c r="A121" s="277"/>
      <c r="B121" s="260"/>
      <c r="C121" s="261" t="b">
        <v>0</v>
      </c>
      <c r="D121" s="103"/>
      <c r="E121" s="103"/>
      <c r="F121" s="267"/>
      <c r="G121" s="207"/>
      <c r="H121" s="207"/>
      <c r="I121" s="261" t="b">
        <v>0</v>
      </c>
      <c r="J121" s="261" t="b">
        <v>0</v>
      </c>
      <c r="K121" s="261" t="b">
        <v>0</v>
      </c>
      <c r="L121" s="261" t="b">
        <v>0</v>
      </c>
      <c r="M121" s="23">
        <f t="shared" si="5"/>
        <v>0</v>
      </c>
      <c r="N121" s="264">
        <f t="shared" si="6"/>
        <v>0</v>
      </c>
    </row>
    <row r="122" spans="1:14" x14ac:dyDescent="0.2">
      <c r="B122" s="23"/>
      <c r="C122" s="23"/>
      <c r="D122" s="22"/>
      <c r="E122" s="22"/>
      <c r="F122" s="22"/>
      <c r="G122" s="23"/>
      <c r="H122" s="23"/>
      <c r="I122" s="261" t="b">
        <v>0</v>
      </c>
      <c r="J122" s="261" t="b">
        <v>0</v>
      </c>
      <c r="K122" s="261" t="b">
        <v>0</v>
      </c>
      <c r="L122" s="23"/>
      <c r="M122" s="23">
        <f t="shared" si="5"/>
        <v>0</v>
      </c>
      <c r="N122" s="264">
        <f t="shared" si="6"/>
        <v>0</v>
      </c>
    </row>
    <row r="123" spans="1:14" x14ac:dyDescent="0.2">
      <c r="B123" s="23"/>
      <c r="C123" s="23"/>
      <c r="D123" s="22"/>
      <c r="E123" s="22"/>
      <c r="F123" s="22"/>
      <c r="G123" s="23"/>
      <c r="H123" s="23"/>
      <c r="I123" s="261" t="b">
        <v>0</v>
      </c>
      <c r="J123" s="261" t="b">
        <v>0</v>
      </c>
      <c r="K123" s="261" t="b">
        <v>0</v>
      </c>
      <c r="L123" s="23"/>
      <c r="M123" s="23">
        <f t="shared" si="5"/>
        <v>0</v>
      </c>
      <c r="N123" s="264">
        <f t="shared" si="6"/>
        <v>0</v>
      </c>
    </row>
    <row r="124" spans="1:14" x14ac:dyDescent="0.2">
      <c r="B124" s="23"/>
      <c r="C124" s="23"/>
      <c r="D124" s="22"/>
      <c r="E124" s="22"/>
      <c r="F124" s="22"/>
      <c r="G124" s="23"/>
      <c r="H124" s="23"/>
      <c r="I124" s="261" t="b">
        <v>0</v>
      </c>
      <c r="J124" s="261" t="b">
        <v>0</v>
      </c>
      <c r="K124" s="261" t="b">
        <v>0</v>
      </c>
      <c r="L124" s="23"/>
      <c r="M124" s="23">
        <f t="shared" si="5"/>
        <v>0</v>
      </c>
      <c r="N124" s="264">
        <f t="shared" si="6"/>
        <v>0</v>
      </c>
    </row>
    <row r="125" spans="1:14" x14ac:dyDescent="0.2">
      <c r="B125" s="23"/>
      <c r="C125" s="23"/>
      <c r="D125" s="22"/>
      <c r="E125" s="22"/>
      <c r="F125" s="22"/>
      <c r="G125" s="23"/>
      <c r="H125" s="23"/>
      <c r="I125" s="261" t="b">
        <v>0</v>
      </c>
      <c r="J125" s="261" t="b">
        <v>0</v>
      </c>
      <c r="K125" s="261" t="b">
        <v>0</v>
      </c>
      <c r="L125" s="23"/>
      <c r="M125" s="23">
        <f t="shared" si="5"/>
        <v>0</v>
      </c>
      <c r="N125" s="264">
        <f t="shared" si="6"/>
        <v>0</v>
      </c>
    </row>
    <row r="126" spans="1:14" x14ac:dyDescent="0.2">
      <c r="B126" s="23"/>
      <c r="C126" s="23"/>
      <c r="D126" s="22"/>
      <c r="E126" s="22"/>
      <c r="F126" s="22"/>
      <c r="G126" s="23"/>
      <c r="H126" s="23"/>
      <c r="I126" s="261" t="b">
        <v>0</v>
      </c>
      <c r="J126" s="261" t="b">
        <v>0</v>
      </c>
      <c r="K126" s="261" t="b">
        <v>0</v>
      </c>
      <c r="L126" s="23"/>
      <c r="M126" s="23">
        <f t="shared" si="5"/>
        <v>0</v>
      </c>
      <c r="N126" s="264">
        <f t="shared" si="6"/>
        <v>0</v>
      </c>
    </row>
    <row r="127" spans="1:14" x14ac:dyDescent="0.2">
      <c r="B127" s="23"/>
      <c r="C127" s="23"/>
      <c r="D127" s="22"/>
      <c r="E127" s="22"/>
      <c r="F127" s="22"/>
      <c r="G127" s="23"/>
      <c r="H127" s="23"/>
      <c r="I127" s="261" t="b">
        <v>0</v>
      </c>
      <c r="J127" s="261" t="b">
        <v>0</v>
      </c>
      <c r="K127" s="261" t="b">
        <v>0</v>
      </c>
      <c r="L127" s="23"/>
      <c r="M127" s="23">
        <f t="shared" si="5"/>
        <v>0</v>
      </c>
      <c r="N127" s="264">
        <f t="shared" si="6"/>
        <v>0</v>
      </c>
    </row>
    <row r="128" spans="1:14" x14ac:dyDescent="0.2">
      <c r="B128" s="23"/>
      <c r="C128" s="23"/>
      <c r="D128" s="22"/>
      <c r="E128" s="22"/>
      <c r="F128" s="22"/>
      <c r="G128" s="23"/>
      <c r="H128" s="23"/>
      <c r="I128" s="261" t="b">
        <v>0</v>
      </c>
      <c r="J128" s="261" t="b">
        <v>0</v>
      </c>
      <c r="K128" s="261" t="b">
        <v>0</v>
      </c>
      <c r="L128" s="23"/>
      <c r="M128" s="23">
        <f t="shared" si="5"/>
        <v>0</v>
      </c>
      <c r="N128" s="264">
        <f t="shared" si="6"/>
        <v>0</v>
      </c>
    </row>
    <row r="129" spans="2:14" x14ac:dyDescent="0.2">
      <c r="B129" s="23"/>
      <c r="C129" s="23"/>
      <c r="D129" s="22"/>
      <c r="E129" s="22"/>
      <c r="F129" s="22"/>
      <c r="G129" s="23"/>
      <c r="H129" s="23"/>
      <c r="I129" s="261" t="b">
        <v>0</v>
      </c>
      <c r="J129" s="261" t="b">
        <v>0</v>
      </c>
      <c r="K129" s="261" t="b">
        <v>0</v>
      </c>
      <c r="L129" s="23"/>
      <c r="M129" s="23">
        <f t="shared" si="5"/>
        <v>0</v>
      </c>
      <c r="N129" s="264">
        <f t="shared" si="6"/>
        <v>0</v>
      </c>
    </row>
    <row r="130" spans="2:14" x14ac:dyDescent="0.2">
      <c r="B130" s="23"/>
      <c r="C130" s="23"/>
      <c r="D130" s="22"/>
      <c r="E130" s="22"/>
      <c r="F130" s="22"/>
      <c r="G130" s="23"/>
      <c r="H130" s="23"/>
      <c r="I130" s="261" t="b">
        <v>0</v>
      </c>
      <c r="J130" s="261" t="b">
        <v>0</v>
      </c>
      <c r="K130" s="261" t="b">
        <v>0</v>
      </c>
      <c r="L130" s="23"/>
      <c r="M130" s="23">
        <f t="shared" si="5"/>
        <v>0</v>
      </c>
      <c r="N130" s="264">
        <f t="shared" si="6"/>
        <v>0</v>
      </c>
    </row>
    <row r="131" spans="2:14" x14ac:dyDescent="0.2">
      <c r="B131" s="23"/>
      <c r="C131" s="23"/>
      <c r="D131" s="22"/>
      <c r="E131" s="22"/>
      <c r="F131" s="22"/>
      <c r="G131" s="23"/>
      <c r="H131" s="23"/>
      <c r="I131" s="261" t="b">
        <v>0</v>
      </c>
      <c r="J131" s="261" t="b">
        <v>0</v>
      </c>
      <c r="K131" s="261" t="b">
        <v>0</v>
      </c>
      <c r="L131" s="23"/>
      <c r="M131" s="23">
        <f t="shared" si="5"/>
        <v>0</v>
      </c>
      <c r="N131" s="264">
        <f t="shared" si="6"/>
        <v>0</v>
      </c>
    </row>
    <row r="132" spans="2:14" x14ac:dyDescent="0.2">
      <c r="B132" s="23"/>
      <c r="C132" s="23"/>
      <c r="D132" s="22"/>
      <c r="E132" s="22"/>
      <c r="F132" s="22"/>
      <c r="G132" s="23"/>
      <c r="H132" s="23"/>
      <c r="I132" s="261" t="b">
        <v>0</v>
      </c>
      <c r="J132" s="261" t="b">
        <v>0</v>
      </c>
      <c r="K132" s="261" t="b">
        <v>0</v>
      </c>
      <c r="L132" s="23"/>
      <c r="M132" s="23">
        <f t="shared" si="5"/>
        <v>0</v>
      </c>
      <c r="N132" s="264">
        <f t="shared" si="6"/>
        <v>0</v>
      </c>
    </row>
    <row r="133" spans="2:14" x14ac:dyDescent="0.2">
      <c r="B133" s="23"/>
      <c r="C133" s="23"/>
      <c r="D133" s="22"/>
      <c r="E133" s="22"/>
      <c r="F133" s="22"/>
      <c r="G133" s="23"/>
      <c r="H133" s="23"/>
      <c r="I133" s="261" t="b">
        <v>0</v>
      </c>
      <c r="J133" s="261" t="b">
        <v>0</v>
      </c>
      <c r="K133" s="261" t="b">
        <v>0</v>
      </c>
      <c r="L133" s="23"/>
      <c r="M133" s="23">
        <f t="shared" si="5"/>
        <v>0</v>
      </c>
      <c r="N133" s="264">
        <f t="shared" si="6"/>
        <v>0</v>
      </c>
    </row>
    <row r="134" spans="2:14" x14ac:dyDescent="0.2">
      <c r="B134" s="23"/>
      <c r="C134" s="23"/>
      <c r="D134" s="22"/>
      <c r="E134" s="22"/>
      <c r="F134" s="22"/>
      <c r="G134" s="23"/>
      <c r="H134" s="23"/>
      <c r="I134" s="261" t="b">
        <v>0</v>
      </c>
      <c r="J134" s="261" t="b">
        <v>0</v>
      </c>
      <c r="K134" s="261" t="b">
        <v>0</v>
      </c>
      <c r="L134" s="23"/>
      <c r="M134" s="23">
        <f t="shared" si="5"/>
        <v>0</v>
      </c>
      <c r="N134" s="264">
        <f t="shared" si="6"/>
        <v>0</v>
      </c>
    </row>
    <row r="135" spans="2:14" x14ac:dyDescent="0.2">
      <c r="B135" s="23"/>
      <c r="C135" s="23"/>
      <c r="D135" s="22"/>
      <c r="E135" s="22"/>
      <c r="F135" s="22"/>
      <c r="G135" s="23"/>
      <c r="H135" s="23"/>
      <c r="I135" s="261" t="b">
        <v>0</v>
      </c>
      <c r="J135" s="261" t="b">
        <v>0</v>
      </c>
      <c r="K135" s="261" t="b">
        <v>0</v>
      </c>
      <c r="L135" s="23"/>
      <c r="M135" s="23">
        <f t="shared" si="5"/>
        <v>0</v>
      </c>
      <c r="N135" s="264">
        <f t="shared" si="6"/>
        <v>0</v>
      </c>
    </row>
    <row r="136" spans="2:14" x14ac:dyDescent="0.2">
      <c r="B136" s="23"/>
      <c r="C136" s="23"/>
      <c r="D136" s="22"/>
      <c r="E136" s="22"/>
      <c r="F136" s="22"/>
      <c r="G136" s="23"/>
      <c r="H136" s="23"/>
      <c r="I136" s="261" t="b">
        <v>0</v>
      </c>
      <c r="J136" s="261" t="b">
        <v>0</v>
      </c>
      <c r="K136" s="261" t="b">
        <v>0</v>
      </c>
      <c r="L136" s="23"/>
      <c r="M136" s="23">
        <f t="shared" si="5"/>
        <v>0</v>
      </c>
      <c r="N136" s="264">
        <f t="shared" si="6"/>
        <v>0</v>
      </c>
    </row>
    <row r="137" spans="2:14" x14ac:dyDescent="0.2">
      <c r="B137" s="23"/>
      <c r="C137" s="23"/>
      <c r="D137" s="22"/>
      <c r="E137" s="22"/>
      <c r="F137" s="22"/>
      <c r="G137" s="23"/>
      <c r="H137" s="23"/>
      <c r="I137" s="261" t="b">
        <v>0</v>
      </c>
      <c r="J137" s="261" t="b">
        <v>0</v>
      </c>
      <c r="K137" s="261" t="b">
        <v>0</v>
      </c>
      <c r="L137" s="23"/>
      <c r="M137" s="23">
        <f t="shared" si="5"/>
        <v>0</v>
      </c>
      <c r="N137" s="264">
        <f t="shared" si="6"/>
        <v>0</v>
      </c>
    </row>
    <row r="138" spans="2:14" x14ac:dyDescent="0.2">
      <c r="B138" s="23"/>
      <c r="C138" s="23"/>
      <c r="D138" s="22"/>
      <c r="E138" s="22"/>
      <c r="F138" s="22"/>
      <c r="G138" s="23"/>
      <c r="H138" s="23"/>
      <c r="I138" s="261" t="b">
        <v>0</v>
      </c>
      <c r="J138" s="261" t="b">
        <v>0</v>
      </c>
      <c r="K138" s="261" t="b">
        <v>0</v>
      </c>
      <c r="L138" s="23"/>
      <c r="M138" s="23">
        <f t="shared" si="5"/>
        <v>0</v>
      </c>
      <c r="N138" s="264">
        <f t="shared" si="6"/>
        <v>0</v>
      </c>
    </row>
    <row r="139" spans="2:14" x14ac:dyDescent="0.2">
      <c r="B139" s="23"/>
      <c r="C139" s="23"/>
      <c r="D139" s="22"/>
      <c r="E139" s="22"/>
      <c r="F139" s="22"/>
      <c r="G139" s="23"/>
      <c r="H139" s="23"/>
      <c r="I139" s="261" t="b">
        <v>0</v>
      </c>
      <c r="J139" s="261" t="b">
        <v>0</v>
      </c>
      <c r="K139" s="261" t="b">
        <v>0</v>
      </c>
      <c r="L139" s="23"/>
      <c r="M139" s="23">
        <f t="shared" si="5"/>
        <v>0</v>
      </c>
      <c r="N139" s="264">
        <f t="shared" si="6"/>
        <v>0</v>
      </c>
    </row>
    <row r="140" spans="2:14" x14ac:dyDescent="0.2">
      <c r="B140" s="23"/>
      <c r="C140" s="23"/>
      <c r="D140" s="22"/>
      <c r="E140" s="22"/>
      <c r="F140" s="22"/>
      <c r="G140" s="23"/>
      <c r="H140" s="23"/>
      <c r="I140" s="261" t="b">
        <v>0</v>
      </c>
      <c r="J140" s="261" t="b">
        <v>0</v>
      </c>
      <c r="K140" s="261" t="b">
        <v>0</v>
      </c>
      <c r="L140" s="23"/>
      <c r="M140" s="23">
        <f t="shared" si="5"/>
        <v>0</v>
      </c>
      <c r="N140" s="264">
        <f t="shared" si="6"/>
        <v>0</v>
      </c>
    </row>
    <row r="141" spans="2:14" x14ac:dyDescent="0.2">
      <c r="B141" s="23"/>
      <c r="C141" s="23"/>
      <c r="D141" s="22"/>
      <c r="E141" s="22"/>
      <c r="F141" s="22"/>
      <c r="G141" s="23"/>
      <c r="H141" s="23"/>
      <c r="I141" s="261" t="b">
        <v>0</v>
      </c>
      <c r="J141" s="261" t="b">
        <v>0</v>
      </c>
      <c r="K141" s="261" t="b">
        <v>0</v>
      </c>
      <c r="L141" s="23"/>
      <c r="M141" s="23">
        <f t="shared" si="5"/>
        <v>0</v>
      </c>
      <c r="N141" s="264">
        <f t="shared" si="6"/>
        <v>0</v>
      </c>
    </row>
    <row r="142" spans="2:14" x14ac:dyDescent="0.2">
      <c r="B142" s="23"/>
      <c r="C142" s="23"/>
      <c r="D142" s="22"/>
      <c r="E142" s="22"/>
      <c r="F142" s="22"/>
      <c r="G142" s="23"/>
      <c r="H142" s="23"/>
      <c r="I142" s="261" t="b">
        <v>0</v>
      </c>
      <c r="J142" s="261" t="b">
        <v>0</v>
      </c>
      <c r="K142" s="261" t="b">
        <v>0</v>
      </c>
      <c r="L142" s="23"/>
      <c r="M142" s="23">
        <f t="shared" si="5"/>
        <v>0</v>
      </c>
      <c r="N142" s="264">
        <f t="shared" si="6"/>
        <v>0</v>
      </c>
    </row>
    <row r="143" spans="2:14" x14ac:dyDescent="0.2">
      <c r="B143" s="23"/>
      <c r="C143" s="23"/>
      <c r="D143" s="22"/>
      <c r="E143" s="22"/>
      <c r="F143" s="22"/>
      <c r="G143" s="23"/>
      <c r="H143" s="23"/>
      <c r="I143" s="261" t="b">
        <v>0</v>
      </c>
      <c r="J143" s="261" t="b">
        <v>0</v>
      </c>
      <c r="K143" s="261" t="b">
        <v>0</v>
      </c>
      <c r="L143" s="23"/>
      <c r="M143" s="23">
        <f t="shared" si="5"/>
        <v>0</v>
      </c>
      <c r="N143" s="264">
        <f t="shared" si="6"/>
        <v>0</v>
      </c>
    </row>
    <row r="144" spans="2:14" x14ac:dyDescent="0.2">
      <c r="B144" s="23"/>
      <c r="C144" s="23"/>
      <c r="D144" s="22"/>
      <c r="E144" s="22"/>
      <c r="F144" s="22"/>
      <c r="G144" s="23"/>
      <c r="H144" s="23"/>
      <c r="I144" s="261" t="b">
        <v>0</v>
      </c>
      <c r="J144" s="261" t="b">
        <v>0</v>
      </c>
      <c r="K144" s="261" t="b">
        <v>0</v>
      </c>
      <c r="L144" s="23"/>
      <c r="M144" s="23">
        <f t="shared" si="5"/>
        <v>0</v>
      </c>
      <c r="N144" s="264">
        <f t="shared" si="6"/>
        <v>0</v>
      </c>
    </row>
    <row r="145" spans="2:14" x14ac:dyDescent="0.2">
      <c r="B145" s="23"/>
      <c r="C145" s="23"/>
      <c r="D145" s="22"/>
      <c r="E145" s="22"/>
      <c r="F145" s="22"/>
      <c r="G145" s="23"/>
      <c r="H145" s="23"/>
      <c r="I145" s="261" t="b">
        <v>0</v>
      </c>
      <c r="J145" s="261" t="b">
        <v>0</v>
      </c>
      <c r="K145" s="261" t="b">
        <v>0</v>
      </c>
      <c r="L145" s="23"/>
      <c r="M145" s="23">
        <f t="shared" si="5"/>
        <v>0</v>
      </c>
      <c r="N145" s="264">
        <f t="shared" si="6"/>
        <v>0</v>
      </c>
    </row>
    <row r="146" spans="2:14" x14ac:dyDescent="0.2">
      <c r="B146" s="23"/>
      <c r="C146" s="23"/>
      <c r="D146" s="22"/>
      <c r="E146" s="22"/>
      <c r="F146" s="22"/>
      <c r="G146" s="23"/>
      <c r="H146" s="23"/>
      <c r="I146" s="261" t="b">
        <v>0</v>
      </c>
      <c r="J146" s="261" t="b">
        <v>0</v>
      </c>
      <c r="K146" s="261" t="b">
        <v>0</v>
      </c>
      <c r="L146" s="23"/>
      <c r="M146" s="23">
        <f t="shared" si="5"/>
        <v>0</v>
      </c>
      <c r="N146" s="264">
        <f t="shared" si="6"/>
        <v>0</v>
      </c>
    </row>
    <row r="147" spans="2:14" x14ac:dyDescent="0.2">
      <c r="B147" s="23"/>
      <c r="C147" s="23"/>
      <c r="D147" s="22"/>
      <c r="E147" s="22"/>
      <c r="F147" s="22"/>
      <c r="G147" s="23"/>
      <c r="H147" s="23"/>
      <c r="I147" s="261" t="b">
        <v>0</v>
      </c>
      <c r="J147" s="261" t="b">
        <v>0</v>
      </c>
      <c r="K147" s="261" t="b">
        <v>0</v>
      </c>
      <c r="L147" s="23"/>
      <c r="M147" s="23">
        <f t="shared" si="5"/>
        <v>0</v>
      </c>
      <c r="N147" s="264">
        <f t="shared" si="6"/>
        <v>0</v>
      </c>
    </row>
    <row r="148" spans="2:14" x14ac:dyDescent="0.2">
      <c r="B148" s="23"/>
      <c r="C148" s="23"/>
      <c r="D148" s="22"/>
      <c r="E148" s="22"/>
      <c r="F148" s="22"/>
      <c r="G148" s="23"/>
      <c r="H148" s="23"/>
      <c r="I148" s="261" t="b">
        <v>0</v>
      </c>
      <c r="J148" s="261" t="b">
        <v>0</v>
      </c>
      <c r="K148" s="261" t="b">
        <v>0</v>
      </c>
      <c r="L148" s="23"/>
      <c r="M148" s="23">
        <f t="shared" si="5"/>
        <v>0</v>
      </c>
      <c r="N148" s="264">
        <f t="shared" si="6"/>
        <v>0</v>
      </c>
    </row>
    <row r="149" spans="2:14" x14ac:dyDescent="0.2">
      <c r="B149" s="23"/>
      <c r="C149" s="23"/>
      <c r="D149" s="23"/>
      <c r="E149" s="23"/>
      <c r="F149" s="23"/>
      <c r="G149" s="23"/>
      <c r="H149" s="23"/>
      <c r="I149" s="261" t="b">
        <v>0</v>
      </c>
      <c r="J149" s="261" t="b">
        <v>0</v>
      </c>
      <c r="K149" s="261" t="b">
        <v>0</v>
      </c>
      <c r="L149" s="23"/>
      <c r="M149" s="23">
        <f t="shared" si="5"/>
        <v>0</v>
      </c>
      <c r="N149" s="264">
        <f t="shared" si="6"/>
        <v>0</v>
      </c>
    </row>
    <row r="150" spans="2:14" x14ac:dyDescent="0.2">
      <c r="B150" s="23"/>
      <c r="C150" s="23"/>
      <c r="D150" s="23"/>
      <c r="E150" s="23"/>
      <c r="F150" s="23"/>
      <c r="G150" s="23"/>
      <c r="H150" s="23"/>
      <c r="I150" s="261" t="b">
        <v>0</v>
      </c>
      <c r="J150" s="261" t="b">
        <v>0</v>
      </c>
      <c r="K150" s="261" t="b">
        <v>0</v>
      </c>
      <c r="L150" s="23"/>
      <c r="M150" s="23"/>
      <c r="N150" s="264"/>
    </row>
    <row r="151" spans="2:14" x14ac:dyDescent="0.2">
      <c r="B151" s="23"/>
      <c r="C151" s="23"/>
      <c r="D151" s="23"/>
      <c r="E151" s="23"/>
      <c r="F151" s="23"/>
      <c r="G151" s="23"/>
      <c r="H151" s="23"/>
      <c r="I151" s="261" t="b">
        <v>0</v>
      </c>
      <c r="J151" s="261" t="b">
        <v>0</v>
      </c>
      <c r="K151" s="261" t="b">
        <v>0</v>
      </c>
      <c r="L151" s="23"/>
      <c r="M151" s="23">
        <f>SUM(M50:M150)</f>
        <v>104</v>
      </c>
      <c r="N151" s="264">
        <f>SUM(N50:N149)</f>
        <v>12480</v>
      </c>
    </row>
  </sheetData>
  <mergeCells count="13">
    <mergeCell ref="J25:K25"/>
    <mergeCell ref="B46:N46"/>
    <mergeCell ref="I48:K48"/>
    <mergeCell ref="L48:N48"/>
    <mergeCell ref="Q23:S23"/>
    <mergeCell ref="C24:D24"/>
    <mergeCell ref="B3:I3"/>
    <mergeCell ref="J3:Q3"/>
    <mergeCell ref="C22:G22"/>
    <mergeCell ref="J22:K22"/>
    <mergeCell ref="M22:T22"/>
    <mergeCell ref="E24:F24"/>
    <mergeCell ref="G24:H2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Z113"/>
  <sheetViews>
    <sheetView workbookViewId="0"/>
  </sheetViews>
  <sheetFormatPr defaultColWidth="11.21875" defaultRowHeight="15" customHeight="1" x14ac:dyDescent="0.2"/>
  <cols>
    <col min="1" max="1" width="15.4140625" customWidth="1"/>
    <col min="2" max="2" width="13.31640625" customWidth="1"/>
    <col min="57" max="57" width="13.19140625" customWidth="1"/>
    <col min="58" max="58" width="12.08203125" customWidth="1"/>
  </cols>
  <sheetData>
    <row r="1" spans="1:67" x14ac:dyDescent="0.2">
      <c r="A1" s="578" t="s">
        <v>934</v>
      </c>
      <c r="B1" s="537"/>
      <c r="C1" s="537"/>
      <c r="D1" s="537"/>
      <c r="E1" s="537"/>
      <c r="F1" s="537"/>
      <c r="G1" s="537"/>
      <c r="H1" s="53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71"/>
      <c r="AE1" s="271"/>
      <c r="AF1" s="271"/>
      <c r="AG1" s="271"/>
      <c r="AH1" s="271"/>
      <c r="AI1" s="271"/>
      <c r="AJ1" s="271"/>
      <c r="AK1" s="271"/>
      <c r="AL1" s="271"/>
      <c r="AM1" s="271"/>
      <c r="AN1" s="271"/>
      <c r="AO1" s="271"/>
      <c r="AP1" s="271"/>
      <c r="AQ1" s="271"/>
      <c r="AR1" s="271"/>
      <c r="AS1" s="271"/>
      <c r="AT1" s="271"/>
      <c r="AU1" s="271"/>
      <c r="AV1" s="271"/>
      <c r="AW1" s="271"/>
      <c r="AX1" s="271"/>
      <c r="AY1" s="271"/>
      <c r="AZ1" s="271"/>
      <c r="BA1" s="271"/>
      <c r="BB1" s="271"/>
      <c r="BC1" s="271"/>
      <c r="BD1" s="271"/>
      <c r="BE1" s="271"/>
      <c r="BF1" s="271"/>
      <c r="BG1" s="271"/>
      <c r="BH1" s="91"/>
      <c r="BI1" s="91"/>
      <c r="BJ1" s="91"/>
      <c r="BK1" s="91"/>
      <c r="BL1" s="91"/>
      <c r="BM1" s="91"/>
      <c r="BN1" s="91"/>
      <c r="BO1" s="91"/>
    </row>
    <row r="2" spans="1:67" x14ac:dyDescent="0.2">
      <c r="A2" s="78" t="s">
        <v>200</v>
      </c>
      <c r="B2" s="78"/>
      <c r="C2" s="79" t="s">
        <v>119</v>
      </c>
      <c r="D2" s="79" t="s">
        <v>202</v>
      </c>
      <c r="E2" s="79" t="s">
        <v>121</v>
      </c>
      <c r="F2" s="79" t="s">
        <v>935</v>
      </c>
      <c r="G2" s="79" t="s">
        <v>203</v>
      </c>
      <c r="H2" s="79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</row>
    <row r="3" spans="1:67" x14ac:dyDescent="0.2">
      <c r="A3" s="97" t="s">
        <v>291</v>
      </c>
      <c r="B3" s="97"/>
      <c r="C3" s="98" t="b">
        <v>0</v>
      </c>
      <c r="D3" s="99" t="b">
        <v>0</v>
      </c>
      <c r="E3" s="98" t="b">
        <v>0</v>
      </c>
      <c r="F3" s="98" t="b">
        <v>0</v>
      </c>
      <c r="G3" s="98" t="b">
        <v>0</v>
      </c>
      <c r="H3" s="98" t="b">
        <v>0</v>
      </c>
      <c r="I3" s="39"/>
      <c r="J3" s="39"/>
      <c r="K3" s="39"/>
      <c r="L3" s="39"/>
      <c r="M3" s="39"/>
      <c r="N3" s="39"/>
      <c r="O3" s="39"/>
      <c r="P3" s="39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</row>
    <row r="4" spans="1:67" x14ac:dyDescent="0.2">
      <c r="A4" s="252" t="s">
        <v>936</v>
      </c>
      <c r="B4" s="103"/>
      <c r="C4" s="83" t="b">
        <v>0</v>
      </c>
      <c r="D4" s="84" t="b">
        <v>0</v>
      </c>
      <c r="E4" s="83" t="b">
        <v>0</v>
      </c>
      <c r="F4" s="85" t="b">
        <v>0</v>
      </c>
      <c r="G4" s="85" t="b">
        <v>0</v>
      </c>
      <c r="H4" s="85" t="b">
        <v>0</v>
      </c>
      <c r="I4" s="39"/>
      <c r="J4" s="39"/>
      <c r="K4" s="39"/>
      <c r="L4" s="39"/>
      <c r="M4" s="39"/>
      <c r="N4" s="39"/>
      <c r="O4" s="39"/>
      <c r="P4" s="39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</row>
    <row r="5" spans="1:67" x14ac:dyDescent="0.2">
      <c r="A5" s="252" t="s">
        <v>54</v>
      </c>
      <c r="B5" s="103"/>
      <c r="C5" s="83" t="b">
        <v>0</v>
      </c>
      <c r="D5" s="84" t="b">
        <v>0</v>
      </c>
      <c r="E5" s="83" t="b">
        <v>0</v>
      </c>
      <c r="F5" s="85" t="b">
        <v>0</v>
      </c>
      <c r="G5" s="85" t="b">
        <v>0</v>
      </c>
      <c r="H5" s="85" t="b">
        <v>0</v>
      </c>
      <c r="I5" s="39"/>
      <c r="J5" s="39"/>
      <c r="K5" s="39"/>
      <c r="L5" s="39"/>
      <c r="M5" s="39"/>
      <c r="N5" s="39"/>
      <c r="O5" s="39"/>
      <c r="P5" s="39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</row>
    <row r="6" spans="1:67" x14ac:dyDescent="0.2">
      <c r="A6" s="252" t="s">
        <v>937</v>
      </c>
      <c r="B6" s="103"/>
      <c r="C6" s="83" t="b">
        <v>0</v>
      </c>
      <c r="D6" s="84" t="b">
        <v>0</v>
      </c>
      <c r="E6" s="83" t="b">
        <v>0</v>
      </c>
      <c r="F6" s="85" t="b">
        <v>0</v>
      </c>
      <c r="G6" s="85" t="b">
        <v>0</v>
      </c>
      <c r="H6" s="85" t="b">
        <v>0</v>
      </c>
      <c r="I6" s="39"/>
      <c r="J6" s="39"/>
      <c r="K6" s="39"/>
      <c r="L6" s="39"/>
      <c r="M6" s="39"/>
      <c r="N6" s="39"/>
      <c r="O6" s="39"/>
      <c r="P6" s="39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</row>
    <row r="7" spans="1:67" x14ac:dyDescent="0.2">
      <c r="A7" s="252" t="s">
        <v>35</v>
      </c>
      <c r="B7" s="103"/>
      <c r="C7" s="83" t="b">
        <v>0</v>
      </c>
      <c r="D7" s="84" t="b">
        <v>0</v>
      </c>
      <c r="E7" s="83" t="b">
        <v>0</v>
      </c>
      <c r="F7" s="85" t="b">
        <v>0</v>
      </c>
      <c r="G7" s="85" t="b">
        <v>0</v>
      </c>
      <c r="H7" s="85" t="b">
        <v>0</v>
      </c>
      <c r="I7" s="39"/>
      <c r="J7" s="39"/>
      <c r="K7" s="39"/>
      <c r="L7" s="39"/>
      <c r="M7" s="39"/>
      <c r="N7" s="39"/>
      <c r="O7" s="39"/>
      <c r="P7" s="39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</row>
    <row r="8" spans="1:67" x14ac:dyDescent="0.2">
      <c r="A8" s="252" t="s">
        <v>215</v>
      </c>
      <c r="B8" s="103"/>
      <c r="C8" s="83" t="b">
        <v>0</v>
      </c>
      <c r="D8" s="84" t="b">
        <v>0</v>
      </c>
      <c r="E8" s="83" t="b">
        <v>0</v>
      </c>
      <c r="F8" s="85" t="b">
        <v>0</v>
      </c>
      <c r="G8" s="85" t="b">
        <v>0</v>
      </c>
      <c r="H8" s="85" t="b">
        <v>0</v>
      </c>
      <c r="I8" s="39"/>
      <c r="J8" s="39"/>
      <c r="K8" s="39"/>
      <c r="L8" s="39"/>
      <c r="M8" s="39"/>
      <c r="N8" s="39"/>
      <c r="O8" s="39"/>
      <c r="P8" s="39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</row>
    <row r="9" spans="1:67" x14ac:dyDescent="0.2">
      <c r="A9" s="252" t="s">
        <v>210</v>
      </c>
      <c r="B9" s="103"/>
      <c r="C9" s="83" t="b">
        <v>0</v>
      </c>
      <c r="D9" s="84" t="b">
        <v>0</v>
      </c>
      <c r="E9" s="83" t="b">
        <v>0</v>
      </c>
      <c r="F9" s="85" t="b">
        <v>0</v>
      </c>
      <c r="G9" s="85" t="b">
        <v>0</v>
      </c>
      <c r="H9" s="85" t="b">
        <v>0</v>
      </c>
      <c r="I9" s="39"/>
      <c r="J9" s="39"/>
      <c r="K9" s="39"/>
      <c r="L9" s="39"/>
      <c r="M9" s="39"/>
      <c r="N9" s="39"/>
      <c r="O9" s="39"/>
      <c r="P9" s="39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</row>
    <row r="10" spans="1:67" x14ac:dyDescent="0.2">
      <c r="A10" s="252" t="s">
        <v>938</v>
      </c>
      <c r="B10" s="103"/>
      <c r="C10" s="83" t="b">
        <v>0</v>
      </c>
      <c r="D10" s="84" t="b">
        <v>0</v>
      </c>
      <c r="E10" s="83" t="b">
        <v>0</v>
      </c>
      <c r="F10" s="83" t="b">
        <v>0</v>
      </c>
      <c r="G10" s="83" t="b">
        <v>0</v>
      </c>
      <c r="H10" s="83" t="b">
        <v>0</v>
      </c>
      <c r="I10" s="92"/>
      <c r="J10" s="92"/>
      <c r="K10" s="91"/>
      <c r="L10" s="91"/>
      <c r="M10" s="91"/>
      <c r="N10" s="91"/>
      <c r="O10" s="92"/>
      <c r="P10" s="92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</row>
    <row r="11" spans="1:67" x14ac:dyDescent="0.2">
      <c r="A11" s="252" t="s">
        <v>939</v>
      </c>
      <c r="B11" s="23"/>
      <c r="C11" s="83" t="b">
        <v>0</v>
      </c>
      <c r="D11" s="84" t="b">
        <v>0</v>
      </c>
      <c r="E11" s="83" t="b">
        <v>0</v>
      </c>
      <c r="F11" s="83" t="b">
        <v>0</v>
      </c>
      <c r="G11" s="83" t="b">
        <v>0</v>
      </c>
      <c r="H11" s="83" t="b">
        <v>0</v>
      </c>
      <c r="I11" s="92"/>
      <c r="J11" s="92"/>
      <c r="K11" s="91"/>
      <c r="L11" s="91"/>
      <c r="M11" s="91"/>
      <c r="N11" s="91"/>
      <c r="O11" s="92"/>
      <c r="P11" s="92"/>
    </row>
    <row r="14" spans="1:67" x14ac:dyDescent="0.2">
      <c r="A14" s="576" t="s">
        <v>504</v>
      </c>
      <c r="B14" s="546"/>
      <c r="C14" s="579">
        <v>45833</v>
      </c>
      <c r="D14" s="531"/>
      <c r="E14" s="579">
        <v>45834</v>
      </c>
      <c r="F14" s="531"/>
      <c r="G14" s="579">
        <v>45835</v>
      </c>
      <c r="H14" s="531"/>
      <c r="I14" s="579">
        <v>45836</v>
      </c>
      <c r="J14" s="531"/>
      <c r="K14" s="579">
        <v>45837</v>
      </c>
      <c r="L14" s="531"/>
      <c r="M14" s="579">
        <v>45839</v>
      </c>
      <c r="N14" s="531"/>
      <c r="O14" s="579">
        <v>45840</v>
      </c>
      <c r="P14" s="531"/>
      <c r="Q14" s="579">
        <v>45841</v>
      </c>
      <c r="R14" s="531"/>
      <c r="S14" s="579">
        <v>45842</v>
      </c>
      <c r="T14" s="531"/>
      <c r="U14" s="579">
        <v>45843</v>
      </c>
      <c r="V14" s="531"/>
      <c r="W14" s="579">
        <v>45845</v>
      </c>
      <c r="X14" s="531"/>
      <c r="Y14" s="579">
        <v>45846</v>
      </c>
      <c r="Z14" s="531"/>
      <c r="AA14" s="579">
        <v>45847</v>
      </c>
      <c r="AB14" s="531"/>
      <c r="AC14" s="579">
        <v>45848</v>
      </c>
      <c r="AD14" s="531"/>
      <c r="AE14" s="579">
        <v>45849</v>
      </c>
      <c r="AF14" s="531"/>
      <c r="AG14" s="579">
        <v>45850</v>
      </c>
      <c r="AH14" s="531"/>
      <c r="AI14" s="579">
        <v>45851</v>
      </c>
      <c r="AJ14" s="531"/>
      <c r="AK14" s="579">
        <v>45854</v>
      </c>
      <c r="AL14" s="531"/>
      <c r="AM14" s="579">
        <v>45855</v>
      </c>
      <c r="AN14" s="531"/>
      <c r="AO14" s="579">
        <v>45856</v>
      </c>
      <c r="AP14" s="531"/>
      <c r="AQ14" s="579">
        <v>45857</v>
      </c>
      <c r="AR14" s="531"/>
      <c r="AS14" s="579">
        <v>45858</v>
      </c>
      <c r="AT14" s="531"/>
      <c r="AU14" s="579">
        <v>45860</v>
      </c>
      <c r="AV14" s="531"/>
      <c r="AW14" s="579">
        <v>45861</v>
      </c>
      <c r="AX14" s="531"/>
      <c r="AY14" s="579">
        <v>45862</v>
      </c>
      <c r="AZ14" s="531"/>
      <c r="BA14" s="579">
        <v>45863</v>
      </c>
      <c r="BB14" s="531"/>
      <c r="BC14" s="579">
        <v>45864</v>
      </c>
      <c r="BD14" s="531"/>
      <c r="BE14" s="579">
        <v>45865</v>
      </c>
      <c r="BF14" s="531"/>
      <c r="BG14" s="581"/>
      <c r="BH14" s="546"/>
      <c r="BI14" s="171"/>
      <c r="BJ14" s="171"/>
    </row>
    <row r="15" spans="1:67" x14ac:dyDescent="0.2">
      <c r="A15" s="584"/>
      <c r="B15" s="535"/>
      <c r="C15" s="580" t="s">
        <v>940</v>
      </c>
      <c r="D15" s="531"/>
      <c r="E15" s="580" t="s">
        <v>941</v>
      </c>
      <c r="F15" s="531"/>
      <c r="G15" s="580" t="s">
        <v>942</v>
      </c>
      <c r="H15" s="531"/>
      <c r="I15" s="580" t="s">
        <v>943</v>
      </c>
      <c r="J15" s="531"/>
      <c r="K15" s="580" t="s">
        <v>944</v>
      </c>
      <c r="L15" s="531"/>
      <c r="M15" s="580" t="s">
        <v>945</v>
      </c>
      <c r="N15" s="531"/>
      <c r="O15" s="580" t="s">
        <v>945</v>
      </c>
      <c r="P15" s="531"/>
      <c r="Q15" s="580" t="s">
        <v>946</v>
      </c>
      <c r="R15" s="531"/>
      <c r="S15" s="580" t="s">
        <v>947</v>
      </c>
      <c r="T15" s="531"/>
      <c r="U15" s="580" t="s">
        <v>948</v>
      </c>
      <c r="V15" s="531"/>
      <c r="W15" s="580" t="s">
        <v>949</v>
      </c>
      <c r="X15" s="531"/>
      <c r="Y15" s="580" t="s">
        <v>949</v>
      </c>
      <c r="Z15" s="531"/>
      <c r="AA15" s="580" t="s">
        <v>949</v>
      </c>
      <c r="AB15" s="531"/>
      <c r="AC15" s="580" t="s">
        <v>950</v>
      </c>
      <c r="AD15" s="531"/>
      <c r="AE15" s="580" t="s">
        <v>951</v>
      </c>
      <c r="AF15" s="531"/>
      <c r="AG15" s="580" t="s">
        <v>952</v>
      </c>
      <c r="AH15" s="531"/>
      <c r="AI15" s="580" t="s">
        <v>953</v>
      </c>
      <c r="AJ15" s="531"/>
      <c r="AK15" s="580" t="s">
        <v>954</v>
      </c>
      <c r="AL15" s="531"/>
      <c r="AM15" s="580" t="s">
        <v>955</v>
      </c>
      <c r="AN15" s="531"/>
      <c r="AO15" s="580" t="s">
        <v>956</v>
      </c>
      <c r="AP15" s="531"/>
      <c r="AQ15" s="580" t="s">
        <v>957</v>
      </c>
      <c r="AR15" s="531"/>
      <c r="AS15" s="580" t="s">
        <v>958</v>
      </c>
      <c r="AT15" s="531"/>
      <c r="AU15" s="580" t="s">
        <v>959</v>
      </c>
      <c r="AV15" s="531"/>
      <c r="AW15" s="580" t="s">
        <v>960</v>
      </c>
      <c r="AX15" s="531"/>
      <c r="AY15" s="580" t="s">
        <v>954</v>
      </c>
      <c r="AZ15" s="531"/>
      <c r="BA15" s="580" t="s">
        <v>961</v>
      </c>
      <c r="BB15" s="531"/>
      <c r="BC15" s="580" t="s">
        <v>961</v>
      </c>
      <c r="BD15" s="531"/>
      <c r="BE15" s="580" t="s">
        <v>961</v>
      </c>
      <c r="BF15" s="531"/>
      <c r="BG15" s="547"/>
      <c r="BH15" s="549"/>
      <c r="BI15" s="171"/>
      <c r="BJ15" s="171"/>
    </row>
    <row r="16" spans="1:67" x14ac:dyDescent="0.2">
      <c r="A16" s="547"/>
      <c r="B16" s="549"/>
      <c r="C16" s="77" t="s">
        <v>151</v>
      </c>
      <c r="D16" s="77" t="s">
        <v>152</v>
      </c>
      <c r="E16" s="77" t="s">
        <v>151</v>
      </c>
      <c r="F16" s="77" t="s">
        <v>152</v>
      </c>
      <c r="G16" s="77" t="s">
        <v>151</v>
      </c>
      <c r="H16" s="77" t="s">
        <v>152</v>
      </c>
      <c r="I16" s="77" t="s">
        <v>151</v>
      </c>
      <c r="J16" s="77" t="s">
        <v>152</v>
      </c>
      <c r="K16" s="77" t="s">
        <v>151</v>
      </c>
      <c r="L16" s="77" t="s">
        <v>152</v>
      </c>
      <c r="M16" s="77" t="s">
        <v>151</v>
      </c>
      <c r="N16" s="77" t="s">
        <v>152</v>
      </c>
      <c r="O16" s="77" t="s">
        <v>151</v>
      </c>
      <c r="P16" s="77" t="s">
        <v>152</v>
      </c>
      <c r="Q16" s="77" t="s">
        <v>151</v>
      </c>
      <c r="R16" s="77" t="s">
        <v>152</v>
      </c>
      <c r="S16" s="77" t="s">
        <v>151</v>
      </c>
      <c r="T16" s="77" t="s">
        <v>152</v>
      </c>
      <c r="U16" s="77" t="s">
        <v>151</v>
      </c>
      <c r="V16" s="77" t="s">
        <v>152</v>
      </c>
      <c r="W16" s="77" t="s">
        <v>151</v>
      </c>
      <c r="X16" s="77" t="s">
        <v>152</v>
      </c>
      <c r="Y16" s="77" t="s">
        <v>151</v>
      </c>
      <c r="Z16" s="77" t="s">
        <v>152</v>
      </c>
      <c r="AA16" s="77" t="s">
        <v>151</v>
      </c>
      <c r="AB16" s="77" t="s">
        <v>152</v>
      </c>
      <c r="AC16" s="77" t="s">
        <v>151</v>
      </c>
      <c r="AD16" s="77" t="s">
        <v>152</v>
      </c>
      <c r="AE16" s="77" t="s">
        <v>151</v>
      </c>
      <c r="AF16" s="77" t="s">
        <v>152</v>
      </c>
      <c r="AG16" s="77" t="s">
        <v>151</v>
      </c>
      <c r="AH16" s="77" t="s">
        <v>152</v>
      </c>
      <c r="AI16" s="77" t="s">
        <v>151</v>
      </c>
      <c r="AJ16" s="77" t="s">
        <v>152</v>
      </c>
      <c r="AK16" s="77" t="s">
        <v>151</v>
      </c>
      <c r="AL16" s="77" t="s">
        <v>152</v>
      </c>
      <c r="AM16" s="77" t="s">
        <v>151</v>
      </c>
      <c r="AN16" s="77" t="s">
        <v>152</v>
      </c>
      <c r="AO16" s="77" t="s">
        <v>151</v>
      </c>
      <c r="AP16" s="77" t="s">
        <v>152</v>
      </c>
      <c r="AQ16" s="77" t="s">
        <v>151</v>
      </c>
      <c r="AR16" s="77" t="s">
        <v>152</v>
      </c>
      <c r="AS16" s="77" t="s">
        <v>151</v>
      </c>
      <c r="AT16" s="77" t="s">
        <v>152</v>
      </c>
      <c r="AU16" s="77" t="s">
        <v>151</v>
      </c>
      <c r="AV16" s="77" t="s">
        <v>152</v>
      </c>
      <c r="AW16" s="77" t="s">
        <v>151</v>
      </c>
      <c r="AX16" s="77" t="s">
        <v>152</v>
      </c>
      <c r="AY16" s="77" t="s">
        <v>151</v>
      </c>
      <c r="AZ16" s="77" t="s">
        <v>152</v>
      </c>
      <c r="BA16" s="77" t="s">
        <v>151</v>
      </c>
      <c r="BB16" s="77" t="s">
        <v>152</v>
      </c>
      <c r="BC16" s="77" t="s">
        <v>151</v>
      </c>
      <c r="BD16" s="77" t="s">
        <v>152</v>
      </c>
      <c r="BE16" s="77" t="s">
        <v>151</v>
      </c>
      <c r="BF16" s="77" t="s">
        <v>152</v>
      </c>
      <c r="BG16" s="77" t="s">
        <v>151</v>
      </c>
      <c r="BH16" s="77" t="s">
        <v>152</v>
      </c>
      <c r="BI16" s="164"/>
      <c r="BJ16" s="92"/>
    </row>
    <row r="17" spans="1:78" x14ac:dyDescent="0.2">
      <c r="A17" s="591" t="s">
        <v>936</v>
      </c>
      <c r="B17" s="531"/>
      <c r="C17" s="278">
        <v>360</v>
      </c>
      <c r="D17" s="278">
        <v>2980</v>
      </c>
      <c r="E17" s="279">
        <v>490</v>
      </c>
      <c r="F17" s="279">
        <v>2856</v>
      </c>
      <c r="G17" s="279"/>
      <c r="H17" s="279"/>
      <c r="I17" s="279"/>
      <c r="J17" s="279"/>
      <c r="K17" s="279"/>
      <c r="L17" s="279"/>
      <c r="M17" s="279"/>
      <c r="N17" s="279"/>
      <c r="O17" s="279"/>
      <c r="P17" s="279"/>
      <c r="Q17" s="279"/>
      <c r="R17" s="279"/>
      <c r="S17" s="279"/>
      <c r="T17" s="279"/>
      <c r="U17" s="279"/>
      <c r="V17" s="279"/>
      <c r="W17" s="279"/>
      <c r="X17" s="279"/>
      <c r="Y17" s="279"/>
      <c r="Z17" s="279"/>
      <c r="AA17" s="279"/>
      <c r="AB17" s="279"/>
      <c r="AC17" s="279"/>
      <c r="AD17" s="279"/>
      <c r="AE17" s="279"/>
      <c r="AF17" s="279"/>
      <c r="AG17" s="279"/>
      <c r="AH17" s="279"/>
      <c r="AI17" s="279"/>
      <c r="AJ17" s="279"/>
      <c r="AK17" s="279"/>
      <c r="AL17" s="279"/>
      <c r="AM17" s="279"/>
      <c r="AN17" s="279"/>
      <c r="AO17" s="279"/>
      <c r="AP17" s="279"/>
      <c r="AQ17" s="279"/>
      <c r="AR17" s="279"/>
      <c r="AS17" s="279"/>
      <c r="AT17" s="279"/>
      <c r="AU17" s="279"/>
      <c r="AV17" s="279"/>
      <c r="AW17" s="279"/>
      <c r="AX17" s="279"/>
      <c r="AY17" s="279"/>
      <c r="AZ17" s="279"/>
      <c r="BA17" s="279"/>
      <c r="BB17" s="279"/>
      <c r="BC17" s="279"/>
      <c r="BD17" s="279"/>
      <c r="BE17" s="279"/>
      <c r="BF17" s="279"/>
      <c r="BG17" s="280">
        <f t="shared" ref="BG17:BH17" si="0">SUM(C17, E17, G17, I17, K17, M17, O17, Q17, S17, U17, W17, Y17, AA17, AC17, AE17, AG17, AI17, AK17, AM17, AO17, AQ17, AS17, AU17, AW17, AY17, BA17, BC17, BE17)</f>
        <v>850</v>
      </c>
      <c r="BH17" s="280">
        <f t="shared" si="0"/>
        <v>5836</v>
      </c>
      <c r="BI17" s="281"/>
      <c r="BJ17" s="282"/>
      <c r="BK17" s="283"/>
      <c r="BL17" s="283"/>
      <c r="BM17" s="283"/>
      <c r="BN17" s="283"/>
      <c r="BO17" s="283"/>
      <c r="BP17" s="283"/>
      <c r="BQ17" s="283"/>
      <c r="BR17" s="283"/>
      <c r="BS17" s="283"/>
      <c r="BT17" s="283"/>
      <c r="BU17" s="283"/>
      <c r="BV17" s="283"/>
      <c r="BW17" s="283"/>
      <c r="BX17" s="283"/>
      <c r="BY17" s="283"/>
      <c r="BZ17" s="283"/>
    </row>
    <row r="18" spans="1:78" x14ac:dyDescent="0.2">
      <c r="A18" s="593" t="s">
        <v>54</v>
      </c>
      <c r="B18" s="531"/>
      <c r="C18" s="284">
        <v>790</v>
      </c>
      <c r="D18" s="284">
        <v>531</v>
      </c>
      <c r="E18" s="285">
        <v>510</v>
      </c>
      <c r="F18" s="285">
        <v>962</v>
      </c>
      <c r="G18" s="285"/>
      <c r="H18" s="285"/>
      <c r="I18" s="285"/>
      <c r="J18" s="285"/>
      <c r="K18" s="285"/>
      <c r="L18" s="285"/>
      <c r="M18" s="285"/>
      <c r="N18" s="285"/>
      <c r="O18" s="285"/>
      <c r="P18" s="285"/>
      <c r="Q18" s="285"/>
      <c r="R18" s="285"/>
      <c r="S18" s="285"/>
      <c r="T18" s="285"/>
      <c r="U18" s="285"/>
      <c r="V18" s="285"/>
      <c r="W18" s="285"/>
      <c r="X18" s="285"/>
      <c r="Y18" s="285"/>
      <c r="Z18" s="285"/>
      <c r="AA18" s="285"/>
      <c r="AB18" s="285"/>
      <c r="AC18" s="285"/>
      <c r="AD18" s="285"/>
      <c r="AE18" s="285"/>
      <c r="AF18" s="285"/>
      <c r="AG18" s="285"/>
      <c r="AH18" s="285"/>
      <c r="AI18" s="285"/>
      <c r="AJ18" s="285"/>
      <c r="AK18" s="285"/>
      <c r="AL18" s="285"/>
      <c r="AM18" s="285"/>
      <c r="AN18" s="285"/>
      <c r="AO18" s="285"/>
      <c r="AP18" s="285"/>
      <c r="AQ18" s="285"/>
      <c r="AR18" s="285"/>
      <c r="AS18" s="285"/>
      <c r="AT18" s="285"/>
      <c r="AU18" s="285"/>
      <c r="AV18" s="285"/>
      <c r="AW18" s="285"/>
      <c r="AX18" s="285"/>
      <c r="AY18" s="285"/>
      <c r="AZ18" s="285"/>
      <c r="BA18" s="285"/>
      <c r="BB18" s="285"/>
      <c r="BC18" s="285"/>
      <c r="BD18" s="285"/>
      <c r="BE18" s="285"/>
      <c r="BF18" s="285"/>
      <c r="BG18" s="286">
        <f t="shared" ref="BG18:BH18" si="1">SUM(C18, E18, G18, I18, K18, M18, O18, Q18, S18, U18, W18, Y18, AA18, AC18, AE18, AG18, AI18, AK18, AM18, AO18, AQ18, AS18, AU18, AW18, AY18, BA18, BC18, BE18)</f>
        <v>1300</v>
      </c>
      <c r="BH18" s="286">
        <f t="shared" si="1"/>
        <v>1493</v>
      </c>
      <c r="BI18" s="287"/>
      <c r="BJ18" s="288"/>
      <c r="BK18" s="289"/>
      <c r="BL18" s="289"/>
      <c r="BM18" s="289"/>
      <c r="BN18" s="289"/>
      <c r="BO18" s="289"/>
      <c r="BP18" s="289"/>
      <c r="BQ18" s="289"/>
      <c r="BR18" s="289"/>
      <c r="BS18" s="289"/>
      <c r="BT18" s="289"/>
      <c r="BU18" s="289"/>
      <c r="BV18" s="289"/>
      <c r="BW18" s="289"/>
      <c r="BX18" s="289"/>
      <c r="BY18" s="289"/>
      <c r="BZ18" s="289"/>
    </row>
    <row r="19" spans="1:78" x14ac:dyDescent="0.2">
      <c r="A19" s="594" t="s">
        <v>937</v>
      </c>
      <c r="B19" s="531"/>
      <c r="C19" s="290">
        <v>300</v>
      </c>
      <c r="D19" s="290">
        <v>1564</v>
      </c>
      <c r="E19" s="291">
        <v>390</v>
      </c>
      <c r="F19" s="291">
        <v>1600</v>
      </c>
      <c r="G19" s="291"/>
      <c r="H19" s="291"/>
      <c r="I19" s="291"/>
      <c r="J19" s="291"/>
      <c r="K19" s="291"/>
      <c r="L19" s="291"/>
      <c r="M19" s="291"/>
      <c r="N19" s="291"/>
      <c r="O19" s="291"/>
      <c r="P19" s="291"/>
      <c r="Q19" s="291"/>
      <c r="R19" s="291"/>
      <c r="S19" s="291"/>
      <c r="T19" s="291"/>
      <c r="U19" s="291"/>
      <c r="V19" s="291"/>
      <c r="W19" s="291"/>
      <c r="X19" s="291"/>
      <c r="Y19" s="291"/>
      <c r="Z19" s="291"/>
      <c r="AA19" s="291"/>
      <c r="AB19" s="291"/>
      <c r="AC19" s="291"/>
      <c r="AD19" s="291"/>
      <c r="AE19" s="291"/>
      <c r="AF19" s="291"/>
      <c r="AG19" s="291"/>
      <c r="AH19" s="291"/>
      <c r="AI19" s="291"/>
      <c r="AJ19" s="291"/>
      <c r="AK19" s="291"/>
      <c r="AL19" s="291"/>
      <c r="AM19" s="291"/>
      <c r="AN19" s="291"/>
      <c r="AO19" s="291"/>
      <c r="AP19" s="291"/>
      <c r="AQ19" s="291"/>
      <c r="AR19" s="291"/>
      <c r="AS19" s="291"/>
      <c r="AT19" s="291"/>
      <c r="AU19" s="291"/>
      <c r="AV19" s="291"/>
      <c r="AW19" s="291"/>
      <c r="AX19" s="291"/>
      <c r="AY19" s="291"/>
      <c r="AZ19" s="291"/>
      <c r="BA19" s="291"/>
      <c r="BB19" s="291"/>
      <c r="BC19" s="291"/>
      <c r="BD19" s="291"/>
      <c r="BE19" s="291"/>
      <c r="BF19" s="291"/>
      <c r="BG19" s="292">
        <f t="shared" ref="BG19:BH19" si="2">SUM(C19, E19, G19, I19, K19, M19, O19, Q19, S19, U19, W19, Y19, AA19, AC19, AE19, AG19, AI19, AK19, AM19, AO19, AQ19, AS19, AU19, AW19, AY19, BA19, BC19, BE19)</f>
        <v>690</v>
      </c>
      <c r="BH19" s="292">
        <f t="shared" si="2"/>
        <v>3164</v>
      </c>
      <c r="BI19" s="293"/>
      <c r="BJ19" s="294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96"/>
      <c r="BV19" s="96"/>
      <c r="BW19" s="96"/>
      <c r="BX19" s="96"/>
      <c r="BY19" s="96"/>
      <c r="BZ19" s="96"/>
    </row>
    <row r="20" spans="1:78" x14ac:dyDescent="0.2">
      <c r="A20" s="595" t="s">
        <v>35</v>
      </c>
      <c r="B20" s="531"/>
      <c r="C20" s="295">
        <v>250</v>
      </c>
      <c r="D20" s="295">
        <v>1080</v>
      </c>
      <c r="E20" s="296">
        <v>190</v>
      </c>
      <c r="F20" s="296">
        <v>1000</v>
      </c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96"/>
      <c r="AB20" s="296"/>
      <c r="AC20" s="296"/>
      <c r="AD20" s="296"/>
      <c r="AE20" s="296"/>
      <c r="AF20" s="296"/>
      <c r="AG20" s="296"/>
      <c r="AH20" s="296"/>
      <c r="AI20" s="296"/>
      <c r="AJ20" s="296"/>
      <c r="AK20" s="296"/>
      <c r="AL20" s="296"/>
      <c r="AM20" s="296"/>
      <c r="AN20" s="296"/>
      <c r="AO20" s="296"/>
      <c r="AP20" s="296"/>
      <c r="AQ20" s="296"/>
      <c r="AR20" s="296"/>
      <c r="AS20" s="296"/>
      <c r="AT20" s="296"/>
      <c r="AU20" s="296"/>
      <c r="AV20" s="296"/>
      <c r="AW20" s="296"/>
      <c r="AX20" s="296"/>
      <c r="AY20" s="296"/>
      <c r="AZ20" s="296"/>
      <c r="BA20" s="296"/>
      <c r="BB20" s="296"/>
      <c r="BC20" s="296"/>
      <c r="BD20" s="296"/>
      <c r="BE20" s="296"/>
      <c r="BF20" s="296"/>
      <c r="BG20" s="297">
        <f t="shared" ref="BG20:BH20" si="3">SUM(C20, E20, G20, I20, K20, M20, O20, Q20, S20, U20, W20, Y20, AA20, AC20, AE20, AG20, AI20, AK20, AM20, AO20, AQ20, AS20, AU20, AW20, AY20, BA20, BC20, BE20)</f>
        <v>440</v>
      </c>
      <c r="BH20" s="297">
        <f t="shared" si="3"/>
        <v>2080</v>
      </c>
      <c r="BI20" s="216"/>
      <c r="BJ20" s="298"/>
      <c r="BK20" s="299"/>
      <c r="BL20" s="299"/>
      <c r="BM20" s="299"/>
      <c r="BN20" s="299"/>
      <c r="BO20" s="299"/>
      <c r="BP20" s="299"/>
      <c r="BQ20" s="299"/>
      <c r="BR20" s="299"/>
      <c r="BS20" s="299"/>
      <c r="BT20" s="299"/>
      <c r="BU20" s="299"/>
      <c r="BV20" s="299"/>
      <c r="BW20" s="299"/>
      <c r="BX20" s="299"/>
      <c r="BY20" s="299"/>
      <c r="BZ20" s="299"/>
    </row>
    <row r="21" spans="1:78" x14ac:dyDescent="0.2">
      <c r="A21" s="596" t="s">
        <v>215</v>
      </c>
      <c r="B21" s="531"/>
      <c r="C21" s="300">
        <v>415</v>
      </c>
      <c r="D21" s="300">
        <v>2864</v>
      </c>
      <c r="E21" s="301">
        <v>580</v>
      </c>
      <c r="F21" s="301">
        <v>1609</v>
      </c>
      <c r="G21" s="301"/>
      <c r="H21" s="301"/>
      <c r="I21" s="301"/>
      <c r="J21" s="301"/>
      <c r="K21" s="301"/>
      <c r="L21" s="301"/>
      <c r="M21" s="301"/>
      <c r="N21" s="301"/>
      <c r="O21" s="301"/>
      <c r="P21" s="301"/>
      <c r="Q21" s="301"/>
      <c r="R21" s="301"/>
      <c r="S21" s="301"/>
      <c r="T21" s="301"/>
      <c r="U21" s="301"/>
      <c r="V21" s="301"/>
      <c r="W21" s="301"/>
      <c r="X21" s="301"/>
      <c r="Y21" s="301"/>
      <c r="Z21" s="301"/>
      <c r="AA21" s="301"/>
      <c r="AB21" s="301"/>
      <c r="AC21" s="301"/>
      <c r="AD21" s="301"/>
      <c r="AE21" s="301"/>
      <c r="AF21" s="301"/>
      <c r="AG21" s="301"/>
      <c r="AH21" s="301"/>
      <c r="AI21" s="301"/>
      <c r="AJ21" s="301"/>
      <c r="AK21" s="301"/>
      <c r="AL21" s="301"/>
      <c r="AM21" s="301"/>
      <c r="AN21" s="301"/>
      <c r="AO21" s="301"/>
      <c r="AP21" s="301"/>
      <c r="AQ21" s="301"/>
      <c r="AR21" s="301"/>
      <c r="AS21" s="301"/>
      <c r="AT21" s="301"/>
      <c r="AU21" s="301"/>
      <c r="AV21" s="301"/>
      <c r="AW21" s="301"/>
      <c r="AX21" s="301"/>
      <c r="AY21" s="301"/>
      <c r="AZ21" s="301"/>
      <c r="BA21" s="301"/>
      <c r="BB21" s="301"/>
      <c r="BC21" s="301"/>
      <c r="BD21" s="301"/>
      <c r="BE21" s="301"/>
      <c r="BF21" s="301"/>
      <c r="BG21" s="302">
        <f t="shared" ref="BG21:BH21" si="4">SUM(C21, E21, G21, I21, K21, M21, O21, Q21, S21, U21, W21, Y21, AA21, AC21, AE21, AG21, AI21, AK21, AM21, AO21, AQ21, AS21, AU21, AW21, AY21, BA21, BC21, BE21)</f>
        <v>995</v>
      </c>
      <c r="BH21" s="302">
        <f t="shared" si="4"/>
        <v>4473</v>
      </c>
      <c r="BI21" s="303"/>
      <c r="BJ21" s="304"/>
      <c r="BK21" s="305"/>
      <c r="BL21" s="305"/>
      <c r="BM21" s="305"/>
      <c r="BN21" s="305"/>
      <c r="BO21" s="305"/>
      <c r="BP21" s="305"/>
      <c r="BQ21" s="305"/>
      <c r="BR21" s="305"/>
      <c r="BS21" s="305"/>
      <c r="BT21" s="305"/>
      <c r="BU21" s="305"/>
      <c r="BV21" s="305"/>
      <c r="BW21" s="305"/>
      <c r="BX21" s="305"/>
      <c r="BY21" s="305"/>
      <c r="BZ21" s="305"/>
    </row>
    <row r="22" spans="1:78" x14ac:dyDescent="0.2">
      <c r="A22" s="597" t="s">
        <v>210</v>
      </c>
      <c r="B22" s="531"/>
      <c r="C22" s="306">
        <v>650</v>
      </c>
      <c r="D22" s="306">
        <v>420</v>
      </c>
      <c r="E22" s="307">
        <v>120</v>
      </c>
      <c r="F22" s="307">
        <v>760</v>
      </c>
      <c r="G22" s="307"/>
      <c r="H22" s="307"/>
      <c r="I22" s="307"/>
      <c r="J22" s="307"/>
      <c r="K22" s="307"/>
      <c r="L22" s="307"/>
      <c r="M22" s="307"/>
      <c r="N22" s="307"/>
      <c r="O22" s="307"/>
      <c r="P22" s="307"/>
      <c r="Q22" s="307"/>
      <c r="R22" s="307"/>
      <c r="S22" s="307"/>
      <c r="T22" s="307"/>
      <c r="U22" s="307"/>
      <c r="V22" s="307"/>
      <c r="W22" s="307"/>
      <c r="X22" s="307"/>
      <c r="Y22" s="307"/>
      <c r="Z22" s="307"/>
      <c r="AA22" s="307"/>
      <c r="AB22" s="307"/>
      <c r="AC22" s="307"/>
      <c r="AD22" s="307"/>
      <c r="AE22" s="307"/>
      <c r="AF22" s="307"/>
      <c r="AG22" s="307"/>
      <c r="AH22" s="307"/>
      <c r="AI22" s="307"/>
      <c r="AJ22" s="307"/>
      <c r="AK22" s="307"/>
      <c r="AL22" s="307"/>
      <c r="AM22" s="307"/>
      <c r="AN22" s="307"/>
      <c r="AO22" s="307"/>
      <c r="AP22" s="307"/>
      <c r="AQ22" s="307"/>
      <c r="AR22" s="307"/>
      <c r="AS22" s="307"/>
      <c r="AT22" s="307"/>
      <c r="AU22" s="307"/>
      <c r="AV22" s="307"/>
      <c r="AW22" s="307"/>
      <c r="AX22" s="307"/>
      <c r="AY22" s="307"/>
      <c r="AZ22" s="307"/>
      <c r="BA22" s="307"/>
      <c r="BB22" s="307"/>
      <c r="BC22" s="307"/>
      <c r="BD22" s="307"/>
      <c r="BE22" s="307"/>
      <c r="BF22" s="307"/>
      <c r="BG22" s="308">
        <f t="shared" ref="BG22:BH22" si="5">SUM(C22, E22, G22, I22, K22, M22, O22, Q22, S22, U22, W22, Y22, AA22, AC22, AE22, AG22, AI22, AK22, AM22, AO22, AQ22, AS22, AU22, AW22, AY22, BA22, BC22, BE22)</f>
        <v>770</v>
      </c>
      <c r="BH22" s="308">
        <f t="shared" si="5"/>
        <v>1180</v>
      </c>
      <c r="BI22" s="309"/>
      <c r="BJ22" s="309"/>
      <c r="BK22" s="310"/>
      <c r="BL22" s="310"/>
      <c r="BM22" s="310"/>
      <c r="BN22" s="310"/>
      <c r="BO22" s="310"/>
      <c r="BP22" s="310"/>
      <c r="BQ22" s="310"/>
      <c r="BR22" s="310"/>
      <c r="BS22" s="310"/>
      <c r="BT22" s="310"/>
      <c r="BU22" s="310"/>
      <c r="BV22" s="310"/>
      <c r="BW22" s="310"/>
      <c r="BX22" s="310"/>
      <c r="BY22" s="310"/>
      <c r="BZ22" s="310"/>
    </row>
    <row r="23" spans="1:78" x14ac:dyDescent="0.2">
      <c r="A23" s="590" t="s">
        <v>938</v>
      </c>
      <c r="B23" s="531"/>
      <c r="C23" s="311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2"/>
      <c r="O23" s="312"/>
      <c r="P23" s="312"/>
      <c r="Q23" s="312"/>
      <c r="R23" s="312"/>
      <c r="S23" s="312"/>
      <c r="T23" s="312"/>
      <c r="U23" s="312"/>
      <c r="V23" s="312"/>
      <c r="W23" s="312"/>
      <c r="X23" s="312"/>
      <c r="Y23" s="312"/>
      <c r="Z23" s="312"/>
      <c r="AA23" s="312"/>
      <c r="AB23" s="312"/>
      <c r="AC23" s="312"/>
      <c r="AD23" s="312"/>
      <c r="AE23" s="312"/>
      <c r="AF23" s="312"/>
      <c r="AG23" s="312"/>
      <c r="AH23" s="312"/>
      <c r="AI23" s="312"/>
      <c r="AJ23" s="312"/>
      <c r="AK23" s="312"/>
      <c r="AL23" s="312"/>
      <c r="AM23" s="312"/>
      <c r="AN23" s="312"/>
      <c r="AO23" s="312"/>
      <c r="AP23" s="312"/>
      <c r="AQ23" s="312"/>
      <c r="AR23" s="312"/>
      <c r="AS23" s="312"/>
      <c r="AT23" s="312"/>
      <c r="AU23" s="312"/>
      <c r="AV23" s="312"/>
      <c r="AW23" s="312"/>
      <c r="AX23" s="312"/>
      <c r="AY23" s="312"/>
      <c r="AZ23" s="312"/>
      <c r="BA23" s="312"/>
      <c r="BB23" s="312"/>
      <c r="BC23" s="312"/>
      <c r="BD23" s="312"/>
      <c r="BE23" s="312"/>
      <c r="BF23" s="312"/>
      <c r="BG23" s="203">
        <f t="shared" ref="BG23:BH23" si="6">SUM(C23, E23, G23, I23, K23, M23, O23, Q23, S23, U23, W23, Y23, AA23, AC23, AE23, AG23, AI23, AK23, AM23, AO23, AQ23, AS23, AU23, AW23, AY23, BA23, BC23, BE23)</f>
        <v>0</v>
      </c>
      <c r="BH23" s="203">
        <f t="shared" si="6"/>
        <v>0</v>
      </c>
      <c r="BI23" s="313"/>
      <c r="BJ23" s="313"/>
      <c r="BK23" s="314"/>
      <c r="BL23" s="314"/>
      <c r="BM23" s="314"/>
      <c r="BN23" s="314"/>
      <c r="BO23" s="314"/>
      <c r="BP23" s="314"/>
      <c r="BQ23" s="314"/>
      <c r="BR23" s="314"/>
      <c r="BS23" s="314"/>
      <c r="BT23" s="314"/>
      <c r="BU23" s="314"/>
      <c r="BV23" s="314"/>
      <c r="BW23" s="314"/>
      <c r="BX23" s="314"/>
      <c r="BY23" s="314"/>
      <c r="BZ23" s="314"/>
    </row>
    <row r="24" spans="1:78" x14ac:dyDescent="0.2">
      <c r="A24" s="574" t="s">
        <v>939</v>
      </c>
      <c r="B24" s="531"/>
      <c r="C24" s="315">
        <v>280</v>
      </c>
      <c r="D24" s="316">
        <v>870</v>
      </c>
      <c r="E24" s="317">
        <v>250</v>
      </c>
      <c r="F24" s="317">
        <v>516</v>
      </c>
      <c r="G24" s="317"/>
      <c r="H24" s="318"/>
      <c r="I24" s="318"/>
      <c r="J24" s="318"/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  <c r="AK24" s="318"/>
      <c r="AL24" s="318"/>
      <c r="AM24" s="318"/>
      <c r="AN24" s="318"/>
      <c r="AO24" s="318"/>
      <c r="AP24" s="318"/>
      <c r="AQ24" s="318"/>
      <c r="AR24" s="318"/>
      <c r="AS24" s="318"/>
      <c r="AT24" s="318"/>
      <c r="AU24" s="318"/>
      <c r="AV24" s="318"/>
      <c r="AW24" s="318"/>
      <c r="AX24" s="318"/>
      <c r="AY24" s="318"/>
      <c r="AZ24" s="318"/>
      <c r="BA24" s="318"/>
      <c r="BB24" s="318"/>
      <c r="BC24" s="318"/>
      <c r="BD24" s="318"/>
      <c r="BE24" s="318"/>
      <c r="BF24" s="318"/>
      <c r="BG24" s="205">
        <f t="shared" ref="BG24:BH24" si="7">SUM(C24, E24, G24, I24, K24, M24, O24, Q24, S24, U24, W24, Y24, AA24, AC24, AE24, AG24, AI24, AK24, AM24, AO24, AQ24, AS24, AU24, AW24, AY24, BA24, BC24, BE24)</f>
        <v>530</v>
      </c>
      <c r="BH24" s="205">
        <f t="shared" si="7"/>
        <v>1386</v>
      </c>
      <c r="BI24" s="319"/>
      <c r="BJ24" s="320"/>
      <c r="BK24" s="321"/>
      <c r="BL24" s="321"/>
      <c r="BM24" s="321"/>
      <c r="BN24" s="321"/>
      <c r="BO24" s="321"/>
      <c r="BP24" s="321"/>
      <c r="BQ24" s="321"/>
      <c r="BR24" s="321"/>
      <c r="BS24" s="321"/>
      <c r="BT24" s="321"/>
      <c r="BU24" s="321"/>
      <c r="BV24" s="321"/>
      <c r="BW24" s="321"/>
      <c r="BX24" s="321"/>
      <c r="BY24" s="321"/>
      <c r="BZ24" s="321"/>
    </row>
    <row r="25" spans="1:78" x14ac:dyDescent="0.2">
      <c r="A25" s="575" t="s">
        <v>153</v>
      </c>
      <c r="B25" s="531"/>
      <c r="C25" s="264">
        <f t="shared" ref="C25:BH25" si="8">SUM(C17:C24)</f>
        <v>3045</v>
      </c>
      <c r="D25" s="264">
        <f t="shared" si="8"/>
        <v>10309</v>
      </c>
      <c r="E25" s="264">
        <f t="shared" si="8"/>
        <v>2530</v>
      </c>
      <c r="F25" s="264">
        <f t="shared" si="8"/>
        <v>9303</v>
      </c>
      <c r="G25" s="264">
        <f t="shared" si="8"/>
        <v>0</v>
      </c>
      <c r="H25" s="264">
        <f t="shared" si="8"/>
        <v>0</v>
      </c>
      <c r="I25" s="264">
        <f t="shared" si="8"/>
        <v>0</v>
      </c>
      <c r="J25" s="264">
        <f t="shared" si="8"/>
        <v>0</v>
      </c>
      <c r="K25" s="264">
        <f t="shared" si="8"/>
        <v>0</v>
      </c>
      <c r="L25" s="264">
        <f t="shared" si="8"/>
        <v>0</v>
      </c>
      <c r="M25" s="264">
        <f t="shared" si="8"/>
        <v>0</v>
      </c>
      <c r="N25" s="264">
        <f t="shared" si="8"/>
        <v>0</v>
      </c>
      <c r="O25" s="264">
        <f t="shared" si="8"/>
        <v>0</v>
      </c>
      <c r="P25" s="264">
        <f t="shared" si="8"/>
        <v>0</v>
      </c>
      <c r="Q25" s="264">
        <f t="shared" si="8"/>
        <v>0</v>
      </c>
      <c r="R25" s="264">
        <f t="shared" si="8"/>
        <v>0</v>
      </c>
      <c r="S25" s="264">
        <f t="shared" si="8"/>
        <v>0</v>
      </c>
      <c r="T25" s="264">
        <f t="shared" si="8"/>
        <v>0</v>
      </c>
      <c r="U25" s="264">
        <f t="shared" si="8"/>
        <v>0</v>
      </c>
      <c r="V25" s="264">
        <f t="shared" si="8"/>
        <v>0</v>
      </c>
      <c r="W25" s="264">
        <f t="shared" si="8"/>
        <v>0</v>
      </c>
      <c r="X25" s="264">
        <f t="shared" si="8"/>
        <v>0</v>
      </c>
      <c r="Y25" s="264">
        <f t="shared" si="8"/>
        <v>0</v>
      </c>
      <c r="Z25" s="264">
        <f t="shared" si="8"/>
        <v>0</v>
      </c>
      <c r="AA25" s="264">
        <f t="shared" si="8"/>
        <v>0</v>
      </c>
      <c r="AB25" s="264">
        <f t="shared" si="8"/>
        <v>0</v>
      </c>
      <c r="AC25" s="264">
        <f t="shared" si="8"/>
        <v>0</v>
      </c>
      <c r="AD25" s="264">
        <f t="shared" si="8"/>
        <v>0</v>
      </c>
      <c r="AE25" s="264">
        <f t="shared" si="8"/>
        <v>0</v>
      </c>
      <c r="AF25" s="264">
        <f t="shared" si="8"/>
        <v>0</v>
      </c>
      <c r="AG25" s="264">
        <f t="shared" si="8"/>
        <v>0</v>
      </c>
      <c r="AH25" s="264">
        <f t="shared" si="8"/>
        <v>0</v>
      </c>
      <c r="AI25" s="264">
        <f t="shared" si="8"/>
        <v>0</v>
      </c>
      <c r="AJ25" s="264">
        <f t="shared" si="8"/>
        <v>0</v>
      </c>
      <c r="AK25" s="264">
        <f t="shared" si="8"/>
        <v>0</v>
      </c>
      <c r="AL25" s="264">
        <f t="shared" si="8"/>
        <v>0</v>
      </c>
      <c r="AM25" s="264">
        <f t="shared" si="8"/>
        <v>0</v>
      </c>
      <c r="AN25" s="264">
        <f t="shared" si="8"/>
        <v>0</v>
      </c>
      <c r="AO25" s="264">
        <f t="shared" si="8"/>
        <v>0</v>
      </c>
      <c r="AP25" s="264">
        <f t="shared" si="8"/>
        <v>0</v>
      </c>
      <c r="AQ25" s="264">
        <f t="shared" si="8"/>
        <v>0</v>
      </c>
      <c r="AR25" s="264">
        <f t="shared" si="8"/>
        <v>0</v>
      </c>
      <c r="AS25" s="264">
        <f t="shared" si="8"/>
        <v>0</v>
      </c>
      <c r="AT25" s="264">
        <f t="shared" si="8"/>
        <v>0</v>
      </c>
      <c r="AU25" s="264">
        <f t="shared" si="8"/>
        <v>0</v>
      </c>
      <c r="AV25" s="264">
        <f t="shared" si="8"/>
        <v>0</v>
      </c>
      <c r="AW25" s="264">
        <f t="shared" si="8"/>
        <v>0</v>
      </c>
      <c r="AX25" s="264">
        <f t="shared" si="8"/>
        <v>0</v>
      </c>
      <c r="AY25" s="264">
        <f t="shared" si="8"/>
        <v>0</v>
      </c>
      <c r="AZ25" s="264">
        <f t="shared" si="8"/>
        <v>0</v>
      </c>
      <c r="BA25" s="264">
        <f t="shared" si="8"/>
        <v>0</v>
      </c>
      <c r="BB25" s="264">
        <f t="shared" si="8"/>
        <v>0</v>
      </c>
      <c r="BC25" s="264">
        <f t="shared" si="8"/>
        <v>0</v>
      </c>
      <c r="BD25" s="264">
        <f t="shared" si="8"/>
        <v>0</v>
      </c>
      <c r="BE25" s="264">
        <f t="shared" si="8"/>
        <v>0</v>
      </c>
      <c r="BF25" s="264">
        <f t="shared" si="8"/>
        <v>0</v>
      </c>
      <c r="BG25" s="201">
        <f t="shared" si="8"/>
        <v>5575</v>
      </c>
      <c r="BH25" s="201">
        <f t="shared" si="8"/>
        <v>19612</v>
      </c>
      <c r="BI25" s="169"/>
      <c r="BJ25" s="169"/>
    </row>
    <row r="26" spans="1:78" x14ac:dyDescent="0.2">
      <c r="A26" s="215"/>
      <c r="B26" s="169"/>
      <c r="C26" s="126"/>
      <c r="D26" s="126"/>
      <c r="E26" s="174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72"/>
      <c r="BH26" s="172"/>
      <c r="BI26" s="172"/>
      <c r="BJ26" s="169"/>
    </row>
    <row r="27" spans="1:78" x14ac:dyDescent="0.2">
      <c r="A27" s="215"/>
      <c r="B27" s="169"/>
      <c r="C27" s="126"/>
      <c r="D27" s="126"/>
      <c r="E27" s="174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72"/>
      <c r="BH27" s="172"/>
      <c r="BI27" s="172"/>
      <c r="BJ27" s="169"/>
    </row>
    <row r="28" spans="1:78" x14ac:dyDescent="0.2">
      <c r="A28" s="576" t="s">
        <v>962</v>
      </c>
      <c r="B28" s="546"/>
      <c r="C28" s="577">
        <v>45833</v>
      </c>
      <c r="D28" s="571"/>
      <c r="E28" s="572">
        <v>45834</v>
      </c>
      <c r="F28" s="571"/>
      <c r="G28" s="572">
        <v>45835</v>
      </c>
      <c r="H28" s="571"/>
      <c r="I28" s="572">
        <v>45836</v>
      </c>
      <c r="J28" s="571"/>
      <c r="K28" s="572">
        <v>45837</v>
      </c>
      <c r="L28" s="571"/>
      <c r="M28" s="572">
        <v>45839</v>
      </c>
      <c r="N28" s="571"/>
      <c r="O28" s="572">
        <v>45840</v>
      </c>
      <c r="P28" s="571"/>
      <c r="Q28" s="572">
        <v>45841</v>
      </c>
      <c r="R28" s="571"/>
      <c r="S28" s="572">
        <v>45842</v>
      </c>
      <c r="T28" s="571"/>
      <c r="U28" s="572">
        <v>45843</v>
      </c>
      <c r="V28" s="571"/>
      <c r="W28" s="572">
        <v>45845</v>
      </c>
      <c r="X28" s="571"/>
      <c r="Y28" s="572">
        <v>45846</v>
      </c>
      <c r="Z28" s="571"/>
      <c r="AA28" s="572">
        <v>45847</v>
      </c>
      <c r="AB28" s="571"/>
      <c r="AC28" s="572">
        <v>45848</v>
      </c>
      <c r="AD28" s="571"/>
      <c r="AE28" s="572">
        <v>45849</v>
      </c>
      <c r="AF28" s="571"/>
      <c r="AG28" s="572">
        <v>45850</v>
      </c>
      <c r="AH28" s="571"/>
      <c r="AI28" s="572">
        <v>45851</v>
      </c>
      <c r="AJ28" s="571"/>
      <c r="AK28" s="572">
        <v>45854</v>
      </c>
      <c r="AL28" s="571"/>
      <c r="AM28" s="572">
        <v>45855</v>
      </c>
      <c r="AN28" s="571"/>
      <c r="AO28" s="572">
        <v>45856</v>
      </c>
      <c r="AP28" s="571"/>
      <c r="AQ28" s="572">
        <v>45857</v>
      </c>
      <c r="AR28" s="571"/>
      <c r="AS28" s="572">
        <v>45858</v>
      </c>
      <c r="AT28" s="571"/>
      <c r="AU28" s="572">
        <v>45860</v>
      </c>
      <c r="AV28" s="571"/>
      <c r="AW28" s="572">
        <v>45861</v>
      </c>
      <c r="AX28" s="571"/>
      <c r="AY28" s="572">
        <v>45862</v>
      </c>
      <c r="AZ28" s="571"/>
      <c r="BA28" s="572">
        <v>45863</v>
      </c>
      <c r="BB28" s="571"/>
      <c r="BC28" s="572">
        <v>45864</v>
      </c>
      <c r="BD28" s="571"/>
      <c r="BE28" s="572">
        <v>45865</v>
      </c>
      <c r="BF28" s="571"/>
      <c r="BG28" s="581"/>
      <c r="BH28" s="546"/>
      <c r="BI28" s="171"/>
      <c r="BJ28" s="171"/>
    </row>
    <row r="29" spans="1:78" x14ac:dyDescent="0.2">
      <c r="A29" s="547"/>
      <c r="B29" s="549"/>
      <c r="C29" s="592" t="s">
        <v>940</v>
      </c>
      <c r="D29" s="571"/>
      <c r="E29" s="570" t="s">
        <v>941</v>
      </c>
      <c r="F29" s="571"/>
      <c r="G29" s="573" t="s">
        <v>942</v>
      </c>
      <c r="H29" s="571"/>
      <c r="I29" s="570" t="s">
        <v>943</v>
      </c>
      <c r="J29" s="571"/>
      <c r="K29" s="570" t="s">
        <v>944</v>
      </c>
      <c r="L29" s="571"/>
      <c r="M29" s="570" t="s">
        <v>945</v>
      </c>
      <c r="N29" s="571"/>
      <c r="O29" s="570" t="s">
        <v>945</v>
      </c>
      <c r="P29" s="571"/>
      <c r="Q29" s="570" t="s">
        <v>946</v>
      </c>
      <c r="R29" s="571"/>
      <c r="S29" s="573" t="s">
        <v>947</v>
      </c>
      <c r="T29" s="571"/>
      <c r="U29" s="570" t="s">
        <v>948</v>
      </c>
      <c r="V29" s="571"/>
      <c r="W29" s="570" t="s">
        <v>949</v>
      </c>
      <c r="X29" s="571"/>
      <c r="Y29" s="570" t="s">
        <v>949</v>
      </c>
      <c r="Z29" s="571"/>
      <c r="AA29" s="570" t="s">
        <v>949</v>
      </c>
      <c r="AB29" s="571"/>
      <c r="AC29" s="573" t="s">
        <v>950</v>
      </c>
      <c r="AD29" s="571"/>
      <c r="AE29" s="573" t="s">
        <v>951</v>
      </c>
      <c r="AF29" s="571"/>
      <c r="AG29" s="573" t="s">
        <v>952</v>
      </c>
      <c r="AH29" s="571"/>
      <c r="AI29" s="573" t="s">
        <v>953</v>
      </c>
      <c r="AJ29" s="571"/>
      <c r="AK29" s="570" t="s">
        <v>954</v>
      </c>
      <c r="AL29" s="571"/>
      <c r="AM29" s="570" t="s">
        <v>955</v>
      </c>
      <c r="AN29" s="571"/>
      <c r="AO29" s="573" t="s">
        <v>956</v>
      </c>
      <c r="AP29" s="571"/>
      <c r="AQ29" s="570" t="s">
        <v>957</v>
      </c>
      <c r="AR29" s="571"/>
      <c r="AS29" s="573" t="s">
        <v>958</v>
      </c>
      <c r="AT29" s="571"/>
      <c r="AU29" s="573" t="s">
        <v>959</v>
      </c>
      <c r="AV29" s="571"/>
      <c r="AW29" s="570" t="s">
        <v>960</v>
      </c>
      <c r="AX29" s="571"/>
      <c r="AY29" s="570" t="s">
        <v>954</v>
      </c>
      <c r="AZ29" s="571"/>
      <c r="BA29" s="570" t="s">
        <v>961</v>
      </c>
      <c r="BB29" s="571"/>
      <c r="BC29" s="570" t="s">
        <v>961</v>
      </c>
      <c r="BD29" s="571"/>
      <c r="BE29" s="570" t="s">
        <v>961</v>
      </c>
      <c r="BF29" s="571"/>
      <c r="BG29" s="547"/>
      <c r="BH29" s="549"/>
      <c r="BI29" s="322"/>
      <c r="BJ29" s="322"/>
      <c r="BK29" s="323"/>
      <c r="BL29" s="323"/>
      <c r="BM29" s="323"/>
      <c r="BN29" s="323"/>
      <c r="BO29" s="323"/>
      <c r="BP29" s="323"/>
      <c r="BQ29" s="323"/>
      <c r="BR29" s="323"/>
      <c r="BS29" s="323"/>
      <c r="BT29" s="323"/>
      <c r="BU29" s="323"/>
      <c r="BV29" s="323"/>
      <c r="BW29" s="323"/>
      <c r="BX29" s="323"/>
      <c r="BY29" s="323"/>
      <c r="BZ29" s="323"/>
    </row>
    <row r="30" spans="1:78" x14ac:dyDescent="0.2">
      <c r="A30" s="583" t="s">
        <v>936</v>
      </c>
      <c r="B30" s="546"/>
      <c r="C30" s="324"/>
      <c r="D30" s="325"/>
      <c r="E30" s="326"/>
      <c r="F30" s="327"/>
      <c r="G30" s="326"/>
      <c r="H30" s="327"/>
      <c r="I30" s="326"/>
      <c r="J30" s="327"/>
      <c r="K30" s="326"/>
      <c r="L30" s="327"/>
      <c r="M30" s="326"/>
      <c r="N30" s="327"/>
      <c r="O30" s="326"/>
      <c r="P30" s="327"/>
      <c r="Q30" s="326"/>
      <c r="R30" s="327"/>
      <c r="S30" s="326"/>
      <c r="T30" s="327"/>
      <c r="U30" s="326"/>
      <c r="V30" s="327"/>
      <c r="W30" s="326"/>
      <c r="X30" s="327"/>
      <c r="Y30" s="326"/>
      <c r="Z30" s="327"/>
      <c r="AA30" s="326"/>
      <c r="AB30" s="327"/>
      <c r="AC30" s="326"/>
      <c r="AD30" s="327"/>
      <c r="AE30" s="326"/>
      <c r="AF30" s="327"/>
      <c r="AG30" s="326"/>
      <c r="AH30" s="327"/>
      <c r="AI30" s="326"/>
      <c r="AJ30" s="327"/>
      <c r="AK30" s="326"/>
      <c r="AL30" s="327"/>
      <c r="AM30" s="326"/>
      <c r="AN30" s="327"/>
      <c r="AO30" s="326"/>
      <c r="AP30" s="327"/>
      <c r="AQ30" s="326"/>
      <c r="AR30" s="327"/>
      <c r="AS30" s="326"/>
      <c r="AT30" s="327"/>
      <c r="AU30" s="326"/>
      <c r="AV30" s="327"/>
      <c r="AW30" s="326"/>
      <c r="AX30" s="327"/>
      <c r="AY30" s="326"/>
      <c r="AZ30" s="327"/>
      <c r="BA30" s="326"/>
      <c r="BB30" s="327"/>
      <c r="BC30" s="326"/>
      <c r="BD30" s="327"/>
      <c r="BE30" s="326"/>
      <c r="BF30" s="327"/>
      <c r="BG30" s="328">
        <f t="shared" ref="BG30:BH30" si="9">SUM(C30, E30, G30, I30, K30, M30, O30, Q30, S30, U30, W30, Y30, AA30, AC30, AE30, AG30, AI30, AK30, AM30, AO30, AQ30, AS30, AU30, AW30, AY30, BA30, BC30, BE30)</f>
        <v>0</v>
      </c>
      <c r="BH30" s="329">
        <f t="shared" si="9"/>
        <v>0</v>
      </c>
      <c r="BI30" s="164"/>
      <c r="BJ30" s="92"/>
    </row>
    <row r="31" spans="1:78" x14ac:dyDescent="0.2">
      <c r="A31" s="584"/>
      <c r="B31" s="535"/>
      <c r="C31" s="330"/>
      <c r="D31" s="325"/>
      <c r="E31" s="326"/>
      <c r="F31" s="327"/>
      <c r="G31" s="326"/>
      <c r="H31" s="327"/>
      <c r="I31" s="326"/>
      <c r="J31" s="327"/>
      <c r="K31" s="326"/>
      <c r="L31" s="327"/>
      <c r="M31" s="326"/>
      <c r="N31" s="327"/>
      <c r="O31" s="326"/>
      <c r="P31" s="327"/>
      <c r="Q31" s="326"/>
      <c r="R31" s="327"/>
      <c r="S31" s="326"/>
      <c r="T31" s="327"/>
      <c r="U31" s="326"/>
      <c r="V31" s="327"/>
      <c r="W31" s="326"/>
      <c r="X31" s="327"/>
      <c r="Y31" s="326"/>
      <c r="Z31" s="327"/>
      <c r="AA31" s="326"/>
      <c r="AB31" s="327"/>
      <c r="AC31" s="326"/>
      <c r="AD31" s="327"/>
      <c r="AE31" s="326"/>
      <c r="AF31" s="327"/>
      <c r="AG31" s="326"/>
      <c r="AH31" s="327"/>
      <c r="AI31" s="326"/>
      <c r="AJ31" s="327"/>
      <c r="AK31" s="326"/>
      <c r="AL31" s="327"/>
      <c r="AM31" s="326"/>
      <c r="AN31" s="327"/>
      <c r="AO31" s="326"/>
      <c r="AP31" s="327"/>
      <c r="AQ31" s="326"/>
      <c r="AR31" s="327"/>
      <c r="AS31" s="326"/>
      <c r="AT31" s="327"/>
      <c r="AU31" s="326"/>
      <c r="AV31" s="327"/>
      <c r="AW31" s="326"/>
      <c r="AX31" s="327"/>
      <c r="AY31" s="326"/>
      <c r="AZ31" s="327"/>
      <c r="BA31" s="326"/>
      <c r="BB31" s="327"/>
      <c r="BC31" s="326"/>
      <c r="BD31" s="327"/>
      <c r="BE31" s="326"/>
      <c r="BF31" s="327"/>
      <c r="BG31" s="328"/>
      <c r="BH31" s="329"/>
      <c r="BI31" s="164"/>
      <c r="BJ31" s="92"/>
    </row>
    <row r="32" spans="1:78" x14ac:dyDescent="0.2">
      <c r="A32" s="547"/>
      <c r="B32" s="549"/>
      <c r="C32" s="330"/>
      <c r="D32" s="325"/>
      <c r="E32" s="326"/>
      <c r="F32" s="327"/>
      <c r="G32" s="326"/>
      <c r="H32" s="327"/>
      <c r="I32" s="326"/>
      <c r="J32" s="327"/>
      <c r="K32" s="326"/>
      <c r="L32" s="327"/>
      <c r="M32" s="326"/>
      <c r="N32" s="327"/>
      <c r="O32" s="326"/>
      <c r="P32" s="327"/>
      <c r="Q32" s="326"/>
      <c r="R32" s="327"/>
      <c r="S32" s="326"/>
      <c r="T32" s="327"/>
      <c r="U32" s="326"/>
      <c r="V32" s="327"/>
      <c r="W32" s="326"/>
      <c r="X32" s="327"/>
      <c r="Y32" s="326"/>
      <c r="Z32" s="327"/>
      <c r="AA32" s="326"/>
      <c r="AB32" s="327"/>
      <c r="AC32" s="326"/>
      <c r="AD32" s="327"/>
      <c r="AE32" s="326"/>
      <c r="AF32" s="327"/>
      <c r="AG32" s="326"/>
      <c r="AH32" s="327"/>
      <c r="AI32" s="326"/>
      <c r="AJ32" s="327"/>
      <c r="AK32" s="326"/>
      <c r="AL32" s="327"/>
      <c r="AM32" s="326"/>
      <c r="AN32" s="327"/>
      <c r="AO32" s="326"/>
      <c r="AP32" s="327"/>
      <c r="AQ32" s="326"/>
      <c r="AR32" s="327"/>
      <c r="AS32" s="326"/>
      <c r="AT32" s="327"/>
      <c r="AU32" s="326"/>
      <c r="AV32" s="327"/>
      <c r="AW32" s="326"/>
      <c r="AX32" s="327"/>
      <c r="AY32" s="326"/>
      <c r="AZ32" s="327"/>
      <c r="BA32" s="326"/>
      <c r="BB32" s="327"/>
      <c r="BC32" s="326"/>
      <c r="BD32" s="327"/>
      <c r="BE32" s="326"/>
      <c r="BF32" s="327"/>
      <c r="BG32" s="328"/>
      <c r="BH32" s="329"/>
      <c r="BI32" s="164"/>
      <c r="BJ32" s="92"/>
    </row>
    <row r="33" spans="1:78" x14ac:dyDescent="0.2">
      <c r="A33" s="585" t="s">
        <v>54</v>
      </c>
      <c r="B33" s="546"/>
      <c r="C33" s="331"/>
      <c r="D33" s="332"/>
      <c r="E33" s="333"/>
      <c r="F33" s="334"/>
      <c r="G33" s="333"/>
      <c r="H33" s="334"/>
      <c r="I33" s="333"/>
      <c r="J33" s="334"/>
      <c r="K33" s="333"/>
      <c r="L33" s="334"/>
      <c r="M33" s="333"/>
      <c r="N33" s="334"/>
      <c r="O33" s="333"/>
      <c r="P33" s="334"/>
      <c r="Q33" s="333"/>
      <c r="R33" s="334"/>
      <c r="S33" s="333"/>
      <c r="T33" s="334"/>
      <c r="U33" s="333"/>
      <c r="V33" s="334"/>
      <c r="W33" s="333"/>
      <c r="X33" s="334"/>
      <c r="Y33" s="333"/>
      <c r="Z33" s="334"/>
      <c r="AA33" s="333"/>
      <c r="AB33" s="334"/>
      <c r="AC33" s="333"/>
      <c r="AD33" s="334"/>
      <c r="AE33" s="333"/>
      <c r="AF33" s="334"/>
      <c r="AG33" s="333"/>
      <c r="AH33" s="334"/>
      <c r="AI33" s="333"/>
      <c r="AJ33" s="334"/>
      <c r="AK33" s="333"/>
      <c r="AL33" s="334"/>
      <c r="AM33" s="333"/>
      <c r="AN33" s="334"/>
      <c r="AO33" s="333"/>
      <c r="AP33" s="334"/>
      <c r="AQ33" s="333"/>
      <c r="AR33" s="334"/>
      <c r="AS33" s="333"/>
      <c r="AT33" s="334"/>
      <c r="AU33" s="333"/>
      <c r="AV33" s="334"/>
      <c r="AW33" s="333"/>
      <c r="AX33" s="334"/>
      <c r="AY33" s="333"/>
      <c r="AZ33" s="334"/>
      <c r="BA33" s="333"/>
      <c r="BB33" s="334"/>
      <c r="BC33" s="333"/>
      <c r="BD33" s="334"/>
      <c r="BE33" s="333"/>
      <c r="BF33" s="334"/>
      <c r="BG33" s="335">
        <f t="shared" ref="BG33:BH33" si="10">SUM(C33, E33, G33, I33, K33, M33, O33, Q33, S33, U33, W33, Y33, AA33, AC33, AE33, AG33, AI33, AK33, AM33, AO33, AQ33, AS33, AU33, AW33, AY33, BA33, BC33, BE33)</f>
        <v>0</v>
      </c>
      <c r="BH33" s="336">
        <f t="shared" si="10"/>
        <v>0</v>
      </c>
      <c r="BI33" s="172"/>
      <c r="BJ33" s="169"/>
    </row>
    <row r="34" spans="1:78" x14ac:dyDescent="0.2">
      <c r="A34" s="547"/>
      <c r="B34" s="549"/>
      <c r="C34" s="331"/>
      <c r="D34" s="332"/>
      <c r="E34" s="333"/>
      <c r="F34" s="334"/>
      <c r="G34" s="333"/>
      <c r="H34" s="334"/>
      <c r="I34" s="333"/>
      <c r="J34" s="334"/>
      <c r="K34" s="333"/>
      <c r="L34" s="334"/>
      <c r="M34" s="333"/>
      <c r="N34" s="334"/>
      <c r="O34" s="333"/>
      <c r="P34" s="334"/>
      <c r="Q34" s="333"/>
      <c r="R34" s="334"/>
      <c r="S34" s="333"/>
      <c r="T34" s="334"/>
      <c r="U34" s="333"/>
      <c r="V34" s="334"/>
      <c r="W34" s="333"/>
      <c r="X34" s="334"/>
      <c r="Y34" s="333"/>
      <c r="Z34" s="334"/>
      <c r="AA34" s="333"/>
      <c r="AB34" s="334"/>
      <c r="AC34" s="333"/>
      <c r="AD34" s="334"/>
      <c r="AE34" s="333"/>
      <c r="AF34" s="334"/>
      <c r="AG34" s="333"/>
      <c r="AH34" s="334"/>
      <c r="AI34" s="333"/>
      <c r="AJ34" s="334"/>
      <c r="AK34" s="333"/>
      <c r="AL34" s="334"/>
      <c r="AM34" s="333"/>
      <c r="AN34" s="334"/>
      <c r="AO34" s="333"/>
      <c r="AP34" s="334"/>
      <c r="AQ34" s="333"/>
      <c r="AR34" s="334"/>
      <c r="AS34" s="333"/>
      <c r="AT34" s="334"/>
      <c r="AU34" s="333"/>
      <c r="AV34" s="334"/>
      <c r="AW34" s="333"/>
      <c r="AX34" s="334"/>
      <c r="AY34" s="333"/>
      <c r="AZ34" s="334"/>
      <c r="BA34" s="333"/>
      <c r="BB34" s="334"/>
      <c r="BC34" s="333"/>
      <c r="BD34" s="334"/>
      <c r="BE34" s="333"/>
      <c r="BF34" s="334"/>
      <c r="BG34" s="335"/>
      <c r="BH34" s="336"/>
      <c r="BI34" s="172"/>
      <c r="BJ34" s="169"/>
    </row>
    <row r="35" spans="1:78" x14ac:dyDescent="0.2">
      <c r="A35" s="586" t="s">
        <v>937</v>
      </c>
      <c r="B35" s="546"/>
      <c r="C35" s="337"/>
      <c r="D35" s="338"/>
      <c r="E35" s="339"/>
      <c r="F35" s="340"/>
      <c r="G35" s="339"/>
      <c r="H35" s="340"/>
      <c r="I35" s="339"/>
      <c r="J35" s="340"/>
      <c r="K35" s="339"/>
      <c r="L35" s="340"/>
      <c r="M35" s="339"/>
      <c r="N35" s="340"/>
      <c r="O35" s="339"/>
      <c r="P35" s="340"/>
      <c r="Q35" s="339"/>
      <c r="R35" s="340"/>
      <c r="S35" s="339"/>
      <c r="T35" s="340"/>
      <c r="U35" s="339"/>
      <c r="V35" s="340"/>
      <c r="W35" s="339"/>
      <c r="X35" s="340"/>
      <c r="Y35" s="339"/>
      <c r="Z35" s="340"/>
      <c r="AA35" s="339"/>
      <c r="AB35" s="340"/>
      <c r="AC35" s="339"/>
      <c r="AD35" s="340"/>
      <c r="AE35" s="339"/>
      <c r="AF35" s="340"/>
      <c r="AG35" s="339"/>
      <c r="AH35" s="340"/>
      <c r="AI35" s="339"/>
      <c r="AJ35" s="340"/>
      <c r="AK35" s="339"/>
      <c r="AL35" s="340"/>
      <c r="AM35" s="339"/>
      <c r="AN35" s="340"/>
      <c r="AO35" s="339"/>
      <c r="AP35" s="340"/>
      <c r="AQ35" s="339"/>
      <c r="AR35" s="340"/>
      <c r="AS35" s="339"/>
      <c r="AT35" s="340"/>
      <c r="AU35" s="339"/>
      <c r="AV35" s="340"/>
      <c r="AW35" s="339"/>
      <c r="AX35" s="340"/>
      <c r="AY35" s="339"/>
      <c r="AZ35" s="340"/>
      <c r="BA35" s="339"/>
      <c r="BB35" s="340"/>
      <c r="BC35" s="339"/>
      <c r="BD35" s="340"/>
      <c r="BE35" s="339"/>
      <c r="BF35" s="340"/>
      <c r="BG35" s="341">
        <f t="shared" ref="BG35:BH35" si="11">SUM(C35, E35, G35, I35, K35, M35, O35, Q35, S35, U35, W35, Y35, AA35, AC35, AE35, AG35, AI35, AK35, AM35, AO35, AQ35, AS35, AU35, AW35, AY35, BA35, BC35, BE35)</f>
        <v>0</v>
      </c>
      <c r="BH35" s="342">
        <f t="shared" si="11"/>
        <v>0</v>
      </c>
      <c r="BI35" s="172"/>
      <c r="BJ35" s="169"/>
    </row>
    <row r="36" spans="1:78" x14ac:dyDescent="0.2">
      <c r="A36" s="547"/>
      <c r="B36" s="549"/>
      <c r="C36" s="337"/>
      <c r="D36" s="338"/>
      <c r="E36" s="339"/>
      <c r="F36" s="340"/>
      <c r="G36" s="339"/>
      <c r="H36" s="340"/>
      <c r="I36" s="339"/>
      <c r="J36" s="340"/>
      <c r="K36" s="339"/>
      <c r="L36" s="340"/>
      <c r="M36" s="339"/>
      <c r="N36" s="340"/>
      <c r="O36" s="339"/>
      <c r="P36" s="340"/>
      <c r="Q36" s="339"/>
      <c r="R36" s="340"/>
      <c r="S36" s="339"/>
      <c r="T36" s="340"/>
      <c r="U36" s="339"/>
      <c r="V36" s="340"/>
      <c r="W36" s="339"/>
      <c r="X36" s="340"/>
      <c r="Y36" s="339"/>
      <c r="Z36" s="340"/>
      <c r="AA36" s="339"/>
      <c r="AB36" s="340"/>
      <c r="AC36" s="339"/>
      <c r="AD36" s="340"/>
      <c r="AE36" s="339"/>
      <c r="AF36" s="340"/>
      <c r="AG36" s="339"/>
      <c r="AH36" s="340"/>
      <c r="AI36" s="339"/>
      <c r="AJ36" s="340"/>
      <c r="AK36" s="339"/>
      <c r="AL36" s="340"/>
      <c r="AM36" s="339"/>
      <c r="AN36" s="340"/>
      <c r="AO36" s="339"/>
      <c r="AP36" s="340"/>
      <c r="AQ36" s="339"/>
      <c r="AR36" s="340"/>
      <c r="AS36" s="339"/>
      <c r="AT36" s="340"/>
      <c r="AU36" s="339"/>
      <c r="AV36" s="340"/>
      <c r="AW36" s="339"/>
      <c r="AX36" s="340"/>
      <c r="AY36" s="339"/>
      <c r="AZ36" s="340"/>
      <c r="BA36" s="339"/>
      <c r="BB36" s="340"/>
      <c r="BC36" s="339"/>
      <c r="BD36" s="340"/>
      <c r="BE36" s="339"/>
      <c r="BF36" s="340"/>
      <c r="BG36" s="341"/>
      <c r="BH36" s="342"/>
      <c r="BI36" s="172"/>
      <c r="BJ36" s="169"/>
    </row>
    <row r="37" spans="1:78" x14ac:dyDescent="0.2">
      <c r="A37" s="587" t="s">
        <v>35</v>
      </c>
      <c r="B37" s="546"/>
      <c r="C37" s="343"/>
      <c r="D37" s="344"/>
      <c r="E37" s="345"/>
      <c r="F37" s="346"/>
      <c r="G37" s="345"/>
      <c r="H37" s="346"/>
      <c r="I37" s="345"/>
      <c r="J37" s="346"/>
      <c r="K37" s="345"/>
      <c r="L37" s="346"/>
      <c r="M37" s="345"/>
      <c r="N37" s="346"/>
      <c r="O37" s="345"/>
      <c r="P37" s="346"/>
      <c r="Q37" s="345"/>
      <c r="R37" s="346"/>
      <c r="S37" s="345"/>
      <c r="T37" s="346"/>
      <c r="U37" s="345"/>
      <c r="V37" s="346"/>
      <c r="W37" s="345"/>
      <c r="X37" s="346"/>
      <c r="Y37" s="345"/>
      <c r="Z37" s="346"/>
      <c r="AA37" s="345"/>
      <c r="AB37" s="346"/>
      <c r="AC37" s="345"/>
      <c r="AD37" s="346"/>
      <c r="AE37" s="345"/>
      <c r="AF37" s="346"/>
      <c r="AG37" s="345"/>
      <c r="AH37" s="346"/>
      <c r="AI37" s="345"/>
      <c r="AJ37" s="346"/>
      <c r="AK37" s="345"/>
      <c r="AL37" s="346"/>
      <c r="AM37" s="345"/>
      <c r="AN37" s="346"/>
      <c r="AO37" s="345"/>
      <c r="AP37" s="346"/>
      <c r="AQ37" s="345"/>
      <c r="AR37" s="346"/>
      <c r="AS37" s="345"/>
      <c r="AT37" s="346"/>
      <c r="AU37" s="345"/>
      <c r="AV37" s="346"/>
      <c r="AW37" s="345"/>
      <c r="AX37" s="346"/>
      <c r="AY37" s="345"/>
      <c r="AZ37" s="346"/>
      <c r="BA37" s="345"/>
      <c r="BB37" s="346"/>
      <c r="BC37" s="345"/>
      <c r="BD37" s="346"/>
      <c r="BE37" s="345"/>
      <c r="BF37" s="346"/>
      <c r="BG37" s="347">
        <f t="shared" ref="BG37:BH37" si="12">SUM(C37, E37, G37, I37, K37, M37, O37, Q37, S37, U37, W37, Y37, AA37, AC37, AE37, AG37, AI37, AK37, AM37, AO37, AQ37, AS37, AU37, AW37, AY37, BA37, BC37, BE37)</f>
        <v>0</v>
      </c>
      <c r="BH37" s="348">
        <f t="shared" si="12"/>
        <v>0</v>
      </c>
      <c r="BI37" s="172"/>
      <c r="BJ37" s="169"/>
    </row>
    <row r="38" spans="1:78" x14ac:dyDescent="0.2">
      <c r="A38" s="547"/>
      <c r="B38" s="549"/>
      <c r="C38" s="343"/>
      <c r="D38" s="349"/>
      <c r="E38" s="345"/>
      <c r="F38" s="346"/>
      <c r="G38" s="345"/>
      <c r="H38" s="346"/>
      <c r="I38" s="345"/>
      <c r="J38" s="346"/>
      <c r="K38" s="345"/>
      <c r="L38" s="346"/>
      <c r="M38" s="345"/>
      <c r="N38" s="346"/>
      <c r="O38" s="345"/>
      <c r="P38" s="346"/>
      <c r="Q38" s="345"/>
      <c r="R38" s="346"/>
      <c r="S38" s="345"/>
      <c r="T38" s="346"/>
      <c r="U38" s="345"/>
      <c r="V38" s="346"/>
      <c r="W38" s="345"/>
      <c r="X38" s="346"/>
      <c r="Y38" s="345"/>
      <c r="Z38" s="346"/>
      <c r="AA38" s="345"/>
      <c r="AB38" s="346"/>
      <c r="AC38" s="345"/>
      <c r="AD38" s="346"/>
      <c r="AE38" s="345"/>
      <c r="AF38" s="346"/>
      <c r="AG38" s="345"/>
      <c r="AH38" s="346"/>
      <c r="AI38" s="345"/>
      <c r="AJ38" s="346"/>
      <c r="AK38" s="345"/>
      <c r="AL38" s="346"/>
      <c r="AM38" s="345"/>
      <c r="AN38" s="346"/>
      <c r="AO38" s="345"/>
      <c r="AP38" s="346"/>
      <c r="AQ38" s="345"/>
      <c r="AR38" s="346"/>
      <c r="AS38" s="345"/>
      <c r="AT38" s="346"/>
      <c r="AU38" s="345"/>
      <c r="AV38" s="346"/>
      <c r="AW38" s="345"/>
      <c r="AX38" s="346"/>
      <c r="AY38" s="345"/>
      <c r="AZ38" s="346"/>
      <c r="BA38" s="345"/>
      <c r="BB38" s="346"/>
      <c r="BC38" s="345"/>
      <c r="BD38" s="346"/>
      <c r="BE38" s="345"/>
      <c r="BF38" s="346"/>
      <c r="BG38" s="347"/>
      <c r="BH38" s="348"/>
      <c r="BI38" s="172"/>
      <c r="BJ38" s="169"/>
    </row>
    <row r="39" spans="1:78" x14ac:dyDescent="0.2">
      <c r="A39" s="588" t="s">
        <v>215</v>
      </c>
      <c r="B39" s="546"/>
      <c r="C39" s="350"/>
      <c r="D39" s="351"/>
      <c r="E39" s="352"/>
      <c r="F39" s="353"/>
      <c r="G39" s="352"/>
      <c r="H39" s="353"/>
      <c r="I39" s="352"/>
      <c r="J39" s="353"/>
      <c r="K39" s="352"/>
      <c r="L39" s="353"/>
      <c r="M39" s="352"/>
      <c r="N39" s="353"/>
      <c r="O39" s="352"/>
      <c r="P39" s="353"/>
      <c r="Q39" s="352"/>
      <c r="R39" s="353"/>
      <c r="S39" s="352"/>
      <c r="T39" s="353"/>
      <c r="U39" s="352"/>
      <c r="V39" s="353"/>
      <c r="W39" s="352"/>
      <c r="X39" s="353"/>
      <c r="Y39" s="352"/>
      <c r="Z39" s="353"/>
      <c r="AA39" s="352"/>
      <c r="AB39" s="353"/>
      <c r="AC39" s="352"/>
      <c r="AD39" s="353"/>
      <c r="AE39" s="352"/>
      <c r="AF39" s="353"/>
      <c r="AG39" s="352"/>
      <c r="AH39" s="353"/>
      <c r="AI39" s="352"/>
      <c r="AJ39" s="353"/>
      <c r="AK39" s="352"/>
      <c r="AL39" s="353"/>
      <c r="AM39" s="352"/>
      <c r="AN39" s="353"/>
      <c r="AO39" s="352"/>
      <c r="AP39" s="353"/>
      <c r="AQ39" s="352"/>
      <c r="AR39" s="353"/>
      <c r="AS39" s="352"/>
      <c r="AT39" s="353"/>
      <c r="AU39" s="352"/>
      <c r="AV39" s="353"/>
      <c r="AW39" s="352"/>
      <c r="AX39" s="353"/>
      <c r="AY39" s="352"/>
      <c r="AZ39" s="353"/>
      <c r="BA39" s="352"/>
      <c r="BB39" s="353"/>
      <c r="BC39" s="352"/>
      <c r="BD39" s="353"/>
      <c r="BE39" s="352"/>
      <c r="BF39" s="353"/>
      <c r="BG39" s="354">
        <f t="shared" ref="BG39:BH39" si="13">SUM(C39, E39, G39, I39, K39, M39, O39, Q39, S39, U39, W39, Y39, AA39, AC39, AE39, AG39, AI39, AK39, AM39, AO39, AQ39, AS39, AU39, AW39, AY39, BA39, BC39, BE39)</f>
        <v>0</v>
      </c>
      <c r="BH39" s="355">
        <f t="shared" si="13"/>
        <v>0</v>
      </c>
      <c r="BI39" s="172"/>
      <c r="BJ39" s="169"/>
    </row>
    <row r="40" spans="1:78" x14ac:dyDescent="0.2">
      <c r="A40" s="547"/>
      <c r="B40" s="549"/>
      <c r="C40" s="350"/>
      <c r="D40" s="351"/>
      <c r="E40" s="352"/>
      <c r="F40" s="353"/>
      <c r="G40" s="352"/>
      <c r="H40" s="353"/>
      <c r="I40" s="352"/>
      <c r="J40" s="353"/>
      <c r="K40" s="352"/>
      <c r="L40" s="353"/>
      <c r="M40" s="352"/>
      <c r="N40" s="353"/>
      <c r="O40" s="352"/>
      <c r="P40" s="353"/>
      <c r="Q40" s="352"/>
      <c r="R40" s="353"/>
      <c r="S40" s="352"/>
      <c r="T40" s="353"/>
      <c r="U40" s="352"/>
      <c r="V40" s="353"/>
      <c r="W40" s="352"/>
      <c r="X40" s="353"/>
      <c r="Y40" s="352"/>
      <c r="Z40" s="353"/>
      <c r="AA40" s="352"/>
      <c r="AB40" s="353"/>
      <c r="AC40" s="352"/>
      <c r="AD40" s="353"/>
      <c r="AE40" s="352"/>
      <c r="AF40" s="353"/>
      <c r="AG40" s="352"/>
      <c r="AH40" s="353"/>
      <c r="AI40" s="352"/>
      <c r="AJ40" s="353"/>
      <c r="AK40" s="352"/>
      <c r="AL40" s="353"/>
      <c r="AM40" s="352"/>
      <c r="AN40" s="353"/>
      <c r="AO40" s="352"/>
      <c r="AP40" s="353"/>
      <c r="AQ40" s="352"/>
      <c r="AR40" s="353"/>
      <c r="AS40" s="352"/>
      <c r="AT40" s="353"/>
      <c r="AU40" s="352"/>
      <c r="AV40" s="353"/>
      <c r="AW40" s="352"/>
      <c r="AX40" s="353"/>
      <c r="AY40" s="352"/>
      <c r="AZ40" s="353"/>
      <c r="BA40" s="352"/>
      <c r="BB40" s="353"/>
      <c r="BC40" s="352"/>
      <c r="BD40" s="353"/>
      <c r="BE40" s="352"/>
      <c r="BF40" s="353"/>
      <c r="BG40" s="354"/>
      <c r="BH40" s="355"/>
      <c r="BI40" s="172"/>
      <c r="BJ40" s="169"/>
    </row>
    <row r="41" spans="1:78" x14ac:dyDescent="0.2">
      <c r="A41" s="589" t="s">
        <v>210</v>
      </c>
      <c r="B41" s="546"/>
      <c r="C41" s="356"/>
      <c r="D41" s="357"/>
      <c r="E41" s="358"/>
      <c r="F41" s="359"/>
      <c r="G41" s="358"/>
      <c r="H41" s="359"/>
      <c r="I41" s="358"/>
      <c r="J41" s="359"/>
      <c r="K41" s="358"/>
      <c r="L41" s="359"/>
      <c r="M41" s="358"/>
      <c r="N41" s="359"/>
      <c r="O41" s="358"/>
      <c r="P41" s="359"/>
      <c r="Q41" s="358"/>
      <c r="R41" s="359"/>
      <c r="S41" s="358"/>
      <c r="T41" s="359"/>
      <c r="U41" s="358"/>
      <c r="V41" s="359"/>
      <c r="W41" s="358"/>
      <c r="X41" s="359"/>
      <c r="Y41" s="358"/>
      <c r="Z41" s="359"/>
      <c r="AA41" s="358"/>
      <c r="AB41" s="359"/>
      <c r="AC41" s="358"/>
      <c r="AD41" s="359"/>
      <c r="AE41" s="358"/>
      <c r="AF41" s="359"/>
      <c r="AG41" s="358"/>
      <c r="AH41" s="359"/>
      <c r="AI41" s="358"/>
      <c r="AJ41" s="359"/>
      <c r="AK41" s="358"/>
      <c r="AL41" s="359"/>
      <c r="AM41" s="358"/>
      <c r="AN41" s="359"/>
      <c r="AO41" s="358"/>
      <c r="AP41" s="359"/>
      <c r="AQ41" s="358"/>
      <c r="AR41" s="359"/>
      <c r="AS41" s="358"/>
      <c r="AT41" s="359"/>
      <c r="AU41" s="358"/>
      <c r="AV41" s="359"/>
      <c r="AW41" s="358"/>
      <c r="AX41" s="359"/>
      <c r="AY41" s="358"/>
      <c r="AZ41" s="359"/>
      <c r="BA41" s="358"/>
      <c r="BB41" s="359"/>
      <c r="BC41" s="358"/>
      <c r="BD41" s="359"/>
      <c r="BE41" s="358"/>
      <c r="BF41" s="359"/>
      <c r="BG41" s="360">
        <f t="shared" ref="BG41:BH41" si="14">SUM(C41, E41, G41, I41, K41, M41, O41, Q41, S41, U41, W41, Y41, AA41, AC41, AE41, AG41, AI41, AK41, AM41, AO41, AQ41, AS41, AU41, AW41, AY41, BA41, BC41, BE41)</f>
        <v>0</v>
      </c>
      <c r="BH41" s="361">
        <f t="shared" si="14"/>
        <v>0</v>
      </c>
      <c r="BI41" s="169"/>
      <c r="BJ41" s="169"/>
    </row>
    <row r="42" spans="1:78" x14ac:dyDescent="0.2">
      <c r="A42" s="547"/>
      <c r="B42" s="549"/>
      <c r="C42" s="362"/>
      <c r="D42" s="357"/>
      <c r="E42" s="358"/>
      <c r="F42" s="359"/>
      <c r="G42" s="358"/>
      <c r="H42" s="359"/>
      <c r="I42" s="358"/>
      <c r="J42" s="359"/>
      <c r="K42" s="358"/>
      <c r="L42" s="359"/>
      <c r="M42" s="358"/>
      <c r="N42" s="359"/>
      <c r="O42" s="358"/>
      <c r="P42" s="359"/>
      <c r="Q42" s="358"/>
      <c r="R42" s="359"/>
      <c r="S42" s="358"/>
      <c r="T42" s="359"/>
      <c r="U42" s="358"/>
      <c r="V42" s="359"/>
      <c r="W42" s="358"/>
      <c r="X42" s="359"/>
      <c r="Y42" s="358"/>
      <c r="Z42" s="359"/>
      <c r="AA42" s="358"/>
      <c r="AB42" s="359"/>
      <c r="AC42" s="358"/>
      <c r="AD42" s="359"/>
      <c r="AE42" s="358"/>
      <c r="AF42" s="359"/>
      <c r="AG42" s="358"/>
      <c r="AH42" s="359"/>
      <c r="AI42" s="358"/>
      <c r="AJ42" s="359"/>
      <c r="AK42" s="358"/>
      <c r="AL42" s="359"/>
      <c r="AM42" s="358"/>
      <c r="AN42" s="359"/>
      <c r="AO42" s="358"/>
      <c r="AP42" s="359"/>
      <c r="AQ42" s="358"/>
      <c r="AR42" s="359"/>
      <c r="AS42" s="358"/>
      <c r="AT42" s="359"/>
      <c r="AU42" s="358"/>
      <c r="AV42" s="359"/>
      <c r="AW42" s="358"/>
      <c r="AX42" s="359"/>
      <c r="AY42" s="358"/>
      <c r="AZ42" s="359"/>
      <c r="BA42" s="358"/>
      <c r="BB42" s="359"/>
      <c r="BC42" s="358"/>
      <c r="BD42" s="359"/>
      <c r="BE42" s="358"/>
      <c r="BF42" s="359"/>
      <c r="BG42" s="360"/>
      <c r="BH42" s="361"/>
      <c r="BI42" s="169"/>
      <c r="BJ42" s="169"/>
    </row>
    <row r="43" spans="1:78" x14ac:dyDescent="0.2">
      <c r="A43" s="590" t="s">
        <v>938</v>
      </c>
      <c r="B43" s="531"/>
      <c r="C43" s="363"/>
      <c r="D43" s="364"/>
      <c r="E43" s="365"/>
      <c r="F43" s="366"/>
      <c r="G43" s="365"/>
      <c r="H43" s="366"/>
      <c r="I43" s="365"/>
      <c r="J43" s="366"/>
      <c r="K43" s="365"/>
      <c r="L43" s="366"/>
      <c r="M43" s="365"/>
      <c r="N43" s="366"/>
      <c r="O43" s="365"/>
      <c r="P43" s="366"/>
      <c r="Q43" s="365"/>
      <c r="R43" s="366"/>
      <c r="S43" s="365"/>
      <c r="T43" s="366"/>
      <c r="U43" s="365"/>
      <c r="V43" s="366"/>
      <c r="W43" s="365"/>
      <c r="X43" s="366"/>
      <c r="Y43" s="365"/>
      <c r="Z43" s="366"/>
      <c r="AA43" s="365"/>
      <c r="AB43" s="366"/>
      <c r="AC43" s="365"/>
      <c r="AD43" s="366"/>
      <c r="AE43" s="365"/>
      <c r="AF43" s="366"/>
      <c r="AG43" s="365"/>
      <c r="AH43" s="366"/>
      <c r="AI43" s="365"/>
      <c r="AJ43" s="366"/>
      <c r="AK43" s="365"/>
      <c r="AL43" s="366"/>
      <c r="AM43" s="365"/>
      <c r="AN43" s="366"/>
      <c r="AO43" s="365"/>
      <c r="AP43" s="366"/>
      <c r="AQ43" s="365"/>
      <c r="AR43" s="366"/>
      <c r="AS43" s="365"/>
      <c r="AT43" s="366"/>
      <c r="AU43" s="365"/>
      <c r="AV43" s="366"/>
      <c r="AW43" s="365"/>
      <c r="AX43" s="366"/>
      <c r="AY43" s="365"/>
      <c r="AZ43" s="366"/>
      <c r="BA43" s="365"/>
      <c r="BB43" s="366"/>
      <c r="BC43" s="365"/>
      <c r="BD43" s="366"/>
      <c r="BE43" s="365"/>
      <c r="BF43" s="366"/>
      <c r="BG43" s="367">
        <f t="shared" ref="BG43:BH43" si="15">SUM(C43, E43, G43, I43, K43, M43, O43, Q43, S43, U43, W43, Y43, AA43, AC43, AE43, AG43, AI43, AK43, AM43, AO43, AQ43, AS43, AU43, AW43, AY43, BA43, BC43, BE43)</f>
        <v>0</v>
      </c>
      <c r="BH43" s="368">
        <f t="shared" si="15"/>
        <v>0</v>
      </c>
      <c r="BI43" s="169"/>
      <c r="BJ43" s="169"/>
    </row>
    <row r="44" spans="1:78" x14ac:dyDescent="0.2">
      <c r="A44" s="574" t="s">
        <v>939</v>
      </c>
      <c r="B44" s="531"/>
      <c r="C44" s="369"/>
      <c r="D44" s="370"/>
      <c r="E44" s="371"/>
      <c r="F44" s="372"/>
      <c r="G44" s="371"/>
      <c r="H44" s="373"/>
      <c r="I44" s="374"/>
      <c r="J44" s="373"/>
      <c r="K44" s="374"/>
      <c r="L44" s="373"/>
      <c r="M44" s="374"/>
      <c r="N44" s="373"/>
      <c r="O44" s="374"/>
      <c r="P44" s="373"/>
      <c r="Q44" s="374"/>
      <c r="R44" s="373"/>
      <c r="S44" s="374"/>
      <c r="T44" s="373"/>
      <c r="U44" s="374"/>
      <c r="V44" s="373"/>
      <c r="W44" s="374"/>
      <c r="X44" s="373"/>
      <c r="Y44" s="374"/>
      <c r="Z44" s="373"/>
      <c r="AA44" s="374"/>
      <c r="AB44" s="373"/>
      <c r="AC44" s="374"/>
      <c r="AD44" s="373"/>
      <c r="AE44" s="374"/>
      <c r="AF44" s="373"/>
      <c r="AG44" s="374"/>
      <c r="AH44" s="373"/>
      <c r="AI44" s="374"/>
      <c r="AJ44" s="373"/>
      <c r="AK44" s="374"/>
      <c r="AL44" s="373"/>
      <c r="AM44" s="374"/>
      <c r="AN44" s="373"/>
      <c r="AO44" s="374"/>
      <c r="AP44" s="373"/>
      <c r="AQ44" s="374"/>
      <c r="AR44" s="373"/>
      <c r="AS44" s="374"/>
      <c r="AT44" s="373"/>
      <c r="AU44" s="374"/>
      <c r="AV44" s="373"/>
      <c r="AW44" s="374"/>
      <c r="AX44" s="373"/>
      <c r="AY44" s="374"/>
      <c r="AZ44" s="373"/>
      <c r="BA44" s="374"/>
      <c r="BB44" s="373"/>
      <c r="BC44" s="374"/>
      <c r="BD44" s="373"/>
      <c r="BE44" s="374"/>
      <c r="BF44" s="373"/>
      <c r="BG44" s="375">
        <f t="shared" ref="BG44:BH44" si="16">SUM(C44, E44, G44, I44, K44, M44, O44, Q44, S44, U44, W44, Y44, AA44, AC44, AE44, AG44, AI44, AK44, AM44, AO44, AQ44, AS44, AU44, AW44, AY44, BA44, BC44, BE44)</f>
        <v>0</v>
      </c>
      <c r="BH44" s="376">
        <f t="shared" si="16"/>
        <v>0</v>
      </c>
      <c r="BI44" s="172"/>
      <c r="BJ44" s="169"/>
    </row>
    <row r="45" spans="1:78" x14ac:dyDescent="0.2">
      <c r="A45" s="575" t="s">
        <v>153</v>
      </c>
      <c r="B45" s="531"/>
      <c r="C45" s="582">
        <f>COUNTA(C30:D44)</f>
        <v>0</v>
      </c>
      <c r="D45" s="571"/>
      <c r="E45" s="582">
        <f>COUNTA(E30:F44)</f>
        <v>0</v>
      </c>
      <c r="F45" s="571"/>
      <c r="G45" s="582">
        <f>COUNTA(G30:H44)</f>
        <v>0</v>
      </c>
      <c r="H45" s="571"/>
      <c r="I45" s="582">
        <f>COUNTA(I30:J44)</f>
        <v>0</v>
      </c>
      <c r="J45" s="571"/>
      <c r="K45" s="582">
        <f>COUNTA(K30:L44)</f>
        <v>0</v>
      </c>
      <c r="L45" s="571"/>
      <c r="M45" s="582">
        <f>COUNTA(M30:N44)</f>
        <v>0</v>
      </c>
      <c r="N45" s="571"/>
      <c r="O45" s="582">
        <f>COUNTA(O30:P44)</f>
        <v>0</v>
      </c>
      <c r="P45" s="571"/>
      <c r="Q45" s="582">
        <f>COUNTA(Q30:R44)</f>
        <v>0</v>
      </c>
      <c r="R45" s="571"/>
      <c r="S45" s="582">
        <f>COUNTA(S30:T44)</f>
        <v>0</v>
      </c>
      <c r="T45" s="571"/>
      <c r="U45" s="582">
        <f>COUNTA(U30:V44)</f>
        <v>0</v>
      </c>
      <c r="V45" s="571"/>
      <c r="W45" s="582">
        <f>COUNTA(W30:X44)</f>
        <v>0</v>
      </c>
      <c r="X45" s="571"/>
      <c r="Y45" s="582">
        <f>COUNTA(Y30:Z44)</f>
        <v>0</v>
      </c>
      <c r="Z45" s="571"/>
      <c r="AA45" s="582">
        <f>COUNTA(AA30:AB44)</f>
        <v>0</v>
      </c>
      <c r="AB45" s="571"/>
      <c r="AC45" s="582">
        <f>COUNTA(AC30:AD44)</f>
        <v>0</v>
      </c>
      <c r="AD45" s="571"/>
      <c r="AE45" s="582">
        <f>COUNTA(AE30:AF44)</f>
        <v>0</v>
      </c>
      <c r="AF45" s="571"/>
      <c r="AG45" s="582">
        <f>COUNTA(AG30:AH44)</f>
        <v>0</v>
      </c>
      <c r="AH45" s="571"/>
      <c r="AI45" s="582">
        <f>COUNTA(AI30:AJ44)</f>
        <v>0</v>
      </c>
      <c r="AJ45" s="571"/>
      <c r="AK45" s="582">
        <f>COUNTA(AK30:AL44)</f>
        <v>0</v>
      </c>
      <c r="AL45" s="571"/>
      <c r="AM45" s="582">
        <f>COUNTA(AM30:AN44)</f>
        <v>0</v>
      </c>
      <c r="AN45" s="571"/>
      <c r="AO45" s="582">
        <f>COUNTA(AO30:AP44)</f>
        <v>0</v>
      </c>
      <c r="AP45" s="571"/>
      <c r="AQ45" s="582">
        <f>COUNTA(AQ30:AR44)</f>
        <v>0</v>
      </c>
      <c r="AR45" s="571"/>
      <c r="AS45" s="582">
        <f>COUNTA(AS30:AT44)</f>
        <v>0</v>
      </c>
      <c r="AT45" s="571"/>
      <c r="AU45" s="582">
        <f>COUNTA(AU30:AV44)</f>
        <v>0</v>
      </c>
      <c r="AV45" s="571"/>
      <c r="AW45" s="582">
        <f>COUNTA(AW30:AX44)</f>
        <v>0</v>
      </c>
      <c r="AX45" s="571"/>
      <c r="AY45" s="582">
        <f>COUNTA(AY30:AZ44)</f>
        <v>0</v>
      </c>
      <c r="AZ45" s="571"/>
      <c r="BA45" s="582">
        <f>COUNTA(BA30:BB44)</f>
        <v>0</v>
      </c>
      <c r="BB45" s="571"/>
      <c r="BC45" s="582">
        <f>COUNTA(BC30:BD44)</f>
        <v>0</v>
      </c>
      <c r="BD45" s="571"/>
      <c r="BE45" s="582">
        <f>COUNTA(BE30:BF44)</f>
        <v>0</v>
      </c>
      <c r="BF45" s="571"/>
      <c r="BG45" s="377">
        <f t="shared" ref="BG45:BH45" si="17">SUM(BG30:BG44)</f>
        <v>0</v>
      </c>
      <c r="BH45" s="378">
        <f t="shared" si="17"/>
        <v>0</v>
      </c>
      <c r="BI45" s="379"/>
      <c r="BJ45" s="379"/>
      <c r="BK45" s="380"/>
      <c r="BL45" s="380"/>
      <c r="BM45" s="380"/>
      <c r="BN45" s="380"/>
      <c r="BO45" s="380"/>
      <c r="BP45" s="380"/>
      <c r="BQ45" s="380"/>
      <c r="BR45" s="380"/>
      <c r="BS45" s="380"/>
      <c r="BT45" s="380"/>
      <c r="BU45" s="380"/>
      <c r="BV45" s="380"/>
      <c r="BW45" s="380"/>
      <c r="BX45" s="380"/>
      <c r="BY45" s="380"/>
      <c r="BZ45" s="380"/>
    </row>
    <row r="46" spans="1:78" x14ac:dyDescent="0.2">
      <c r="A46" s="215"/>
      <c r="B46" s="169"/>
      <c r="C46" s="126"/>
      <c r="D46" s="126"/>
      <c r="E46" s="174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19"/>
      <c r="AX46" s="119"/>
      <c r="AY46" s="119"/>
      <c r="AZ46" s="119"/>
      <c r="BA46" s="119"/>
      <c r="BB46" s="119"/>
      <c r="BC46" s="119"/>
      <c r="BD46" s="119"/>
      <c r="BE46" s="119"/>
      <c r="BF46" s="119"/>
      <c r="BG46" s="172"/>
      <c r="BH46" s="172"/>
      <c r="BI46" s="172"/>
      <c r="BJ46" s="169"/>
    </row>
    <row r="47" spans="1:78" x14ac:dyDescent="0.2">
      <c r="A47" s="215"/>
      <c r="B47" s="169"/>
      <c r="C47" s="126"/>
      <c r="D47" s="126"/>
      <c r="E47" s="174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  <c r="AS47" s="119"/>
      <c r="AT47" s="119"/>
      <c r="AU47" s="119"/>
      <c r="AV47" s="119"/>
      <c r="AW47" s="119"/>
      <c r="AX47" s="119"/>
      <c r="AY47" s="119"/>
      <c r="AZ47" s="119"/>
      <c r="BA47" s="119"/>
      <c r="BB47" s="119"/>
      <c r="BC47" s="119"/>
      <c r="BD47" s="119"/>
      <c r="BE47" s="119"/>
      <c r="BF47" s="119"/>
      <c r="BG47" s="172"/>
      <c r="BH47" s="172"/>
      <c r="BI47" s="172"/>
      <c r="BJ47" s="169"/>
    </row>
    <row r="48" spans="1:78" x14ac:dyDescent="0.2">
      <c r="A48" s="215"/>
      <c r="B48" s="169"/>
      <c r="C48" s="126"/>
      <c r="D48" s="126"/>
      <c r="E48" s="174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19"/>
      <c r="AX48" s="119"/>
      <c r="AY48" s="119"/>
      <c r="AZ48" s="119"/>
      <c r="BA48" s="119"/>
      <c r="BB48" s="119"/>
      <c r="BC48" s="119"/>
      <c r="BD48" s="119"/>
      <c r="BE48" s="119"/>
      <c r="BF48" s="119"/>
      <c r="BG48" s="172"/>
      <c r="BH48" s="172"/>
      <c r="BI48" s="172"/>
      <c r="BJ48" s="169"/>
    </row>
    <row r="49" spans="1:62" x14ac:dyDescent="0.2">
      <c r="A49" s="215"/>
      <c r="B49" s="169"/>
      <c r="C49" s="126"/>
      <c r="D49" s="126"/>
      <c r="E49" s="174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19"/>
      <c r="AX49" s="119"/>
      <c r="AY49" s="119"/>
      <c r="AZ49" s="119"/>
      <c r="BA49" s="119"/>
      <c r="BB49" s="119"/>
      <c r="BC49" s="119"/>
      <c r="BD49" s="119"/>
      <c r="BE49" s="119"/>
      <c r="BF49" s="119"/>
      <c r="BG49" s="172"/>
      <c r="BH49" s="172"/>
      <c r="BI49" s="172"/>
      <c r="BJ49" s="169"/>
    </row>
    <row r="50" spans="1:62" x14ac:dyDescent="0.2">
      <c r="A50" s="215"/>
      <c r="B50" s="169"/>
      <c r="C50" s="126"/>
      <c r="D50" s="126"/>
      <c r="E50" s="174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19"/>
      <c r="BD50" s="119"/>
      <c r="BE50" s="119"/>
      <c r="BF50" s="119"/>
      <c r="BG50" s="172"/>
      <c r="BH50" s="172"/>
      <c r="BI50" s="172"/>
      <c r="BJ50" s="169"/>
    </row>
    <row r="51" spans="1:62" x14ac:dyDescent="0.2">
      <c r="A51" s="215"/>
      <c r="B51" s="169"/>
      <c r="C51" s="126"/>
      <c r="D51" s="126"/>
      <c r="E51" s="174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72"/>
      <c r="BH51" s="172"/>
      <c r="BI51" s="172"/>
      <c r="BJ51" s="169"/>
    </row>
    <row r="52" spans="1:62" x14ac:dyDescent="0.2">
      <c r="A52" s="215"/>
      <c r="B52" s="169"/>
      <c r="C52" s="126"/>
      <c r="D52" s="126"/>
      <c r="E52" s="174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  <c r="AV52" s="119"/>
      <c r="AW52" s="119"/>
      <c r="AX52" s="119"/>
      <c r="AY52" s="119"/>
      <c r="AZ52" s="119"/>
      <c r="BA52" s="119"/>
      <c r="BB52" s="119"/>
      <c r="BC52" s="119"/>
      <c r="BD52" s="119"/>
      <c r="BE52" s="119"/>
      <c r="BF52" s="119"/>
      <c r="BG52" s="172"/>
      <c r="BH52" s="172"/>
      <c r="BI52" s="172"/>
      <c r="BJ52" s="169"/>
    </row>
    <row r="53" spans="1:62" x14ac:dyDescent="0.2">
      <c r="A53" s="215"/>
      <c r="B53" s="169"/>
      <c r="C53" s="126"/>
      <c r="D53" s="126"/>
      <c r="E53" s="174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  <c r="AV53" s="119"/>
      <c r="AW53" s="119"/>
      <c r="AX53" s="119"/>
      <c r="AY53" s="119"/>
      <c r="AZ53" s="119"/>
      <c r="BA53" s="119"/>
      <c r="BB53" s="119"/>
      <c r="BC53" s="119"/>
      <c r="BD53" s="119"/>
      <c r="BE53" s="119"/>
      <c r="BF53" s="119"/>
      <c r="BG53" s="172"/>
      <c r="BH53" s="172"/>
      <c r="BI53" s="172"/>
      <c r="BJ53" s="169"/>
    </row>
    <row r="54" spans="1:62" x14ac:dyDescent="0.2">
      <c r="A54" s="215"/>
      <c r="B54" s="169"/>
      <c r="C54" s="126"/>
      <c r="D54" s="126"/>
      <c r="E54" s="174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19"/>
      <c r="BD54" s="119"/>
      <c r="BE54" s="119"/>
      <c r="BF54" s="119"/>
      <c r="BG54" s="172"/>
      <c r="BH54" s="172"/>
      <c r="BI54" s="172"/>
      <c r="BJ54" s="169"/>
    </row>
    <row r="55" spans="1:62" x14ac:dyDescent="0.2">
      <c r="A55" s="215"/>
      <c r="B55" s="169"/>
      <c r="C55" s="126"/>
      <c r="D55" s="126"/>
      <c r="E55" s="174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  <c r="AN55" s="119"/>
      <c r="AO55" s="119"/>
      <c r="AP55" s="119"/>
      <c r="AQ55" s="119"/>
      <c r="AR55" s="119"/>
      <c r="AS55" s="119"/>
      <c r="AT55" s="119"/>
      <c r="AU55" s="119"/>
      <c r="AV55" s="119"/>
      <c r="AW55" s="119"/>
      <c r="AX55" s="119"/>
      <c r="AY55" s="119"/>
      <c r="AZ55" s="119"/>
      <c r="BA55" s="119"/>
      <c r="BB55" s="119"/>
      <c r="BC55" s="119"/>
      <c r="BD55" s="119"/>
      <c r="BE55" s="119"/>
      <c r="BF55" s="119"/>
      <c r="BG55" s="172"/>
      <c r="BH55" s="172"/>
      <c r="BI55" s="172"/>
      <c r="BJ55" s="169"/>
    </row>
    <row r="56" spans="1:62" x14ac:dyDescent="0.2">
      <c r="A56" s="215"/>
      <c r="B56" s="169"/>
      <c r="C56" s="126"/>
      <c r="D56" s="126"/>
      <c r="E56" s="174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19"/>
      <c r="BA56" s="119"/>
      <c r="BB56" s="119"/>
      <c r="BC56" s="119"/>
      <c r="BD56" s="119"/>
      <c r="BE56" s="119"/>
      <c r="BF56" s="119"/>
      <c r="BG56" s="172"/>
      <c r="BH56" s="172"/>
      <c r="BI56" s="172"/>
      <c r="BJ56" s="169"/>
    </row>
    <row r="57" spans="1:62" x14ac:dyDescent="0.2">
      <c r="A57" s="215"/>
      <c r="B57" s="169"/>
      <c r="C57" s="126"/>
      <c r="D57" s="126"/>
      <c r="E57" s="174"/>
      <c r="F57" s="126"/>
      <c r="G57" s="126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  <c r="AO57" s="119"/>
      <c r="AP57" s="119"/>
      <c r="AQ57" s="119"/>
      <c r="AR57" s="119"/>
      <c r="AS57" s="119"/>
      <c r="AT57" s="119"/>
      <c r="AU57" s="119"/>
      <c r="AV57" s="119"/>
      <c r="AW57" s="119"/>
      <c r="AX57" s="119"/>
      <c r="AY57" s="119"/>
      <c r="AZ57" s="119"/>
      <c r="BA57" s="119"/>
      <c r="BB57" s="119"/>
      <c r="BC57" s="119"/>
      <c r="BD57" s="119"/>
      <c r="BE57" s="119"/>
      <c r="BF57" s="119"/>
      <c r="BG57" s="172"/>
      <c r="BH57" s="172"/>
      <c r="BI57" s="172"/>
      <c r="BJ57" s="169"/>
    </row>
    <row r="58" spans="1:62" x14ac:dyDescent="0.2">
      <c r="A58" s="215"/>
      <c r="B58" s="169"/>
      <c r="C58" s="126"/>
      <c r="D58" s="126"/>
      <c r="E58" s="174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19"/>
      <c r="AV58" s="119"/>
      <c r="AW58" s="119"/>
      <c r="AX58" s="119"/>
      <c r="AY58" s="119"/>
      <c r="AZ58" s="119"/>
      <c r="BA58" s="119"/>
      <c r="BB58" s="119"/>
      <c r="BC58" s="119"/>
      <c r="BD58" s="119"/>
      <c r="BE58" s="119"/>
      <c r="BF58" s="119"/>
      <c r="BG58" s="172"/>
      <c r="BH58" s="172"/>
      <c r="BI58" s="172"/>
      <c r="BJ58" s="169"/>
    </row>
    <row r="59" spans="1:62" x14ac:dyDescent="0.2">
      <c r="A59" s="215"/>
      <c r="B59" s="169"/>
      <c r="C59" s="126"/>
      <c r="D59" s="126"/>
      <c r="E59" s="174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19"/>
      <c r="BG59" s="172"/>
      <c r="BH59" s="172"/>
      <c r="BI59" s="172"/>
      <c r="BJ59" s="169"/>
    </row>
    <row r="60" spans="1:62" x14ac:dyDescent="0.2">
      <c r="A60" s="215"/>
      <c r="B60" s="169"/>
      <c r="C60" s="126"/>
      <c r="D60" s="126"/>
      <c r="E60" s="174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  <c r="AV60" s="119"/>
      <c r="AW60" s="119"/>
      <c r="AX60" s="119"/>
      <c r="AY60" s="119"/>
      <c r="AZ60" s="119"/>
      <c r="BA60" s="119"/>
      <c r="BB60" s="119"/>
      <c r="BC60" s="119"/>
      <c r="BD60" s="119"/>
      <c r="BE60" s="119"/>
      <c r="BF60" s="119"/>
      <c r="BG60" s="172"/>
      <c r="BH60" s="172"/>
      <c r="BI60" s="172"/>
      <c r="BJ60" s="169"/>
    </row>
    <row r="61" spans="1:62" x14ac:dyDescent="0.2">
      <c r="A61" s="215"/>
      <c r="B61" s="169"/>
      <c r="C61" s="126"/>
      <c r="D61" s="126"/>
      <c r="E61" s="174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  <c r="AS61" s="119"/>
      <c r="AT61" s="119"/>
      <c r="AU61" s="119"/>
      <c r="AV61" s="119"/>
      <c r="AW61" s="119"/>
      <c r="AX61" s="119"/>
      <c r="AY61" s="119"/>
      <c r="AZ61" s="119"/>
      <c r="BA61" s="119"/>
      <c r="BB61" s="119"/>
      <c r="BC61" s="119"/>
      <c r="BD61" s="119"/>
      <c r="BE61" s="119"/>
      <c r="BF61" s="119"/>
      <c r="BG61" s="172"/>
      <c r="BH61" s="172"/>
      <c r="BI61" s="172"/>
      <c r="BJ61" s="169"/>
    </row>
    <row r="62" spans="1:62" x14ac:dyDescent="0.2">
      <c r="A62" s="215"/>
      <c r="B62" s="169"/>
      <c r="C62" s="126"/>
      <c r="D62" s="126"/>
      <c r="E62" s="174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19"/>
      <c r="BD62" s="119"/>
      <c r="BE62" s="119"/>
      <c r="BF62" s="119"/>
      <c r="BG62" s="172"/>
      <c r="BH62" s="172"/>
      <c r="BI62" s="172"/>
      <c r="BJ62" s="169"/>
    </row>
    <row r="63" spans="1:62" x14ac:dyDescent="0.2">
      <c r="A63" s="215"/>
      <c r="B63" s="169"/>
      <c r="C63" s="126"/>
      <c r="D63" s="126"/>
      <c r="E63" s="174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9"/>
      <c r="AT63" s="119"/>
      <c r="AU63" s="119"/>
      <c r="AV63" s="119"/>
      <c r="AW63" s="119"/>
      <c r="AX63" s="119"/>
      <c r="AY63" s="119"/>
      <c r="AZ63" s="119"/>
      <c r="BA63" s="119"/>
      <c r="BB63" s="119"/>
      <c r="BC63" s="119"/>
      <c r="BD63" s="119"/>
      <c r="BE63" s="119"/>
      <c r="BF63" s="119"/>
      <c r="BG63" s="172"/>
      <c r="BH63" s="172"/>
      <c r="BI63" s="172"/>
      <c r="BJ63" s="169"/>
    </row>
    <row r="64" spans="1:62" x14ac:dyDescent="0.2">
      <c r="A64" s="215"/>
      <c r="B64" s="169"/>
      <c r="C64" s="126"/>
      <c r="D64" s="126"/>
      <c r="E64" s="174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  <c r="AS64" s="119"/>
      <c r="AT64" s="119"/>
      <c r="AU64" s="119"/>
      <c r="AV64" s="119"/>
      <c r="AW64" s="119"/>
      <c r="AX64" s="119"/>
      <c r="AY64" s="119"/>
      <c r="AZ64" s="119"/>
      <c r="BA64" s="119"/>
      <c r="BB64" s="119"/>
      <c r="BC64" s="119"/>
      <c r="BD64" s="119"/>
      <c r="BE64" s="119"/>
      <c r="BF64" s="119"/>
      <c r="BG64" s="172"/>
      <c r="BH64" s="172"/>
      <c r="BI64" s="172"/>
      <c r="BJ64" s="169"/>
    </row>
    <row r="65" spans="1:62" x14ac:dyDescent="0.2">
      <c r="A65" s="215"/>
      <c r="B65" s="169"/>
      <c r="C65" s="126"/>
      <c r="D65" s="126"/>
      <c r="E65" s="174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  <c r="AZ65" s="119"/>
      <c r="BA65" s="119"/>
      <c r="BB65" s="119"/>
      <c r="BC65" s="119"/>
      <c r="BD65" s="119"/>
      <c r="BE65" s="119"/>
      <c r="BF65" s="119"/>
      <c r="BG65" s="172"/>
      <c r="BH65" s="172"/>
      <c r="BI65" s="172"/>
      <c r="BJ65" s="169"/>
    </row>
    <row r="66" spans="1:62" x14ac:dyDescent="0.2">
      <c r="A66" s="215"/>
      <c r="B66" s="169"/>
      <c r="C66" s="126"/>
      <c r="D66" s="126"/>
      <c r="E66" s="174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  <c r="AS66" s="119"/>
      <c r="AT66" s="119"/>
      <c r="AU66" s="119"/>
      <c r="AV66" s="119"/>
      <c r="AW66" s="119"/>
      <c r="AX66" s="119"/>
      <c r="AY66" s="119"/>
      <c r="AZ66" s="119"/>
      <c r="BA66" s="119"/>
      <c r="BB66" s="119"/>
      <c r="BC66" s="119"/>
      <c r="BD66" s="119"/>
      <c r="BE66" s="119"/>
      <c r="BF66" s="119"/>
      <c r="BG66" s="172"/>
      <c r="BH66" s="172"/>
      <c r="BI66" s="172"/>
      <c r="BJ66" s="169"/>
    </row>
    <row r="67" spans="1:62" x14ac:dyDescent="0.2">
      <c r="B67" s="172"/>
      <c r="C67" s="126"/>
      <c r="D67" s="126"/>
      <c r="E67" s="174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19"/>
      <c r="BF67" s="119"/>
      <c r="BG67" s="172"/>
      <c r="BH67" s="172"/>
      <c r="BI67" s="172"/>
      <c r="BJ67" s="169"/>
    </row>
    <row r="68" spans="1:62" x14ac:dyDescent="0.2">
      <c r="A68" s="215"/>
      <c r="B68" s="169"/>
      <c r="C68" s="126"/>
      <c r="D68" s="126"/>
      <c r="E68" s="174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  <c r="AV68" s="119"/>
      <c r="AW68" s="119"/>
      <c r="AX68" s="119"/>
      <c r="AY68" s="119"/>
      <c r="AZ68" s="119"/>
      <c r="BA68" s="119"/>
      <c r="BB68" s="119"/>
      <c r="BC68" s="119"/>
      <c r="BD68" s="119"/>
      <c r="BE68" s="119"/>
      <c r="BF68" s="119"/>
      <c r="BG68" s="172"/>
      <c r="BH68" s="172"/>
      <c r="BI68" s="172"/>
      <c r="BJ68" s="169"/>
    </row>
    <row r="69" spans="1:62" x14ac:dyDescent="0.2">
      <c r="A69" s="215"/>
      <c r="B69" s="169"/>
      <c r="C69" s="126"/>
      <c r="D69" s="126"/>
      <c r="E69" s="174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  <c r="AS69" s="119"/>
      <c r="AT69" s="119"/>
      <c r="AU69" s="119"/>
      <c r="AV69" s="119"/>
      <c r="AW69" s="119"/>
      <c r="AX69" s="119"/>
      <c r="AY69" s="119"/>
      <c r="AZ69" s="119"/>
      <c r="BA69" s="119"/>
      <c r="BB69" s="119"/>
      <c r="BC69" s="119"/>
      <c r="BD69" s="119"/>
      <c r="BE69" s="119"/>
      <c r="BF69" s="119"/>
      <c r="BG69" s="172"/>
      <c r="BH69" s="172"/>
      <c r="BI69" s="172"/>
      <c r="BJ69" s="169"/>
    </row>
    <row r="70" spans="1:62" x14ac:dyDescent="0.2">
      <c r="A70" s="215"/>
      <c r="B70" s="169"/>
      <c r="C70" s="126"/>
      <c r="D70" s="126"/>
      <c r="E70" s="174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72"/>
      <c r="BH70" s="172"/>
      <c r="BI70" s="172"/>
      <c r="BJ70" s="169"/>
    </row>
    <row r="71" spans="1:62" x14ac:dyDescent="0.2">
      <c r="A71" s="215"/>
      <c r="B71" s="169"/>
      <c r="C71" s="126"/>
      <c r="D71" s="126"/>
      <c r="E71" s="174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  <c r="AP71" s="119"/>
      <c r="AQ71" s="119"/>
      <c r="AR71" s="119"/>
      <c r="AS71" s="119"/>
      <c r="AT71" s="119"/>
      <c r="AU71" s="119"/>
      <c r="AV71" s="119"/>
      <c r="AW71" s="119"/>
      <c r="AX71" s="119"/>
      <c r="AY71" s="119"/>
      <c r="AZ71" s="119"/>
      <c r="BA71" s="119"/>
      <c r="BB71" s="119"/>
      <c r="BC71" s="119"/>
      <c r="BD71" s="119"/>
      <c r="BE71" s="119"/>
      <c r="BF71" s="119"/>
      <c r="BG71" s="172"/>
      <c r="BH71" s="172"/>
      <c r="BI71" s="172"/>
      <c r="BJ71" s="169"/>
    </row>
    <row r="72" spans="1:62" x14ac:dyDescent="0.2">
      <c r="B72" s="169"/>
      <c r="C72" s="126"/>
      <c r="D72" s="126"/>
      <c r="E72" s="174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19"/>
      <c r="AV72" s="119"/>
      <c r="AW72" s="119"/>
      <c r="AX72" s="119"/>
      <c r="AY72" s="119"/>
      <c r="AZ72" s="119"/>
      <c r="BA72" s="119"/>
      <c r="BB72" s="119"/>
      <c r="BC72" s="119"/>
      <c r="BD72" s="119"/>
      <c r="BE72" s="119"/>
      <c r="BF72" s="119"/>
      <c r="BG72" s="172"/>
      <c r="BH72" s="172"/>
      <c r="BI72" s="172"/>
      <c r="BJ72" s="169"/>
    </row>
    <row r="73" spans="1:62" x14ac:dyDescent="0.2">
      <c r="A73" s="215"/>
      <c r="B73" s="169"/>
      <c r="C73" s="126"/>
      <c r="D73" s="126"/>
      <c r="E73" s="174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19"/>
      <c r="AO73" s="119"/>
      <c r="AP73" s="119"/>
      <c r="AQ73" s="119"/>
      <c r="AR73" s="119"/>
      <c r="AS73" s="119"/>
      <c r="AT73" s="119"/>
      <c r="AU73" s="119"/>
      <c r="AV73" s="119"/>
      <c r="AW73" s="119"/>
      <c r="AX73" s="119"/>
      <c r="AY73" s="119"/>
      <c r="AZ73" s="119"/>
      <c r="BA73" s="119"/>
      <c r="BB73" s="119"/>
      <c r="BC73" s="119"/>
      <c r="BD73" s="119"/>
      <c r="BE73" s="119"/>
      <c r="BF73" s="119"/>
      <c r="BG73" s="172"/>
      <c r="BH73" s="172"/>
      <c r="BI73" s="172"/>
      <c r="BJ73" s="169"/>
    </row>
    <row r="74" spans="1:62" x14ac:dyDescent="0.2">
      <c r="A74" s="215"/>
      <c r="B74" s="169"/>
      <c r="C74" s="126"/>
      <c r="D74" s="126"/>
      <c r="E74" s="174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19"/>
      <c r="AV74" s="119"/>
      <c r="AW74" s="119"/>
      <c r="AX74" s="119"/>
      <c r="AY74" s="119"/>
      <c r="AZ74" s="119"/>
      <c r="BA74" s="119"/>
      <c r="BB74" s="119"/>
      <c r="BC74" s="119"/>
      <c r="BD74" s="119"/>
      <c r="BE74" s="119"/>
      <c r="BF74" s="119"/>
      <c r="BG74" s="172"/>
      <c r="BH74" s="172"/>
      <c r="BI74" s="172"/>
      <c r="BJ74" s="169"/>
    </row>
    <row r="75" spans="1:62" x14ac:dyDescent="0.2">
      <c r="A75" s="215"/>
      <c r="B75" s="169"/>
      <c r="C75" s="126"/>
      <c r="D75" s="126"/>
      <c r="E75" s="174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  <c r="AO75" s="119"/>
      <c r="AP75" s="119"/>
      <c r="AQ75" s="119"/>
      <c r="AR75" s="119"/>
      <c r="AS75" s="119"/>
      <c r="AT75" s="119"/>
      <c r="AU75" s="119"/>
      <c r="AV75" s="119"/>
      <c r="AW75" s="119"/>
      <c r="AX75" s="119"/>
      <c r="AY75" s="119"/>
      <c r="AZ75" s="119"/>
      <c r="BA75" s="119"/>
      <c r="BB75" s="119"/>
      <c r="BC75" s="119"/>
      <c r="BD75" s="119"/>
      <c r="BE75" s="119"/>
      <c r="BF75" s="119"/>
      <c r="BG75" s="172"/>
      <c r="BH75" s="172"/>
      <c r="BI75" s="172"/>
      <c r="BJ75" s="169"/>
    </row>
    <row r="76" spans="1:62" x14ac:dyDescent="0.2">
      <c r="A76" s="215"/>
      <c r="B76" s="169"/>
      <c r="C76" s="126"/>
      <c r="D76" s="126"/>
      <c r="E76" s="174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19"/>
      <c r="AV76" s="119"/>
      <c r="AW76" s="119"/>
      <c r="AX76" s="119"/>
      <c r="AY76" s="119"/>
      <c r="AZ76" s="119"/>
      <c r="BA76" s="119"/>
      <c r="BB76" s="119"/>
      <c r="BC76" s="119"/>
      <c r="BD76" s="119"/>
      <c r="BE76" s="119"/>
      <c r="BF76" s="119"/>
      <c r="BG76" s="172"/>
      <c r="BH76" s="172"/>
      <c r="BI76" s="172"/>
      <c r="BJ76" s="169"/>
    </row>
    <row r="77" spans="1:62" x14ac:dyDescent="0.2">
      <c r="A77" s="215"/>
      <c r="B77" s="169"/>
      <c r="C77" s="126"/>
      <c r="D77" s="126"/>
      <c r="E77" s="174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  <c r="AS77" s="119"/>
      <c r="AT77" s="119"/>
      <c r="AU77" s="119"/>
      <c r="AV77" s="119"/>
      <c r="AW77" s="119"/>
      <c r="AX77" s="119"/>
      <c r="AY77" s="119"/>
      <c r="AZ77" s="119"/>
      <c r="BA77" s="119"/>
      <c r="BB77" s="119"/>
      <c r="BC77" s="119"/>
      <c r="BD77" s="119"/>
      <c r="BE77" s="119"/>
      <c r="BF77" s="119"/>
      <c r="BG77" s="172"/>
      <c r="BH77" s="172"/>
      <c r="BI77" s="172"/>
      <c r="BJ77" s="169"/>
    </row>
    <row r="78" spans="1:62" x14ac:dyDescent="0.2">
      <c r="A78" s="215"/>
      <c r="B78" s="169"/>
      <c r="C78" s="126"/>
      <c r="D78" s="126"/>
      <c r="E78" s="174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19"/>
      <c r="AV78" s="119"/>
      <c r="AW78" s="119"/>
      <c r="AX78" s="119"/>
      <c r="AY78" s="119"/>
      <c r="AZ78" s="119"/>
      <c r="BA78" s="119"/>
      <c r="BB78" s="119"/>
      <c r="BC78" s="119"/>
      <c r="BD78" s="119"/>
      <c r="BE78" s="119"/>
      <c r="BF78" s="119"/>
      <c r="BG78" s="172"/>
      <c r="BH78" s="172"/>
      <c r="BI78" s="172"/>
      <c r="BJ78" s="169"/>
    </row>
    <row r="79" spans="1:62" x14ac:dyDescent="0.2">
      <c r="A79" s="215"/>
      <c r="B79" s="169"/>
      <c r="C79" s="126"/>
      <c r="D79" s="126"/>
      <c r="E79" s="174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9"/>
      <c r="AS79" s="119"/>
      <c r="AT79" s="119"/>
      <c r="AU79" s="119"/>
      <c r="AV79" s="119"/>
      <c r="AW79" s="119"/>
      <c r="AX79" s="119"/>
      <c r="AY79" s="119"/>
      <c r="AZ79" s="119"/>
      <c r="BA79" s="119"/>
      <c r="BB79" s="119"/>
      <c r="BC79" s="119"/>
      <c r="BD79" s="119"/>
      <c r="BE79" s="119"/>
      <c r="BF79" s="119"/>
      <c r="BG79" s="172"/>
      <c r="BH79" s="172"/>
      <c r="BI79" s="172"/>
      <c r="BJ79" s="169"/>
    </row>
    <row r="80" spans="1:62" x14ac:dyDescent="0.2">
      <c r="A80" s="215"/>
      <c r="B80" s="169"/>
      <c r="C80" s="126"/>
      <c r="D80" s="126"/>
      <c r="E80" s="174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19"/>
      <c r="AV80" s="119"/>
      <c r="AW80" s="119"/>
      <c r="AX80" s="119"/>
      <c r="AY80" s="119"/>
      <c r="AZ80" s="119"/>
      <c r="BA80" s="119"/>
      <c r="BB80" s="119"/>
      <c r="BC80" s="119"/>
      <c r="BD80" s="119"/>
      <c r="BE80" s="119"/>
      <c r="BF80" s="119"/>
      <c r="BG80" s="172"/>
      <c r="BH80" s="172"/>
      <c r="BI80" s="172"/>
      <c r="BJ80" s="169"/>
    </row>
    <row r="81" spans="1:62" x14ac:dyDescent="0.2">
      <c r="A81" s="215"/>
      <c r="B81" s="169"/>
      <c r="C81" s="126"/>
      <c r="D81" s="126"/>
      <c r="E81" s="174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  <c r="AP81" s="119"/>
      <c r="AQ81" s="119"/>
      <c r="AR81" s="119"/>
      <c r="AS81" s="119"/>
      <c r="AT81" s="119"/>
      <c r="AU81" s="119"/>
      <c r="AV81" s="119"/>
      <c r="AW81" s="119"/>
      <c r="AX81" s="119"/>
      <c r="AY81" s="119"/>
      <c r="AZ81" s="119"/>
      <c r="BA81" s="119"/>
      <c r="BB81" s="119"/>
      <c r="BC81" s="119"/>
      <c r="BD81" s="119"/>
      <c r="BE81" s="119"/>
      <c r="BF81" s="119"/>
      <c r="BG81" s="172"/>
      <c r="BH81" s="172"/>
      <c r="BI81" s="172"/>
      <c r="BJ81" s="169"/>
    </row>
    <row r="82" spans="1:62" x14ac:dyDescent="0.2">
      <c r="A82" s="215"/>
      <c r="B82" s="169"/>
      <c r="C82" s="126"/>
      <c r="D82" s="126"/>
      <c r="E82" s="174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  <c r="AS82" s="119"/>
      <c r="AT82" s="119"/>
      <c r="AU82" s="119"/>
      <c r="AV82" s="119"/>
      <c r="AW82" s="119"/>
      <c r="AX82" s="119"/>
      <c r="AY82" s="119"/>
      <c r="AZ82" s="119"/>
      <c r="BA82" s="119"/>
      <c r="BB82" s="119"/>
      <c r="BC82" s="119"/>
      <c r="BD82" s="119"/>
      <c r="BE82" s="119"/>
      <c r="BF82" s="119"/>
      <c r="BG82" s="172"/>
      <c r="BH82" s="172"/>
      <c r="BI82" s="172"/>
      <c r="BJ82" s="169"/>
    </row>
    <row r="83" spans="1:62" x14ac:dyDescent="0.2">
      <c r="A83" s="215"/>
      <c r="B83" s="169"/>
      <c r="C83" s="126"/>
      <c r="D83" s="126"/>
      <c r="E83" s="174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  <c r="AS83" s="119"/>
      <c r="AT83" s="119"/>
      <c r="AU83" s="119"/>
      <c r="AV83" s="119"/>
      <c r="AW83" s="119"/>
      <c r="AX83" s="119"/>
      <c r="AY83" s="119"/>
      <c r="AZ83" s="119"/>
      <c r="BA83" s="119"/>
      <c r="BB83" s="119"/>
      <c r="BC83" s="119"/>
      <c r="BD83" s="119"/>
      <c r="BE83" s="119"/>
      <c r="BF83" s="119"/>
      <c r="BG83" s="172"/>
      <c r="BH83" s="172"/>
      <c r="BI83" s="172"/>
      <c r="BJ83" s="169"/>
    </row>
    <row r="84" spans="1:62" x14ac:dyDescent="0.2">
      <c r="A84" s="215"/>
      <c r="B84" s="169"/>
      <c r="C84" s="126"/>
      <c r="D84" s="126"/>
      <c r="E84" s="174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  <c r="AS84" s="119"/>
      <c r="AT84" s="119"/>
      <c r="AU84" s="119"/>
      <c r="AV84" s="119"/>
      <c r="AW84" s="119"/>
      <c r="AX84" s="119"/>
      <c r="AY84" s="119"/>
      <c r="AZ84" s="119"/>
      <c r="BA84" s="119"/>
      <c r="BB84" s="119"/>
      <c r="BC84" s="119"/>
      <c r="BD84" s="119"/>
      <c r="BE84" s="119"/>
      <c r="BF84" s="119"/>
      <c r="BG84" s="172"/>
      <c r="BH84" s="172"/>
      <c r="BI84" s="172"/>
      <c r="BJ84" s="169"/>
    </row>
    <row r="85" spans="1:62" x14ac:dyDescent="0.2">
      <c r="A85" s="215"/>
      <c r="B85" s="169"/>
      <c r="C85" s="126"/>
      <c r="D85" s="126"/>
      <c r="E85" s="174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  <c r="AP85" s="119"/>
      <c r="AQ85" s="119"/>
      <c r="AR85" s="119"/>
      <c r="AS85" s="119"/>
      <c r="AT85" s="119"/>
      <c r="AU85" s="119"/>
      <c r="AV85" s="119"/>
      <c r="AW85" s="119"/>
      <c r="AX85" s="119"/>
      <c r="AY85" s="119"/>
      <c r="AZ85" s="119"/>
      <c r="BA85" s="119"/>
      <c r="BB85" s="119"/>
      <c r="BC85" s="119"/>
      <c r="BD85" s="119"/>
      <c r="BE85" s="119"/>
      <c r="BF85" s="119"/>
      <c r="BG85" s="172"/>
      <c r="BH85" s="172"/>
      <c r="BI85" s="172"/>
      <c r="BJ85" s="169"/>
    </row>
    <row r="86" spans="1:62" x14ac:dyDescent="0.2">
      <c r="A86" s="215"/>
      <c r="B86" s="169"/>
      <c r="C86" s="126"/>
      <c r="D86" s="126"/>
      <c r="E86" s="174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19"/>
      <c r="AU86" s="119"/>
      <c r="AV86" s="119"/>
      <c r="AW86" s="119"/>
      <c r="AX86" s="119"/>
      <c r="AY86" s="119"/>
      <c r="AZ86" s="119"/>
      <c r="BA86" s="119"/>
      <c r="BB86" s="119"/>
      <c r="BC86" s="119"/>
      <c r="BD86" s="119"/>
      <c r="BE86" s="119"/>
      <c r="BF86" s="119"/>
      <c r="BG86" s="172"/>
      <c r="BH86" s="172"/>
      <c r="BI86" s="172"/>
      <c r="BJ86" s="169"/>
    </row>
    <row r="87" spans="1:62" x14ac:dyDescent="0.2">
      <c r="BG87" s="172"/>
      <c r="BH87" s="172"/>
      <c r="BI87" s="172"/>
    </row>
    <row r="88" spans="1:62" x14ac:dyDescent="0.2">
      <c r="BG88" s="172"/>
      <c r="BH88" s="172"/>
      <c r="BI88" s="172"/>
    </row>
    <row r="89" spans="1:62" x14ac:dyDescent="0.2">
      <c r="BG89" s="172"/>
      <c r="BH89" s="172"/>
      <c r="BI89" s="172"/>
    </row>
    <row r="90" spans="1:62" x14ac:dyDescent="0.2">
      <c r="BG90" s="172"/>
      <c r="BH90" s="172"/>
      <c r="BI90" s="172"/>
    </row>
    <row r="91" spans="1:62" x14ac:dyDescent="0.2">
      <c r="BG91" s="172"/>
      <c r="BH91" s="172"/>
      <c r="BI91" s="172"/>
    </row>
    <row r="92" spans="1:62" x14ac:dyDescent="0.2">
      <c r="BG92" s="172"/>
      <c r="BH92" s="172"/>
      <c r="BI92" s="172"/>
    </row>
    <row r="93" spans="1:62" x14ac:dyDescent="0.2">
      <c r="BG93" s="169"/>
      <c r="BH93" s="172"/>
      <c r="BI93" s="172"/>
    </row>
    <row r="94" spans="1:62" x14ac:dyDescent="0.2">
      <c r="BG94" s="169"/>
      <c r="BH94" s="172"/>
      <c r="BI94" s="169"/>
    </row>
    <row r="95" spans="1:62" x14ac:dyDescent="0.2">
      <c r="BG95" s="172"/>
      <c r="BH95" s="169"/>
      <c r="BI95" s="169"/>
    </row>
    <row r="96" spans="1:62" x14ac:dyDescent="0.2">
      <c r="BG96" s="172"/>
      <c r="BH96" s="172"/>
      <c r="BI96" s="172"/>
    </row>
    <row r="97" spans="59:61" x14ac:dyDescent="0.2">
      <c r="BG97" s="172"/>
      <c r="BH97" s="172"/>
      <c r="BI97" s="172"/>
    </row>
    <row r="98" spans="59:61" x14ac:dyDescent="0.2">
      <c r="BG98" s="172"/>
      <c r="BH98" s="172"/>
      <c r="BI98" s="172"/>
    </row>
    <row r="99" spans="59:61" x14ac:dyDescent="0.2">
      <c r="BG99" s="169"/>
      <c r="BH99" s="172"/>
      <c r="BI99" s="172"/>
    </row>
    <row r="100" spans="59:61" x14ac:dyDescent="0.2">
      <c r="BG100" s="169"/>
      <c r="BH100" s="169"/>
      <c r="BI100" s="172"/>
    </row>
    <row r="101" spans="59:61" x14ac:dyDescent="0.2">
      <c r="BG101" s="169"/>
      <c r="BH101" s="172"/>
      <c r="BI101" s="172"/>
    </row>
    <row r="102" spans="59:61" x14ac:dyDescent="0.2">
      <c r="BG102" s="169"/>
      <c r="BH102" s="172"/>
      <c r="BI102" s="172"/>
    </row>
    <row r="103" spans="59:61" x14ac:dyDescent="0.2">
      <c r="BG103" s="169"/>
      <c r="BH103" s="172"/>
      <c r="BI103" s="172"/>
    </row>
    <row r="104" spans="59:61" x14ac:dyDescent="0.2">
      <c r="BG104" s="169"/>
      <c r="BH104" s="172"/>
      <c r="BI104" s="172"/>
    </row>
    <row r="105" spans="59:61" x14ac:dyDescent="0.2">
      <c r="BG105" s="169"/>
      <c r="BH105" s="172"/>
      <c r="BI105" s="172"/>
    </row>
    <row r="106" spans="59:61" x14ac:dyDescent="0.2">
      <c r="BG106" s="169"/>
      <c r="BH106" s="172"/>
      <c r="BI106" s="172"/>
    </row>
    <row r="107" spans="59:61" x14ac:dyDescent="0.2">
      <c r="BG107" s="169"/>
      <c r="BH107" s="172"/>
      <c r="BI107" s="172"/>
    </row>
    <row r="108" spans="59:61" x14ac:dyDescent="0.2">
      <c r="BG108" s="169"/>
      <c r="BH108" s="172"/>
      <c r="BI108" s="172"/>
    </row>
    <row r="109" spans="59:61" x14ac:dyDescent="0.2">
      <c r="BG109" s="169"/>
      <c r="BH109" s="172"/>
      <c r="BI109" s="169"/>
    </row>
    <row r="110" spans="59:61" x14ac:dyDescent="0.2">
      <c r="BG110" s="169"/>
      <c r="BH110" s="172"/>
      <c r="BI110" s="172"/>
    </row>
    <row r="111" spans="59:61" x14ac:dyDescent="0.2">
      <c r="BG111" s="169"/>
      <c r="BH111" s="172"/>
      <c r="BI111" s="169"/>
    </row>
    <row r="112" spans="59:61" x14ac:dyDescent="0.2">
      <c r="BG112" s="169"/>
      <c r="BH112" s="169"/>
      <c r="BI112" s="172"/>
    </row>
    <row r="113" spans="59:61" x14ac:dyDescent="0.2">
      <c r="BG113" s="169"/>
      <c r="BH113" s="169"/>
      <c r="BI113" s="169"/>
    </row>
  </sheetData>
  <mergeCells count="163">
    <mergeCell ref="AM15:AN15"/>
    <mergeCell ref="W15:X15"/>
    <mergeCell ref="Y15:Z15"/>
    <mergeCell ref="AA15:AB15"/>
    <mergeCell ref="AC15:AD15"/>
    <mergeCell ref="AE15:AF15"/>
    <mergeCell ref="AG15:AH15"/>
    <mergeCell ref="AI15:AJ15"/>
    <mergeCell ref="BC14:BD14"/>
    <mergeCell ref="BE14:BF14"/>
    <mergeCell ref="BG14:BH15"/>
    <mergeCell ref="BC15:BD15"/>
    <mergeCell ref="BE15:BF15"/>
    <mergeCell ref="AS15:AT15"/>
    <mergeCell ref="AU15:AV15"/>
    <mergeCell ref="AW15:AX15"/>
    <mergeCell ref="AY15:AZ15"/>
    <mergeCell ref="BA15:BB15"/>
    <mergeCell ref="AS14:AT14"/>
    <mergeCell ref="AU14:AV14"/>
    <mergeCell ref="AW14:AX14"/>
    <mergeCell ref="AY14:AZ14"/>
    <mergeCell ref="BA14:BB14"/>
    <mergeCell ref="M15:N15"/>
    <mergeCell ref="O15:P15"/>
    <mergeCell ref="Q15:R15"/>
    <mergeCell ref="S15:T15"/>
    <mergeCell ref="U15:V15"/>
    <mergeCell ref="AO15:AP15"/>
    <mergeCell ref="AQ15:AR15"/>
    <mergeCell ref="AE14:AF14"/>
    <mergeCell ref="AG14:AH14"/>
    <mergeCell ref="AI14:AJ14"/>
    <mergeCell ref="AK14:AL14"/>
    <mergeCell ref="AM14:AN14"/>
    <mergeCell ref="AO14:AP14"/>
    <mergeCell ref="AQ14:AR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K15:AL15"/>
    <mergeCell ref="A17:B17"/>
    <mergeCell ref="S29:T29"/>
    <mergeCell ref="U29:V29"/>
    <mergeCell ref="C29:D29"/>
    <mergeCell ref="E29:F29"/>
    <mergeCell ref="I29:J29"/>
    <mergeCell ref="K29:L29"/>
    <mergeCell ref="M29:N29"/>
    <mergeCell ref="O29:P29"/>
    <mergeCell ref="Q29:R29"/>
    <mergeCell ref="A18:B18"/>
    <mergeCell ref="A19:B19"/>
    <mergeCell ref="A20:B20"/>
    <mergeCell ref="A21:B21"/>
    <mergeCell ref="A22:B22"/>
    <mergeCell ref="I28:J28"/>
    <mergeCell ref="K28:L28"/>
    <mergeCell ref="M28:N28"/>
    <mergeCell ref="O28:P28"/>
    <mergeCell ref="Q28:R28"/>
    <mergeCell ref="S28:T28"/>
    <mergeCell ref="U28:V28"/>
    <mergeCell ref="A23:B23"/>
    <mergeCell ref="A30:B32"/>
    <mergeCell ref="A33:B34"/>
    <mergeCell ref="A35:B36"/>
    <mergeCell ref="A37:B38"/>
    <mergeCell ref="A39:B40"/>
    <mergeCell ref="A41:B42"/>
    <mergeCell ref="A43:B43"/>
    <mergeCell ref="A44:B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N45"/>
    <mergeCell ref="BC45:BD45"/>
    <mergeCell ref="BE45:BF45"/>
    <mergeCell ref="AO45:AP45"/>
    <mergeCell ref="AQ45:AR45"/>
    <mergeCell ref="AS45:AT45"/>
    <mergeCell ref="AU45:AV45"/>
    <mergeCell ref="AW45:AX45"/>
    <mergeCell ref="AY45:AZ45"/>
    <mergeCell ref="BA45:BB45"/>
    <mergeCell ref="BC29:BD29"/>
    <mergeCell ref="BE29:BF29"/>
    <mergeCell ref="AY28:AZ28"/>
    <mergeCell ref="BA28:BB28"/>
    <mergeCell ref="BC28:BD28"/>
    <mergeCell ref="BE28:BF28"/>
    <mergeCell ref="BG28:BH29"/>
    <mergeCell ref="AY29:AZ29"/>
    <mergeCell ref="BA29:BB29"/>
    <mergeCell ref="A1:H1"/>
    <mergeCell ref="C14:D14"/>
    <mergeCell ref="E14:F14"/>
    <mergeCell ref="G14:H14"/>
    <mergeCell ref="I14:J14"/>
    <mergeCell ref="K14:L14"/>
    <mergeCell ref="K15:L15"/>
    <mergeCell ref="C15:D15"/>
    <mergeCell ref="E15:F15"/>
    <mergeCell ref="A14:B16"/>
    <mergeCell ref="G15:H15"/>
    <mergeCell ref="I15:J15"/>
    <mergeCell ref="A24:B24"/>
    <mergeCell ref="A25:B25"/>
    <mergeCell ref="A28:B29"/>
    <mergeCell ref="C28:D28"/>
    <mergeCell ref="E28:F28"/>
    <mergeCell ref="G28:H28"/>
    <mergeCell ref="G29:H29"/>
    <mergeCell ref="W28:X28"/>
    <mergeCell ref="Y28:Z28"/>
    <mergeCell ref="W29:X29"/>
    <mergeCell ref="Y29:Z29"/>
    <mergeCell ref="AW29:AX29"/>
    <mergeCell ref="AK28:AL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O29:AP29"/>
    <mergeCell ref="AQ29:AR29"/>
    <mergeCell ref="AS29:AT29"/>
    <mergeCell ref="AU29:AV29"/>
    <mergeCell ref="AK29:AL29"/>
    <mergeCell ref="AM29:AN29"/>
    <mergeCell ref="AA29:AB29"/>
    <mergeCell ref="AC29:AD29"/>
    <mergeCell ref="AE29:AF29"/>
    <mergeCell ref="AG29:AH29"/>
    <mergeCell ref="AI29:AJ2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V58"/>
  <sheetViews>
    <sheetView workbookViewId="0"/>
  </sheetViews>
  <sheetFormatPr defaultColWidth="11.21875" defaultRowHeight="15" customHeight="1" x14ac:dyDescent="0.2"/>
  <cols>
    <col min="1" max="1" width="15.4140625" customWidth="1"/>
    <col min="2" max="2" width="13.31640625" customWidth="1"/>
  </cols>
  <sheetData>
    <row r="1" spans="1:22" x14ac:dyDescent="0.2">
      <c r="A1" s="578" t="s">
        <v>934</v>
      </c>
      <c r="B1" s="537"/>
      <c r="C1" s="537"/>
      <c r="D1" s="537"/>
      <c r="E1" s="537"/>
      <c r="F1" s="537"/>
      <c r="G1" s="537"/>
      <c r="H1" s="53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</row>
    <row r="2" spans="1:22" x14ac:dyDescent="0.2">
      <c r="A2" s="78" t="s">
        <v>200</v>
      </c>
      <c r="B2" s="78"/>
      <c r="C2" s="79" t="s">
        <v>119</v>
      </c>
      <c r="D2" s="79" t="s">
        <v>202</v>
      </c>
      <c r="E2" s="79" t="s">
        <v>121</v>
      </c>
      <c r="F2" s="79" t="s">
        <v>935</v>
      </c>
      <c r="G2" s="79" t="s">
        <v>203</v>
      </c>
      <c r="H2" s="79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x14ac:dyDescent="0.2">
      <c r="A3" s="97" t="s">
        <v>291</v>
      </c>
      <c r="B3" s="97"/>
      <c r="C3" s="98" t="b">
        <v>0</v>
      </c>
      <c r="D3" s="99" t="b">
        <v>0</v>
      </c>
      <c r="E3" s="98" t="b">
        <v>0</v>
      </c>
      <c r="F3" s="98" t="b">
        <v>0</v>
      </c>
      <c r="G3" s="98" t="b">
        <v>0</v>
      </c>
      <c r="H3" s="98" t="b">
        <v>0</v>
      </c>
      <c r="I3" s="39"/>
      <c r="J3" s="39"/>
      <c r="K3" s="39"/>
      <c r="L3" s="39"/>
      <c r="M3" s="39"/>
      <c r="N3" s="39"/>
      <c r="O3" s="39"/>
      <c r="P3" s="39"/>
      <c r="Q3" s="17"/>
      <c r="R3" s="17"/>
      <c r="S3" s="17"/>
      <c r="T3" s="17"/>
      <c r="U3" s="17"/>
      <c r="V3" s="17"/>
    </row>
    <row r="4" spans="1:22" x14ac:dyDescent="0.2">
      <c r="A4" s="252" t="s">
        <v>44</v>
      </c>
      <c r="B4" s="103"/>
      <c r="C4" s="83" t="b">
        <v>0</v>
      </c>
      <c r="D4" s="84" t="b">
        <v>0</v>
      </c>
      <c r="E4" s="83" t="b">
        <v>0</v>
      </c>
      <c r="F4" s="85" t="b">
        <v>0</v>
      </c>
      <c r="G4" s="85" t="b">
        <v>0</v>
      </c>
      <c r="H4" s="85" t="b">
        <v>0</v>
      </c>
      <c r="I4" s="39"/>
      <c r="J4" s="39"/>
      <c r="K4" s="39"/>
      <c r="L4" s="39"/>
      <c r="M4" s="39"/>
      <c r="N4" s="39"/>
      <c r="O4" s="39"/>
      <c r="P4" s="39"/>
      <c r="Q4" s="17"/>
      <c r="R4" s="17"/>
      <c r="S4" s="17"/>
      <c r="T4" s="17"/>
      <c r="U4" s="17"/>
      <c r="V4" s="17"/>
    </row>
    <row r="5" spans="1:22" x14ac:dyDescent="0.2">
      <c r="A5" s="252" t="s">
        <v>54</v>
      </c>
      <c r="B5" s="103"/>
      <c r="C5" s="83" t="b">
        <v>0</v>
      </c>
      <c r="D5" s="84" t="b">
        <v>0</v>
      </c>
      <c r="E5" s="83" t="b">
        <v>0</v>
      </c>
      <c r="F5" s="85" t="b">
        <v>0</v>
      </c>
      <c r="G5" s="85" t="b">
        <v>0</v>
      </c>
      <c r="H5" s="85" t="b">
        <v>0</v>
      </c>
      <c r="I5" s="39"/>
      <c r="J5" s="39"/>
      <c r="K5" s="39"/>
      <c r="L5" s="39"/>
      <c r="M5" s="39"/>
      <c r="N5" s="39"/>
      <c r="O5" s="39"/>
      <c r="P5" s="39"/>
      <c r="Q5" s="17"/>
      <c r="R5" s="17"/>
      <c r="S5" s="17"/>
      <c r="T5" s="17"/>
      <c r="U5" s="17"/>
      <c r="V5" s="17"/>
    </row>
    <row r="8" spans="1:22" x14ac:dyDescent="0.2">
      <c r="A8" s="576" t="s">
        <v>504</v>
      </c>
      <c r="B8" s="546"/>
      <c r="C8" s="381">
        <v>45841</v>
      </c>
      <c r="D8" s="382">
        <v>45842</v>
      </c>
      <c r="E8" s="381">
        <v>45844</v>
      </c>
      <c r="F8" s="382">
        <v>45849</v>
      </c>
      <c r="G8" s="381">
        <v>45850</v>
      </c>
      <c r="H8" s="382">
        <v>45851</v>
      </c>
      <c r="I8" s="381">
        <v>45855</v>
      </c>
      <c r="J8" s="382">
        <v>45856</v>
      </c>
      <c r="K8" s="381">
        <v>45857</v>
      </c>
      <c r="L8" s="382">
        <v>45858</v>
      </c>
      <c r="M8" s="579">
        <v>45839</v>
      </c>
      <c r="N8" s="531"/>
      <c r="O8" s="579">
        <v>45840</v>
      </c>
      <c r="P8" s="531"/>
      <c r="Q8" s="579">
        <v>45841</v>
      </c>
      <c r="R8" s="531"/>
      <c r="S8" s="579">
        <v>45842</v>
      </c>
      <c r="T8" s="531"/>
      <c r="U8" s="579">
        <v>45843</v>
      </c>
      <c r="V8" s="531"/>
    </row>
    <row r="9" spans="1:22" x14ac:dyDescent="0.2">
      <c r="A9" s="584"/>
      <c r="B9" s="535"/>
      <c r="C9" s="580" t="s">
        <v>940</v>
      </c>
      <c r="D9" s="531"/>
      <c r="E9" s="580" t="s">
        <v>941</v>
      </c>
      <c r="F9" s="531"/>
      <c r="G9" s="580" t="s">
        <v>942</v>
      </c>
      <c r="H9" s="531"/>
      <c r="I9" s="580" t="s">
        <v>943</v>
      </c>
      <c r="J9" s="531"/>
      <c r="K9" s="580" t="s">
        <v>944</v>
      </c>
      <c r="L9" s="531"/>
      <c r="M9" s="580" t="s">
        <v>945</v>
      </c>
      <c r="N9" s="531"/>
      <c r="O9" s="580" t="s">
        <v>945</v>
      </c>
      <c r="P9" s="531"/>
      <c r="Q9" s="580" t="s">
        <v>946</v>
      </c>
      <c r="R9" s="531"/>
      <c r="S9" s="580" t="s">
        <v>947</v>
      </c>
      <c r="T9" s="531"/>
      <c r="U9" s="580" t="s">
        <v>948</v>
      </c>
      <c r="V9" s="531"/>
    </row>
    <row r="10" spans="1:22" x14ac:dyDescent="0.2">
      <c r="A10" s="547"/>
      <c r="B10" s="549"/>
      <c r="C10" s="77" t="s">
        <v>151</v>
      </c>
      <c r="D10" s="77" t="s">
        <v>152</v>
      </c>
      <c r="E10" s="77" t="s">
        <v>151</v>
      </c>
      <c r="F10" s="77" t="s">
        <v>152</v>
      </c>
      <c r="G10" s="77" t="s">
        <v>151</v>
      </c>
      <c r="H10" s="77" t="s">
        <v>152</v>
      </c>
      <c r="I10" s="77" t="s">
        <v>151</v>
      </c>
      <c r="J10" s="77" t="s">
        <v>152</v>
      </c>
      <c r="K10" s="77" t="s">
        <v>151</v>
      </c>
      <c r="L10" s="77" t="s">
        <v>152</v>
      </c>
      <c r="M10" s="77" t="s">
        <v>151</v>
      </c>
      <c r="N10" s="77" t="s">
        <v>152</v>
      </c>
      <c r="O10" s="77" t="s">
        <v>151</v>
      </c>
      <c r="P10" s="77" t="s">
        <v>152</v>
      </c>
      <c r="Q10" s="77" t="s">
        <v>151</v>
      </c>
      <c r="R10" s="77" t="s">
        <v>152</v>
      </c>
      <c r="S10" s="77" t="s">
        <v>151</v>
      </c>
      <c r="T10" s="77" t="s">
        <v>152</v>
      </c>
      <c r="U10" s="77" t="s">
        <v>151</v>
      </c>
      <c r="V10" s="77" t="s">
        <v>152</v>
      </c>
    </row>
    <row r="11" spans="1:22" x14ac:dyDescent="0.2">
      <c r="A11" s="591" t="s">
        <v>44</v>
      </c>
      <c r="B11" s="531"/>
      <c r="C11" s="278"/>
      <c r="D11" s="278"/>
      <c r="E11" s="279"/>
      <c r="F11" s="279"/>
      <c r="G11" s="279"/>
      <c r="H11" s="279"/>
      <c r="I11" s="279"/>
      <c r="J11" s="279"/>
      <c r="K11" s="279"/>
      <c r="L11" s="279"/>
      <c r="M11" s="279"/>
      <c r="N11" s="279"/>
      <c r="O11" s="279"/>
      <c r="P11" s="279"/>
      <c r="Q11" s="279"/>
      <c r="R11" s="279"/>
      <c r="S11" s="279"/>
      <c r="T11" s="279"/>
      <c r="U11" s="279"/>
      <c r="V11" s="279"/>
    </row>
    <row r="12" spans="1:22" x14ac:dyDescent="0.2">
      <c r="A12" s="593" t="s">
        <v>54</v>
      </c>
      <c r="B12" s="531"/>
      <c r="C12" s="284"/>
      <c r="D12" s="284"/>
      <c r="E12" s="285"/>
      <c r="F12" s="285"/>
      <c r="G12" s="285"/>
      <c r="H12" s="285"/>
      <c r="I12" s="285"/>
      <c r="J12" s="285"/>
      <c r="K12" s="285"/>
      <c r="L12" s="285"/>
      <c r="M12" s="285"/>
      <c r="N12" s="285"/>
      <c r="O12" s="285"/>
      <c r="P12" s="285"/>
      <c r="Q12" s="285"/>
      <c r="R12" s="285"/>
      <c r="S12" s="285"/>
      <c r="T12" s="285"/>
      <c r="U12" s="285"/>
      <c r="V12" s="285"/>
    </row>
    <row r="13" spans="1:22" x14ac:dyDescent="0.2">
      <c r="A13" s="575" t="s">
        <v>153</v>
      </c>
      <c r="B13" s="531"/>
      <c r="C13" s="264">
        <f t="shared" ref="C13:V13" si="0">SUM(C11:C12)</f>
        <v>0</v>
      </c>
      <c r="D13" s="264">
        <f t="shared" si="0"/>
        <v>0</v>
      </c>
      <c r="E13" s="264">
        <f t="shared" si="0"/>
        <v>0</v>
      </c>
      <c r="F13" s="264">
        <f t="shared" si="0"/>
        <v>0</v>
      </c>
      <c r="G13" s="264">
        <f t="shared" si="0"/>
        <v>0</v>
      </c>
      <c r="H13" s="264">
        <f t="shared" si="0"/>
        <v>0</v>
      </c>
      <c r="I13" s="264">
        <f t="shared" si="0"/>
        <v>0</v>
      </c>
      <c r="J13" s="264">
        <f t="shared" si="0"/>
        <v>0</v>
      </c>
      <c r="K13" s="264">
        <f t="shared" si="0"/>
        <v>0</v>
      </c>
      <c r="L13" s="264">
        <f t="shared" si="0"/>
        <v>0</v>
      </c>
      <c r="M13" s="264">
        <f t="shared" si="0"/>
        <v>0</v>
      </c>
      <c r="N13" s="264">
        <f t="shared" si="0"/>
        <v>0</v>
      </c>
      <c r="O13" s="264">
        <f t="shared" si="0"/>
        <v>0</v>
      </c>
      <c r="P13" s="264">
        <f t="shared" si="0"/>
        <v>0</v>
      </c>
      <c r="Q13" s="264">
        <f t="shared" si="0"/>
        <v>0</v>
      </c>
      <c r="R13" s="264">
        <f t="shared" si="0"/>
        <v>0</v>
      </c>
      <c r="S13" s="264">
        <f t="shared" si="0"/>
        <v>0</v>
      </c>
      <c r="T13" s="264">
        <f t="shared" si="0"/>
        <v>0</v>
      </c>
      <c r="U13" s="264">
        <f t="shared" si="0"/>
        <v>0</v>
      </c>
      <c r="V13" s="264">
        <f t="shared" si="0"/>
        <v>0</v>
      </c>
    </row>
    <row r="14" spans="1:22" x14ac:dyDescent="0.2">
      <c r="A14" s="215"/>
      <c r="B14" s="169"/>
      <c r="C14" s="126"/>
      <c r="D14" s="126"/>
      <c r="E14" s="174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</row>
    <row r="15" spans="1:22" x14ac:dyDescent="0.2">
      <c r="A15" s="215"/>
      <c r="B15" s="169"/>
      <c r="C15" s="126"/>
      <c r="D15" s="126"/>
      <c r="E15" s="174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</row>
    <row r="16" spans="1:22" x14ac:dyDescent="0.2">
      <c r="A16" s="576" t="s">
        <v>962</v>
      </c>
      <c r="B16" s="546"/>
      <c r="C16" s="577">
        <v>45833</v>
      </c>
      <c r="D16" s="571"/>
      <c r="E16" s="572">
        <v>45834</v>
      </c>
      <c r="F16" s="571"/>
      <c r="G16" s="572">
        <v>45835</v>
      </c>
      <c r="H16" s="571"/>
      <c r="I16" s="572">
        <v>45836</v>
      </c>
      <c r="J16" s="571"/>
      <c r="K16" s="572">
        <v>45837</v>
      </c>
      <c r="L16" s="571"/>
      <c r="M16" s="572">
        <v>45839</v>
      </c>
      <c r="N16" s="571"/>
      <c r="O16" s="572">
        <v>45840</v>
      </c>
      <c r="P16" s="571"/>
      <c r="Q16" s="572">
        <v>45841</v>
      </c>
      <c r="R16" s="571"/>
      <c r="S16" s="572">
        <v>45842</v>
      </c>
      <c r="T16" s="571"/>
      <c r="U16" s="572">
        <v>45843</v>
      </c>
      <c r="V16" s="571"/>
    </row>
    <row r="17" spans="1:22" x14ac:dyDescent="0.2">
      <c r="A17" s="547"/>
      <c r="B17" s="549"/>
      <c r="C17" s="592" t="s">
        <v>940</v>
      </c>
      <c r="D17" s="571"/>
      <c r="E17" s="570" t="s">
        <v>941</v>
      </c>
      <c r="F17" s="571"/>
      <c r="G17" s="573" t="s">
        <v>942</v>
      </c>
      <c r="H17" s="571"/>
      <c r="I17" s="570" t="s">
        <v>943</v>
      </c>
      <c r="J17" s="571"/>
      <c r="K17" s="570" t="s">
        <v>944</v>
      </c>
      <c r="L17" s="571"/>
      <c r="M17" s="570" t="s">
        <v>945</v>
      </c>
      <c r="N17" s="571"/>
      <c r="O17" s="570" t="s">
        <v>945</v>
      </c>
      <c r="P17" s="571"/>
      <c r="Q17" s="570" t="s">
        <v>946</v>
      </c>
      <c r="R17" s="571"/>
      <c r="S17" s="573" t="s">
        <v>947</v>
      </c>
      <c r="T17" s="571"/>
      <c r="U17" s="570" t="s">
        <v>948</v>
      </c>
      <c r="V17" s="571"/>
    </row>
    <row r="18" spans="1:22" x14ac:dyDescent="0.2">
      <c r="A18" s="583" t="s">
        <v>44</v>
      </c>
      <c r="B18" s="546"/>
      <c r="C18" s="324"/>
      <c r="D18" s="325"/>
      <c r="E18" s="326"/>
      <c r="F18" s="327"/>
      <c r="G18" s="326"/>
      <c r="H18" s="327"/>
      <c r="I18" s="326"/>
      <c r="J18" s="327"/>
      <c r="K18" s="326"/>
      <c r="L18" s="327"/>
      <c r="M18" s="326"/>
      <c r="N18" s="327"/>
      <c r="O18" s="326"/>
      <c r="P18" s="327"/>
      <c r="Q18" s="326"/>
      <c r="R18" s="327"/>
      <c r="S18" s="326"/>
      <c r="T18" s="327"/>
      <c r="U18" s="326"/>
      <c r="V18" s="327"/>
    </row>
    <row r="19" spans="1:22" x14ac:dyDescent="0.2">
      <c r="A19" s="584"/>
      <c r="B19" s="535"/>
      <c r="C19" s="330"/>
      <c r="D19" s="325"/>
      <c r="E19" s="326"/>
      <c r="F19" s="327"/>
      <c r="G19" s="326"/>
      <c r="H19" s="327"/>
      <c r="I19" s="326"/>
      <c r="J19" s="327"/>
      <c r="K19" s="326"/>
      <c r="L19" s="327"/>
      <c r="M19" s="326"/>
      <c r="N19" s="327"/>
      <c r="O19" s="326"/>
      <c r="P19" s="327"/>
      <c r="Q19" s="326"/>
      <c r="R19" s="327"/>
      <c r="S19" s="326"/>
      <c r="T19" s="327"/>
      <c r="U19" s="326"/>
      <c r="V19" s="327"/>
    </row>
    <row r="20" spans="1:22" x14ac:dyDescent="0.2">
      <c r="A20" s="547"/>
      <c r="B20" s="549"/>
      <c r="C20" s="330"/>
      <c r="D20" s="325"/>
      <c r="E20" s="326"/>
      <c r="F20" s="327"/>
      <c r="G20" s="326"/>
      <c r="H20" s="327"/>
      <c r="I20" s="326"/>
      <c r="J20" s="327"/>
      <c r="K20" s="326"/>
      <c r="L20" s="327"/>
      <c r="M20" s="326"/>
      <c r="N20" s="327"/>
      <c r="O20" s="326"/>
      <c r="P20" s="327"/>
      <c r="Q20" s="326"/>
      <c r="R20" s="327"/>
      <c r="S20" s="326"/>
      <c r="T20" s="327"/>
      <c r="U20" s="326"/>
      <c r="V20" s="327"/>
    </row>
    <row r="21" spans="1:22" x14ac:dyDescent="0.2">
      <c r="A21" s="585" t="s">
        <v>54</v>
      </c>
      <c r="B21" s="546"/>
      <c r="C21" s="331"/>
      <c r="D21" s="332"/>
      <c r="E21" s="333"/>
      <c r="F21" s="334"/>
      <c r="G21" s="333"/>
      <c r="H21" s="334"/>
      <c r="I21" s="333"/>
      <c r="J21" s="334"/>
      <c r="K21" s="333"/>
      <c r="L21" s="334"/>
      <c r="M21" s="333"/>
      <c r="N21" s="334"/>
      <c r="O21" s="333"/>
      <c r="P21" s="334"/>
      <c r="Q21" s="333"/>
      <c r="R21" s="334"/>
      <c r="S21" s="333"/>
      <c r="T21" s="334"/>
      <c r="U21" s="333"/>
      <c r="V21" s="334"/>
    </row>
    <row r="22" spans="1:22" x14ac:dyDescent="0.2">
      <c r="A22" s="547"/>
      <c r="B22" s="549"/>
      <c r="C22" s="331"/>
      <c r="D22" s="332"/>
      <c r="E22" s="333"/>
      <c r="F22" s="334"/>
      <c r="G22" s="333"/>
      <c r="H22" s="334"/>
      <c r="I22" s="333"/>
      <c r="J22" s="334"/>
      <c r="K22" s="333"/>
      <c r="L22" s="334"/>
      <c r="M22" s="333"/>
      <c r="N22" s="334"/>
      <c r="O22" s="333"/>
      <c r="P22" s="334"/>
      <c r="Q22" s="333"/>
      <c r="R22" s="334"/>
      <c r="S22" s="333"/>
      <c r="T22" s="334"/>
      <c r="U22" s="333"/>
      <c r="V22" s="334"/>
    </row>
    <row r="23" spans="1:22" x14ac:dyDescent="0.2">
      <c r="A23" s="575" t="s">
        <v>153</v>
      </c>
      <c r="B23" s="531"/>
      <c r="C23" s="582">
        <f>COUNTA(C18:D22)</f>
        <v>0</v>
      </c>
      <c r="D23" s="571"/>
      <c r="E23" s="582">
        <f>COUNTA(E18:F22)</f>
        <v>0</v>
      </c>
      <c r="F23" s="571"/>
      <c r="G23" s="582">
        <f>COUNTA(G18:H22)</f>
        <v>0</v>
      </c>
      <c r="H23" s="571"/>
      <c r="I23" s="582">
        <f>COUNTA(I18:J22)</f>
        <v>0</v>
      </c>
      <c r="J23" s="571"/>
      <c r="K23" s="582">
        <f>COUNTA(K18:L22)</f>
        <v>0</v>
      </c>
      <c r="L23" s="571"/>
      <c r="M23" s="582">
        <f>COUNTA(M18:N22)</f>
        <v>0</v>
      </c>
      <c r="N23" s="571"/>
      <c r="O23" s="582">
        <f>COUNTA(O18:P22)</f>
        <v>0</v>
      </c>
      <c r="P23" s="571"/>
      <c r="Q23" s="582">
        <f>COUNTA(Q18:R22)</f>
        <v>0</v>
      </c>
      <c r="R23" s="571"/>
      <c r="S23" s="582">
        <f>COUNTA(S18:T22)</f>
        <v>0</v>
      </c>
      <c r="T23" s="571"/>
      <c r="U23" s="582">
        <f>COUNTA(U18:V22)</f>
        <v>0</v>
      </c>
      <c r="V23" s="571"/>
    </row>
    <row r="24" spans="1:22" x14ac:dyDescent="0.2">
      <c r="A24" s="215"/>
      <c r="B24" s="169"/>
      <c r="C24" s="126"/>
      <c r="D24" s="126"/>
      <c r="E24" s="174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</row>
    <row r="25" spans="1:22" x14ac:dyDescent="0.2">
      <c r="A25" s="215"/>
      <c r="B25" s="169"/>
      <c r="C25" s="126"/>
      <c r="D25" s="126"/>
      <c r="E25" s="174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</row>
    <row r="26" spans="1:22" x14ac:dyDescent="0.2">
      <c r="A26" s="215"/>
      <c r="B26" s="169"/>
      <c r="C26" s="126"/>
      <c r="D26" s="126"/>
      <c r="E26" s="174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</row>
    <row r="27" spans="1:22" x14ac:dyDescent="0.2">
      <c r="A27" s="215"/>
      <c r="B27" s="169"/>
      <c r="C27" s="126"/>
      <c r="D27" s="126"/>
      <c r="E27" s="174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</row>
    <row r="28" spans="1:22" x14ac:dyDescent="0.2">
      <c r="A28" s="215"/>
      <c r="B28" s="169"/>
      <c r="C28" s="126"/>
      <c r="D28" s="126"/>
      <c r="E28" s="174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</row>
    <row r="29" spans="1:22" x14ac:dyDescent="0.2">
      <c r="A29" s="215"/>
      <c r="B29" s="169"/>
      <c r="C29" s="126"/>
      <c r="D29" s="126"/>
      <c r="E29" s="174"/>
      <c r="F29" s="126"/>
      <c r="G29" s="126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</row>
    <row r="30" spans="1:22" x14ac:dyDescent="0.2">
      <c r="A30" s="215"/>
      <c r="B30" s="169"/>
      <c r="C30" s="126"/>
      <c r="D30" s="126"/>
      <c r="E30" s="174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</row>
    <row r="31" spans="1:22" x14ac:dyDescent="0.2">
      <c r="A31" s="215"/>
      <c r="B31" s="169"/>
      <c r="C31" s="126"/>
      <c r="D31" s="126"/>
      <c r="E31" s="174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</row>
    <row r="32" spans="1:22" x14ac:dyDescent="0.2">
      <c r="A32" s="215"/>
      <c r="B32" s="169"/>
      <c r="C32" s="126"/>
      <c r="D32" s="126"/>
      <c r="E32" s="174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</row>
    <row r="33" spans="1:22" x14ac:dyDescent="0.2">
      <c r="A33" s="215"/>
      <c r="B33" s="169"/>
      <c r="C33" s="126"/>
      <c r="D33" s="126"/>
      <c r="E33" s="174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</row>
    <row r="34" spans="1:22" x14ac:dyDescent="0.2">
      <c r="A34" s="215"/>
      <c r="B34" s="169"/>
      <c r="C34" s="126"/>
      <c r="D34" s="126"/>
      <c r="E34" s="174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</row>
    <row r="35" spans="1:22" x14ac:dyDescent="0.2">
      <c r="A35" s="215"/>
      <c r="B35" s="169"/>
      <c r="C35" s="126"/>
      <c r="D35" s="126"/>
      <c r="E35" s="174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</row>
    <row r="36" spans="1:22" x14ac:dyDescent="0.2">
      <c r="A36" s="215"/>
      <c r="B36" s="169"/>
      <c r="C36" s="126"/>
      <c r="D36" s="126"/>
      <c r="E36" s="174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</row>
    <row r="37" spans="1:22" x14ac:dyDescent="0.2">
      <c r="A37" s="215"/>
      <c r="B37" s="169"/>
      <c r="C37" s="126"/>
      <c r="D37" s="126"/>
      <c r="E37" s="174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</row>
    <row r="38" spans="1:22" x14ac:dyDescent="0.2">
      <c r="A38" s="215"/>
      <c r="B38" s="169"/>
      <c r="C38" s="126"/>
      <c r="D38" s="126"/>
      <c r="E38" s="174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</row>
    <row r="39" spans="1:22" x14ac:dyDescent="0.2">
      <c r="B39" s="172"/>
      <c r="C39" s="126"/>
      <c r="D39" s="126"/>
      <c r="E39" s="174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</row>
    <row r="40" spans="1:22" x14ac:dyDescent="0.2">
      <c r="A40" s="215"/>
      <c r="B40" s="169"/>
      <c r="C40" s="126"/>
      <c r="D40" s="126"/>
      <c r="E40" s="174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</row>
    <row r="41" spans="1:22" x14ac:dyDescent="0.2">
      <c r="A41" s="215"/>
      <c r="B41" s="169"/>
      <c r="C41" s="126"/>
      <c r="D41" s="126"/>
      <c r="E41" s="174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</row>
    <row r="42" spans="1:22" x14ac:dyDescent="0.2">
      <c r="A42" s="215"/>
      <c r="B42" s="169"/>
      <c r="C42" s="126"/>
      <c r="D42" s="126"/>
      <c r="E42" s="174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</row>
    <row r="43" spans="1:22" x14ac:dyDescent="0.2">
      <c r="A43" s="215"/>
      <c r="B43" s="169"/>
      <c r="C43" s="126"/>
      <c r="D43" s="126"/>
      <c r="E43" s="174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</row>
    <row r="44" spans="1:22" x14ac:dyDescent="0.2">
      <c r="B44" s="169"/>
      <c r="C44" s="126"/>
      <c r="D44" s="126"/>
      <c r="E44" s="174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</row>
    <row r="45" spans="1:22" x14ac:dyDescent="0.2">
      <c r="A45" s="215"/>
      <c r="B45" s="169"/>
      <c r="C45" s="126"/>
      <c r="D45" s="126"/>
      <c r="E45" s="174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</row>
    <row r="46" spans="1:22" x14ac:dyDescent="0.2">
      <c r="A46" s="215"/>
      <c r="B46" s="169"/>
      <c r="C46" s="126"/>
      <c r="D46" s="126"/>
      <c r="E46" s="174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</row>
    <row r="47" spans="1:22" x14ac:dyDescent="0.2">
      <c r="A47" s="215"/>
      <c r="B47" s="169"/>
      <c r="C47" s="126"/>
      <c r="D47" s="126"/>
      <c r="E47" s="174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</row>
    <row r="48" spans="1:22" x14ac:dyDescent="0.2">
      <c r="A48" s="215"/>
      <c r="B48" s="169"/>
      <c r="C48" s="126"/>
      <c r="D48" s="126"/>
      <c r="E48" s="174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</row>
    <row r="49" spans="1:22" x14ac:dyDescent="0.2">
      <c r="A49" s="215"/>
      <c r="B49" s="169"/>
      <c r="C49" s="126"/>
      <c r="D49" s="126"/>
      <c r="E49" s="174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</row>
    <row r="50" spans="1:22" x14ac:dyDescent="0.2">
      <c r="A50" s="215"/>
      <c r="B50" s="169"/>
      <c r="C50" s="126"/>
      <c r="D50" s="126"/>
      <c r="E50" s="174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</row>
    <row r="51" spans="1:22" x14ac:dyDescent="0.2">
      <c r="A51" s="215"/>
      <c r="B51" s="169"/>
      <c r="C51" s="126"/>
      <c r="D51" s="126"/>
      <c r="E51" s="174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</row>
    <row r="52" spans="1:22" x14ac:dyDescent="0.2">
      <c r="A52" s="215"/>
      <c r="B52" s="169"/>
      <c r="C52" s="126"/>
      <c r="D52" s="126"/>
      <c r="E52" s="174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</row>
    <row r="53" spans="1:22" x14ac:dyDescent="0.2">
      <c r="A53" s="215"/>
      <c r="B53" s="169"/>
      <c r="C53" s="126"/>
      <c r="D53" s="126"/>
      <c r="E53" s="174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</row>
    <row r="54" spans="1:22" x14ac:dyDescent="0.2">
      <c r="A54" s="215"/>
      <c r="B54" s="169"/>
      <c r="C54" s="126"/>
      <c r="D54" s="126"/>
      <c r="E54" s="174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</row>
    <row r="55" spans="1:22" x14ac:dyDescent="0.2">
      <c r="A55" s="215"/>
      <c r="B55" s="169"/>
      <c r="C55" s="126"/>
      <c r="D55" s="126"/>
      <c r="E55" s="174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</row>
    <row r="56" spans="1:22" x14ac:dyDescent="0.2">
      <c r="A56" s="215"/>
      <c r="B56" s="169"/>
      <c r="C56" s="126"/>
      <c r="D56" s="126"/>
      <c r="E56" s="174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</row>
    <row r="57" spans="1:22" x14ac:dyDescent="0.2">
      <c r="A57" s="215"/>
      <c r="B57" s="169"/>
      <c r="C57" s="126"/>
      <c r="D57" s="126"/>
      <c r="E57" s="174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</row>
    <row r="58" spans="1:22" x14ac:dyDescent="0.2">
      <c r="A58" s="215"/>
      <c r="B58" s="169"/>
      <c r="C58" s="126"/>
      <c r="D58" s="126"/>
      <c r="E58" s="174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</row>
  </sheetData>
  <mergeCells count="54">
    <mergeCell ref="S17:T17"/>
    <mergeCell ref="U17:V17"/>
    <mergeCell ref="C17:D17"/>
    <mergeCell ref="E17:F17"/>
    <mergeCell ref="G17:H17"/>
    <mergeCell ref="I17:J17"/>
    <mergeCell ref="K17:L17"/>
    <mergeCell ref="M17:N17"/>
    <mergeCell ref="O17:P17"/>
    <mergeCell ref="E9:F9"/>
    <mergeCell ref="A11:B11"/>
    <mergeCell ref="A12:B12"/>
    <mergeCell ref="A13:B13"/>
    <mergeCell ref="Q17:R17"/>
    <mergeCell ref="A16:B17"/>
    <mergeCell ref="C16:D16"/>
    <mergeCell ref="K23:L23"/>
    <mergeCell ref="M23:N23"/>
    <mergeCell ref="O23:P23"/>
    <mergeCell ref="Q23:R23"/>
    <mergeCell ref="S23:T23"/>
    <mergeCell ref="U23:V23"/>
    <mergeCell ref="A18:B20"/>
    <mergeCell ref="A21:B22"/>
    <mergeCell ref="A23:B23"/>
    <mergeCell ref="C23:D23"/>
    <mergeCell ref="E23:F23"/>
    <mergeCell ref="G23:H23"/>
    <mergeCell ref="I23:J23"/>
    <mergeCell ref="Q9:R9"/>
    <mergeCell ref="S9:T9"/>
    <mergeCell ref="U9:V9"/>
    <mergeCell ref="A1:H1"/>
    <mergeCell ref="A8:B10"/>
    <mergeCell ref="M8:N8"/>
    <mergeCell ref="O8:P8"/>
    <mergeCell ref="Q8:R8"/>
    <mergeCell ref="S8:T8"/>
    <mergeCell ref="U8:V8"/>
    <mergeCell ref="G9:H9"/>
    <mergeCell ref="I9:J9"/>
    <mergeCell ref="K9:L9"/>
    <mergeCell ref="M9:N9"/>
    <mergeCell ref="O9:P9"/>
    <mergeCell ref="C9:D9"/>
    <mergeCell ref="S16:T16"/>
    <mergeCell ref="U16:V16"/>
    <mergeCell ref="E16:F16"/>
    <mergeCell ref="G16:H16"/>
    <mergeCell ref="I16:J16"/>
    <mergeCell ref="K16:L16"/>
    <mergeCell ref="M16:N16"/>
    <mergeCell ref="O16:P16"/>
    <mergeCell ref="Q16:R1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1002"/>
  <sheetViews>
    <sheetView workbookViewId="0"/>
  </sheetViews>
  <sheetFormatPr defaultColWidth="11.21875" defaultRowHeight="15" customHeight="1" x14ac:dyDescent="0.2"/>
  <cols>
    <col min="1" max="1" width="11.46484375" customWidth="1"/>
    <col min="2" max="2" width="17.87890625" customWidth="1"/>
    <col min="3" max="3" width="18.6171875" customWidth="1"/>
    <col min="4" max="4" width="60.66796875" customWidth="1"/>
    <col min="5" max="5" width="20.9609375" customWidth="1"/>
    <col min="6" max="6" width="18.25" customWidth="1"/>
  </cols>
  <sheetData>
    <row r="1" spans="1:27" x14ac:dyDescent="0.2">
      <c r="A1" s="383"/>
      <c r="B1" s="383"/>
      <c r="C1" s="383"/>
      <c r="D1" s="383"/>
      <c r="E1" s="383"/>
      <c r="F1" s="383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  <c r="R1" s="384"/>
      <c r="S1" s="384"/>
      <c r="T1" s="384"/>
      <c r="U1" s="384"/>
      <c r="V1" s="384"/>
      <c r="W1" s="384"/>
      <c r="X1" s="384"/>
      <c r="Y1" s="384"/>
      <c r="Z1" s="384"/>
      <c r="AA1" s="384"/>
    </row>
    <row r="2" spans="1:27" x14ac:dyDescent="0.2">
      <c r="A2" s="383"/>
      <c r="B2" s="598" t="s">
        <v>963</v>
      </c>
      <c r="C2" s="537"/>
      <c r="D2" s="537"/>
      <c r="E2" s="537"/>
      <c r="F2" s="531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</row>
    <row r="3" spans="1:27" x14ac:dyDescent="0.2">
      <c r="A3" s="383"/>
      <c r="B3" s="385" t="s">
        <v>964</v>
      </c>
      <c r="C3" s="385" t="s">
        <v>965</v>
      </c>
      <c r="D3" s="385" t="s">
        <v>966</v>
      </c>
      <c r="E3" s="385" t="s">
        <v>967</v>
      </c>
      <c r="F3" s="385" t="s">
        <v>968</v>
      </c>
      <c r="G3" s="384"/>
      <c r="H3" s="384"/>
      <c r="I3" s="384"/>
      <c r="J3" s="384"/>
      <c r="K3" s="384"/>
      <c r="L3" s="384"/>
      <c r="M3" s="384"/>
      <c r="N3" s="384"/>
      <c r="O3" s="384"/>
      <c r="P3" s="384"/>
      <c r="Q3" s="384"/>
      <c r="R3" s="384"/>
      <c r="S3" s="384"/>
      <c r="T3" s="384"/>
      <c r="U3" s="384"/>
      <c r="V3" s="384"/>
      <c r="W3" s="384"/>
      <c r="X3" s="384"/>
      <c r="Y3" s="384"/>
      <c r="Z3" s="384"/>
      <c r="AA3" s="384"/>
    </row>
    <row r="4" spans="1:27" x14ac:dyDescent="0.2">
      <c r="A4" s="384"/>
      <c r="B4" s="386" t="s">
        <v>435</v>
      </c>
      <c r="C4" s="386" t="s">
        <v>969</v>
      </c>
      <c r="D4" s="386" t="s">
        <v>970</v>
      </c>
      <c r="E4" s="387">
        <v>2750</v>
      </c>
      <c r="F4" s="387">
        <v>13.75</v>
      </c>
      <c r="G4" s="384"/>
      <c r="H4" s="384"/>
      <c r="I4" s="384"/>
      <c r="J4" s="384"/>
      <c r="K4" s="384"/>
      <c r="L4" s="384"/>
      <c r="M4" s="384"/>
      <c r="N4" s="384"/>
      <c r="O4" s="384"/>
      <c r="P4" s="384"/>
      <c r="Q4" s="384"/>
      <c r="R4" s="384"/>
      <c r="S4" s="384"/>
      <c r="T4" s="384"/>
      <c r="U4" s="384"/>
      <c r="V4" s="384"/>
      <c r="W4" s="384"/>
      <c r="X4" s="384"/>
      <c r="Y4" s="384"/>
      <c r="Z4" s="384"/>
      <c r="AA4" s="384"/>
    </row>
    <row r="5" spans="1:27" x14ac:dyDescent="0.2">
      <c r="A5" s="384"/>
      <c r="B5" s="386" t="s">
        <v>161</v>
      </c>
      <c r="C5" s="386" t="s">
        <v>971</v>
      </c>
      <c r="D5" s="386" t="s">
        <v>972</v>
      </c>
      <c r="E5" s="387">
        <v>2500</v>
      </c>
      <c r="F5" s="387">
        <v>12.5</v>
      </c>
      <c r="G5" s="384"/>
      <c r="H5" s="384"/>
      <c r="I5" s="384"/>
      <c r="J5" s="384"/>
      <c r="K5" s="384"/>
      <c r="L5" s="384"/>
      <c r="M5" s="384"/>
      <c r="N5" s="384"/>
      <c r="O5" s="384"/>
      <c r="P5" s="384"/>
      <c r="Q5" s="384"/>
      <c r="R5" s="384"/>
      <c r="S5" s="384"/>
      <c r="T5" s="384"/>
      <c r="U5" s="384"/>
      <c r="V5" s="384"/>
      <c r="W5" s="384"/>
      <c r="X5" s="384"/>
      <c r="Y5" s="384"/>
      <c r="Z5" s="384"/>
      <c r="AA5" s="384"/>
    </row>
    <row r="6" spans="1:27" x14ac:dyDescent="0.2">
      <c r="A6" s="384"/>
      <c r="B6" s="386" t="s">
        <v>973</v>
      </c>
      <c r="C6" s="386" t="s">
        <v>974</v>
      </c>
      <c r="D6" s="386" t="s">
        <v>975</v>
      </c>
      <c r="E6" s="387">
        <v>1800</v>
      </c>
      <c r="F6" s="387">
        <v>9</v>
      </c>
      <c r="G6" s="384"/>
      <c r="H6" s="384"/>
      <c r="I6" s="384"/>
      <c r="J6" s="384"/>
      <c r="K6" s="384"/>
      <c r="L6" s="384"/>
      <c r="M6" s="384"/>
      <c r="N6" s="384"/>
      <c r="O6" s="384"/>
      <c r="P6" s="384"/>
      <c r="Q6" s="384"/>
      <c r="R6" s="384"/>
      <c r="S6" s="384"/>
      <c r="T6" s="384"/>
      <c r="U6" s="384"/>
      <c r="V6" s="384"/>
      <c r="W6" s="384"/>
      <c r="X6" s="384"/>
      <c r="Y6" s="384"/>
      <c r="Z6" s="384"/>
      <c r="AA6" s="384"/>
    </row>
    <row r="7" spans="1:27" x14ac:dyDescent="0.2">
      <c r="A7" s="384"/>
      <c r="B7" s="386" t="s">
        <v>54</v>
      </c>
      <c r="C7" s="386" t="s">
        <v>976</v>
      </c>
      <c r="D7" s="386" t="s">
        <v>977</v>
      </c>
      <c r="E7" s="387">
        <v>2750</v>
      </c>
      <c r="F7" s="387">
        <v>13.75</v>
      </c>
      <c r="G7" s="384"/>
      <c r="H7" s="384"/>
      <c r="I7" s="384"/>
      <c r="J7" s="384"/>
      <c r="K7" s="384"/>
      <c r="L7" s="384"/>
      <c r="M7" s="384"/>
      <c r="N7" s="384"/>
      <c r="O7" s="384"/>
      <c r="P7" s="384"/>
      <c r="Q7" s="384"/>
      <c r="R7" s="384"/>
      <c r="S7" s="384"/>
      <c r="T7" s="384"/>
      <c r="U7" s="384"/>
      <c r="V7" s="384"/>
      <c r="W7" s="384"/>
      <c r="X7" s="384"/>
      <c r="Y7" s="384"/>
      <c r="Z7" s="384"/>
      <c r="AA7" s="384"/>
    </row>
    <row r="8" spans="1:27" x14ac:dyDescent="0.2">
      <c r="A8" s="384"/>
      <c r="B8" s="386" t="s">
        <v>44</v>
      </c>
      <c r="C8" s="386" t="s">
        <v>978</v>
      </c>
      <c r="D8" s="386" t="s">
        <v>979</v>
      </c>
      <c r="E8" s="387">
        <v>2500</v>
      </c>
      <c r="F8" s="387">
        <v>12.5</v>
      </c>
      <c r="G8" s="384"/>
      <c r="H8" s="384"/>
      <c r="I8" s="384"/>
      <c r="J8" s="384"/>
      <c r="K8" s="384"/>
      <c r="L8" s="384"/>
      <c r="M8" s="384"/>
      <c r="N8" s="384"/>
      <c r="O8" s="384"/>
      <c r="P8" s="384"/>
      <c r="Q8" s="384"/>
      <c r="R8" s="384"/>
      <c r="S8" s="384"/>
      <c r="T8" s="384"/>
      <c r="U8" s="384"/>
      <c r="V8" s="384"/>
      <c r="W8" s="384"/>
      <c r="X8" s="384"/>
      <c r="Y8" s="384"/>
      <c r="Z8" s="384"/>
      <c r="AA8" s="384"/>
    </row>
    <row r="9" spans="1:27" x14ac:dyDescent="0.2">
      <c r="A9" s="384"/>
      <c r="B9" s="386" t="s">
        <v>980</v>
      </c>
      <c r="C9" s="386" t="s">
        <v>981</v>
      </c>
      <c r="D9" s="386" t="s">
        <v>982</v>
      </c>
      <c r="E9" s="388">
        <v>1500</v>
      </c>
      <c r="F9" s="387">
        <v>9</v>
      </c>
      <c r="G9" s="384"/>
      <c r="H9" s="384"/>
      <c r="I9" s="384"/>
      <c r="J9" s="384"/>
      <c r="K9" s="384"/>
      <c r="L9" s="384"/>
      <c r="M9" s="384"/>
      <c r="N9" s="384"/>
      <c r="O9" s="384"/>
      <c r="P9" s="384"/>
      <c r="Q9" s="384"/>
      <c r="R9" s="384"/>
      <c r="S9" s="384"/>
      <c r="T9" s="384"/>
      <c r="U9" s="384"/>
      <c r="V9" s="384"/>
      <c r="W9" s="384"/>
      <c r="X9" s="384"/>
      <c r="Y9" s="384"/>
      <c r="Z9" s="384"/>
      <c r="AA9" s="384"/>
    </row>
    <row r="10" spans="1:27" x14ac:dyDescent="0.2">
      <c r="A10" s="384"/>
      <c r="B10" s="386" t="s">
        <v>983</v>
      </c>
      <c r="C10" s="386" t="s">
        <v>984</v>
      </c>
      <c r="D10" s="386" t="s">
        <v>985</v>
      </c>
      <c r="E10" s="388">
        <v>1500</v>
      </c>
      <c r="F10" s="387">
        <v>9</v>
      </c>
      <c r="G10" s="384"/>
      <c r="H10" s="384"/>
      <c r="I10" s="384"/>
      <c r="J10" s="384"/>
      <c r="K10" s="384"/>
      <c r="L10" s="384"/>
      <c r="M10" s="384"/>
      <c r="N10" s="384"/>
      <c r="O10" s="384"/>
      <c r="P10" s="384"/>
      <c r="Q10" s="384"/>
      <c r="R10" s="384"/>
      <c r="S10" s="384"/>
      <c r="T10" s="384"/>
      <c r="U10" s="384"/>
      <c r="V10" s="384"/>
      <c r="W10" s="384"/>
      <c r="X10" s="384"/>
      <c r="Y10" s="384"/>
      <c r="Z10" s="384"/>
      <c r="AA10" s="384"/>
    </row>
    <row r="11" spans="1:27" x14ac:dyDescent="0.2">
      <c r="A11" s="384"/>
      <c r="B11" s="386" t="s">
        <v>210</v>
      </c>
      <c r="C11" s="386" t="s">
        <v>986</v>
      </c>
      <c r="D11" s="386" t="s">
        <v>987</v>
      </c>
      <c r="E11" s="387">
        <v>1500</v>
      </c>
      <c r="F11" s="387">
        <v>7.5</v>
      </c>
      <c r="G11" s="384"/>
      <c r="H11" s="384"/>
      <c r="I11" s="384"/>
      <c r="J11" s="384"/>
      <c r="K11" s="384"/>
      <c r="L11" s="384"/>
      <c r="M11" s="384"/>
      <c r="N11" s="384"/>
      <c r="O11" s="384"/>
      <c r="P11" s="384"/>
      <c r="Q11" s="384"/>
      <c r="R11" s="384"/>
      <c r="S11" s="384"/>
      <c r="T11" s="384"/>
      <c r="U11" s="384"/>
      <c r="V11" s="384"/>
      <c r="W11" s="384"/>
      <c r="X11" s="384"/>
      <c r="Y11" s="384"/>
      <c r="Z11" s="384"/>
      <c r="AA11" s="384"/>
    </row>
    <row r="12" spans="1:27" x14ac:dyDescent="0.2">
      <c r="A12" s="384"/>
      <c r="B12" s="386" t="s">
        <v>988</v>
      </c>
      <c r="C12" s="386" t="s">
        <v>989</v>
      </c>
      <c r="D12" s="386" t="s">
        <v>990</v>
      </c>
      <c r="E12" s="387">
        <v>2500</v>
      </c>
      <c r="F12" s="387">
        <v>12.5</v>
      </c>
      <c r="G12" s="384"/>
      <c r="H12" s="384"/>
      <c r="I12" s="384"/>
      <c r="J12" s="384"/>
      <c r="K12" s="384"/>
      <c r="L12" s="384"/>
      <c r="M12" s="384"/>
      <c r="N12" s="384"/>
      <c r="O12" s="384"/>
      <c r="P12" s="384"/>
      <c r="Q12" s="384"/>
      <c r="R12" s="384"/>
      <c r="S12" s="384"/>
      <c r="T12" s="384"/>
      <c r="U12" s="384"/>
      <c r="V12" s="384"/>
      <c r="W12" s="384"/>
      <c r="X12" s="384"/>
      <c r="Y12" s="384"/>
      <c r="Z12" s="384"/>
      <c r="AA12" s="384"/>
    </row>
    <row r="13" spans="1:27" x14ac:dyDescent="0.2">
      <c r="A13" s="384"/>
      <c r="B13" s="386" t="s">
        <v>991</v>
      </c>
      <c r="C13" s="386" t="s">
        <v>992</v>
      </c>
      <c r="D13" s="386" t="s">
        <v>993</v>
      </c>
      <c r="E13" s="387">
        <v>2200</v>
      </c>
      <c r="F13" s="387">
        <v>11</v>
      </c>
      <c r="G13" s="384"/>
      <c r="H13" s="384"/>
      <c r="I13" s="384"/>
      <c r="J13" s="384"/>
      <c r="K13" s="384"/>
      <c r="L13" s="384"/>
      <c r="M13" s="384"/>
      <c r="N13" s="384"/>
      <c r="O13" s="384"/>
      <c r="P13" s="384"/>
      <c r="Q13" s="384"/>
      <c r="R13" s="384"/>
      <c r="S13" s="384"/>
      <c r="T13" s="384"/>
      <c r="U13" s="384"/>
      <c r="V13" s="384"/>
      <c r="W13" s="384"/>
      <c r="X13" s="384"/>
      <c r="Y13" s="384"/>
      <c r="Z13" s="384"/>
      <c r="AA13" s="384"/>
    </row>
    <row r="14" spans="1:27" x14ac:dyDescent="0.2">
      <c r="A14" s="384"/>
      <c r="B14" s="386" t="s">
        <v>223</v>
      </c>
      <c r="C14" s="386" t="s">
        <v>994</v>
      </c>
      <c r="D14" s="386" t="s">
        <v>995</v>
      </c>
      <c r="E14" s="387">
        <v>2500</v>
      </c>
      <c r="F14" s="388">
        <v>15</v>
      </c>
      <c r="G14" s="384"/>
      <c r="H14" s="384"/>
      <c r="I14" s="384"/>
      <c r="J14" s="384"/>
      <c r="K14" s="384"/>
      <c r="L14" s="384"/>
      <c r="M14" s="384"/>
      <c r="N14" s="384"/>
      <c r="O14" s="384"/>
      <c r="P14" s="384"/>
      <c r="Q14" s="384"/>
      <c r="R14" s="384"/>
      <c r="S14" s="384"/>
      <c r="T14" s="384"/>
      <c r="U14" s="384"/>
      <c r="V14" s="384"/>
      <c r="W14" s="384"/>
      <c r="X14" s="384"/>
      <c r="Y14" s="384"/>
      <c r="Z14" s="384"/>
      <c r="AA14" s="384"/>
    </row>
    <row r="15" spans="1:27" x14ac:dyDescent="0.2">
      <c r="A15" s="384"/>
      <c r="B15" s="386" t="s">
        <v>996</v>
      </c>
      <c r="C15" s="386" t="s">
        <v>997</v>
      </c>
      <c r="D15" s="386" t="s">
        <v>998</v>
      </c>
      <c r="E15" s="388">
        <v>1500</v>
      </c>
      <c r="F15" s="388">
        <v>3</v>
      </c>
      <c r="G15" s="384"/>
      <c r="H15" s="384"/>
      <c r="I15" s="384"/>
      <c r="J15" s="384"/>
      <c r="K15" s="384"/>
      <c r="L15" s="384"/>
      <c r="M15" s="384"/>
      <c r="N15" s="384"/>
      <c r="O15" s="384"/>
      <c r="P15" s="384"/>
      <c r="Q15" s="384"/>
      <c r="R15" s="384"/>
      <c r="S15" s="384"/>
      <c r="T15" s="384"/>
      <c r="U15" s="384"/>
      <c r="V15" s="384"/>
      <c r="W15" s="384"/>
      <c r="X15" s="384"/>
      <c r="Y15" s="384"/>
      <c r="Z15" s="384"/>
      <c r="AA15" s="384"/>
    </row>
    <row r="16" spans="1:27" x14ac:dyDescent="0.2">
      <c r="A16" s="384"/>
      <c r="B16" s="386" t="s">
        <v>999</v>
      </c>
      <c r="C16" s="386" t="s">
        <v>1000</v>
      </c>
      <c r="D16" s="386" t="s">
        <v>1001</v>
      </c>
      <c r="E16" s="388">
        <v>1800</v>
      </c>
      <c r="F16" s="387">
        <v>7</v>
      </c>
      <c r="G16" s="384"/>
      <c r="H16" s="384"/>
      <c r="I16" s="384"/>
      <c r="J16" s="384"/>
      <c r="K16" s="384"/>
      <c r="L16" s="384"/>
      <c r="M16" s="384"/>
      <c r="N16" s="384"/>
      <c r="O16" s="384"/>
      <c r="P16" s="384"/>
      <c r="Q16" s="384"/>
      <c r="R16" s="384"/>
      <c r="S16" s="384"/>
      <c r="T16" s="384"/>
      <c r="U16" s="384"/>
      <c r="V16" s="384"/>
      <c r="W16" s="384"/>
      <c r="X16" s="384"/>
      <c r="Y16" s="384"/>
      <c r="Z16" s="384"/>
      <c r="AA16" s="384"/>
    </row>
    <row r="17" spans="1:27" x14ac:dyDescent="0.2">
      <c r="A17" s="384"/>
      <c r="B17" s="386" t="s">
        <v>1002</v>
      </c>
      <c r="C17" s="386" t="s">
        <v>1003</v>
      </c>
      <c r="D17" s="386" t="s">
        <v>1004</v>
      </c>
      <c r="E17" s="388">
        <v>1500</v>
      </c>
      <c r="F17" s="387">
        <v>5</v>
      </c>
      <c r="G17" s="384"/>
      <c r="H17" s="384"/>
      <c r="I17" s="384"/>
      <c r="J17" s="384"/>
      <c r="K17" s="384"/>
      <c r="L17" s="384"/>
      <c r="M17" s="384"/>
      <c r="N17" s="384"/>
      <c r="O17" s="384"/>
      <c r="P17" s="384"/>
      <c r="Q17" s="384"/>
      <c r="R17" s="384"/>
      <c r="S17" s="384"/>
      <c r="T17" s="384"/>
      <c r="U17" s="384"/>
      <c r="V17" s="384"/>
      <c r="W17" s="384"/>
      <c r="X17" s="384"/>
      <c r="Y17" s="384"/>
      <c r="Z17" s="384"/>
      <c r="AA17" s="384"/>
    </row>
    <row r="18" spans="1:27" x14ac:dyDescent="0.2">
      <c r="A18" s="384"/>
      <c r="B18" s="384"/>
      <c r="C18" s="384"/>
      <c r="D18" s="384"/>
      <c r="E18" s="384"/>
      <c r="F18" s="384"/>
      <c r="G18" s="384"/>
      <c r="H18" s="384"/>
      <c r="I18" s="384"/>
      <c r="J18" s="384"/>
      <c r="K18" s="384"/>
      <c r="L18" s="384"/>
      <c r="M18" s="384"/>
      <c r="N18" s="384"/>
      <c r="O18" s="384"/>
      <c r="P18" s="384"/>
      <c r="Q18" s="384"/>
      <c r="R18" s="384"/>
      <c r="S18" s="384"/>
      <c r="T18" s="384"/>
      <c r="U18" s="384"/>
      <c r="V18" s="384"/>
      <c r="W18" s="384"/>
      <c r="X18" s="384"/>
      <c r="Y18" s="384"/>
      <c r="Z18" s="384"/>
      <c r="AA18" s="384"/>
    </row>
    <row r="19" spans="1:27" x14ac:dyDescent="0.2">
      <c r="A19" s="384"/>
      <c r="B19" s="384"/>
      <c r="C19" s="384"/>
      <c r="D19" s="384"/>
      <c r="E19" s="384"/>
      <c r="F19" s="384"/>
      <c r="G19" s="384"/>
      <c r="H19" s="384"/>
      <c r="I19" s="384"/>
      <c r="J19" s="384"/>
      <c r="K19" s="384"/>
      <c r="L19" s="384"/>
      <c r="M19" s="384"/>
      <c r="N19" s="384"/>
      <c r="O19" s="384"/>
      <c r="P19" s="384"/>
      <c r="Q19" s="384"/>
      <c r="R19" s="384"/>
      <c r="S19" s="384"/>
      <c r="T19" s="384"/>
      <c r="U19" s="384"/>
      <c r="V19" s="384"/>
      <c r="W19" s="384"/>
      <c r="X19" s="384"/>
      <c r="Y19" s="384"/>
      <c r="Z19" s="384"/>
      <c r="AA19" s="384"/>
    </row>
    <row r="20" spans="1:27" x14ac:dyDescent="0.2">
      <c r="A20" s="384"/>
      <c r="B20" s="384"/>
      <c r="C20" s="384"/>
      <c r="D20" s="384"/>
      <c r="E20" s="384"/>
      <c r="F20" s="384"/>
      <c r="G20" s="384"/>
      <c r="H20" s="384"/>
      <c r="I20" s="384"/>
      <c r="J20" s="384"/>
      <c r="K20" s="384"/>
      <c r="L20" s="384"/>
      <c r="M20" s="384"/>
      <c r="N20" s="384"/>
      <c r="O20" s="384"/>
      <c r="P20" s="384"/>
      <c r="Q20" s="384"/>
      <c r="R20" s="384"/>
      <c r="S20" s="384"/>
      <c r="T20" s="384"/>
      <c r="U20" s="384"/>
      <c r="V20" s="384"/>
      <c r="W20" s="384"/>
      <c r="X20" s="384"/>
      <c r="Y20" s="384"/>
      <c r="Z20" s="384"/>
      <c r="AA20" s="384"/>
    </row>
    <row r="21" spans="1:27" x14ac:dyDescent="0.2">
      <c r="A21" s="384"/>
      <c r="B21" s="384"/>
      <c r="C21" s="384"/>
      <c r="D21" s="384"/>
      <c r="E21" s="384"/>
      <c r="F21" s="384"/>
      <c r="G21" s="384"/>
      <c r="H21" s="384"/>
      <c r="I21" s="384"/>
      <c r="J21" s="384"/>
      <c r="K21" s="384"/>
      <c r="L21" s="384"/>
      <c r="M21" s="384"/>
      <c r="N21" s="384"/>
      <c r="O21" s="384"/>
      <c r="P21" s="384"/>
      <c r="Q21" s="384"/>
      <c r="R21" s="384"/>
      <c r="S21" s="384"/>
      <c r="T21" s="384"/>
      <c r="U21" s="384"/>
      <c r="V21" s="384"/>
      <c r="W21" s="384"/>
      <c r="X21" s="384"/>
      <c r="Y21" s="384"/>
      <c r="Z21" s="384"/>
      <c r="AA21" s="384"/>
    </row>
    <row r="22" spans="1:27" x14ac:dyDescent="0.2">
      <c r="A22" s="384"/>
      <c r="B22" s="598" t="s">
        <v>963</v>
      </c>
      <c r="C22" s="537"/>
      <c r="D22" s="537"/>
      <c r="E22" s="537"/>
      <c r="F22" s="531"/>
      <c r="G22" s="384"/>
      <c r="H22" s="384"/>
      <c r="I22" s="384"/>
      <c r="J22" s="384"/>
      <c r="K22" s="384"/>
      <c r="L22" s="384"/>
      <c r="M22" s="384"/>
      <c r="N22" s="384"/>
      <c r="O22" s="384"/>
      <c r="P22" s="384"/>
      <c r="Q22" s="384"/>
      <c r="R22" s="384"/>
      <c r="S22" s="384"/>
      <c r="T22" s="384"/>
      <c r="U22" s="384"/>
      <c r="V22" s="384"/>
      <c r="W22" s="384"/>
      <c r="X22" s="384"/>
      <c r="Y22" s="384"/>
      <c r="Z22" s="384"/>
      <c r="AA22" s="384"/>
    </row>
    <row r="23" spans="1:27" x14ac:dyDescent="0.2">
      <c r="A23" s="384"/>
      <c r="B23" s="385" t="s">
        <v>964</v>
      </c>
      <c r="C23" s="385" t="s">
        <v>965</v>
      </c>
      <c r="D23" s="385" t="s">
        <v>966</v>
      </c>
      <c r="E23" s="385" t="s">
        <v>967</v>
      </c>
      <c r="F23" s="385" t="s">
        <v>968</v>
      </c>
      <c r="G23" s="384"/>
      <c r="H23" s="384"/>
      <c r="I23" s="384"/>
      <c r="J23" s="384"/>
      <c r="K23" s="384"/>
      <c r="L23" s="384"/>
      <c r="M23" s="384"/>
      <c r="N23" s="384"/>
      <c r="O23" s="384"/>
      <c r="P23" s="384"/>
      <c r="Q23" s="384"/>
      <c r="R23" s="384"/>
      <c r="S23" s="384"/>
      <c r="T23" s="384"/>
      <c r="U23" s="384"/>
      <c r="V23" s="384"/>
      <c r="W23" s="384"/>
      <c r="X23" s="384"/>
      <c r="Y23" s="384"/>
      <c r="Z23" s="384"/>
      <c r="AA23" s="384"/>
    </row>
    <row r="24" spans="1:27" x14ac:dyDescent="0.2">
      <c r="A24" s="384"/>
      <c r="B24" s="386" t="s">
        <v>435</v>
      </c>
      <c r="C24" s="386" t="s">
        <v>969</v>
      </c>
      <c r="D24" s="386" t="s">
        <v>970</v>
      </c>
      <c r="E24" s="387">
        <f t="shared" ref="E24:E37" si="0">E4*0.9</f>
        <v>2475</v>
      </c>
      <c r="F24" s="389">
        <f>(F4*0.9)</f>
        <v>12.375</v>
      </c>
      <c r="G24" s="384"/>
      <c r="H24" s="384"/>
      <c r="I24" s="384"/>
      <c r="J24" s="384"/>
      <c r="K24" s="384"/>
      <c r="L24" s="384"/>
      <c r="M24" s="384"/>
      <c r="N24" s="384"/>
      <c r="O24" s="384"/>
      <c r="P24" s="384"/>
      <c r="Q24" s="384"/>
      <c r="R24" s="384"/>
      <c r="S24" s="384"/>
      <c r="T24" s="384"/>
      <c r="U24" s="384"/>
      <c r="V24" s="384"/>
      <c r="W24" s="384"/>
      <c r="X24" s="384"/>
      <c r="Y24" s="384"/>
      <c r="Z24" s="384"/>
      <c r="AA24" s="384"/>
    </row>
    <row r="25" spans="1:27" x14ac:dyDescent="0.2">
      <c r="A25" s="384"/>
      <c r="B25" s="386" t="s">
        <v>161</v>
      </c>
      <c r="C25" s="386" t="s">
        <v>971</v>
      </c>
      <c r="D25" s="386" t="s">
        <v>972</v>
      </c>
      <c r="E25" s="387">
        <f t="shared" si="0"/>
        <v>2250</v>
      </c>
      <c r="F25" s="389">
        <f t="shared" ref="F25:F37" si="1">F5*0.9</f>
        <v>11.25</v>
      </c>
      <c r="G25" s="384"/>
      <c r="H25" s="384"/>
      <c r="I25" s="384"/>
      <c r="J25" s="384"/>
      <c r="K25" s="384"/>
      <c r="L25" s="384"/>
      <c r="M25" s="384"/>
      <c r="N25" s="384"/>
      <c r="O25" s="384"/>
      <c r="P25" s="384"/>
      <c r="Q25" s="384"/>
      <c r="R25" s="384"/>
      <c r="S25" s="384"/>
      <c r="T25" s="384"/>
      <c r="U25" s="384"/>
      <c r="V25" s="384"/>
      <c r="W25" s="384"/>
      <c r="X25" s="384"/>
      <c r="Y25" s="384"/>
      <c r="Z25" s="384"/>
      <c r="AA25" s="384"/>
    </row>
    <row r="26" spans="1:27" x14ac:dyDescent="0.2">
      <c r="A26" s="384"/>
      <c r="B26" s="386" t="s">
        <v>973</v>
      </c>
      <c r="C26" s="386" t="s">
        <v>974</v>
      </c>
      <c r="D26" s="386" t="s">
        <v>975</v>
      </c>
      <c r="E26" s="387">
        <f t="shared" si="0"/>
        <v>1620</v>
      </c>
      <c r="F26" s="389">
        <f t="shared" si="1"/>
        <v>8.1</v>
      </c>
      <c r="G26" s="384"/>
      <c r="H26" s="384"/>
      <c r="I26" s="384"/>
      <c r="J26" s="384"/>
      <c r="K26" s="384"/>
      <c r="L26" s="384"/>
      <c r="M26" s="384"/>
      <c r="N26" s="384"/>
      <c r="O26" s="384"/>
      <c r="P26" s="384"/>
      <c r="Q26" s="384"/>
      <c r="R26" s="384"/>
      <c r="S26" s="384"/>
      <c r="T26" s="384"/>
      <c r="U26" s="384"/>
      <c r="V26" s="384"/>
      <c r="W26" s="384"/>
      <c r="X26" s="384"/>
      <c r="Y26" s="384"/>
      <c r="Z26" s="384"/>
      <c r="AA26" s="384"/>
    </row>
    <row r="27" spans="1:27" x14ac:dyDescent="0.2">
      <c r="A27" s="384"/>
      <c r="B27" s="386" t="s">
        <v>54</v>
      </c>
      <c r="C27" s="386" t="s">
        <v>976</v>
      </c>
      <c r="D27" s="386" t="s">
        <v>977</v>
      </c>
      <c r="E27" s="387">
        <f t="shared" si="0"/>
        <v>2475</v>
      </c>
      <c r="F27" s="389">
        <f t="shared" si="1"/>
        <v>12.375</v>
      </c>
      <c r="G27" s="384"/>
      <c r="H27" s="384"/>
      <c r="I27" s="384"/>
      <c r="J27" s="384"/>
      <c r="K27" s="384"/>
      <c r="L27" s="384"/>
      <c r="M27" s="384"/>
      <c r="N27" s="384"/>
      <c r="O27" s="384"/>
      <c r="P27" s="384"/>
      <c r="Q27" s="384"/>
      <c r="R27" s="384"/>
      <c r="S27" s="384"/>
      <c r="T27" s="384"/>
      <c r="U27" s="384"/>
      <c r="V27" s="384"/>
      <c r="W27" s="384"/>
      <c r="X27" s="384"/>
      <c r="Y27" s="384"/>
      <c r="Z27" s="384"/>
      <c r="AA27" s="384"/>
    </row>
    <row r="28" spans="1:27" x14ac:dyDescent="0.2">
      <c r="A28" s="384"/>
      <c r="B28" s="386" t="s">
        <v>44</v>
      </c>
      <c r="C28" s="386" t="s">
        <v>978</v>
      </c>
      <c r="D28" s="386" t="s">
        <v>979</v>
      </c>
      <c r="E28" s="387">
        <f t="shared" si="0"/>
        <v>2250</v>
      </c>
      <c r="F28" s="389">
        <f t="shared" si="1"/>
        <v>11.25</v>
      </c>
      <c r="G28" s="384"/>
      <c r="H28" s="384"/>
      <c r="I28" s="384"/>
      <c r="J28" s="384"/>
      <c r="K28" s="384"/>
      <c r="L28" s="384"/>
      <c r="M28" s="384"/>
      <c r="N28" s="384"/>
      <c r="O28" s="384"/>
      <c r="P28" s="384"/>
      <c r="Q28" s="384"/>
      <c r="R28" s="384"/>
      <c r="S28" s="384"/>
      <c r="T28" s="384"/>
      <c r="U28" s="384"/>
      <c r="V28" s="384"/>
      <c r="W28" s="384"/>
      <c r="X28" s="384"/>
      <c r="Y28" s="384"/>
      <c r="Z28" s="384"/>
      <c r="AA28" s="384"/>
    </row>
    <row r="29" spans="1:27" x14ac:dyDescent="0.2">
      <c r="A29" s="384"/>
      <c r="B29" s="386" t="s">
        <v>980</v>
      </c>
      <c r="C29" s="386" t="s">
        <v>981</v>
      </c>
      <c r="D29" s="386" t="s">
        <v>982</v>
      </c>
      <c r="E29" s="387">
        <f t="shared" si="0"/>
        <v>1350</v>
      </c>
      <c r="F29" s="389">
        <f t="shared" si="1"/>
        <v>8.1</v>
      </c>
      <c r="G29" s="384"/>
      <c r="H29" s="384"/>
      <c r="I29" s="384"/>
      <c r="J29" s="384"/>
      <c r="K29" s="384"/>
      <c r="L29" s="384"/>
      <c r="M29" s="384"/>
      <c r="N29" s="384"/>
      <c r="O29" s="384"/>
      <c r="P29" s="384"/>
      <c r="Q29" s="384"/>
      <c r="R29" s="384"/>
      <c r="S29" s="384"/>
      <c r="T29" s="384"/>
      <c r="U29" s="384"/>
      <c r="V29" s="384"/>
      <c r="W29" s="384"/>
      <c r="X29" s="384"/>
      <c r="Y29" s="384"/>
      <c r="Z29" s="384"/>
      <c r="AA29" s="384"/>
    </row>
    <row r="30" spans="1:27" x14ac:dyDescent="0.2">
      <c r="A30" s="384"/>
      <c r="B30" s="386" t="s">
        <v>983</v>
      </c>
      <c r="C30" s="386" t="s">
        <v>984</v>
      </c>
      <c r="D30" s="386" t="s">
        <v>985</v>
      </c>
      <c r="E30" s="387">
        <f t="shared" si="0"/>
        <v>1350</v>
      </c>
      <c r="F30" s="389">
        <f t="shared" si="1"/>
        <v>8.1</v>
      </c>
      <c r="G30" s="384"/>
      <c r="H30" s="384"/>
      <c r="I30" s="384"/>
      <c r="J30" s="384"/>
      <c r="K30" s="384"/>
      <c r="L30" s="384"/>
      <c r="M30" s="384"/>
      <c r="N30" s="384"/>
      <c r="O30" s="384"/>
      <c r="P30" s="384"/>
      <c r="Q30" s="384"/>
      <c r="R30" s="384"/>
      <c r="S30" s="384"/>
      <c r="T30" s="384"/>
      <c r="U30" s="384"/>
      <c r="V30" s="384"/>
      <c r="W30" s="384"/>
      <c r="X30" s="384"/>
      <c r="Y30" s="384"/>
      <c r="Z30" s="384"/>
      <c r="AA30" s="384"/>
    </row>
    <row r="31" spans="1:27" x14ac:dyDescent="0.2">
      <c r="A31" s="384"/>
      <c r="B31" s="386" t="s">
        <v>210</v>
      </c>
      <c r="C31" s="386" t="s">
        <v>986</v>
      </c>
      <c r="D31" s="386" t="s">
        <v>987</v>
      </c>
      <c r="E31" s="387">
        <f t="shared" si="0"/>
        <v>1350</v>
      </c>
      <c r="F31" s="389">
        <f t="shared" si="1"/>
        <v>6.75</v>
      </c>
      <c r="G31" s="384"/>
      <c r="H31" s="384"/>
      <c r="I31" s="384"/>
      <c r="J31" s="384"/>
      <c r="K31" s="384"/>
      <c r="L31" s="384"/>
      <c r="M31" s="384"/>
      <c r="N31" s="384"/>
      <c r="O31" s="384"/>
      <c r="P31" s="384"/>
      <c r="Q31" s="384"/>
      <c r="R31" s="384"/>
      <c r="S31" s="384"/>
      <c r="T31" s="384"/>
      <c r="U31" s="384"/>
      <c r="V31" s="384"/>
      <c r="W31" s="384"/>
      <c r="X31" s="384"/>
      <c r="Y31" s="384"/>
      <c r="Z31" s="384"/>
      <c r="AA31" s="384"/>
    </row>
    <row r="32" spans="1:27" x14ac:dyDescent="0.2">
      <c r="A32" s="384"/>
      <c r="B32" s="386" t="s">
        <v>988</v>
      </c>
      <c r="C32" s="386" t="s">
        <v>989</v>
      </c>
      <c r="D32" s="386" t="s">
        <v>990</v>
      </c>
      <c r="E32" s="387">
        <f t="shared" si="0"/>
        <v>2250</v>
      </c>
      <c r="F32" s="389">
        <f t="shared" si="1"/>
        <v>11.25</v>
      </c>
      <c r="G32" s="384"/>
      <c r="H32" s="384"/>
      <c r="I32" s="384"/>
      <c r="J32" s="384"/>
      <c r="K32" s="384"/>
      <c r="L32" s="384"/>
      <c r="M32" s="384"/>
      <c r="N32" s="384"/>
      <c r="O32" s="384"/>
      <c r="P32" s="384"/>
      <c r="Q32" s="384"/>
      <c r="R32" s="384"/>
      <c r="S32" s="384"/>
      <c r="T32" s="384"/>
      <c r="U32" s="384"/>
      <c r="V32" s="384"/>
      <c r="W32" s="384"/>
      <c r="X32" s="384"/>
      <c r="Y32" s="384"/>
      <c r="Z32" s="384"/>
      <c r="AA32" s="384"/>
    </row>
    <row r="33" spans="1:27" x14ac:dyDescent="0.2">
      <c r="A33" s="384"/>
      <c r="B33" s="386" t="s">
        <v>991</v>
      </c>
      <c r="C33" s="386" t="s">
        <v>992</v>
      </c>
      <c r="D33" s="386" t="s">
        <v>993</v>
      </c>
      <c r="E33" s="387">
        <f t="shared" si="0"/>
        <v>1980</v>
      </c>
      <c r="F33" s="389">
        <f t="shared" si="1"/>
        <v>9.9</v>
      </c>
      <c r="G33" s="384"/>
      <c r="H33" s="384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4"/>
      <c r="Z33" s="384"/>
      <c r="AA33" s="384"/>
    </row>
    <row r="34" spans="1:27" x14ac:dyDescent="0.2">
      <c r="A34" s="384"/>
      <c r="B34" s="386" t="s">
        <v>223</v>
      </c>
      <c r="C34" s="386" t="s">
        <v>994</v>
      </c>
      <c r="D34" s="386" t="s">
        <v>995</v>
      </c>
      <c r="E34" s="387">
        <f t="shared" si="0"/>
        <v>2250</v>
      </c>
      <c r="F34" s="389">
        <f t="shared" si="1"/>
        <v>13.5</v>
      </c>
      <c r="G34" s="384"/>
      <c r="H34" s="384"/>
      <c r="I34" s="384"/>
      <c r="J34" s="384"/>
      <c r="K34" s="384"/>
      <c r="L34" s="384"/>
      <c r="M34" s="384"/>
      <c r="N34" s="384"/>
      <c r="O34" s="384"/>
      <c r="P34" s="384"/>
      <c r="Q34" s="384"/>
      <c r="R34" s="384"/>
      <c r="S34" s="384"/>
      <c r="T34" s="384"/>
      <c r="U34" s="384"/>
      <c r="V34" s="384"/>
      <c r="W34" s="384"/>
      <c r="X34" s="384"/>
      <c r="Y34" s="384"/>
      <c r="Z34" s="384"/>
      <c r="AA34" s="384"/>
    </row>
    <row r="35" spans="1:27" x14ac:dyDescent="0.2">
      <c r="A35" s="384"/>
      <c r="B35" s="386" t="s">
        <v>996</v>
      </c>
      <c r="C35" s="386" t="s">
        <v>997</v>
      </c>
      <c r="D35" s="386" t="s">
        <v>998</v>
      </c>
      <c r="E35" s="387">
        <f t="shared" si="0"/>
        <v>1350</v>
      </c>
      <c r="F35" s="389">
        <f t="shared" si="1"/>
        <v>2.7</v>
      </c>
      <c r="G35" s="384"/>
      <c r="H35" s="384"/>
      <c r="I35" s="384"/>
      <c r="J35" s="384"/>
      <c r="K35" s="384"/>
      <c r="L35" s="384"/>
      <c r="M35" s="384"/>
      <c r="N35" s="384"/>
      <c r="O35" s="384"/>
      <c r="P35" s="384"/>
      <c r="Q35" s="384"/>
      <c r="R35" s="384"/>
      <c r="S35" s="384"/>
      <c r="T35" s="384"/>
      <c r="U35" s="384"/>
      <c r="V35" s="384"/>
      <c r="W35" s="384"/>
      <c r="X35" s="384"/>
      <c r="Y35" s="384"/>
      <c r="Z35" s="384"/>
      <c r="AA35" s="384"/>
    </row>
    <row r="36" spans="1:27" x14ac:dyDescent="0.2">
      <c r="A36" s="384"/>
      <c r="B36" s="386" t="s">
        <v>999</v>
      </c>
      <c r="C36" s="386" t="s">
        <v>1000</v>
      </c>
      <c r="D36" s="386" t="s">
        <v>1001</v>
      </c>
      <c r="E36" s="387">
        <f t="shared" si="0"/>
        <v>1620</v>
      </c>
      <c r="F36" s="389">
        <f t="shared" si="1"/>
        <v>6.3</v>
      </c>
      <c r="G36" s="384"/>
      <c r="H36" s="384"/>
      <c r="I36" s="384"/>
      <c r="J36" s="384"/>
      <c r="K36" s="384"/>
      <c r="L36" s="384"/>
      <c r="M36" s="384"/>
      <c r="N36" s="384"/>
      <c r="O36" s="384"/>
      <c r="P36" s="384"/>
      <c r="Q36" s="384"/>
      <c r="R36" s="384"/>
      <c r="S36" s="384"/>
      <c r="T36" s="384"/>
      <c r="U36" s="384"/>
      <c r="V36" s="384"/>
      <c r="W36" s="384"/>
      <c r="X36" s="384"/>
      <c r="Y36" s="384"/>
      <c r="Z36" s="384"/>
      <c r="AA36" s="384"/>
    </row>
    <row r="37" spans="1:27" x14ac:dyDescent="0.2">
      <c r="A37" s="384"/>
      <c r="B37" s="386" t="s">
        <v>1002</v>
      </c>
      <c r="C37" s="386" t="s">
        <v>1003</v>
      </c>
      <c r="D37" s="386" t="s">
        <v>1004</v>
      </c>
      <c r="E37" s="387">
        <f t="shared" si="0"/>
        <v>1350</v>
      </c>
      <c r="F37" s="389">
        <f t="shared" si="1"/>
        <v>4.5</v>
      </c>
      <c r="G37" s="384"/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4"/>
      <c r="U37" s="384"/>
      <c r="V37" s="384"/>
      <c r="W37" s="384"/>
      <c r="X37" s="384"/>
      <c r="Y37" s="384"/>
      <c r="Z37" s="384"/>
      <c r="AA37" s="384"/>
    </row>
    <row r="38" spans="1:27" x14ac:dyDescent="0.2">
      <c r="A38" s="384"/>
      <c r="B38" s="384"/>
      <c r="C38" s="384"/>
      <c r="D38" s="384"/>
      <c r="E38" s="384"/>
      <c r="F38" s="384"/>
      <c r="G38" s="384"/>
      <c r="H38" s="384"/>
      <c r="I38" s="384"/>
      <c r="J38" s="384"/>
      <c r="K38" s="384"/>
      <c r="L38" s="384"/>
      <c r="M38" s="384"/>
      <c r="N38" s="384"/>
      <c r="O38" s="384"/>
      <c r="P38" s="384"/>
      <c r="Q38" s="384"/>
      <c r="R38" s="384"/>
      <c r="S38" s="384"/>
      <c r="T38" s="384"/>
      <c r="U38" s="384"/>
      <c r="V38" s="384"/>
      <c r="W38" s="384"/>
      <c r="X38" s="384"/>
      <c r="Y38" s="384"/>
      <c r="Z38" s="384"/>
      <c r="AA38" s="384"/>
    </row>
    <row r="39" spans="1:27" x14ac:dyDescent="0.2">
      <c r="A39" s="384"/>
      <c r="B39" s="384"/>
      <c r="C39" s="384"/>
      <c r="D39" s="384"/>
      <c r="E39" s="384"/>
      <c r="F39" s="384"/>
      <c r="G39" s="384"/>
      <c r="H39" s="384"/>
      <c r="I39" s="384"/>
      <c r="J39" s="384"/>
      <c r="K39" s="384"/>
      <c r="L39" s="384"/>
      <c r="M39" s="384"/>
      <c r="N39" s="384"/>
      <c r="O39" s="384"/>
      <c r="P39" s="384"/>
      <c r="Q39" s="384"/>
      <c r="R39" s="384"/>
      <c r="S39" s="384"/>
      <c r="T39" s="384"/>
      <c r="U39" s="384"/>
      <c r="V39" s="384"/>
      <c r="W39" s="384"/>
      <c r="X39" s="384"/>
      <c r="Y39" s="384"/>
      <c r="Z39" s="384"/>
      <c r="AA39" s="384"/>
    </row>
    <row r="40" spans="1:27" x14ac:dyDescent="0.2">
      <c r="A40" s="384"/>
      <c r="B40" s="384"/>
      <c r="C40" s="384"/>
      <c r="D40" s="384"/>
      <c r="E40" s="384"/>
      <c r="F40" s="384"/>
      <c r="G40" s="384"/>
      <c r="H40" s="384"/>
      <c r="I40" s="384"/>
      <c r="J40" s="384"/>
      <c r="K40" s="384"/>
      <c r="L40" s="384"/>
      <c r="M40" s="384"/>
      <c r="N40" s="384"/>
      <c r="O40" s="384"/>
      <c r="P40" s="384"/>
      <c r="Q40" s="384"/>
      <c r="R40" s="384"/>
      <c r="S40" s="384"/>
      <c r="T40" s="384"/>
      <c r="U40" s="384"/>
      <c r="V40" s="384"/>
      <c r="W40" s="384"/>
      <c r="X40" s="384"/>
      <c r="Y40" s="384"/>
      <c r="Z40" s="384"/>
      <c r="AA40" s="384"/>
    </row>
    <row r="41" spans="1:27" x14ac:dyDescent="0.2">
      <c r="A41" s="384"/>
      <c r="B41" s="384"/>
      <c r="C41" s="384"/>
      <c r="D41" s="384"/>
      <c r="E41" s="384"/>
      <c r="F41" s="384"/>
      <c r="G41" s="384"/>
      <c r="H41" s="384"/>
      <c r="I41" s="384"/>
      <c r="J41" s="384"/>
      <c r="K41" s="384"/>
      <c r="L41" s="384"/>
      <c r="M41" s="384"/>
      <c r="N41" s="384"/>
      <c r="O41" s="384"/>
      <c r="P41" s="384"/>
      <c r="Q41" s="384"/>
      <c r="R41" s="384"/>
      <c r="S41" s="384"/>
      <c r="T41" s="384"/>
      <c r="U41" s="384"/>
      <c r="V41" s="384"/>
      <c r="W41" s="384"/>
      <c r="X41" s="384"/>
      <c r="Y41" s="384"/>
      <c r="Z41" s="384"/>
      <c r="AA41" s="384"/>
    </row>
    <row r="42" spans="1:27" x14ac:dyDescent="0.2">
      <c r="A42" s="384"/>
      <c r="B42" s="384"/>
      <c r="C42" s="384"/>
      <c r="D42" s="384"/>
      <c r="E42" s="384"/>
      <c r="F42" s="384"/>
      <c r="G42" s="384"/>
      <c r="H42" s="384"/>
      <c r="I42" s="384"/>
      <c r="J42" s="384"/>
      <c r="K42" s="384"/>
      <c r="L42" s="384"/>
      <c r="M42" s="384"/>
      <c r="N42" s="384"/>
      <c r="O42" s="384"/>
      <c r="P42" s="384"/>
      <c r="Q42" s="384"/>
      <c r="R42" s="384"/>
      <c r="S42" s="384"/>
      <c r="T42" s="384"/>
      <c r="U42" s="384"/>
      <c r="V42" s="384"/>
      <c r="W42" s="384"/>
      <c r="X42" s="384"/>
      <c r="Y42" s="384"/>
      <c r="Z42" s="384"/>
      <c r="AA42" s="384"/>
    </row>
    <row r="43" spans="1:27" x14ac:dyDescent="0.2">
      <c r="A43" s="384"/>
      <c r="B43" s="384"/>
      <c r="C43" s="384"/>
      <c r="D43" s="384"/>
      <c r="E43" s="384"/>
      <c r="F43" s="384"/>
      <c r="G43" s="384"/>
      <c r="H43" s="384"/>
      <c r="I43" s="384"/>
      <c r="J43" s="384"/>
      <c r="K43" s="384"/>
      <c r="L43" s="384"/>
      <c r="M43" s="384"/>
      <c r="N43" s="384"/>
      <c r="O43" s="384"/>
      <c r="P43" s="384"/>
      <c r="Q43" s="384"/>
      <c r="R43" s="384"/>
      <c r="S43" s="384"/>
      <c r="T43" s="384"/>
      <c r="U43" s="384"/>
      <c r="V43" s="384"/>
      <c r="W43" s="384"/>
      <c r="X43" s="384"/>
      <c r="Y43" s="384"/>
      <c r="Z43" s="384"/>
      <c r="AA43" s="384"/>
    </row>
    <row r="44" spans="1:27" x14ac:dyDescent="0.2">
      <c r="A44" s="384"/>
      <c r="B44" s="384"/>
      <c r="C44" s="384"/>
      <c r="D44" s="384"/>
      <c r="E44" s="384"/>
      <c r="F44" s="384"/>
      <c r="G44" s="384"/>
      <c r="H44" s="384"/>
      <c r="I44" s="384"/>
      <c r="J44" s="384"/>
      <c r="K44" s="384"/>
      <c r="L44" s="384"/>
      <c r="M44" s="384"/>
      <c r="N44" s="384"/>
      <c r="O44" s="384"/>
      <c r="P44" s="384"/>
      <c r="Q44" s="384"/>
      <c r="R44" s="384"/>
      <c r="S44" s="384"/>
      <c r="T44" s="384"/>
      <c r="U44" s="384"/>
      <c r="V44" s="384"/>
      <c r="W44" s="384"/>
      <c r="X44" s="384"/>
      <c r="Y44" s="384"/>
      <c r="Z44" s="384"/>
      <c r="AA44" s="384"/>
    </row>
    <row r="45" spans="1:27" x14ac:dyDescent="0.2">
      <c r="A45" s="384"/>
      <c r="B45" s="384"/>
      <c r="C45" s="384"/>
      <c r="D45" s="384"/>
      <c r="E45" s="384"/>
      <c r="F45" s="384"/>
      <c r="G45" s="384"/>
      <c r="H45" s="384"/>
      <c r="I45" s="384"/>
      <c r="J45" s="384"/>
      <c r="K45" s="384"/>
      <c r="L45" s="384"/>
      <c r="M45" s="384"/>
      <c r="N45" s="384"/>
      <c r="O45" s="384"/>
      <c r="P45" s="384"/>
      <c r="Q45" s="384"/>
      <c r="R45" s="384"/>
      <c r="S45" s="384"/>
      <c r="T45" s="384"/>
      <c r="U45" s="384"/>
      <c r="V45" s="384"/>
      <c r="W45" s="384"/>
      <c r="X45" s="384"/>
      <c r="Y45" s="384"/>
      <c r="Z45" s="384"/>
      <c r="AA45" s="384"/>
    </row>
    <row r="46" spans="1:27" x14ac:dyDescent="0.2">
      <c r="A46" s="384"/>
      <c r="B46" s="384"/>
      <c r="C46" s="384"/>
      <c r="D46" s="384"/>
      <c r="E46" s="384"/>
      <c r="F46" s="384"/>
      <c r="G46" s="384"/>
      <c r="H46" s="384"/>
      <c r="I46" s="384"/>
      <c r="J46" s="384"/>
      <c r="K46" s="384"/>
      <c r="L46" s="384"/>
      <c r="M46" s="384"/>
      <c r="N46" s="384"/>
      <c r="O46" s="384"/>
      <c r="P46" s="384"/>
      <c r="Q46" s="384"/>
      <c r="R46" s="384"/>
      <c r="S46" s="384"/>
      <c r="T46" s="384"/>
      <c r="U46" s="384"/>
      <c r="V46" s="384"/>
      <c r="W46" s="384"/>
      <c r="X46" s="384"/>
      <c r="Y46" s="384"/>
      <c r="Z46" s="384"/>
      <c r="AA46" s="384"/>
    </row>
    <row r="47" spans="1:27" x14ac:dyDescent="0.2">
      <c r="A47" s="384"/>
      <c r="B47" s="384"/>
      <c r="C47" s="384"/>
      <c r="D47" s="384"/>
      <c r="E47" s="384"/>
      <c r="F47" s="384"/>
      <c r="G47" s="384"/>
      <c r="H47" s="384"/>
      <c r="I47" s="384"/>
      <c r="J47" s="384"/>
      <c r="K47" s="384"/>
      <c r="L47" s="384"/>
      <c r="M47" s="384"/>
      <c r="N47" s="384"/>
      <c r="O47" s="384"/>
      <c r="P47" s="384"/>
      <c r="Q47" s="384"/>
      <c r="R47" s="384"/>
      <c r="S47" s="384"/>
      <c r="T47" s="384"/>
      <c r="U47" s="384"/>
      <c r="V47" s="384"/>
      <c r="W47" s="384"/>
      <c r="X47" s="384"/>
      <c r="Y47" s="384"/>
      <c r="Z47" s="384"/>
      <c r="AA47" s="384"/>
    </row>
    <row r="48" spans="1:27" x14ac:dyDescent="0.2">
      <c r="A48" s="384"/>
      <c r="B48" s="384"/>
      <c r="C48" s="384"/>
      <c r="D48" s="384"/>
      <c r="E48" s="384"/>
      <c r="F48" s="384"/>
      <c r="G48" s="384"/>
      <c r="H48" s="384"/>
      <c r="I48" s="384"/>
      <c r="J48" s="384"/>
      <c r="K48" s="384"/>
      <c r="L48" s="384"/>
      <c r="M48" s="384"/>
      <c r="N48" s="384"/>
      <c r="O48" s="384"/>
      <c r="P48" s="384"/>
      <c r="Q48" s="384"/>
      <c r="R48" s="384"/>
      <c r="S48" s="384"/>
      <c r="T48" s="384"/>
      <c r="U48" s="384"/>
      <c r="V48" s="384"/>
      <c r="W48" s="384"/>
      <c r="X48" s="384"/>
      <c r="Y48" s="384"/>
      <c r="Z48" s="384"/>
      <c r="AA48" s="384"/>
    </row>
    <row r="49" spans="1:27" x14ac:dyDescent="0.2">
      <c r="A49" s="384"/>
      <c r="B49" s="384"/>
      <c r="C49" s="384"/>
      <c r="D49" s="384"/>
      <c r="E49" s="384"/>
      <c r="F49" s="384"/>
      <c r="G49" s="384"/>
      <c r="H49" s="384"/>
      <c r="I49" s="384"/>
      <c r="J49" s="384"/>
      <c r="K49" s="384"/>
      <c r="L49" s="384"/>
      <c r="M49" s="384"/>
      <c r="N49" s="384"/>
      <c r="O49" s="384"/>
      <c r="P49" s="384"/>
      <c r="Q49" s="384"/>
      <c r="R49" s="384"/>
      <c r="S49" s="384"/>
      <c r="T49" s="384"/>
      <c r="U49" s="384"/>
      <c r="V49" s="384"/>
      <c r="W49" s="384"/>
      <c r="X49" s="384"/>
      <c r="Y49" s="384"/>
      <c r="Z49" s="384"/>
      <c r="AA49" s="384"/>
    </row>
    <row r="50" spans="1:27" x14ac:dyDescent="0.2">
      <c r="A50" s="384"/>
      <c r="B50" s="384"/>
      <c r="C50" s="384"/>
      <c r="D50" s="384"/>
      <c r="E50" s="384"/>
      <c r="F50" s="384"/>
      <c r="G50" s="384"/>
      <c r="H50" s="384"/>
      <c r="I50" s="384"/>
      <c r="J50" s="384"/>
      <c r="K50" s="384"/>
      <c r="L50" s="384"/>
      <c r="M50" s="384"/>
      <c r="N50" s="384"/>
      <c r="O50" s="384"/>
      <c r="P50" s="384"/>
      <c r="Q50" s="384"/>
      <c r="R50" s="384"/>
      <c r="S50" s="384"/>
      <c r="T50" s="384"/>
      <c r="U50" s="384"/>
      <c r="V50" s="384"/>
      <c r="W50" s="384"/>
      <c r="X50" s="384"/>
      <c r="Y50" s="384"/>
      <c r="Z50" s="384"/>
      <c r="AA50" s="384"/>
    </row>
    <row r="51" spans="1:27" x14ac:dyDescent="0.2">
      <c r="A51" s="384"/>
      <c r="B51" s="384"/>
      <c r="C51" s="384"/>
      <c r="D51" s="384"/>
      <c r="E51" s="384"/>
      <c r="F51" s="384"/>
      <c r="G51" s="384"/>
      <c r="H51" s="384"/>
      <c r="I51" s="384"/>
      <c r="J51" s="384"/>
      <c r="K51" s="384"/>
      <c r="L51" s="384"/>
      <c r="M51" s="384"/>
      <c r="N51" s="384"/>
      <c r="O51" s="384"/>
      <c r="P51" s="384"/>
      <c r="Q51" s="384"/>
      <c r="R51" s="384"/>
      <c r="S51" s="384"/>
      <c r="T51" s="384"/>
      <c r="U51" s="384"/>
      <c r="V51" s="384"/>
      <c r="W51" s="384"/>
      <c r="X51" s="384"/>
      <c r="Y51" s="384"/>
      <c r="Z51" s="384"/>
      <c r="AA51" s="384"/>
    </row>
    <row r="52" spans="1:27" x14ac:dyDescent="0.2">
      <c r="A52" s="384"/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384"/>
      <c r="M52" s="384"/>
      <c r="N52" s="384"/>
      <c r="O52" s="384"/>
      <c r="P52" s="384"/>
      <c r="Q52" s="384"/>
      <c r="R52" s="384"/>
      <c r="S52" s="384"/>
      <c r="T52" s="384"/>
      <c r="U52" s="384"/>
      <c r="V52" s="384"/>
      <c r="W52" s="384"/>
      <c r="X52" s="384"/>
      <c r="Y52" s="384"/>
      <c r="Z52" s="384"/>
      <c r="AA52" s="384"/>
    </row>
    <row r="53" spans="1:27" x14ac:dyDescent="0.2">
      <c r="A53" s="384"/>
      <c r="B53" s="384"/>
      <c r="C53" s="384"/>
      <c r="D53" s="384"/>
      <c r="E53" s="384"/>
      <c r="F53" s="384"/>
      <c r="G53" s="384"/>
      <c r="H53" s="384"/>
      <c r="I53" s="384"/>
      <c r="J53" s="384"/>
      <c r="K53" s="384"/>
      <c r="L53" s="384"/>
      <c r="M53" s="384"/>
      <c r="N53" s="384"/>
      <c r="O53" s="384"/>
      <c r="P53" s="384"/>
      <c r="Q53" s="384"/>
      <c r="R53" s="384"/>
      <c r="S53" s="384"/>
      <c r="T53" s="384"/>
      <c r="U53" s="384"/>
      <c r="V53" s="384"/>
      <c r="W53" s="384"/>
      <c r="X53" s="384"/>
      <c r="Y53" s="384"/>
      <c r="Z53" s="384"/>
      <c r="AA53" s="384"/>
    </row>
    <row r="54" spans="1:27" x14ac:dyDescent="0.2">
      <c r="A54" s="384"/>
      <c r="B54" s="384"/>
      <c r="C54" s="384"/>
      <c r="D54" s="384"/>
      <c r="E54" s="384"/>
      <c r="F54" s="384"/>
      <c r="G54" s="384"/>
      <c r="H54" s="384"/>
      <c r="I54" s="384"/>
      <c r="J54" s="384"/>
      <c r="K54" s="384"/>
      <c r="L54" s="384"/>
      <c r="M54" s="384"/>
      <c r="N54" s="384"/>
      <c r="O54" s="384"/>
      <c r="P54" s="384"/>
      <c r="Q54" s="384"/>
      <c r="R54" s="384"/>
      <c r="S54" s="384"/>
      <c r="T54" s="384"/>
      <c r="U54" s="384"/>
      <c r="V54" s="384"/>
      <c r="W54" s="384"/>
      <c r="X54" s="384"/>
      <c r="Y54" s="384"/>
      <c r="Z54" s="384"/>
      <c r="AA54" s="384"/>
    </row>
    <row r="55" spans="1:27" x14ac:dyDescent="0.2">
      <c r="A55" s="384"/>
      <c r="B55" s="384"/>
      <c r="C55" s="384"/>
      <c r="D55" s="384"/>
      <c r="E55" s="384"/>
      <c r="F55" s="384"/>
      <c r="G55" s="384"/>
      <c r="H55" s="384"/>
      <c r="I55" s="384"/>
      <c r="J55" s="384"/>
      <c r="K55" s="384"/>
      <c r="L55" s="384"/>
      <c r="M55" s="384"/>
      <c r="N55" s="384"/>
      <c r="O55" s="384"/>
      <c r="P55" s="384"/>
      <c r="Q55" s="384"/>
      <c r="R55" s="384"/>
      <c r="S55" s="384"/>
      <c r="T55" s="384"/>
      <c r="U55" s="384"/>
      <c r="V55" s="384"/>
      <c r="W55" s="384"/>
      <c r="X55" s="384"/>
      <c r="Y55" s="384"/>
      <c r="Z55" s="384"/>
      <c r="AA55" s="384"/>
    </row>
    <row r="56" spans="1:27" x14ac:dyDescent="0.2">
      <c r="A56" s="384"/>
      <c r="B56" s="384"/>
      <c r="C56" s="384"/>
      <c r="D56" s="384"/>
      <c r="E56" s="384"/>
      <c r="F56" s="384"/>
      <c r="G56" s="384"/>
      <c r="H56" s="384"/>
      <c r="I56" s="384"/>
      <c r="J56" s="384"/>
      <c r="K56" s="384"/>
      <c r="L56" s="384"/>
      <c r="M56" s="384"/>
      <c r="N56" s="384"/>
      <c r="O56" s="384"/>
      <c r="P56" s="384"/>
      <c r="Q56" s="384"/>
      <c r="R56" s="384"/>
      <c r="S56" s="384"/>
      <c r="T56" s="384"/>
      <c r="U56" s="384"/>
      <c r="V56" s="384"/>
      <c r="W56" s="384"/>
      <c r="X56" s="384"/>
      <c r="Y56" s="384"/>
      <c r="Z56" s="384"/>
      <c r="AA56" s="384"/>
    </row>
    <row r="57" spans="1:27" x14ac:dyDescent="0.2">
      <c r="A57" s="384"/>
      <c r="B57" s="384"/>
      <c r="C57" s="384"/>
      <c r="D57" s="384"/>
      <c r="E57" s="384"/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384"/>
      <c r="R57" s="384"/>
      <c r="S57" s="384"/>
      <c r="T57" s="384"/>
      <c r="U57" s="384"/>
      <c r="V57" s="384"/>
      <c r="W57" s="384"/>
      <c r="X57" s="384"/>
      <c r="Y57" s="384"/>
      <c r="Z57" s="384"/>
      <c r="AA57" s="384"/>
    </row>
    <row r="58" spans="1:27" x14ac:dyDescent="0.2">
      <c r="A58" s="384"/>
      <c r="B58" s="384"/>
      <c r="C58" s="384"/>
      <c r="D58" s="384"/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84"/>
      <c r="R58" s="384"/>
      <c r="S58" s="384"/>
      <c r="T58" s="384"/>
      <c r="U58" s="384"/>
      <c r="V58" s="384"/>
      <c r="W58" s="384"/>
      <c r="X58" s="384"/>
      <c r="Y58" s="384"/>
      <c r="Z58" s="384"/>
      <c r="AA58" s="384"/>
    </row>
    <row r="59" spans="1:27" x14ac:dyDescent="0.2">
      <c r="A59" s="384"/>
      <c r="B59" s="384"/>
      <c r="C59" s="384"/>
      <c r="D59" s="384"/>
      <c r="E59" s="384"/>
      <c r="F59" s="384"/>
      <c r="G59" s="384"/>
      <c r="H59" s="384"/>
      <c r="I59" s="384"/>
      <c r="J59" s="384"/>
      <c r="K59" s="384"/>
      <c r="L59" s="384"/>
      <c r="M59" s="384"/>
      <c r="N59" s="384"/>
      <c r="O59" s="384"/>
      <c r="P59" s="384"/>
      <c r="Q59" s="384"/>
      <c r="R59" s="384"/>
      <c r="S59" s="384"/>
      <c r="T59" s="384"/>
      <c r="U59" s="384"/>
      <c r="V59" s="384"/>
      <c r="W59" s="384"/>
      <c r="X59" s="384"/>
      <c r="Y59" s="384"/>
      <c r="Z59" s="384"/>
      <c r="AA59" s="384"/>
    </row>
    <row r="60" spans="1:27" x14ac:dyDescent="0.2">
      <c r="A60" s="384"/>
      <c r="B60" s="384"/>
      <c r="C60" s="384"/>
      <c r="D60" s="384"/>
      <c r="E60" s="384"/>
      <c r="F60" s="384"/>
      <c r="G60" s="384"/>
      <c r="H60" s="384"/>
      <c r="I60" s="384"/>
      <c r="J60" s="384"/>
      <c r="K60" s="384"/>
      <c r="L60" s="384"/>
      <c r="M60" s="384"/>
      <c r="N60" s="384"/>
      <c r="O60" s="384"/>
      <c r="P60" s="384"/>
      <c r="Q60" s="384"/>
      <c r="R60" s="384"/>
      <c r="S60" s="384"/>
      <c r="T60" s="384"/>
      <c r="U60" s="384"/>
      <c r="V60" s="384"/>
      <c r="W60" s="384"/>
      <c r="X60" s="384"/>
      <c r="Y60" s="384"/>
      <c r="Z60" s="384"/>
      <c r="AA60" s="384"/>
    </row>
    <row r="61" spans="1:27" x14ac:dyDescent="0.2">
      <c r="A61" s="384"/>
      <c r="B61" s="384"/>
      <c r="C61" s="384"/>
      <c r="D61" s="384"/>
      <c r="E61" s="384"/>
      <c r="F61" s="384"/>
      <c r="G61" s="384"/>
      <c r="H61" s="384"/>
      <c r="I61" s="384"/>
      <c r="J61" s="384"/>
      <c r="K61" s="384"/>
      <c r="L61" s="384"/>
      <c r="M61" s="384"/>
      <c r="N61" s="384"/>
      <c r="O61" s="384"/>
      <c r="P61" s="384"/>
      <c r="Q61" s="384"/>
      <c r="R61" s="384"/>
      <c r="S61" s="384"/>
      <c r="T61" s="384"/>
      <c r="U61" s="384"/>
      <c r="V61" s="384"/>
      <c r="W61" s="384"/>
      <c r="X61" s="384"/>
      <c r="Y61" s="384"/>
      <c r="Z61" s="384"/>
      <c r="AA61" s="384"/>
    </row>
    <row r="62" spans="1:27" x14ac:dyDescent="0.2">
      <c r="A62" s="384"/>
      <c r="B62" s="384"/>
      <c r="C62" s="384"/>
      <c r="D62" s="384"/>
      <c r="E62" s="384"/>
      <c r="F62" s="384"/>
      <c r="G62" s="384"/>
      <c r="H62" s="384"/>
      <c r="I62" s="384"/>
      <c r="J62" s="384"/>
      <c r="K62" s="384"/>
      <c r="L62" s="384"/>
      <c r="M62" s="384"/>
      <c r="N62" s="384"/>
      <c r="O62" s="384"/>
      <c r="P62" s="384"/>
      <c r="Q62" s="384"/>
      <c r="R62" s="384"/>
      <c r="S62" s="384"/>
      <c r="T62" s="384"/>
      <c r="U62" s="384"/>
      <c r="V62" s="384"/>
      <c r="W62" s="384"/>
      <c r="X62" s="384"/>
      <c r="Y62" s="384"/>
      <c r="Z62" s="384"/>
      <c r="AA62" s="384"/>
    </row>
    <row r="63" spans="1:27" x14ac:dyDescent="0.2">
      <c r="A63" s="384"/>
      <c r="B63" s="384"/>
      <c r="C63" s="384"/>
      <c r="D63" s="384"/>
      <c r="E63" s="384"/>
      <c r="F63" s="384"/>
      <c r="G63" s="384"/>
      <c r="H63" s="384"/>
      <c r="I63" s="384"/>
      <c r="J63" s="384"/>
      <c r="K63" s="384"/>
      <c r="L63" s="384"/>
      <c r="M63" s="384"/>
      <c r="N63" s="384"/>
      <c r="O63" s="384"/>
      <c r="P63" s="384"/>
      <c r="Q63" s="384"/>
      <c r="R63" s="384"/>
      <c r="S63" s="384"/>
      <c r="T63" s="384"/>
      <c r="U63" s="384"/>
      <c r="V63" s="384"/>
      <c r="W63" s="384"/>
      <c r="X63" s="384"/>
      <c r="Y63" s="384"/>
      <c r="Z63" s="384"/>
      <c r="AA63" s="384"/>
    </row>
    <row r="64" spans="1:27" x14ac:dyDescent="0.2">
      <c r="A64" s="384"/>
      <c r="B64" s="384"/>
      <c r="C64" s="384"/>
      <c r="D64" s="384"/>
      <c r="E64" s="384"/>
      <c r="F64" s="384"/>
      <c r="G64" s="384"/>
      <c r="H64" s="384"/>
      <c r="I64" s="384"/>
      <c r="J64" s="384"/>
      <c r="K64" s="384"/>
      <c r="L64" s="384"/>
      <c r="M64" s="384"/>
      <c r="N64" s="384"/>
      <c r="O64" s="384"/>
      <c r="P64" s="384"/>
      <c r="Q64" s="384"/>
      <c r="R64" s="384"/>
      <c r="S64" s="384"/>
      <c r="T64" s="384"/>
      <c r="U64" s="384"/>
      <c r="V64" s="384"/>
      <c r="W64" s="384"/>
      <c r="X64" s="384"/>
      <c r="Y64" s="384"/>
      <c r="Z64" s="384"/>
      <c r="AA64" s="384"/>
    </row>
    <row r="65" spans="1:27" x14ac:dyDescent="0.2">
      <c r="A65" s="384"/>
      <c r="B65" s="384"/>
      <c r="C65" s="384"/>
      <c r="D65" s="384"/>
      <c r="E65" s="384"/>
      <c r="F65" s="384"/>
      <c r="G65" s="384"/>
      <c r="H65" s="384"/>
      <c r="I65" s="384"/>
      <c r="J65" s="384"/>
      <c r="K65" s="384"/>
      <c r="L65" s="384"/>
      <c r="M65" s="384"/>
      <c r="N65" s="384"/>
      <c r="O65" s="384"/>
      <c r="P65" s="384"/>
      <c r="Q65" s="384"/>
      <c r="R65" s="384"/>
      <c r="S65" s="384"/>
      <c r="T65" s="384"/>
      <c r="U65" s="384"/>
      <c r="V65" s="384"/>
      <c r="W65" s="384"/>
      <c r="X65" s="384"/>
      <c r="Y65" s="384"/>
      <c r="Z65" s="384"/>
      <c r="AA65" s="384"/>
    </row>
    <row r="66" spans="1:27" x14ac:dyDescent="0.2">
      <c r="A66" s="384"/>
      <c r="B66" s="384"/>
      <c r="C66" s="384"/>
      <c r="D66" s="384"/>
      <c r="E66" s="384"/>
      <c r="F66" s="384"/>
      <c r="G66" s="384"/>
      <c r="H66" s="384"/>
      <c r="I66" s="384"/>
      <c r="J66" s="384"/>
      <c r="K66" s="384"/>
      <c r="L66" s="384"/>
      <c r="M66" s="384"/>
      <c r="N66" s="384"/>
      <c r="O66" s="384"/>
      <c r="P66" s="384"/>
      <c r="Q66" s="384"/>
      <c r="R66" s="384"/>
      <c r="S66" s="384"/>
      <c r="T66" s="384"/>
      <c r="U66" s="384"/>
      <c r="V66" s="384"/>
      <c r="W66" s="384"/>
      <c r="X66" s="384"/>
      <c r="Y66" s="384"/>
      <c r="Z66" s="384"/>
      <c r="AA66" s="384"/>
    </row>
    <row r="67" spans="1:27" x14ac:dyDescent="0.2">
      <c r="A67" s="384"/>
      <c r="B67" s="384"/>
      <c r="C67" s="384"/>
      <c r="D67" s="384"/>
      <c r="E67" s="384"/>
      <c r="F67" s="384"/>
      <c r="G67" s="384"/>
      <c r="H67" s="384"/>
      <c r="I67" s="384"/>
      <c r="J67" s="384"/>
      <c r="K67" s="384"/>
      <c r="L67" s="384"/>
      <c r="M67" s="384"/>
      <c r="N67" s="384"/>
      <c r="O67" s="384"/>
      <c r="P67" s="384"/>
      <c r="Q67" s="384"/>
      <c r="R67" s="384"/>
      <c r="S67" s="384"/>
      <c r="T67" s="384"/>
      <c r="U67" s="384"/>
      <c r="V67" s="384"/>
      <c r="W67" s="384"/>
      <c r="X67" s="384"/>
      <c r="Y67" s="384"/>
      <c r="Z67" s="384"/>
      <c r="AA67" s="384"/>
    </row>
    <row r="68" spans="1:27" x14ac:dyDescent="0.2">
      <c r="A68" s="384"/>
      <c r="B68" s="384"/>
      <c r="C68" s="384"/>
      <c r="D68" s="384"/>
      <c r="E68" s="384"/>
      <c r="F68" s="384"/>
      <c r="G68" s="384"/>
      <c r="H68" s="384"/>
      <c r="I68" s="384"/>
      <c r="J68" s="384"/>
      <c r="K68" s="384"/>
      <c r="L68" s="384"/>
      <c r="M68" s="384"/>
      <c r="N68" s="384"/>
      <c r="O68" s="384"/>
      <c r="P68" s="384"/>
      <c r="Q68" s="384"/>
      <c r="R68" s="384"/>
      <c r="S68" s="384"/>
      <c r="T68" s="384"/>
      <c r="U68" s="384"/>
      <c r="V68" s="384"/>
      <c r="W68" s="384"/>
      <c r="X68" s="384"/>
      <c r="Y68" s="384"/>
      <c r="Z68" s="384"/>
      <c r="AA68" s="384"/>
    </row>
    <row r="69" spans="1:27" x14ac:dyDescent="0.2">
      <c r="A69" s="384"/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4"/>
      <c r="Q69" s="384"/>
      <c r="R69" s="384"/>
      <c r="S69" s="384"/>
      <c r="T69" s="384"/>
      <c r="U69" s="384"/>
      <c r="V69" s="384"/>
      <c r="W69" s="384"/>
      <c r="X69" s="384"/>
      <c r="Y69" s="384"/>
      <c r="Z69" s="384"/>
      <c r="AA69" s="384"/>
    </row>
    <row r="70" spans="1:27" x14ac:dyDescent="0.2">
      <c r="A70" s="384"/>
      <c r="B70" s="384"/>
      <c r="C70" s="384"/>
      <c r="D70" s="384"/>
      <c r="E70" s="384"/>
      <c r="F70" s="384"/>
      <c r="G70" s="384"/>
      <c r="H70" s="384"/>
      <c r="I70" s="384"/>
      <c r="J70" s="384"/>
      <c r="K70" s="384"/>
      <c r="L70" s="384"/>
      <c r="M70" s="384"/>
      <c r="N70" s="384"/>
      <c r="O70" s="384"/>
      <c r="P70" s="384"/>
      <c r="Q70" s="384"/>
      <c r="R70" s="384"/>
      <c r="S70" s="384"/>
      <c r="T70" s="384"/>
      <c r="U70" s="384"/>
      <c r="V70" s="384"/>
      <c r="W70" s="384"/>
      <c r="X70" s="384"/>
      <c r="Y70" s="384"/>
      <c r="Z70" s="384"/>
      <c r="AA70" s="384"/>
    </row>
    <row r="71" spans="1:27" x14ac:dyDescent="0.2">
      <c r="A71" s="384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4"/>
      <c r="Q71" s="384"/>
      <c r="R71" s="384"/>
      <c r="S71" s="384"/>
      <c r="T71" s="384"/>
      <c r="U71" s="384"/>
      <c r="V71" s="384"/>
      <c r="W71" s="384"/>
      <c r="X71" s="384"/>
      <c r="Y71" s="384"/>
      <c r="Z71" s="384"/>
      <c r="AA71" s="384"/>
    </row>
    <row r="72" spans="1:27" x14ac:dyDescent="0.2">
      <c r="A72" s="384"/>
      <c r="B72" s="384"/>
      <c r="C72" s="384"/>
      <c r="D72" s="384"/>
      <c r="E72" s="384"/>
      <c r="F72" s="384"/>
      <c r="G72" s="384"/>
      <c r="H72" s="384"/>
      <c r="I72" s="384"/>
      <c r="J72" s="384"/>
      <c r="K72" s="384"/>
      <c r="L72" s="384"/>
      <c r="M72" s="384"/>
      <c r="N72" s="384"/>
      <c r="O72" s="384"/>
      <c r="P72" s="384"/>
      <c r="Q72" s="384"/>
      <c r="R72" s="384"/>
      <c r="S72" s="384"/>
      <c r="T72" s="384"/>
      <c r="U72" s="384"/>
      <c r="V72" s="384"/>
      <c r="W72" s="384"/>
      <c r="X72" s="384"/>
      <c r="Y72" s="384"/>
      <c r="Z72" s="384"/>
      <c r="AA72" s="384"/>
    </row>
    <row r="73" spans="1:27" x14ac:dyDescent="0.2">
      <c r="A73" s="384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4"/>
      <c r="Q73" s="384"/>
      <c r="R73" s="384"/>
      <c r="S73" s="384"/>
      <c r="T73" s="384"/>
      <c r="U73" s="384"/>
      <c r="V73" s="384"/>
      <c r="W73" s="384"/>
      <c r="X73" s="384"/>
      <c r="Y73" s="384"/>
      <c r="Z73" s="384"/>
      <c r="AA73" s="384"/>
    </row>
    <row r="74" spans="1:27" x14ac:dyDescent="0.2">
      <c r="A74" s="384"/>
      <c r="B74" s="384"/>
      <c r="C74" s="384"/>
      <c r="D74" s="384"/>
      <c r="E74" s="384"/>
      <c r="F74" s="384"/>
      <c r="G74" s="384"/>
      <c r="H74" s="384"/>
      <c r="I74" s="384"/>
      <c r="J74" s="384"/>
      <c r="K74" s="384"/>
      <c r="L74" s="384"/>
      <c r="M74" s="384"/>
      <c r="N74" s="384"/>
      <c r="O74" s="384"/>
      <c r="P74" s="384"/>
      <c r="Q74" s="384"/>
      <c r="R74" s="384"/>
      <c r="S74" s="384"/>
      <c r="T74" s="384"/>
      <c r="U74" s="384"/>
      <c r="V74" s="384"/>
      <c r="W74" s="384"/>
      <c r="X74" s="384"/>
      <c r="Y74" s="384"/>
      <c r="Z74" s="384"/>
      <c r="AA74" s="384"/>
    </row>
    <row r="75" spans="1:27" x14ac:dyDescent="0.2">
      <c r="A75" s="384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4"/>
      <c r="Q75" s="384"/>
      <c r="R75" s="384"/>
      <c r="S75" s="384"/>
      <c r="T75" s="384"/>
      <c r="U75" s="384"/>
      <c r="V75" s="384"/>
      <c r="W75" s="384"/>
      <c r="X75" s="384"/>
      <c r="Y75" s="384"/>
      <c r="Z75" s="384"/>
      <c r="AA75" s="384"/>
    </row>
    <row r="76" spans="1:27" x14ac:dyDescent="0.2">
      <c r="A76" s="384"/>
      <c r="B76" s="384"/>
      <c r="C76" s="384"/>
      <c r="D76" s="384"/>
      <c r="E76" s="384"/>
      <c r="F76" s="384"/>
      <c r="G76" s="384"/>
      <c r="H76" s="384"/>
      <c r="I76" s="384"/>
      <c r="J76" s="384"/>
      <c r="K76" s="384"/>
      <c r="L76" s="384"/>
      <c r="M76" s="384"/>
      <c r="N76" s="384"/>
      <c r="O76" s="384"/>
      <c r="P76" s="384"/>
      <c r="Q76" s="384"/>
      <c r="R76" s="384"/>
      <c r="S76" s="384"/>
      <c r="T76" s="384"/>
      <c r="U76" s="384"/>
      <c r="V76" s="384"/>
      <c r="W76" s="384"/>
      <c r="X76" s="384"/>
      <c r="Y76" s="384"/>
      <c r="Z76" s="384"/>
      <c r="AA76" s="384"/>
    </row>
    <row r="77" spans="1:27" x14ac:dyDescent="0.2">
      <c r="A77" s="384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4"/>
      <c r="Q77" s="384"/>
      <c r="R77" s="384"/>
      <c r="S77" s="384"/>
      <c r="T77" s="384"/>
      <c r="U77" s="384"/>
      <c r="V77" s="384"/>
      <c r="W77" s="384"/>
      <c r="X77" s="384"/>
      <c r="Y77" s="384"/>
      <c r="Z77" s="384"/>
      <c r="AA77" s="384"/>
    </row>
    <row r="78" spans="1:27" x14ac:dyDescent="0.2">
      <c r="A78" s="384"/>
      <c r="B78" s="384"/>
      <c r="C78" s="384"/>
      <c r="D78" s="384"/>
      <c r="E78" s="384"/>
      <c r="F78" s="384"/>
      <c r="G78" s="384"/>
      <c r="H78" s="384"/>
      <c r="I78" s="384"/>
      <c r="J78" s="384"/>
      <c r="K78" s="384"/>
      <c r="L78" s="384"/>
      <c r="M78" s="384"/>
      <c r="N78" s="384"/>
      <c r="O78" s="384"/>
      <c r="P78" s="384"/>
      <c r="Q78" s="384"/>
      <c r="R78" s="384"/>
      <c r="S78" s="384"/>
      <c r="T78" s="384"/>
      <c r="U78" s="384"/>
      <c r="V78" s="384"/>
      <c r="W78" s="384"/>
      <c r="X78" s="384"/>
      <c r="Y78" s="384"/>
      <c r="Z78" s="384"/>
      <c r="AA78" s="384"/>
    </row>
    <row r="79" spans="1:27" x14ac:dyDescent="0.2">
      <c r="A79" s="384"/>
      <c r="B79" s="384"/>
      <c r="C79" s="384"/>
      <c r="D79" s="384"/>
      <c r="E79" s="384"/>
      <c r="F79" s="384"/>
      <c r="G79" s="384"/>
      <c r="H79" s="384"/>
      <c r="I79" s="384"/>
      <c r="J79" s="384"/>
      <c r="K79" s="384"/>
      <c r="L79" s="384"/>
      <c r="M79" s="384"/>
      <c r="N79" s="384"/>
      <c r="O79" s="384"/>
      <c r="P79" s="384"/>
      <c r="Q79" s="384"/>
      <c r="R79" s="384"/>
      <c r="S79" s="384"/>
      <c r="T79" s="384"/>
      <c r="U79" s="384"/>
      <c r="V79" s="384"/>
      <c r="W79" s="384"/>
      <c r="X79" s="384"/>
      <c r="Y79" s="384"/>
      <c r="Z79" s="384"/>
      <c r="AA79" s="384"/>
    </row>
    <row r="80" spans="1:27" x14ac:dyDescent="0.2">
      <c r="A80" s="384"/>
      <c r="B80" s="384"/>
      <c r="C80" s="384"/>
      <c r="D80" s="384"/>
      <c r="E80" s="384"/>
      <c r="F80" s="384"/>
      <c r="G80" s="384"/>
      <c r="H80" s="384"/>
      <c r="I80" s="384"/>
      <c r="J80" s="384"/>
      <c r="K80" s="384"/>
      <c r="L80" s="384"/>
      <c r="M80" s="384"/>
      <c r="N80" s="384"/>
      <c r="O80" s="384"/>
      <c r="P80" s="384"/>
      <c r="Q80" s="384"/>
      <c r="R80" s="384"/>
      <c r="S80" s="384"/>
      <c r="T80" s="384"/>
      <c r="U80" s="384"/>
      <c r="V80" s="384"/>
      <c r="W80" s="384"/>
      <c r="X80" s="384"/>
      <c r="Y80" s="384"/>
      <c r="Z80" s="384"/>
      <c r="AA80" s="384"/>
    </row>
    <row r="81" spans="1:27" x14ac:dyDescent="0.2">
      <c r="A81" s="384"/>
      <c r="B81" s="384"/>
      <c r="C81" s="384"/>
      <c r="D81" s="384"/>
      <c r="E81" s="384"/>
      <c r="F81" s="384"/>
      <c r="G81" s="384"/>
      <c r="H81" s="384"/>
      <c r="I81" s="384"/>
      <c r="J81" s="384"/>
      <c r="K81" s="384"/>
      <c r="L81" s="384"/>
      <c r="M81" s="384"/>
      <c r="N81" s="384"/>
      <c r="O81" s="384"/>
      <c r="P81" s="384"/>
      <c r="Q81" s="384"/>
      <c r="R81" s="384"/>
      <c r="S81" s="384"/>
      <c r="T81" s="384"/>
      <c r="U81" s="384"/>
      <c r="V81" s="384"/>
      <c r="W81" s="384"/>
      <c r="X81" s="384"/>
      <c r="Y81" s="384"/>
      <c r="Z81" s="384"/>
      <c r="AA81" s="384"/>
    </row>
    <row r="82" spans="1:27" x14ac:dyDescent="0.2">
      <c r="A82" s="384"/>
      <c r="B82" s="384"/>
      <c r="C82" s="384"/>
      <c r="D82" s="384"/>
      <c r="E82" s="384"/>
      <c r="F82" s="384"/>
      <c r="G82" s="384"/>
      <c r="H82" s="384"/>
      <c r="I82" s="384"/>
      <c r="J82" s="384"/>
      <c r="K82" s="384"/>
      <c r="L82" s="384"/>
      <c r="M82" s="384"/>
      <c r="N82" s="384"/>
      <c r="O82" s="384"/>
      <c r="P82" s="384"/>
      <c r="Q82" s="384"/>
      <c r="R82" s="384"/>
      <c r="S82" s="384"/>
      <c r="T82" s="384"/>
      <c r="U82" s="384"/>
      <c r="V82" s="384"/>
      <c r="W82" s="384"/>
      <c r="X82" s="384"/>
      <c r="Y82" s="384"/>
      <c r="Z82" s="384"/>
      <c r="AA82" s="384"/>
    </row>
    <row r="83" spans="1:27" x14ac:dyDescent="0.2">
      <c r="A83" s="384"/>
      <c r="B83" s="384"/>
      <c r="C83" s="384"/>
      <c r="D83" s="384"/>
      <c r="E83" s="384"/>
      <c r="F83" s="384"/>
      <c r="G83" s="384"/>
      <c r="H83" s="384"/>
      <c r="I83" s="384"/>
      <c r="J83" s="384"/>
      <c r="K83" s="384"/>
      <c r="L83" s="384"/>
      <c r="M83" s="384"/>
      <c r="N83" s="384"/>
      <c r="O83" s="384"/>
      <c r="P83" s="384"/>
      <c r="Q83" s="384"/>
      <c r="R83" s="384"/>
      <c r="S83" s="384"/>
      <c r="T83" s="384"/>
      <c r="U83" s="384"/>
      <c r="V83" s="384"/>
      <c r="W83" s="384"/>
      <c r="X83" s="384"/>
      <c r="Y83" s="384"/>
      <c r="Z83" s="384"/>
      <c r="AA83" s="384"/>
    </row>
    <row r="84" spans="1:27" x14ac:dyDescent="0.2">
      <c r="A84" s="384"/>
      <c r="B84" s="384"/>
      <c r="C84" s="384"/>
      <c r="D84" s="384"/>
      <c r="E84" s="384"/>
      <c r="F84" s="384"/>
      <c r="G84" s="384"/>
      <c r="H84" s="384"/>
      <c r="I84" s="384"/>
      <c r="J84" s="384"/>
      <c r="K84" s="384"/>
      <c r="L84" s="384"/>
      <c r="M84" s="384"/>
      <c r="N84" s="384"/>
      <c r="O84" s="384"/>
      <c r="P84" s="384"/>
      <c r="Q84" s="384"/>
      <c r="R84" s="384"/>
      <c r="S84" s="384"/>
      <c r="T84" s="384"/>
      <c r="U84" s="384"/>
      <c r="V84" s="384"/>
      <c r="W84" s="384"/>
      <c r="X84" s="384"/>
      <c r="Y84" s="384"/>
      <c r="Z84" s="384"/>
      <c r="AA84" s="384"/>
    </row>
    <row r="85" spans="1:27" x14ac:dyDescent="0.2">
      <c r="A85" s="384"/>
      <c r="B85" s="384"/>
      <c r="C85" s="384"/>
      <c r="D85" s="384"/>
      <c r="E85" s="384"/>
      <c r="F85" s="384"/>
      <c r="G85" s="384"/>
      <c r="H85" s="384"/>
      <c r="I85" s="384"/>
      <c r="J85" s="384"/>
      <c r="K85" s="384"/>
      <c r="L85" s="384"/>
      <c r="M85" s="384"/>
      <c r="N85" s="384"/>
      <c r="O85" s="384"/>
      <c r="P85" s="384"/>
      <c r="Q85" s="384"/>
      <c r="R85" s="384"/>
      <c r="S85" s="384"/>
      <c r="T85" s="384"/>
      <c r="U85" s="384"/>
      <c r="V85" s="384"/>
      <c r="W85" s="384"/>
      <c r="X85" s="384"/>
      <c r="Y85" s="384"/>
      <c r="Z85" s="384"/>
      <c r="AA85" s="384"/>
    </row>
    <row r="86" spans="1:27" x14ac:dyDescent="0.2">
      <c r="A86" s="384"/>
      <c r="B86" s="384"/>
      <c r="C86" s="384"/>
      <c r="D86" s="384"/>
      <c r="E86" s="384"/>
      <c r="F86" s="384"/>
      <c r="G86" s="384"/>
      <c r="H86" s="384"/>
      <c r="I86" s="384"/>
      <c r="J86" s="384"/>
      <c r="K86" s="384"/>
      <c r="L86" s="384"/>
      <c r="M86" s="384"/>
      <c r="N86" s="384"/>
      <c r="O86" s="384"/>
      <c r="P86" s="384"/>
      <c r="Q86" s="384"/>
      <c r="R86" s="384"/>
      <c r="S86" s="384"/>
      <c r="T86" s="384"/>
      <c r="U86" s="384"/>
      <c r="V86" s="384"/>
      <c r="W86" s="384"/>
      <c r="X86" s="384"/>
      <c r="Y86" s="384"/>
      <c r="Z86" s="384"/>
      <c r="AA86" s="384"/>
    </row>
    <row r="87" spans="1:27" x14ac:dyDescent="0.2">
      <c r="A87" s="384"/>
      <c r="B87" s="384"/>
      <c r="C87" s="384"/>
      <c r="D87" s="384"/>
      <c r="E87" s="384"/>
      <c r="F87" s="384"/>
      <c r="G87" s="384"/>
      <c r="H87" s="384"/>
      <c r="I87" s="384"/>
      <c r="J87" s="384"/>
      <c r="K87" s="384"/>
      <c r="L87" s="384"/>
      <c r="M87" s="384"/>
      <c r="N87" s="384"/>
      <c r="O87" s="384"/>
      <c r="P87" s="384"/>
      <c r="Q87" s="384"/>
      <c r="R87" s="384"/>
      <c r="S87" s="384"/>
      <c r="T87" s="384"/>
      <c r="U87" s="384"/>
      <c r="V87" s="384"/>
      <c r="W87" s="384"/>
      <c r="X87" s="384"/>
      <c r="Y87" s="384"/>
      <c r="Z87" s="384"/>
      <c r="AA87" s="384"/>
    </row>
    <row r="88" spans="1:27" x14ac:dyDescent="0.2">
      <c r="A88" s="384"/>
      <c r="B88" s="384"/>
      <c r="C88" s="384"/>
      <c r="D88" s="384"/>
      <c r="E88" s="384"/>
      <c r="F88" s="384"/>
      <c r="G88" s="384"/>
      <c r="H88" s="384"/>
      <c r="I88" s="384"/>
      <c r="J88" s="384"/>
      <c r="K88" s="384"/>
      <c r="L88" s="384"/>
      <c r="M88" s="384"/>
      <c r="N88" s="384"/>
      <c r="O88" s="384"/>
      <c r="P88" s="384"/>
      <c r="Q88" s="384"/>
      <c r="R88" s="384"/>
      <c r="S88" s="384"/>
      <c r="T88" s="384"/>
      <c r="U88" s="384"/>
      <c r="V88" s="384"/>
      <c r="W88" s="384"/>
      <c r="X88" s="384"/>
      <c r="Y88" s="384"/>
      <c r="Z88" s="384"/>
      <c r="AA88" s="384"/>
    </row>
    <row r="89" spans="1:27" x14ac:dyDescent="0.2">
      <c r="A89" s="384"/>
      <c r="B89" s="384"/>
      <c r="C89" s="384"/>
      <c r="D89" s="384"/>
      <c r="E89" s="384"/>
      <c r="F89" s="384"/>
      <c r="G89" s="384"/>
      <c r="H89" s="384"/>
      <c r="I89" s="384"/>
      <c r="J89" s="384"/>
      <c r="K89" s="384"/>
      <c r="L89" s="384"/>
      <c r="M89" s="384"/>
      <c r="N89" s="384"/>
      <c r="O89" s="384"/>
      <c r="P89" s="384"/>
      <c r="Q89" s="384"/>
      <c r="R89" s="384"/>
      <c r="S89" s="384"/>
      <c r="T89" s="384"/>
      <c r="U89" s="384"/>
      <c r="V89" s="384"/>
      <c r="W89" s="384"/>
      <c r="X89" s="384"/>
      <c r="Y89" s="384"/>
      <c r="Z89" s="384"/>
      <c r="AA89" s="384"/>
    </row>
    <row r="90" spans="1:27" x14ac:dyDescent="0.2">
      <c r="A90" s="384"/>
      <c r="B90" s="384"/>
      <c r="C90" s="384"/>
      <c r="D90" s="384"/>
      <c r="E90" s="384"/>
      <c r="F90" s="384"/>
      <c r="G90" s="384"/>
      <c r="H90" s="384"/>
      <c r="I90" s="384"/>
      <c r="J90" s="384"/>
      <c r="K90" s="384"/>
      <c r="L90" s="384"/>
      <c r="M90" s="384"/>
      <c r="N90" s="384"/>
      <c r="O90" s="384"/>
      <c r="P90" s="384"/>
      <c r="Q90" s="384"/>
      <c r="R90" s="384"/>
      <c r="S90" s="384"/>
      <c r="T90" s="384"/>
      <c r="U90" s="384"/>
      <c r="V90" s="384"/>
      <c r="W90" s="384"/>
      <c r="X90" s="384"/>
      <c r="Y90" s="384"/>
      <c r="Z90" s="384"/>
      <c r="AA90" s="384"/>
    </row>
    <row r="91" spans="1:27" x14ac:dyDescent="0.2">
      <c r="A91" s="384"/>
      <c r="B91" s="384"/>
      <c r="C91" s="384"/>
      <c r="D91" s="384"/>
      <c r="E91" s="384"/>
      <c r="F91" s="384"/>
      <c r="G91" s="384"/>
      <c r="H91" s="384"/>
      <c r="I91" s="384"/>
      <c r="J91" s="384"/>
      <c r="K91" s="384"/>
      <c r="L91" s="384"/>
      <c r="M91" s="384"/>
      <c r="N91" s="384"/>
      <c r="O91" s="384"/>
      <c r="P91" s="384"/>
      <c r="Q91" s="384"/>
      <c r="R91" s="384"/>
      <c r="S91" s="384"/>
      <c r="T91" s="384"/>
      <c r="U91" s="384"/>
      <c r="V91" s="384"/>
      <c r="W91" s="384"/>
      <c r="X91" s="384"/>
      <c r="Y91" s="384"/>
      <c r="Z91" s="384"/>
      <c r="AA91" s="384"/>
    </row>
    <row r="92" spans="1:27" x14ac:dyDescent="0.2">
      <c r="A92" s="384"/>
      <c r="B92" s="384"/>
      <c r="C92" s="384"/>
      <c r="D92" s="384"/>
      <c r="E92" s="384"/>
      <c r="F92" s="384"/>
      <c r="G92" s="384"/>
      <c r="H92" s="384"/>
      <c r="I92" s="384"/>
      <c r="J92" s="384"/>
      <c r="K92" s="384"/>
      <c r="L92" s="384"/>
      <c r="M92" s="384"/>
      <c r="N92" s="384"/>
      <c r="O92" s="384"/>
      <c r="P92" s="384"/>
      <c r="Q92" s="384"/>
      <c r="R92" s="384"/>
      <c r="S92" s="384"/>
      <c r="T92" s="384"/>
      <c r="U92" s="384"/>
      <c r="V92" s="384"/>
      <c r="W92" s="384"/>
      <c r="X92" s="384"/>
      <c r="Y92" s="384"/>
      <c r="Z92" s="384"/>
      <c r="AA92" s="384"/>
    </row>
    <row r="93" spans="1:27" x14ac:dyDescent="0.2">
      <c r="A93" s="384"/>
      <c r="B93" s="384"/>
      <c r="C93" s="384"/>
      <c r="D93" s="384"/>
      <c r="E93" s="384"/>
      <c r="F93" s="384"/>
      <c r="G93" s="384"/>
      <c r="H93" s="384"/>
      <c r="I93" s="384"/>
      <c r="J93" s="384"/>
      <c r="K93" s="384"/>
      <c r="L93" s="384"/>
      <c r="M93" s="384"/>
      <c r="N93" s="384"/>
      <c r="O93" s="384"/>
      <c r="P93" s="384"/>
      <c r="Q93" s="384"/>
      <c r="R93" s="384"/>
      <c r="S93" s="384"/>
      <c r="T93" s="384"/>
      <c r="U93" s="384"/>
      <c r="V93" s="384"/>
      <c r="W93" s="384"/>
      <c r="X93" s="384"/>
      <c r="Y93" s="384"/>
      <c r="Z93" s="384"/>
      <c r="AA93" s="384"/>
    </row>
    <row r="94" spans="1:27" x14ac:dyDescent="0.2">
      <c r="A94" s="384"/>
      <c r="B94" s="384"/>
      <c r="C94" s="384"/>
      <c r="D94" s="384"/>
      <c r="E94" s="384"/>
      <c r="F94" s="384"/>
      <c r="G94" s="384"/>
      <c r="H94" s="384"/>
      <c r="I94" s="384"/>
      <c r="J94" s="384"/>
      <c r="K94" s="384"/>
      <c r="L94" s="384"/>
      <c r="M94" s="384"/>
      <c r="N94" s="384"/>
      <c r="O94" s="384"/>
      <c r="P94" s="384"/>
      <c r="Q94" s="384"/>
      <c r="R94" s="384"/>
      <c r="S94" s="384"/>
      <c r="T94" s="384"/>
      <c r="U94" s="384"/>
      <c r="V94" s="384"/>
      <c r="W94" s="384"/>
      <c r="X94" s="384"/>
      <c r="Y94" s="384"/>
      <c r="Z94" s="384"/>
      <c r="AA94" s="384"/>
    </row>
    <row r="95" spans="1:27" x14ac:dyDescent="0.2">
      <c r="A95" s="384"/>
      <c r="B95" s="384"/>
      <c r="C95" s="384"/>
      <c r="D95" s="384"/>
      <c r="E95" s="384"/>
      <c r="F95" s="384"/>
      <c r="G95" s="384"/>
      <c r="H95" s="384"/>
      <c r="I95" s="384"/>
      <c r="J95" s="384"/>
      <c r="K95" s="384"/>
      <c r="L95" s="384"/>
      <c r="M95" s="384"/>
      <c r="N95" s="384"/>
      <c r="O95" s="384"/>
      <c r="P95" s="384"/>
      <c r="Q95" s="384"/>
      <c r="R95" s="384"/>
      <c r="S95" s="384"/>
      <c r="T95" s="384"/>
      <c r="U95" s="384"/>
      <c r="V95" s="384"/>
      <c r="W95" s="384"/>
      <c r="X95" s="384"/>
      <c r="Y95" s="384"/>
      <c r="Z95" s="384"/>
      <c r="AA95" s="384"/>
    </row>
    <row r="96" spans="1:27" x14ac:dyDescent="0.2">
      <c r="A96" s="384"/>
      <c r="B96" s="384"/>
      <c r="C96" s="384"/>
      <c r="D96" s="384"/>
      <c r="E96" s="384"/>
      <c r="F96" s="384"/>
      <c r="G96" s="384"/>
      <c r="H96" s="384"/>
      <c r="I96" s="384"/>
      <c r="J96" s="384"/>
      <c r="K96" s="384"/>
      <c r="L96" s="384"/>
      <c r="M96" s="384"/>
      <c r="N96" s="384"/>
      <c r="O96" s="384"/>
      <c r="P96" s="384"/>
      <c r="Q96" s="384"/>
      <c r="R96" s="384"/>
      <c r="S96" s="384"/>
      <c r="T96" s="384"/>
      <c r="U96" s="384"/>
      <c r="V96" s="384"/>
      <c r="W96" s="384"/>
      <c r="X96" s="384"/>
      <c r="Y96" s="384"/>
      <c r="Z96" s="384"/>
      <c r="AA96" s="384"/>
    </row>
    <row r="97" spans="1:27" x14ac:dyDescent="0.2">
      <c r="A97" s="384"/>
      <c r="B97" s="384"/>
      <c r="C97" s="384"/>
      <c r="D97" s="384"/>
      <c r="E97" s="384"/>
      <c r="F97" s="384"/>
      <c r="G97" s="384"/>
      <c r="H97" s="384"/>
      <c r="I97" s="384"/>
      <c r="J97" s="384"/>
      <c r="K97" s="384"/>
      <c r="L97" s="384"/>
      <c r="M97" s="384"/>
      <c r="N97" s="384"/>
      <c r="O97" s="384"/>
      <c r="P97" s="384"/>
      <c r="Q97" s="384"/>
      <c r="R97" s="384"/>
      <c r="S97" s="384"/>
      <c r="T97" s="384"/>
      <c r="U97" s="384"/>
      <c r="V97" s="384"/>
      <c r="W97" s="384"/>
      <c r="X97" s="384"/>
      <c r="Y97" s="384"/>
      <c r="Z97" s="384"/>
      <c r="AA97" s="384"/>
    </row>
    <row r="98" spans="1:27" x14ac:dyDescent="0.2">
      <c r="A98" s="384"/>
      <c r="B98" s="384"/>
      <c r="C98" s="384"/>
      <c r="D98" s="384"/>
      <c r="E98" s="384"/>
      <c r="F98" s="384"/>
      <c r="G98" s="384"/>
      <c r="H98" s="384"/>
      <c r="I98" s="384"/>
      <c r="J98" s="384"/>
      <c r="K98" s="384"/>
      <c r="L98" s="384"/>
      <c r="M98" s="384"/>
      <c r="N98" s="384"/>
      <c r="O98" s="384"/>
      <c r="P98" s="384"/>
      <c r="Q98" s="384"/>
      <c r="R98" s="384"/>
      <c r="S98" s="384"/>
      <c r="T98" s="384"/>
      <c r="U98" s="384"/>
      <c r="V98" s="384"/>
      <c r="W98" s="384"/>
      <c r="X98" s="384"/>
      <c r="Y98" s="384"/>
      <c r="Z98" s="384"/>
      <c r="AA98" s="384"/>
    </row>
    <row r="99" spans="1:27" x14ac:dyDescent="0.2">
      <c r="A99" s="384"/>
      <c r="B99" s="384"/>
      <c r="C99" s="384"/>
      <c r="D99" s="384"/>
      <c r="E99" s="384"/>
      <c r="F99" s="384"/>
      <c r="G99" s="384"/>
      <c r="H99" s="384"/>
      <c r="I99" s="384"/>
      <c r="J99" s="384"/>
      <c r="K99" s="384"/>
      <c r="L99" s="384"/>
      <c r="M99" s="384"/>
      <c r="N99" s="384"/>
      <c r="O99" s="384"/>
      <c r="P99" s="384"/>
      <c r="Q99" s="384"/>
      <c r="R99" s="384"/>
      <c r="S99" s="384"/>
      <c r="T99" s="384"/>
      <c r="U99" s="384"/>
      <c r="V99" s="384"/>
      <c r="W99" s="384"/>
      <c r="X99" s="384"/>
      <c r="Y99" s="384"/>
      <c r="Z99" s="384"/>
      <c r="AA99" s="384"/>
    </row>
    <row r="100" spans="1:27" x14ac:dyDescent="0.2">
      <c r="A100" s="384"/>
      <c r="B100" s="384"/>
      <c r="C100" s="384"/>
      <c r="D100" s="384"/>
      <c r="E100" s="384"/>
      <c r="F100" s="384"/>
      <c r="G100" s="384"/>
      <c r="H100" s="384"/>
      <c r="I100" s="384"/>
      <c r="J100" s="384"/>
      <c r="K100" s="384"/>
      <c r="L100" s="384"/>
      <c r="M100" s="384"/>
      <c r="N100" s="384"/>
      <c r="O100" s="384"/>
      <c r="P100" s="384"/>
      <c r="Q100" s="384"/>
      <c r="R100" s="384"/>
      <c r="S100" s="384"/>
      <c r="T100" s="384"/>
      <c r="U100" s="384"/>
      <c r="V100" s="384"/>
      <c r="W100" s="384"/>
      <c r="X100" s="384"/>
      <c r="Y100" s="384"/>
      <c r="Z100" s="384"/>
      <c r="AA100" s="384"/>
    </row>
    <row r="101" spans="1:27" x14ac:dyDescent="0.2">
      <c r="A101" s="384"/>
      <c r="B101" s="384"/>
      <c r="C101" s="384"/>
      <c r="D101" s="384"/>
      <c r="E101" s="384"/>
      <c r="F101" s="384"/>
      <c r="G101" s="384"/>
      <c r="H101" s="384"/>
      <c r="I101" s="384"/>
      <c r="J101" s="384"/>
      <c r="K101" s="384"/>
      <c r="L101" s="384"/>
      <c r="M101" s="384"/>
      <c r="N101" s="384"/>
      <c r="O101" s="384"/>
      <c r="P101" s="384"/>
      <c r="Q101" s="384"/>
      <c r="R101" s="384"/>
      <c r="S101" s="384"/>
      <c r="T101" s="384"/>
      <c r="U101" s="384"/>
      <c r="V101" s="384"/>
      <c r="W101" s="384"/>
      <c r="X101" s="384"/>
      <c r="Y101" s="384"/>
      <c r="Z101" s="384"/>
      <c r="AA101" s="384"/>
    </row>
    <row r="102" spans="1:27" x14ac:dyDescent="0.2">
      <c r="A102" s="384"/>
      <c r="B102" s="384"/>
      <c r="C102" s="384"/>
      <c r="D102" s="384"/>
      <c r="E102" s="384"/>
      <c r="F102" s="384"/>
      <c r="G102" s="384"/>
      <c r="H102" s="384"/>
      <c r="I102" s="384"/>
      <c r="J102" s="384"/>
      <c r="K102" s="384"/>
      <c r="L102" s="384"/>
      <c r="M102" s="384"/>
      <c r="N102" s="384"/>
      <c r="O102" s="384"/>
      <c r="P102" s="384"/>
      <c r="Q102" s="384"/>
      <c r="R102" s="384"/>
      <c r="S102" s="384"/>
      <c r="T102" s="384"/>
      <c r="U102" s="384"/>
      <c r="V102" s="384"/>
      <c r="W102" s="384"/>
      <c r="X102" s="384"/>
      <c r="Y102" s="384"/>
      <c r="Z102" s="384"/>
      <c r="AA102" s="384"/>
    </row>
    <row r="103" spans="1:27" x14ac:dyDescent="0.2">
      <c r="A103" s="384"/>
      <c r="B103" s="384"/>
      <c r="C103" s="384"/>
      <c r="D103" s="384"/>
      <c r="E103" s="384"/>
      <c r="F103" s="384"/>
      <c r="G103" s="384"/>
      <c r="H103" s="384"/>
      <c r="I103" s="384"/>
      <c r="J103" s="384"/>
      <c r="K103" s="384"/>
      <c r="L103" s="384"/>
      <c r="M103" s="384"/>
      <c r="N103" s="384"/>
      <c r="O103" s="384"/>
      <c r="P103" s="384"/>
      <c r="Q103" s="384"/>
      <c r="R103" s="384"/>
      <c r="S103" s="384"/>
      <c r="T103" s="384"/>
      <c r="U103" s="384"/>
      <c r="V103" s="384"/>
      <c r="W103" s="384"/>
      <c r="X103" s="384"/>
      <c r="Y103" s="384"/>
      <c r="Z103" s="384"/>
      <c r="AA103" s="384"/>
    </row>
    <row r="104" spans="1:27" x14ac:dyDescent="0.2">
      <c r="A104" s="384"/>
      <c r="B104" s="384"/>
      <c r="C104" s="384"/>
      <c r="D104" s="384"/>
      <c r="E104" s="384"/>
      <c r="F104" s="384"/>
      <c r="G104" s="384"/>
      <c r="H104" s="384"/>
      <c r="I104" s="384"/>
      <c r="J104" s="384"/>
      <c r="K104" s="384"/>
      <c r="L104" s="384"/>
      <c r="M104" s="384"/>
      <c r="N104" s="384"/>
      <c r="O104" s="384"/>
      <c r="P104" s="384"/>
      <c r="Q104" s="384"/>
      <c r="R104" s="384"/>
      <c r="S104" s="384"/>
      <c r="T104" s="384"/>
      <c r="U104" s="384"/>
      <c r="V104" s="384"/>
      <c r="W104" s="384"/>
      <c r="X104" s="384"/>
      <c r="Y104" s="384"/>
      <c r="Z104" s="384"/>
      <c r="AA104" s="384"/>
    </row>
    <row r="105" spans="1:27" x14ac:dyDescent="0.2">
      <c r="A105" s="384"/>
      <c r="B105" s="384"/>
      <c r="C105" s="384"/>
      <c r="D105" s="384"/>
      <c r="E105" s="384"/>
      <c r="F105" s="384"/>
      <c r="G105" s="384"/>
      <c r="H105" s="384"/>
      <c r="I105" s="384"/>
      <c r="J105" s="384"/>
      <c r="K105" s="384"/>
      <c r="L105" s="384"/>
      <c r="M105" s="384"/>
      <c r="N105" s="384"/>
      <c r="O105" s="384"/>
      <c r="P105" s="384"/>
      <c r="Q105" s="384"/>
      <c r="R105" s="384"/>
      <c r="S105" s="384"/>
      <c r="T105" s="384"/>
      <c r="U105" s="384"/>
      <c r="V105" s="384"/>
      <c r="W105" s="384"/>
      <c r="X105" s="384"/>
      <c r="Y105" s="384"/>
      <c r="Z105" s="384"/>
      <c r="AA105" s="384"/>
    </row>
    <row r="106" spans="1:27" x14ac:dyDescent="0.2">
      <c r="A106" s="384"/>
      <c r="B106" s="384"/>
      <c r="C106" s="384"/>
      <c r="D106" s="384"/>
      <c r="E106" s="384"/>
      <c r="F106" s="384"/>
      <c r="G106" s="384"/>
      <c r="H106" s="384"/>
      <c r="I106" s="384"/>
      <c r="J106" s="384"/>
      <c r="K106" s="384"/>
      <c r="L106" s="384"/>
      <c r="M106" s="384"/>
      <c r="N106" s="384"/>
      <c r="O106" s="384"/>
      <c r="P106" s="384"/>
      <c r="Q106" s="384"/>
      <c r="R106" s="384"/>
      <c r="S106" s="384"/>
      <c r="T106" s="384"/>
      <c r="U106" s="384"/>
      <c r="V106" s="384"/>
      <c r="W106" s="384"/>
      <c r="X106" s="384"/>
      <c r="Y106" s="384"/>
      <c r="Z106" s="384"/>
      <c r="AA106" s="384"/>
    </row>
    <row r="107" spans="1:27" x14ac:dyDescent="0.2">
      <c r="A107" s="384"/>
      <c r="B107" s="384"/>
      <c r="C107" s="384"/>
      <c r="D107" s="384"/>
      <c r="E107" s="384"/>
      <c r="F107" s="384"/>
      <c r="G107" s="384"/>
      <c r="H107" s="384"/>
      <c r="I107" s="384"/>
      <c r="J107" s="384"/>
      <c r="K107" s="384"/>
      <c r="L107" s="384"/>
      <c r="M107" s="384"/>
      <c r="N107" s="384"/>
      <c r="O107" s="384"/>
      <c r="P107" s="384"/>
      <c r="Q107" s="384"/>
      <c r="R107" s="384"/>
      <c r="S107" s="384"/>
      <c r="T107" s="384"/>
      <c r="U107" s="384"/>
      <c r="V107" s="384"/>
      <c r="W107" s="384"/>
      <c r="X107" s="384"/>
      <c r="Y107" s="384"/>
      <c r="Z107" s="384"/>
      <c r="AA107" s="384"/>
    </row>
    <row r="108" spans="1:27" x14ac:dyDescent="0.2">
      <c r="A108" s="384"/>
      <c r="B108" s="384"/>
      <c r="C108" s="384"/>
      <c r="D108" s="384"/>
      <c r="E108" s="384"/>
      <c r="F108" s="384"/>
      <c r="G108" s="384"/>
      <c r="H108" s="384"/>
      <c r="I108" s="384"/>
      <c r="J108" s="384"/>
      <c r="K108" s="384"/>
      <c r="L108" s="384"/>
      <c r="M108" s="384"/>
      <c r="N108" s="384"/>
      <c r="O108" s="384"/>
      <c r="P108" s="384"/>
      <c r="Q108" s="384"/>
      <c r="R108" s="384"/>
      <c r="S108" s="384"/>
      <c r="T108" s="384"/>
      <c r="U108" s="384"/>
      <c r="V108" s="384"/>
      <c r="W108" s="384"/>
      <c r="X108" s="384"/>
      <c r="Y108" s="384"/>
      <c r="Z108" s="384"/>
      <c r="AA108" s="384"/>
    </row>
    <row r="109" spans="1:27" x14ac:dyDescent="0.2">
      <c r="A109" s="384"/>
      <c r="B109" s="384"/>
      <c r="C109" s="384"/>
      <c r="D109" s="384"/>
      <c r="E109" s="384"/>
      <c r="F109" s="384"/>
      <c r="G109" s="384"/>
      <c r="H109" s="384"/>
      <c r="I109" s="384"/>
      <c r="J109" s="384"/>
      <c r="K109" s="384"/>
      <c r="L109" s="384"/>
      <c r="M109" s="384"/>
      <c r="N109" s="384"/>
      <c r="O109" s="384"/>
      <c r="P109" s="384"/>
      <c r="Q109" s="384"/>
      <c r="R109" s="384"/>
      <c r="S109" s="384"/>
      <c r="T109" s="384"/>
      <c r="U109" s="384"/>
      <c r="V109" s="384"/>
      <c r="W109" s="384"/>
      <c r="X109" s="384"/>
      <c r="Y109" s="384"/>
      <c r="Z109" s="384"/>
      <c r="AA109" s="384"/>
    </row>
    <row r="110" spans="1:27" x14ac:dyDescent="0.2">
      <c r="A110" s="384"/>
      <c r="B110" s="384"/>
      <c r="C110" s="384"/>
      <c r="D110" s="384"/>
      <c r="E110" s="384"/>
      <c r="F110" s="384"/>
      <c r="G110" s="384"/>
      <c r="H110" s="384"/>
      <c r="I110" s="384"/>
      <c r="J110" s="384"/>
      <c r="K110" s="384"/>
      <c r="L110" s="384"/>
      <c r="M110" s="384"/>
      <c r="N110" s="384"/>
      <c r="O110" s="384"/>
      <c r="P110" s="384"/>
      <c r="Q110" s="384"/>
      <c r="R110" s="384"/>
      <c r="S110" s="384"/>
      <c r="T110" s="384"/>
      <c r="U110" s="384"/>
      <c r="V110" s="384"/>
      <c r="W110" s="384"/>
      <c r="X110" s="384"/>
      <c r="Y110" s="384"/>
      <c r="Z110" s="384"/>
      <c r="AA110" s="384"/>
    </row>
    <row r="111" spans="1:27" x14ac:dyDescent="0.2">
      <c r="A111" s="384"/>
      <c r="B111" s="384"/>
      <c r="C111" s="384"/>
      <c r="D111" s="384"/>
      <c r="E111" s="384"/>
      <c r="F111" s="384"/>
      <c r="G111" s="384"/>
      <c r="H111" s="384"/>
      <c r="I111" s="384"/>
      <c r="J111" s="384"/>
      <c r="K111" s="384"/>
      <c r="L111" s="384"/>
      <c r="M111" s="384"/>
      <c r="N111" s="384"/>
      <c r="O111" s="384"/>
      <c r="P111" s="384"/>
      <c r="Q111" s="384"/>
      <c r="R111" s="384"/>
      <c r="S111" s="384"/>
      <c r="T111" s="384"/>
      <c r="U111" s="384"/>
      <c r="V111" s="384"/>
      <c r="W111" s="384"/>
      <c r="X111" s="384"/>
      <c r="Y111" s="384"/>
      <c r="Z111" s="384"/>
      <c r="AA111" s="384"/>
    </row>
    <row r="112" spans="1:27" x14ac:dyDescent="0.2">
      <c r="A112" s="384"/>
      <c r="B112" s="384"/>
      <c r="C112" s="384"/>
      <c r="D112" s="384"/>
      <c r="E112" s="384"/>
      <c r="F112" s="384"/>
      <c r="G112" s="384"/>
      <c r="H112" s="384"/>
      <c r="I112" s="384"/>
      <c r="J112" s="384"/>
      <c r="K112" s="384"/>
      <c r="L112" s="384"/>
      <c r="M112" s="384"/>
      <c r="N112" s="384"/>
      <c r="O112" s="384"/>
      <c r="P112" s="384"/>
      <c r="Q112" s="384"/>
      <c r="R112" s="384"/>
      <c r="S112" s="384"/>
      <c r="T112" s="384"/>
      <c r="U112" s="384"/>
      <c r="V112" s="384"/>
      <c r="W112" s="384"/>
      <c r="X112" s="384"/>
      <c r="Y112" s="384"/>
      <c r="Z112" s="384"/>
      <c r="AA112" s="384"/>
    </row>
    <row r="113" spans="1:27" x14ac:dyDescent="0.2">
      <c r="A113" s="384"/>
      <c r="B113" s="384"/>
      <c r="C113" s="384"/>
      <c r="D113" s="384"/>
      <c r="E113" s="384"/>
      <c r="F113" s="384"/>
      <c r="G113" s="384"/>
      <c r="H113" s="384"/>
      <c r="I113" s="384"/>
      <c r="J113" s="384"/>
      <c r="K113" s="384"/>
      <c r="L113" s="384"/>
      <c r="M113" s="384"/>
      <c r="N113" s="384"/>
      <c r="O113" s="384"/>
      <c r="P113" s="384"/>
      <c r="Q113" s="384"/>
      <c r="R113" s="384"/>
      <c r="S113" s="384"/>
      <c r="T113" s="384"/>
      <c r="U113" s="384"/>
      <c r="V113" s="384"/>
      <c r="W113" s="384"/>
      <c r="X113" s="384"/>
      <c r="Y113" s="384"/>
      <c r="Z113" s="384"/>
      <c r="AA113" s="384"/>
    </row>
    <row r="114" spans="1:27" x14ac:dyDescent="0.2">
      <c r="A114" s="384"/>
      <c r="B114" s="384"/>
      <c r="C114" s="384"/>
      <c r="D114" s="384"/>
      <c r="E114" s="384"/>
      <c r="F114" s="384"/>
      <c r="G114" s="384"/>
      <c r="H114" s="384"/>
      <c r="I114" s="384"/>
      <c r="J114" s="384"/>
      <c r="K114" s="384"/>
      <c r="L114" s="384"/>
      <c r="M114" s="384"/>
      <c r="N114" s="384"/>
      <c r="O114" s="384"/>
      <c r="P114" s="384"/>
      <c r="Q114" s="384"/>
      <c r="R114" s="384"/>
      <c r="S114" s="384"/>
      <c r="T114" s="384"/>
      <c r="U114" s="384"/>
      <c r="V114" s="384"/>
      <c r="W114" s="384"/>
      <c r="X114" s="384"/>
      <c r="Y114" s="384"/>
      <c r="Z114" s="384"/>
      <c r="AA114" s="384"/>
    </row>
    <row r="115" spans="1:27" x14ac:dyDescent="0.2">
      <c r="A115" s="384"/>
      <c r="B115" s="384"/>
      <c r="C115" s="384"/>
      <c r="D115" s="384"/>
      <c r="E115" s="384"/>
      <c r="F115" s="384"/>
      <c r="G115" s="384"/>
      <c r="H115" s="384"/>
      <c r="I115" s="384"/>
      <c r="J115" s="384"/>
      <c r="K115" s="384"/>
      <c r="L115" s="384"/>
      <c r="M115" s="384"/>
      <c r="N115" s="384"/>
      <c r="O115" s="384"/>
      <c r="P115" s="384"/>
      <c r="Q115" s="384"/>
      <c r="R115" s="384"/>
      <c r="S115" s="384"/>
      <c r="T115" s="384"/>
      <c r="U115" s="384"/>
      <c r="V115" s="384"/>
      <c r="W115" s="384"/>
      <c r="X115" s="384"/>
      <c r="Y115" s="384"/>
      <c r="Z115" s="384"/>
      <c r="AA115" s="384"/>
    </row>
    <row r="116" spans="1:27" x14ac:dyDescent="0.2">
      <c r="A116" s="384"/>
      <c r="B116" s="384"/>
      <c r="C116" s="384"/>
      <c r="D116" s="384"/>
      <c r="E116" s="384"/>
      <c r="F116" s="384"/>
      <c r="G116" s="384"/>
      <c r="H116" s="384"/>
      <c r="I116" s="384"/>
      <c r="J116" s="384"/>
      <c r="K116" s="384"/>
      <c r="L116" s="384"/>
      <c r="M116" s="384"/>
      <c r="N116" s="384"/>
      <c r="O116" s="384"/>
      <c r="P116" s="384"/>
      <c r="Q116" s="384"/>
      <c r="R116" s="384"/>
      <c r="S116" s="384"/>
      <c r="T116" s="384"/>
      <c r="U116" s="384"/>
      <c r="V116" s="384"/>
      <c r="W116" s="384"/>
      <c r="X116" s="384"/>
      <c r="Y116" s="384"/>
      <c r="Z116" s="384"/>
      <c r="AA116" s="384"/>
    </row>
    <row r="117" spans="1:27" x14ac:dyDescent="0.2">
      <c r="A117" s="384"/>
      <c r="B117" s="384"/>
      <c r="C117" s="384"/>
      <c r="D117" s="384"/>
      <c r="E117" s="384"/>
      <c r="F117" s="384"/>
      <c r="G117" s="384"/>
      <c r="H117" s="384"/>
      <c r="I117" s="384"/>
      <c r="J117" s="384"/>
      <c r="K117" s="384"/>
      <c r="L117" s="384"/>
      <c r="M117" s="384"/>
      <c r="N117" s="384"/>
      <c r="O117" s="384"/>
      <c r="P117" s="384"/>
      <c r="Q117" s="384"/>
      <c r="R117" s="384"/>
      <c r="S117" s="384"/>
      <c r="T117" s="384"/>
      <c r="U117" s="384"/>
      <c r="V117" s="384"/>
      <c r="W117" s="384"/>
      <c r="X117" s="384"/>
      <c r="Y117" s="384"/>
      <c r="Z117" s="384"/>
      <c r="AA117" s="384"/>
    </row>
    <row r="118" spans="1:27" x14ac:dyDescent="0.2">
      <c r="A118" s="384"/>
      <c r="B118" s="384"/>
      <c r="C118" s="384"/>
      <c r="D118" s="384"/>
      <c r="E118" s="384"/>
      <c r="F118" s="384"/>
      <c r="G118" s="384"/>
      <c r="H118" s="384"/>
      <c r="I118" s="384"/>
      <c r="J118" s="384"/>
      <c r="K118" s="384"/>
      <c r="L118" s="384"/>
      <c r="M118" s="384"/>
      <c r="N118" s="384"/>
      <c r="O118" s="384"/>
      <c r="P118" s="384"/>
      <c r="Q118" s="384"/>
      <c r="R118" s="384"/>
      <c r="S118" s="384"/>
      <c r="T118" s="384"/>
      <c r="U118" s="384"/>
      <c r="V118" s="384"/>
      <c r="W118" s="384"/>
      <c r="X118" s="384"/>
      <c r="Y118" s="384"/>
      <c r="Z118" s="384"/>
      <c r="AA118" s="384"/>
    </row>
    <row r="119" spans="1:27" x14ac:dyDescent="0.2">
      <c r="A119" s="384"/>
      <c r="B119" s="384"/>
      <c r="C119" s="384"/>
      <c r="D119" s="384"/>
      <c r="E119" s="384"/>
      <c r="F119" s="384"/>
      <c r="G119" s="384"/>
      <c r="H119" s="384"/>
      <c r="I119" s="384"/>
      <c r="J119" s="384"/>
      <c r="K119" s="384"/>
      <c r="L119" s="384"/>
      <c r="M119" s="384"/>
      <c r="N119" s="384"/>
      <c r="O119" s="384"/>
      <c r="P119" s="384"/>
      <c r="Q119" s="384"/>
      <c r="R119" s="384"/>
      <c r="S119" s="384"/>
      <c r="T119" s="384"/>
      <c r="U119" s="384"/>
      <c r="V119" s="384"/>
      <c r="W119" s="384"/>
      <c r="X119" s="384"/>
      <c r="Y119" s="384"/>
      <c r="Z119" s="384"/>
      <c r="AA119" s="384"/>
    </row>
    <row r="120" spans="1:27" x14ac:dyDescent="0.2">
      <c r="A120" s="384"/>
      <c r="B120" s="384"/>
      <c r="C120" s="384"/>
      <c r="D120" s="384"/>
      <c r="E120" s="384"/>
      <c r="F120" s="384"/>
      <c r="G120" s="384"/>
      <c r="H120" s="384"/>
      <c r="I120" s="384"/>
      <c r="J120" s="384"/>
      <c r="K120" s="384"/>
      <c r="L120" s="384"/>
      <c r="M120" s="384"/>
      <c r="N120" s="384"/>
      <c r="O120" s="384"/>
      <c r="P120" s="384"/>
      <c r="Q120" s="384"/>
      <c r="R120" s="384"/>
      <c r="S120" s="384"/>
      <c r="T120" s="384"/>
      <c r="U120" s="384"/>
      <c r="V120" s="384"/>
      <c r="W120" s="384"/>
      <c r="X120" s="384"/>
      <c r="Y120" s="384"/>
      <c r="Z120" s="384"/>
      <c r="AA120" s="384"/>
    </row>
    <row r="121" spans="1:27" x14ac:dyDescent="0.2">
      <c r="A121" s="384"/>
      <c r="B121" s="384"/>
      <c r="C121" s="384"/>
      <c r="D121" s="384"/>
      <c r="E121" s="384"/>
      <c r="F121" s="384"/>
      <c r="G121" s="384"/>
      <c r="H121" s="384"/>
      <c r="I121" s="384"/>
      <c r="J121" s="384"/>
      <c r="K121" s="384"/>
      <c r="L121" s="384"/>
      <c r="M121" s="384"/>
      <c r="N121" s="384"/>
      <c r="O121" s="384"/>
      <c r="P121" s="384"/>
      <c r="Q121" s="384"/>
      <c r="R121" s="384"/>
      <c r="S121" s="384"/>
      <c r="T121" s="384"/>
      <c r="U121" s="384"/>
      <c r="V121" s="384"/>
      <c r="W121" s="384"/>
      <c r="X121" s="384"/>
      <c r="Y121" s="384"/>
      <c r="Z121" s="384"/>
      <c r="AA121" s="384"/>
    </row>
    <row r="122" spans="1:27" x14ac:dyDescent="0.2">
      <c r="A122" s="384"/>
      <c r="B122" s="384"/>
      <c r="C122" s="384"/>
      <c r="D122" s="384"/>
      <c r="E122" s="384"/>
      <c r="F122" s="384"/>
      <c r="G122" s="384"/>
      <c r="H122" s="384"/>
      <c r="I122" s="384"/>
      <c r="J122" s="384"/>
      <c r="K122" s="384"/>
      <c r="L122" s="384"/>
      <c r="M122" s="384"/>
      <c r="N122" s="384"/>
      <c r="O122" s="384"/>
      <c r="P122" s="384"/>
      <c r="Q122" s="384"/>
      <c r="R122" s="384"/>
      <c r="S122" s="384"/>
      <c r="T122" s="384"/>
      <c r="U122" s="384"/>
      <c r="V122" s="384"/>
      <c r="W122" s="384"/>
      <c r="X122" s="384"/>
      <c r="Y122" s="384"/>
      <c r="Z122" s="384"/>
      <c r="AA122" s="384"/>
    </row>
    <row r="123" spans="1:27" x14ac:dyDescent="0.2">
      <c r="A123" s="384"/>
      <c r="B123" s="384"/>
      <c r="C123" s="384"/>
      <c r="D123" s="384"/>
      <c r="E123" s="384"/>
      <c r="F123" s="384"/>
      <c r="G123" s="384"/>
      <c r="H123" s="384"/>
      <c r="I123" s="384"/>
      <c r="J123" s="384"/>
      <c r="K123" s="384"/>
      <c r="L123" s="384"/>
      <c r="M123" s="384"/>
      <c r="N123" s="384"/>
      <c r="O123" s="384"/>
      <c r="P123" s="384"/>
      <c r="Q123" s="384"/>
      <c r="R123" s="384"/>
      <c r="S123" s="384"/>
      <c r="T123" s="384"/>
      <c r="U123" s="384"/>
      <c r="V123" s="384"/>
      <c r="W123" s="384"/>
      <c r="X123" s="384"/>
      <c r="Y123" s="384"/>
      <c r="Z123" s="384"/>
      <c r="AA123" s="384"/>
    </row>
    <row r="124" spans="1:27" x14ac:dyDescent="0.2">
      <c r="A124" s="384"/>
      <c r="B124" s="384"/>
      <c r="C124" s="384"/>
      <c r="D124" s="384"/>
      <c r="E124" s="384"/>
      <c r="F124" s="384"/>
      <c r="G124" s="384"/>
      <c r="H124" s="384"/>
      <c r="I124" s="384"/>
      <c r="J124" s="384"/>
      <c r="K124" s="384"/>
      <c r="L124" s="384"/>
      <c r="M124" s="384"/>
      <c r="N124" s="384"/>
      <c r="O124" s="384"/>
      <c r="P124" s="384"/>
      <c r="Q124" s="384"/>
      <c r="R124" s="384"/>
      <c r="S124" s="384"/>
      <c r="T124" s="384"/>
      <c r="U124" s="384"/>
      <c r="V124" s="384"/>
      <c r="W124" s="384"/>
      <c r="X124" s="384"/>
      <c r="Y124" s="384"/>
      <c r="Z124" s="384"/>
      <c r="AA124" s="384"/>
    </row>
    <row r="125" spans="1:27" x14ac:dyDescent="0.2">
      <c r="A125" s="384"/>
      <c r="B125" s="384"/>
      <c r="C125" s="384"/>
      <c r="D125" s="384"/>
      <c r="E125" s="384"/>
      <c r="F125" s="384"/>
      <c r="G125" s="384"/>
      <c r="H125" s="384"/>
      <c r="I125" s="384"/>
      <c r="J125" s="384"/>
      <c r="K125" s="384"/>
      <c r="L125" s="384"/>
      <c r="M125" s="384"/>
      <c r="N125" s="384"/>
      <c r="O125" s="384"/>
      <c r="P125" s="384"/>
      <c r="Q125" s="384"/>
      <c r="R125" s="384"/>
      <c r="S125" s="384"/>
      <c r="T125" s="384"/>
      <c r="U125" s="384"/>
      <c r="V125" s="384"/>
      <c r="W125" s="384"/>
      <c r="X125" s="384"/>
      <c r="Y125" s="384"/>
      <c r="Z125" s="384"/>
      <c r="AA125" s="384"/>
    </row>
    <row r="126" spans="1:27" x14ac:dyDescent="0.2">
      <c r="A126" s="384"/>
      <c r="B126" s="384"/>
      <c r="C126" s="384"/>
      <c r="D126" s="384"/>
      <c r="E126" s="384"/>
      <c r="F126" s="384"/>
      <c r="G126" s="384"/>
      <c r="H126" s="384"/>
      <c r="I126" s="384"/>
      <c r="J126" s="384"/>
      <c r="K126" s="384"/>
      <c r="L126" s="384"/>
      <c r="M126" s="384"/>
      <c r="N126" s="384"/>
      <c r="O126" s="384"/>
      <c r="P126" s="384"/>
      <c r="Q126" s="384"/>
      <c r="R126" s="384"/>
      <c r="S126" s="384"/>
      <c r="T126" s="384"/>
      <c r="U126" s="384"/>
      <c r="V126" s="384"/>
      <c r="W126" s="384"/>
      <c r="X126" s="384"/>
      <c r="Y126" s="384"/>
      <c r="Z126" s="384"/>
      <c r="AA126" s="384"/>
    </row>
    <row r="127" spans="1:27" x14ac:dyDescent="0.2">
      <c r="A127" s="384"/>
      <c r="B127" s="384"/>
      <c r="C127" s="384"/>
      <c r="D127" s="384"/>
      <c r="E127" s="384"/>
      <c r="F127" s="384"/>
      <c r="G127" s="384"/>
      <c r="H127" s="384"/>
      <c r="I127" s="384"/>
      <c r="J127" s="384"/>
      <c r="K127" s="384"/>
      <c r="L127" s="384"/>
      <c r="M127" s="384"/>
      <c r="N127" s="384"/>
      <c r="O127" s="384"/>
      <c r="P127" s="384"/>
      <c r="Q127" s="384"/>
      <c r="R127" s="384"/>
      <c r="S127" s="384"/>
      <c r="T127" s="384"/>
      <c r="U127" s="384"/>
      <c r="V127" s="384"/>
      <c r="W127" s="384"/>
      <c r="X127" s="384"/>
      <c r="Y127" s="384"/>
      <c r="Z127" s="384"/>
      <c r="AA127" s="384"/>
    </row>
    <row r="128" spans="1:27" x14ac:dyDescent="0.2">
      <c r="A128" s="384"/>
      <c r="B128" s="384"/>
      <c r="C128" s="384"/>
      <c r="D128" s="384"/>
      <c r="E128" s="384"/>
      <c r="F128" s="384"/>
      <c r="G128" s="384"/>
      <c r="H128" s="384"/>
      <c r="I128" s="384"/>
      <c r="J128" s="384"/>
      <c r="K128" s="384"/>
      <c r="L128" s="384"/>
      <c r="M128" s="384"/>
      <c r="N128" s="384"/>
      <c r="O128" s="384"/>
      <c r="P128" s="384"/>
      <c r="Q128" s="384"/>
      <c r="R128" s="384"/>
      <c r="S128" s="384"/>
      <c r="T128" s="384"/>
      <c r="U128" s="384"/>
      <c r="V128" s="384"/>
      <c r="W128" s="384"/>
      <c r="X128" s="384"/>
      <c r="Y128" s="384"/>
      <c r="Z128" s="384"/>
      <c r="AA128" s="384"/>
    </row>
    <row r="129" spans="1:27" x14ac:dyDescent="0.2">
      <c r="A129" s="384"/>
      <c r="B129" s="384"/>
      <c r="C129" s="384"/>
      <c r="D129" s="384"/>
      <c r="E129" s="384"/>
      <c r="F129" s="384"/>
      <c r="G129" s="384"/>
      <c r="H129" s="384"/>
      <c r="I129" s="384"/>
      <c r="J129" s="384"/>
      <c r="K129" s="384"/>
      <c r="L129" s="384"/>
      <c r="M129" s="384"/>
      <c r="N129" s="384"/>
      <c r="O129" s="384"/>
      <c r="P129" s="384"/>
      <c r="Q129" s="384"/>
      <c r="R129" s="384"/>
      <c r="S129" s="384"/>
      <c r="T129" s="384"/>
      <c r="U129" s="384"/>
      <c r="V129" s="384"/>
      <c r="W129" s="384"/>
      <c r="X129" s="384"/>
      <c r="Y129" s="384"/>
      <c r="Z129" s="384"/>
      <c r="AA129" s="384"/>
    </row>
    <row r="130" spans="1:27" x14ac:dyDescent="0.2">
      <c r="A130" s="384"/>
      <c r="B130" s="384"/>
      <c r="C130" s="384"/>
      <c r="D130" s="384"/>
      <c r="E130" s="384"/>
      <c r="F130" s="384"/>
      <c r="G130" s="384"/>
      <c r="H130" s="384"/>
      <c r="I130" s="384"/>
      <c r="J130" s="384"/>
      <c r="K130" s="384"/>
      <c r="L130" s="384"/>
      <c r="M130" s="384"/>
      <c r="N130" s="384"/>
      <c r="O130" s="384"/>
      <c r="P130" s="384"/>
      <c r="Q130" s="384"/>
      <c r="R130" s="384"/>
      <c r="S130" s="384"/>
      <c r="T130" s="384"/>
      <c r="U130" s="384"/>
      <c r="V130" s="384"/>
      <c r="W130" s="384"/>
      <c r="X130" s="384"/>
      <c r="Y130" s="384"/>
      <c r="Z130" s="384"/>
      <c r="AA130" s="384"/>
    </row>
    <row r="131" spans="1:27" x14ac:dyDescent="0.2">
      <c r="A131" s="384"/>
      <c r="B131" s="384"/>
      <c r="C131" s="384"/>
      <c r="D131" s="384"/>
      <c r="E131" s="384"/>
      <c r="F131" s="384"/>
      <c r="G131" s="384"/>
      <c r="H131" s="384"/>
      <c r="I131" s="384"/>
      <c r="J131" s="384"/>
      <c r="K131" s="384"/>
      <c r="L131" s="384"/>
      <c r="M131" s="384"/>
      <c r="N131" s="384"/>
      <c r="O131" s="384"/>
      <c r="P131" s="384"/>
      <c r="Q131" s="384"/>
      <c r="R131" s="384"/>
      <c r="S131" s="384"/>
      <c r="T131" s="384"/>
      <c r="U131" s="384"/>
      <c r="V131" s="384"/>
      <c r="W131" s="384"/>
      <c r="X131" s="384"/>
      <c r="Y131" s="384"/>
      <c r="Z131" s="384"/>
      <c r="AA131" s="384"/>
    </row>
    <row r="132" spans="1:27" x14ac:dyDescent="0.2">
      <c r="A132" s="384"/>
      <c r="B132" s="384"/>
      <c r="C132" s="384"/>
      <c r="D132" s="384"/>
      <c r="E132" s="384"/>
      <c r="F132" s="384"/>
      <c r="G132" s="384"/>
      <c r="H132" s="384"/>
      <c r="I132" s="384"/>
      <c r="J132" s="384"/>
      <c r="K132" s="384"/>
      <c r="L132" s="384"/>
      <c r="M132" s="384"/>
      <c r="N132" s="384"/>
      <c r="O132" s="384"/>
      <c r="P132" s="384"/>
      <c r="Q132" s="384"/>
      <c r="R132" s="384"/>
      <c r="S132" s="384"/>
      <c r="T132" s="384"/>
      <c r="U132" s="384"/>
      <c r="V132" s="384"/>
      <c r="W132" s="384"/>
      <c r="X132" s="384"/>
      <c r="Y132" s="384"/>
      <c r="Z132" s="384"/>
      <c r="AA132" s="384"/>
    </row>
    <row r="133" spans="1:27" x14ac:dyDescent="0.2">
      <c r="A133" s="384"/>
      <c r="B133" s="384"/>
      <c r="C133" s="384"/>
      <c r="D133" s="384"/>
      <c r="E133" s="384"/>
      <c r="F133" s="384"/>
      <c r="G133" s="384"/>
      <c r="H133" s="384"/>
      <c r="I133" s="384"/>
      <c r="J133" s="384"/>
      <c r="K133" s="384"/>
      <c r="L133" s="384"/>
      <c r="M133" s="384"/>
      <c r="N133" s="384"/>
      <c r="O133" s="384"/>
      <c r="P133" s="384"/>
      <c r="Q133" s="384"/>
      <c r="R133" s="384"/>
      <c r="S133" s="384"/>
      <c r="T133" s="384"/>
      <c r="U133" s="384"/>
      <c r="V133" s="384"/>
      <c r="W133" s="384"/>
      <c r="X133" s="384"/>
      <c r="Y133" s="384"/>
      <c r="Z133" s="384"/>
      <c r="AA133" s="384"/>
    </row>
    <row r="134" spans="1:27" x14ac:dyDescent="0.2">
      <c r="A134" s="384"/>
      <c r="B134" s="384"/>
      <c r="C134" s="384"/>
      <c r="D134" s="384"/>
      <c r="E134" s="384"/>
      <c r="F134" s="384"/>
      <c r="G134" s="384"/>
      <c r="H134" s="384"/>
      <c r="I134" s="384"/>
      <c r="J134" s="384"/>
      <c r="K134" s="384"/>
      <c r="L134" s="384"/>
      <c r="M134" s="384"/>
      <c r="N134" s="384"/>
      <c r="O134" s="384"/>
      <c r="P134" s="384"/>
      <c r="Q134" s="384"/>
      <c r="R134" s="384"/>
      <c r="S134" s="384"/>
      <c r="T134" s="384"/>
      <c r="U134" s="384"/>
      <c r="V134" s="384"/>
      <c r="W134" s="384"/>
      <c r="X134" s="384"/>
      <c r="Y134" s="384"/>
      <c r="Z134" s="384"/>
      <c r="AA134" s="384"/>
    </row>
    <row r="135" spans="1:27" x14ac:dyDescent="0.2">
      <c r="A135" s="384"/>
      <c r="B135" s="384"/>
      <c r="C135" s="384"/>
      <c r="D135" s="384"/>
      <c r="E135" s="384"/>
      <c r="F135" s="384"/>
      <c r="G135" s="384"/>
      <c r="H135" s="384"/>
      <c r="I135" s="384"/>
      <c r="J135" s="384"/>
      <c r="K135" s="384"/>
      <c r="L135" s="384"/>
      <c r="M135" s="384"/>
      <c r="N135" s="384"/>
      <c r="O135" s="384"/>
      <c r="P135" s="384"/>
      <c r="Q135" s="384"/>
      <c r="R135" s="384"/>
      <c r="S135" s="384"/>
      <c r="T135" s="384"/>
      <c r="U135" s="384"/>
      <c r="V135" s="384"/>
      <c r="W135" s="384"/>
      <c r="X135" s="384"/>
      <c r="Y135" s="384"/>
      <c r="Z135" s="384"/>
      <c r="AA135" s="384"/>
    </row>
    <row r="136" spans="1:27" x14ac:dyDescent="0.2">
      <c r="A136" s="384"/>
      <c r="B136" s="384"/>
      <c r="C136" s="384"/>
      <c r="D136" s="384"/>
      <c r="E136" s="384"/>
      <c r="F136" s="384"/>
      <c r="G136" s="384"/>
      <c r="H136" s="384"/>
      <c r="I136" s="384"/>
      <c r="J136" s="384"/>
      <c r="K136" s="384"/>
      <c r="L136" s="384"/>
      <c r="M136" s="384"/>
      <c r="N136" s="384"/>
      <c r="O136" s="384"/>
      <c r="P136" s="384"/>
      <c r="Q136" s="384"/>
      <c r="R136" s="384"/>
      <c r="S136" s="384"/>
      <c r="T136" s="384"/>
      <c r="U136" s="384"/>
      <c r="V136" s="384"/>
      <c r="W136" s="384"/>
      <c r="X136" s="384"/>
      <c r="Y136" s="384"/>
      <c r="Z136" s="384"/>
      <c r="AA136" s="384"/>
    </row>
    <row r="137" spans="1:27" x14ac:dyDescent="0.2">
      <c r="A137" s="384"/>
      <c r="B137" s="384"/>
      <c r="C137" s="384"/>
      <c r="D137" s="384"/>
      <c r="E137" s="384"/>
      <c r="F137" s="384"/>
      <c r="G137" s="384"/>
      <c r="H137" s="384"/>
      <c r="I137" s="384"/>
      <c r="J137" s="384"/>
      <c r="K137" s="384"/>
      <c r="L137" s="384"/>
      <c r="M137" s="384"/>
      <c r="N137" s="384"/>
      <c r="O137" s="384"/>
      <c r="P137" s="384"/>
      <c r="Q137" s="384"/>
      <c r="R137" s="384"/>
      <c r="S137" s="384"/>
      <c r="T137" s="384"/>
      <c r="U137" s="384"/>
      <c r="V137" s="384"/>
      <c r="W137" s="384"/>
      <c r="X137" s="384"/>
      <c r="Y137" s="384"/>
      <c r="Z137" s="384"/>
      <c r="AA137" s="384"/>
    </row>
    <row r="138" spans="1:27" x14ac:dyDescent="0.2">
      <c r="A138" s="384"/>
      <c r="B138" s="384"/>
      <c r="C138" s="384"/>
      <c r="D138" s="384"/>
      <c r="E138" s="384"/>
      <c r="F138" s="384"/>
      <c r="G138" s="384"/>
      <c r="H138" s="384"/>
      <c r="I138" s="384"/>
      <c r="J138" s="384"/>
      <c r="K138" s="384"/>
      <c r="L138" s="384"/>
      <c r="M138" s="384"/>
      <c r="N138" s="384"/>
      <c r="O138" s="384"/>
      <c r="P138" s="384"/>
      <c r="Q138" s="384"/>
      <c r="R138" s="384"/>
      <c r="S138" s="384"/>
      <c r="T138" s="384"/>
      <c r="U138" s="384"/>
      <c r="V138" s="384"/>
      <c r="W138" s="384"/>
      <c r="X138" s="384"/>
      <c r="Y138" s="384"/>
      <c r="Z138" s="384"/>
      <c r="AA138" s="384"/>
    </row>
    <row r="139" spans="1:27" x14ac:dyDescent="0.2">
      <c r="A139" s="384"/>
      <c r="B139" s="384"/>
      <c r="C139" s="384"/>
      <c r="D139" s="384"/>
      <c r="E139" s="384"/>
      <c r="F139" s="384"/>
      <c r="G139" s="384"/>
      <c r="H139" s="384"/>
      <c r="I139" s="384"/>
      <c r="J139" s="384"/>
      <c r="K139" s="384"/>
      <c r="L139" s="384"/>
      <c r="M139" s="384"/>
      <c r="N139" s="384"/>
      <c r="O139" s="384"/>
      <c r="P139" s="384"/>
      <c r="Q139" s="384"/>
      <c r="R139" s="384"/>
      <c r="S139" s="384"/>
      <c r="T139" s="384"/>
      <c r="U139" s="384"/>
      <c r="V139" s="384"/>
      <c r="W139" s="384"/>
      <c r="X139" s="384"/>
      <c r="Y139" s="384"/>
      <c r="Z139" s="384"/>
      <c r="AA139" s="384"/>
    </row>
    <row r="140" spans="1:27" x14ac:dyDescent="0.2">
      <c r="A140" s="384"/>
      <c r="B140" s="384"/>
      <c r="C140" s="384"/>
      <c r="D140" s="384"/>
      <c r="E140" s="384"/>
      <c r="F140" s="384"/>
      <c r="G140" s="384"/>
      <c r="H140" s="384"/>
      <c r="I140" s="384"/>
      <c r="J140" s="384"/>
      <c r="K140" s="384"/>
      <c r="L140" s="384"/>
      <c r="M140" s="384"/>
      <c r="N140" s="384"/>
      <c r="O140" s="384"/>
      <c r="P140" s="384"/>
      <c r="Q140" s="384"/>
      <c r="R140" s="384"/>
      <c r="S140" s="384"/>
      <c r="T140" s="384"/>
      <c r="U140" s="384"/>
      <c r="V140" s="384"/>
      <c r="W140" s="384"/>
      <c r="X140" s="384"/>
      <c r="Y140" s="384"/>
      <c r="Z140" s="384"/>
      <c r="AA140" s="384"/>
    </row>
    <row r="141" spans="1:27" x14ac:dyDescent="0.2">
      <c r="A141" s="384"/>
      <c r="B141" s="384"/>
      <c r="C141" s="384"/>
      <c r="D141" s="384"/>
      <c r="E141" s="384"/>
      <c r="F141" s="384"/>
      <c r="G141" s="384"/>
      <c r="H141" s="384"/>
      <c r="I141" s="384"/>
      <c r="J141" s="384"/>
      <c r="K141" s="384"/>
      <c r="L141" s="384"/>
      <c r="M141" s="384"/>
      <c r="N141" s="384"/>
      <c r="O141" s="384"/>
      <c r="P141" s="384"/>
      <c r="Q141" s="384"/>
      <c r="R141" s="384"/>
      <c r="S141" s="384"/>
      <c r="T141" s="384"/>
      <c r="U141" s="384"/>
      <c r="V141" s="384"/>
      <c r="W141" s="384"/>
      <c r="X141" s="384"/>
      <c r="Y141" s="384"/>
      <c r="Z141" s="384"/>
      <c r="AA141" s="384"/>
    </row>
    <row r="142" spans="1:27" x14ac:dyDescent="0.2">
      <c r="A142" s="384"/>
      <c r="B142" s="384"/>
      <c r="C142" s="384"/>
      <c r="D142" s="384"/>
      <c r="E142" s="384"/>
      <c r="F142" s="384"/>
      <c r="G142" s="384"/>
      <c r="H142" s="384"/>
      <c r="I142" s="384"/>
      <c r="J142" s="384"/>
      <c r="K142" s="384"/>
      <c r="L142" s="384"/>
      <c r="M142" s="384"/>
      <c r="N142" s="384"/>
      <c r="O142" s="384"/>
      <c r="P142" s="384"/>
      <c r="Q142" s="384"/>
      <c r="R142" s="384"/>
      <c r="S142" s="384"/>
      <c r="T142" s="384"/>
      <c r="U142" s="384"/>
      <c r="V142" s="384"/>
      <c r="W142" s="384"/>
      <c r="X142" s="384"/>
      <c r="Y142" s="384"/>
      <c r="Z142" s="384"/>
      <c r="AA142" s="384"/>
    </row>
    <row r="143" spans="1:27" x14ac:dyDescent="0.2">
      <c r="A143" s="384"/>
      <c r="B143" s="384"/>
      <c r="C143" s="384"/>
      <c r="D143" s="384"/>
      <c r="E143" s="384"/>
      <c r="F143" s="384"/>
      <c r="G143" s="384"/>
      <c r="H143" s="384"/>
      <c r="I143" s="384"/>
      <c r="J143" s="384"/>
      <c r="K143" s="384"/>
      <c r="L143" s="384"/>
      <c r="M143" s="384"/>
      <c r="N143" s="384"/>
      <c r="O143" s="384"/>
      <c r="P143" s="384"/>
      <c r="Q143" s="384"/>
      <c r="R143" s="384"/>
      <c r="S143" s="384"/>
      <c r="T143" s="384"/>
      <c r="U143" s="384"/>
      <c r="V143" s="384"/>
      <c r="W143" s="384"/>
      <c r="X143" s="384"/>
      <c r="Y143" s="384"/>
      <c r="Z143" s="384"/>
      <c r="AA143" s="384"/>
    </row>
    <row r="144" spans="1:27" x14ac:dyDescent="0.2">
      <c r="A144" s="384"/>
      <c r="B144" s="384"/>
      <c r="C144" s="384"/>
      <c r="D144" s="384"/>
      <c r="E144" s="384"/>
      <c r="F144" s="384"/>
      <c r="G144" s="384"/>
      <c r="H144" s="384"/>
      <c r="I144" s="384"/>
      <c r="J144" s="384"/>
      <c r="K144" s="384"/>
      <c r="L144" s="384"/>
      <c r="M144" s="384"/>
      <c r="N144" s="384"/>
      <c r="O144" s="384"/>
      <c r="P144" s="384"/>
      <c r="Q144" s="384"/>
      <c r="R144" s="384"/>
      <c r="S144" s="384"/>
      <c r="T144" s="384"/>
      <c r="U144" s="384"/>
      <c r="V144" s="384"/>
      <c r="W144" s="384"/>
      <c r="X144" s="384"/>
      <c r="Y144" s="384"/>
      <c r="Z144" s="384"/>
      <c r="AA144" s="384"/>
    </row>
    <row r="145" spans="1:27" x14ac:dyDescent="0.2">
      <c r="A145" s="384"/>
      <c r="B145" s="384"/>
      <c r="C145" s="384"/>
      <c r="D145" s="384"/>
      <c r="E145" s="384"/>
      <c r="F145" s="384"/>
      <c r="G145" s="384"/>
      <c r="H145" s="384"/>
      <c r="I145" s="384"/>
      <c r="J145" s="384"/>
      <c r="K145" s="384"/>
      <c r="L145" s="384"/>
      <c r="M145" s="384"/>
      <c r="N145" s="384"/>
      <c r="O145" s="384"/>
      <c r="P145" s="384"/>
      <c r="Q145" s="384"/>
      <c r="R145" s="384"/>
      <c r="S145" s="384"/>
      <c r="T145" s="384"/>
      <c r="U145" s="384"/>
      <c r="V145" s="384"/>
      <c r="W145" s="384"/>
      <c r="X145" s="384"/>
      <c r="Y145" s="384"/>
      <c r="Z145" s="384"/>
      <c r="AA145" s="384"/>
    </row>
    <row r="146" spans="1:27" x14ac:dyDescent="0.2">
      <c r="A146" s="384"/>
      <c r="B146" s="384"/>
      <c r="C146" s="384"/>
      <c r="D146" s="384"/>
      <c r="E146" s="384"/>
      <c r="F146" s="384"/>
      <c r="G146" s="384"/>
      <c r="H146" s="384"/>
      <c r="I146" s="384"/>
      <c r="J146" s="384"/>
      <c r="K146" s="384"/>
      <c r="L146" s="384"/>
      <c r="M146" s="384"/>
      <c r="N146" s="384"/>
      <c r="O146" s="384"/>
      <c r="P146" s="384"/>
      <c r="Q146" s="384"/>
      <c r="R146" s="384"/>
      <c r="S146" s="384"/>
      <c r="T146" s="384"/>
      <c r="U146" s="384"/>
      <c r="V146" s="384"/>
      <c r="W146" s="384"/>
      <c r="X146" s="384"/>
      <c r="Y146" s="384"/>
      <c r="Z146" s="384"/>
      <c r="AA146" s="384"/>
    </row>
    <row r="147" spans="1:27" x14ac:dyDescent="0.2">
      <c r="A147" s="384"/>
      <c r="B147" s="384"/>
      <c r="C147" s="384"/>
      <c r="D147" s="384"/>
      <c r="E147" s="384"/>
      <c r="F147" s="384"/>
      <c r="G147" s="384"/>
      <c r="H147" s="384"/>
      <c r="I147" s="384"/>
      <c r="J147" s="384"/>
      <c r="K147" s="384"/>
      <c r="L147" s="384"/>
      <c r="M147" s="384"/>
      <c r="N147" s="384"/>
      <c r="O147" s="384"/>
      <c r="P147" s="384"/>
      <c r="Q147" s="384"/>
      <c r="R147" s="384"/>
      <c r="S147" s="384"/>
      <c r="T147" s="384"/>
      <c r="U147" s="384"/>
      <c r="V147" s="384"/>
      <c r="W147" s="384"/>
      <c r="X147" s="384"/>
      <c r="Y147" s="384"/>
      <c r="Z147" s="384"/>
      <c r="AA147" s="384"/>
    </row>
    <row r="148" spans="1:27" x14ac:dyDescent="0.2">
      <c r="A148" s="384"/>
      <c r="B148" s="384"/>
      <c r="C148" s="384"/>
      <c r="D148" s="384"/>
      <c r="E148" s="384"/>
      <c r="F148" s="384"/>
      <c r="G148" s="384"/>
      <c r="H148" s="384"/>
      <c r="I148" s="384"/>
      <c r="J148" s="384"/>
      <c r="K148" s="384"/>
      <c r="L148" s="384"/>
      <c r="M148" s="384"/>
      <c r="N148" s="384"/>
      <c r="O148" s="384"/>
      <c r="P148" s="384"/>
      <c r="Q148" s="384"/>
      <c r="R148" s="384"/>
      <c r="S148" s="384"/>
      <c r="T148" s="384"/>
      <c r="U148" s="384"/>
      <c r="V148" s="384"/>
      <c r="W148" s="384"/>
      <c r="X148" s="384"/>
      <c r="Y148" s="384"/>
      <c r="Z148" s="384"/>
      <c r="AA148" s="384"/>
    </row>
    <row r="149" spans="1:27" x14ac:dyDescent="0.2">
      <c r="A149" s="384"/>
      <c r="B149" s="384"/>
      <c r="C149" s="384"/>
      <c r="D149" s="384"/>
      <c r="E149" s="384"/>
      <c r="F149" s="384"/>
      <c r="G149" s="384"/>
      <c r="H149" s="384"/>
      <c r="I149" s="384"/>
      <c r="J149" s="384"/>
      <c r="K149" s="384"/>
      <c r="L149" s="384"/>
      <c r="M149" s="384"/>
      <c r="N149" s="384"/>
      <c r="O149" s="384"/>
      <c r="P149" s="384"/>
      <c r="Q149" s="384"/>
      <c r="R149" s="384"/>
      <c r="S149" s="384"/>
      <c r="T149" s="384"/>
      <c r="U149" s="384"/>
      <c r="V149" s="384"/>
      <c r="W149" s="384"/>
      <c r="X149" s="384"/>
      <c r="Y149" s="384"/>
      <c r="Z149" s="384"/>
      <c r="AA149" s="384"/>
    </row>
    <row r="150" spans="1:27" x14ac:dyDescent="0.2">
      <c r="A150" s="384"/>
      <c r="B150" s="384"/>
      <c r="C150" s="384"/>
      <c r="D150" s="384"/>
      <c r="E150" s="384"/>
      <c r="F150" s="384"/>
      <c r="G150" s="384"/>
      <c r="H150" s="384"/>
      <c r="I150" s="384"/>
      <c r="J150" s="384"/>
      <c r="K150" s="384"/>
      <c r="L150" s="384"/>
      <c r="M150" s="384"/>
      <c r="N150" s="384"/>
      <c r="O150" s="384"/>
      <c r="P150" s="384"/>
      <c r="Q150" s="384"/>
      <c r="R150" s="384"/>
      <c r="S150" s="384"/>
      <c r="T150" s="384"/>
      <c r="U150" s="384"/>
      <c r="V150" s="384"/>
      <c r="W150" s="384"/>
      <c r="X150" s="384"/>
      <c r="Y150" s="384"/>
      <c r="Z150" s="384"/>
      <c r="AA150" s="384"/>
    </row>
    <row r="151" spans="1:27" x14ac:dyDescent="0.2">
      <c r="A151" s="384"/>
      <c r="B151" s="384"/>
      <c r="C151" s="384"/>
      <c r="D151" s="384"/>
      <c r="E151" s="384"/>
      <c r="F151" s="384"/>
      <c r="G151" s="384"/>
      <c r="H151" s="384"/>
      <c r="I151" s="384"/>
      <c r="J151" s="384"/>
      <c r="K151" s="384"/>
      <c r="L151" s="384"/>
      <c r="M151" s="384"/>
      <c r="N151" s="384"/>
      <c r="O151" s="384"/>
      <c r="P151" s="384"/>
      <c r="Q151" s="384"/>
      <c r="R151" s="384"/>
      <c r="S151" s="384"/>
      <c r="T151" s="384"/>
      <c r="U151" s="384"/>
      <c r="V151" s="384"/>
      <c r="W151" s="384"/>
      <c r="X151" s="384"/>
      <c r="Y151" s="384"/>
      <c r="Z151" s="384"/>
      <c r="AA151" s="384"/>
    </row>
    <row r="152" spans="1:27" x14ac:dyDescent="0.2">
      <c r="A152" s="384"/>
      <c r="B152" s="384"/>
      <c r="C152" s="384"/>
      <c r="D152" s="384"/>
      <c r="E152" s="384"/>
      <c r="F152" s="384"/>
      <c r="G152" s="384"/>
      <c r="H152" s="384"/>
      <c r="I152" s="384"/>
      <c r="J152" s="384"/>
      <c r="K152" s="384"/>
      <c r="L152" s="384"/>
      <c r="M152" s="384"/>
      <c r="N152" s="384"/>
      <c r="O152" s="384"/>
      <c r="P152" s="384"/>
      <c r="Q152" s="384"/>
      <c r="R152" s="384"/>
      <c r="S152" s="384"/>
      <c r="T152" s="384"/>
      <c r="U152" s="384"/>
      <c r="V152" s="384"/>
      <c r="W152" s="384"/>
      <c r="X152" s="384"/>
      <c r="Y152" s="384"/>
      <c r="Z152" s="384"/>
      <c r="AA152" s="384"/>
    </row>
    <row r="153" spans="1:27" x14ac:dyDescent="0.2">
      <c r="A153" s="384"/>
      <c r="B153" s="384"/>
      <c r="C153" s="384"/>
      <c r="D153" s="384"/>
      <c r="E153" s="384"/>
      <c r="F153" s="384"/>
      <c r="G153" s="384"/>
      <c r="H153" s="384"/>
      <c r="I153" s="384"/>
      <c r="J153" s="384"/>
      <c r="K153" s="384"/>
      <c r="L153" s="384"/>
      <c r="M153" s="384"/>
      <c r="N153" s="384"/>
      <c r="O153" s="384"/>
      <c r="P153" s="384"/>
      <c r="Q153" s="384"/>
      <c r="R153" s="384"/>
      <c r="S153" s="384"/>
      <c r="T153" s="384"/>
      <c r="U153" s="384"/>
      <c r="V153" s="384"/>
      <c r="W153" s="384"/>
      <c r="X153" s="384"/>
      <c r="Y153" s="384"/>
      <c r="Z153" s="384"/>
      <c r="AA153" s="384"/>
    </row>
    <row r="154" spans="1:27" x14ac:dyDescent="0.2">
      <c r="A154" s="384"/>
      <c r="B154" s="384"/>
      <c r="C154" s="384"/>
      <c r="D154" s="384"/>
      <c r="E154" s="384"/>
      <c r="F154" s="384"/>
      <c r="G154" s="384"/>
      <c r="H154" s="384"/>
      <c r="I154" s="384"/>
      <c r="J154" s="384"/>
      <c r="K154" s="384"/>
      <c r="L154" s="384"/>
      <c r="M154" s="384"/>
      <c r="N154" s="384"/>
      <c r="O154" s="384"/>
      <c r="P154" s="384"/>
      <c r="Q154" s="384"/>
      <c r="R154" s="384"/>
      <c r="S154" s="384"/>
      <c r="T154" s="384"/>
      <c r="U154" s="384"/>
      <c r="V154" s="384"/>
      <c r="W154" s="384"/>
      <c r="X154" s="384"/>
      <c r="Y154" s="384"/>
      <c r="Z154" s="384"/>
      <c r="AA154" s="384"/>
    </row>
    <row r="155" spans="1:27" x14ac:dyDescent="0.2">
      <c r="A155" s="384"/>
      <c r="B155" s="384"/>
      <c r="C155" s="384"/>
      <c r="D155" s="384"/>
      <c r="E155" s="384"/>
      <c r="F155" s="384"/>
      <c r="G155" s="384"/>
      <c r="H155" s="384"/>
      <c r="I155" s="384"/>
      <c r="J155" s="384"/>
      <c r="K155" s="384"/>
      <c r="L155" s="384"/>
      <c r="M155" s="384"/>
      <c r="N155" s="384"/>
      <c r="O155" s="384"/>
      <c r="P155" s="384"/>
      <c r="Q155" s="384"/>
      <c r="R155" s="384"/>
      <c r="S155" s="384"/>
      <c r="T155" s="384"/>
      <c r="U155" s="384"/>
      <c r="V155" s="384"/>
      <c r="W155" s="384"/>
      <c r="X155" s="384"/>
      <c r="Y155" s="384"/>
      <c r="Z155" s="384"/>
      <c r="AA155" s="384"/>
    </row>
    <row r="156" spans="1:27" x14ac:dyDescent="0.2">
      <c r="A156" s="384"/>
      <c r="B156" s="384"/>
      <c r="C156" s="384"/>
      <c r="D156" s="384"/>
      <c r="E156" s="384"/>
      <c r="F156" s="384"/>
      <c r="G156" s="384"/>
      <c r="H156" s="384"/>
      <c r="I156" s="384"/>
      <c r="J156" s="384"/>
      <c r="K156" s="384"/>
      <c r="L156" s="384"/>
      <c r="M156" s="384"/>
      <c r="N156" s="384"/>
      <c r="O156" s="384"/>
      <c r="P156" s="384"/>
      <c r="Q156" s="384"/>
      <c r="R156" s="384"/>
      <c r="S156" s="384"/>
      <c r="T156" s="384"/>
      <c r="U156" s="384"/>
      <c r="V156" s="384"/>
      <c r="W156" s="384"/>
      <c r="X156" s="384"/>
      <c r="Y156" s="384"/>
      <c r="Z156" s="384"/>
      <c r="AA156" s="384"/>
    </row>
    <row r="157" spans="1:27" x14ac:dyDescent="0.2">
      <c r="A157" s="384"/>
      <c r="B157" s="384"/>
      <c r="C157" s="384"/>
      <c r="D157" s="384"/>
      <c r="E157" s="384"/>
      <c r="F157" s="384"/>
      <c r="G157" s="384"/>
      <c r="H157" s="384"/>
      <c r="I157" s="384"/>
      <c r="J157" s="384"/>
      <c r="K157" s="384"/>
      <c r="L157" s="384"/>
      <c r="M157" s="384"/>
      <c r="N157" s="384"/>
      <c r="O157" s="384"/>
      <c r="P157" s="384"/>
      <c r="Q157" s="384"/>
      <c r="R157" s="384"/>
      <c r="S157" s="384"/>
      <c r="T157" s="384"/>
      <c r="U157" s="384"/>
      <c r="V157" s="384"/>
      <c r="W157" s="384"/>
      <c r="X157" s="384"/>
      <c r="Y157" s="384"/>
      <c r="Z157" s="384"/>
      <c r="AA157" s="384"/>
    </row>
    <row r="158" spans="1:27" x14ac:dyDescent="0.2">
      <c r="A158" s="384"/>
      <c r="B158" s="384"/>
      <c r="C158" s="384"/>
      <c r="D158" s="384"/>
      <c r="E158" s="384"/>
      <c r="F158" s="384"/>
      <c r="G158" s="384"/>
      <c r="H158" s="384"/>
      <c r="I158" s="384"/>
      <c r="J158" s="384"/>
      <c r="K158" s="384"/>
      <c r="L158" s="384"/>
      <c r="M158" s="384"/>
      <c r="N158" s="384"/>
      <c r="O158" s="384"/>
      <c r="P158" s="384"/>
      <c r="Q158" s="384"/>
      <c r="R158" s="384"/>
      <c r="S158" s="384"/>
      <c r="T158" s="384"/>
      <c r="U158" s="384"/>
      <c r="V158" s="384"/>
      <c r="W158" s="384"/>
      <c r="X158" s="384"/>
      <c r="Y158" s="384"/>
      <c r="Z158" s="384"/>
      <c r="AA158" s="384"/>
    </row>
    <row r="159" spans="1:27" x14ac:dyDescent="0.2">
      <c r="A159" s="384"/>
      <c r="B159" s="384"/>
      <c r="C159" s="384"/>
      <c r="D159" s="384"/>
      <c r="E159" s="384"/>
      <c r="F159" s="384"/>
      <c r="G159" s="384"/>
      <c r="H159" s="384"/>
      <c r="I159" s="384"/>
      <c r="J159" s="384"/>
      <c r="K159" s="384"/>
      <c r="L159" s="384"/>
      <c r="M159" s="384"/>
      <c r="N159" s="384"/>
      <c r="O159" s="384"/>
      <c r="P159" s="384"/>
      <c r="Q159" s="384"/>
      <c r="R159" s="384"/>
      <c r="S159" s="384"/>
      <c r="T159" s="384"/>
      <c r="U159" s="384"/>
      <c r="V159" s="384"/>
      <c r="W159" s="384"/>
      <c r="X159" s="384"/>
      <c r="Y159" s="384"/>
      <c r="Z159" s="384"/>
      <c r="AA159" s="384"/>
    </row>
    <row r="160" spans="1:27" x14ac:dyDescent="0.2">
      <c r="A160" s="384"/>
      <c r="B160" s="384"/>
      <c r="C160" s="384"/>
      <c r="D160" s="384"/>
      <c r="E160" s="384"/>
      <c r="F160" s="384"/>
      <c r="G160" s="384"/>
      <c r="H160" s="384"/>
      <c r="I160" s="384"/>
      <c r="J160" s="384"/>
      <c r="K160" s="384"/>
      <c r="L160" s="384"/>
      <c r="M160" s="384"/>
      <c r="N160" s="384"/>
      <c r="O160" s="384"/>
      <c r="P160" s="384"/>
      <c r="Q160" s="384"/>
      <c r="R160" s="384"/>
      <c r="S160" s="384"/>
      <c r="T160" s="384"/>
      <c r="U160" s="384"/>
      <c r="V160" s="384"/>
      <c r="W160" s="384"/>
      <c r="X160" s="384"/>
      <c r="Y160" s="384"/>
      <c r="Z160" s="384"/>
      <c r="AA160" s="384"/>
    </row>
    <row r="161" spans="1:27" x14ac:dyDescent="0.2">
      <c r="A161" s="384"/>
      <c r="B161" s="384"/>
      <c r="C161" s="384"/>
      <c r="D161" s="384"/>
      <c r="E161" s="384"/>
      <c r="F161" s="384"/>
      <c r="G161" s="384"/>
      <c r="H161" s="384"/>
      <c r="I161" s="384"/>
      <c r="J161" s="384"/>
      <c r="K161" s="384"/>
      <c r="L161" s="384"/>
      <c r="M161" s="384"/>
      <c r="N161" s="384"/>
      <c r="O161" s="384"/>
      <c r="P161" s="384"/>
      <c r="Q161" s="384"/>
      <c r="R161" s="384"/>
      <c r="S161" s="384"/>
      <c r="T161" s="384"/>
      <c r="U161" s="384"/>
      <c r="V161" s="384"/>
      <c r="W161" s="384"/>
      <c r="X161" s="384"/>
      <c r="Y161" s="384"/>
      <c r="Z161" s="384"/>
      <c r="AA161" s="384"/>
    </row>
    <row r="162" spans="1:27" x14ac:dyDescent="0.2">
      <c r="A162" s="384"/>
      <c r="B162" s="384"/>
      <c r="C162" s="384"/>
      <c r="D162" s="384"/>
      <c r="E162" s="384"/>
      <c r="F162" s="384"/>
      <c r="G162" s="384"/>
      <c r="H162" s="384"/>
      <c r="I162" s="384"/>
      <c r="J162" s="384"/>
      <c r="K162" s="384"/>
      <c r="L162" s="384"/>
      <c r="M162" s="384"/>
      <c r="N162" s="384"/>
      <c r="O162" s="384"/>
      <c r="P162" s="384"/>
      <c r="Q162" s="384"/>
      <c r="R162" s="384"/>
      <c r="S162" s="384"/>
      <c r="T162" s="384"/>
      <c r="U162" s="384"/>
      <c r="V162" s="384"/>
      <c r="W162" s="384"/>
      <c r="X162" s="384"/>
      <c r="Y162" s="384"/>
      <c r="Z162" s="384"/>
      <c r="AA162" s="384"/>
    </row>
    <row r="163" spans="1:27" x14ac:dyDescent="0.2">
      <c r="A163" s="384"/>
      <c r="B163" s="384"/>
      <c r="C163" s="384"/>
      <c r="D163" s="384"/>
      <c r="E163" s="384"/>
      <c r="F163" s="384"/>
      <c r="G163" s="384"/>
      <c r="H163" s="384"/>
      <c r="I163" s="384"/>
      <c r="J163" s="384"/>
      <c r="K163" s="384"/>
      <c r="L163" s="384"/>
      <c r="M163" s="384"/>
      <c r="N163" s="384"/>
      <c r="O163" s="384"/>
      <c r="P163" s="384"/>
      <c r="Q163" s="384"/>
      <c r="R163" s="384"/>
      <c r="S163" s="384"/>
      <c r="T163" s="384"/>
      <c r="U163" s="384"/>
      <c r="V163" s="384"/>
      <c r="W163" s="384"/>
      <c r="X163" s="384"/>
      <c r="Y163" s="384"/>
      <c r="Z163" s="384"/>
      <c r="AA163" s="384"/>
    </row>
    <row r="164" spans="1:27" x14ac:dyDescent="0.2">
      <c r="A164" s="384"/>
      <c r="B164" s="384"/>
      <c r="C164" s="384"/>
      <c r="D164" s="384"/>
      <c r="E164" s="384"/>
      <c r="F164" s="384"/>
      <c r="G164" s="384"/>
      <c r="H164" s="384"/>
      <c r="I164" s="384"/>
      <c r="J164" s="384"/>
      <c r="K164" s="384"/>
      <c r="L164" s="384"/>
      <c r="M164" s="384"/>
      <c r="N164" s="384"/>
      <c r="O164" s="384"/>
      <c r="P164" s="384"/>
      <c r="Q164" s="384"/>
      <c r="R164" s="384"/>
      <c r="S164" s="384"/>
      <c r="T164" s="384"/>
      <c r="U164" s="384"/>
      <c r="V164" s="384"/>
      <c r="W164" s="384"/>
      <c r="X164" s="384"/>
      <c r="Y164" s="384"/>
      <c r="Z164" s="384"/>
      <c r="AA164" s="384"/>
    </row>
    <row r="165" spans="1:27" x14ac:dyDescent="0.2">
      <c r="A165" s="384"/>
      <c r="B165" s="384"/>
      <c r="C165" s="384"/>
      <c r="D165" s="384"/>
      <c r="E165" s="384"/>
      <c r="F165" s="384"/>
      <c r="G165" s="384"/>
      <c r="H165" s="384"/>
      <c r="I165" s="384"/>
      <c r="J165" s="384"/>
      <c r="K165" s="384"/>
      <c r="L165" s="384"/>
      <c r="M165" s="384"/>
      <c r="N165" s="384"/>
      <c r="O165" s="384"/>
      <c r="P165" s="384"/>
      <c r="Q165" s="384"/>
      <c r="R165" s="384"/>
      <c r="S165" s="384"/>
      <c r="T165" s="384"/>
      <c r="U165" s="384"/>
      <c r="V165" s="384"/>
      <c r="W165" s="384"/>
      <c r="X165" s="384"/>
      <c r="Y165" s="384"/>
      <c r="Z165" s="384"/>
      <c r="AA165" s="384"/>
    </row>
    <row r="166" spans="1:27" x14ac:dyDescent="0.2">
      <c r="A166" s="384"/>
      <c r="B166" s="384"/>
      <c r="C166" s="384"/>
      <c r="D166" s="384"/>
      <c r="E166" s="384"/>
      <c r="F166" s="384"/>
      <c r="G166" s="384"/>
      <c r="H166" s="384"/>
      <c r="I166" s="384"/>
      <c r="J166" s="384"/>
      <c r="K166" s="384"/>
      <c r="L166" s="384"/>
      <c r="M166" s="384"/>
      <c r="N166" s="384"/>
      <c r="O166" s="384"/>
      <c r="P166" s="384"/>
      <c r="Q166" s="384"/>
      <c r="R166" s="384"/>
      <c r="S166" s="384"/>
      <c r="T166" s="384"/>
      <c r="U166" s="384"/>
      <c r="V166" s="384"/>
      <c r="W166" s="384"/>
      <c r="X166" s="384"/>
      <c r="Y166" s="384"/>
      <c r="Z166" s="384"/>
      <c r="AA166" s="384"/>
    </row>
    <row r="167" spans="1:27" x14ac:dyDescent="0.2">
      <c r="A167" s="384"/>
      <c r="B167" s="384"/>
      <c r="C167" s="384"/>
      <c r="D167" s="384"/>
      <c r="E167" s="384"/>
      <c r="F167" s="384"/>
      <c r="G167" s="384"/>
      <c r="H167" s="384"/>
      <c r="I167" s="384"/>
      <c r="J167" s="384"/>
      <c r="K167" s="384"/>
      <c r="L167" s="384"/>
      <c r="M167" s="384"/>
      <c r="N167" s="384"/>
      <c r="O167" s="384"/>
      <c r="P167" s="384"/>
      <c r="Q167" s="384"/>
      <c r="R167" s="384"/>
      <c r="S167" s="384"/>
      <c r="T167" s="384"/>
      <c r="U167" s="384"/>
      <c r="V167" s="384"/>
      <c r="W167" s="384"/>
      <c r="X167" s="384"/>
      <c r="Y167" s="384"/>
      <c r="Z167" s="384"/>
      <c r="AA167" s="384"/>
    </row>
    <row r="168" spans="1:27" x14ac:dyDescent="0.2">
      <c r="A168" s="384"/>
      <c r="B168" s="384"/>
      <c r="C168" s="384"/>
      <c r="D168" s="384"/>
      <c r="E168" s="384"/>
      <c r="F168" s="384"/>
      <c r="G168" s="384"/>
      <c r="H168" s="384"/>
      <c r="I168" s="384"/>
      <c r="J168" s="384"/>
      <c r="K168" s="384"/>
      <c r="L168" s="384"/>
      <c r="M168" s="384"/>
      <c r="N168" s="384"/>
      <c r="O168" s="384"/>
      <c r="P168" s="384"/>
      <c r="Q168" s="384"/>
      <c r="R168" s="384"/>
      <c r="S168" s="384"/>
      <c r="T168" s="384"/>
      <c r="U168" s="384"/>
      <c r="V168" s="384"/>
      <c r="W168" s="384"/>
      <c r="X168" s="384"/>
      <c r="Y168" s="384"/>
      <c r="Z168" s="384"/>
      <c r="AA168" s="384"/>
    </row>
    <row r="169" spans="1:27" x14ac:dyDescent="0.2">
      <c r="A169" s="384"/>
      <c r="B169" s="384"/>
      <c r="C169" s="384"/>
      <c r="D169" s="384"/>
      <c r="E169" s="384"/>
      <c r="F169" s="384"/>
      <c r="G169" s="384"/>
      <c r="H169" s="384"/>
      <c r="I169" s="384"/>
      <c r="J169" s="384"/>
      <c r="K169" s="384"/>
      <c r="L169" s="384"/>
      <c r="M169" s="384"/>
      <c r="N169" s="384"/>
      <c r="O169" s="384"/>
      <c r="P169" s="384"/>
      <c r="Q169" s="384"/>
      <c r="R169" s="384"/>
      <c r="S169" s="384"/>
      <c r="T169" s="384"/>
      <c r="U169" s="384"/>
      <c r="V169" s="384"/>
      <c r="W169" s="384"/>
      <c r="X169" s="384"/>
      <c r="Y169" s="384"/>
      <c r="Z169" s="384"/>
      <c r="AA169" s="384"/>
    </row>
    <row r="170" spans="1:27" x14ac:dyDescent="0.2">
      <c r="A170" s="384"/>
      <c r="B170" s="384"/>
      <c r="C170" s="384"/>
      <c r="D170" s="384"/>
      <c r="E170" s="384"/>
      <c r="F170" s="384"/>
      <c r="G170" s="384"/>
      <c r="H170" s="384"/>
      <c r="I170" s="384"/>
      <c r="J170" s="384"/>
      <c r="K170" s="384"/>
      <c r="L170" s="384"/>
      <c r="M170" s="384"/>
      <c r="N170" s="384"/>
      <c r="O170" s="384"/>
      <c r="P170" s="384"/>
      <c r="Q170" s="384"/>
      <c r="R170" s="384"/>
      <c r="S170" s="384"/>
      <c r="T170" s="384"/>
      <c r="U170" s="384"/>
      <c r="V170" s="384"/>
      <c r="W170" s="384"/>
      <c r="X170" s="384"/>
      <c r="Y170" s="384"/>
      <c r="Z170" s="384"/>
      <c r="AA170" s="384"/>
    </row>
    <row r="171" spans="1:27" x14ac:dyDescent="0.2">
      <c r="A171" s="384"/>
      <c r="B171" s="384"/>
      <c r="C171" s="384"/>
      <c r="D171" s="384"/>
      <c r="E171" s="384"/>
      <c r="F171" s="384"/>
      <c r="G171" s="384"/>
      <c r="H171" s="384"/>
      <c r="I171" s="384"/>
      <c r="J171" s="384"/>
      <c r="K171" s="384"/>
      <c r="L171" s="384"/>
      <c r="M171" s="384"/>
      <c r="N171" s="384"/>
      <c r="O171" s="384"/>
      <c r="P171" s="384"/>
      <c r="Q171" s="384"/>
      <c r="R171" s="384"/>
      <c r="S171" s="384"/>
      <c r="T171" s="384"/>
      <c r="U171" s="384"/>
      <c r="V171" s="384"/>
      <c r="W171" s="384"/>
      <c r="X171" s="384"/>
      <c r="Y171" s="384"/>
      <c r="Z171" s="384"/>
      <c r="AA171" s="384"/>
    </row>
    <row r="172" spans="1:27" x14ac:dyDescent="0.2">
      <c r="A172" s="384"/>
      <c r="B172" s="384"/>
      <c r="C172" s="384"/>
      <c r="D172" s="384"/>
      <c r="E172" s="384"/>
      <c r="F172" s="384"/>
      <c r="G172" s="384"/>
      <c r="H172" s="384"/>
      <c r="I172" s="384"/>
      <c r="J172" s="384"/>
      <c r="K172" s="384"/>
      <c r="L172" s="384"/>
      <c r="M172" s="384"/>
      <c r="N172" s="384"/>
      <c r="O172" s="384"/>
      <c r="P172" s="384"/>
      <c r="Q172" s="384"/>
      <c r="R172" s="384"/>
      <c r="S172" s="384"/>
      <c r="T172" s="384"/>
      <c r="U172" s="384"/>
      <c r="V172" s="384"/>
      <c r="W172" s="384"/>
      <c r="X172" s="384"/>
      <c r="Y172" s="384"/>
      <c r="Z172" s="384"/>
      <c r="AA172" s="384"/>
    </row>
    <row r="173" spans="1:27" x14ac:dyDescent="0.2">
      <c r="A173" s="384"/>
      <c r="B173" s="384"/>
      <c r="C173" s="384"/>
      <c r="D173" s="384"/>
      <c r="E173" s="384"/>
      <c r="F173" s="384"/>
      <c r="G173" s="384"/>
      <c r="H173" s="384"/>
      <c r="I173" s="384"/>
      <c r="J173" s="384"/>
      <c r="K173" s="384"/>
      <c r="L173" s="384"/>
      <c r="M173" s="384"/>
      <c r="N173" s="384"/>
      <c r="O173" s="384"/>
      <c r="P173" s="384"/>
      <c r="Q173" s="384"/>
      <c r="R173" s="384"/>
      <c r="S173" s="384"/>
      <c r="T173" s="384"/>
      <c r="U173" s="384"/>
      <c r="V173" s="384"/>
      <c r="W173" s="384"/>
      <c r="X173" s="384"/>
      <c r="Y173" s="384"/>
      <c r="Z173" s="384"/>
      <c r="AA173" s="384"/>
    </row>
    <row r="174" spans="1:27" x14ac:dyDescent="0.2">
      <c r="A174" s="384"/>
      <c r="B174" s="384"/>
      <c r="C174" s="384"/>
      <c r="D174" s="384"/>
      <c r="E174" s="384"/>
      <c r="F174" s="384"/>
      <c r="G174" s="384"/>
      <c r="H174" s="384"/>
      <c r="I174" s="384"/>
      <c r="J174" s="384"/>
      <c r="K174" s="384"/>
      <c r="L174" s="384"/>
      <c r="M174" s="384"/>
      <c r="N174" s="384"/>
      <c r="O174" s="384"/>
      <c r="P174" s="384"/>
      <c r="Q174" s="384"/>
      <c r="R174" s="384"/>
      <c r="S174" s="384"/>
      <c r="T174" s="384"/>
      <c r="U174" s="384"/>
      <c r="V174" s="384"/>
      <c r="W174" s="384"/>
      <c r="X174" s="384"/>
      <c r="Y174" s="384"/>
      <c r="Z174" s="384"/>
      <c r="AA174" s="384"/>
    </row>
    <row r="175" spans="1:27" x14ac:dyDescent="0.2">
      <c r="A175" s="384"/>
      <c r="B175" s="384"/>
      <c r="C175" s="384"/>
      <c r="D175" s="384"/>
      <c r="E175" s="384"/>
      <c r="F175" s="384"/>
      <c r="G175" s="384"/>
      <c r="H175" s="384"/>
      <c r="I175" s="384"/>
      <c r="J175" s="384"/>
      <c r="K175" s="384"/>
      <c r="L175" s="384"/>
      <c r="M175" s="384"/>
      <c r="N175" s="384"/>
      <c r="O175" s="384"/>
      <c r="P175" s="384"/>
      <c r="Q175" s="384"/>
      <c r="R175" s="384"/>
      <c r="S175" s="384"/>
      <c r="T175" s="384"/>
      <c r="U175" s="384"/>
      <c r="V175" s="384"/>
      <c r="W175" s="384"/>
      <c r="X175" s="384"/>
      <c r="Y175" s="384"/>
      <c r="Z175" s="384"/>
      <c r="AA175" s="384"/>
    </row>
    <row r="176" spans="1:27" x14ac:dyDescent="0.2">
      <c r="A176" s="384"/>
      <c r="B176" s="384"/>
      <c r="C176" s="384"/>
      <c r="D176" s="384"/>
      <c r="E176" s="384"/>
      <c r="F176" s="384"/>
      <c r="G176" s="384"/>
      <c r="H176" s="384"/>
      <c r="I176" s="384"/>
      <c r="J176" s="384"/>
      <c r="K176" s="384"/>
      <c r="L176" s="384"/>
      <c r="M176" s="384"/>
      <c r="N176" s="384"/>
      <c r="O176" s="384"/>
      <c r="P176" s="384"/>
      <c r="Q176" s="384"/>
      <c r="R176" s="384"/>
      <c r="S176" s="384"/>
      <c r="T176" s="384"/>
      <c r="U176" s="384"/>
      <c r="V176" s="384"/>
      <c r="W176" s="384"/>
      <c r="X176" s="384"/>
      <c r="Y176" s="384"/>
      <c r="Z176" s="384"/>
      <c r="AA176" s="384"/>
    </row>
    <row r="177" spans="1:27" x14ac:dyDescent="0.2">
      <c r="A177" s="384"/>
      <c r="B177" s="384"/>
      <c r="C177" s="384"/>
      <c r="D177" s="384"/>
      <c r="E177" s="384"/>
      <c r="F177" s="384"/>
      <c r="G177" s="384"/>
      <c r="H177" s="384"/>
      <c r="I177" s="384"/>
      <c r="J177" s="384"/>
      <c r="K177" s="384"/>
      <c r="L177" s="384"/>
      <c r="M177" s="384"/>
      <c r="N177" s="384"/>
      <c r="O177" s="384"/>
      <c r="P177" s="384"/>
      <c r="Q177" s="384"/>
      <c r="R177" s="384"/>
      <c r="S177" s="384"/>
      <c r="T177" s="384"/>
      <c r="U177" s="384"/>
      <c r="V177" s="384"/>
      <c r="W177" s="384"/>
      <c r="X177" s="384"/>
      <c r="Y177" s="384"/>
      <c r="Z177" s="384"/>
      <c r="AA177" s="384"/>
    </row>
    <row r="178" spans="1:27" x14ac:dyDescent="0.2">
      <c r="A178" s="384"/>
      <c r="B178" s="384"/>
      <c r="C178" s="384"/>
      <c r="D178" s="384"/>
      <c r="E178" s="384"/>
      <c r="F178" s="384"/>
      <c r="G178" s="384"/>
      <c r="H178" s="384"/>
      <c r="I178" s="384"/>
      <c r="J178" s="384"/>
      <c r="K178" s="384"/>
      <c r="L178" s="384"/>
      <c r="M178" s="384"/>
      <c r="N178" s="384"/>
      <c r="O178" s="384"/>
      <c r="P178" s="384"/>
      <c r="Q178" s="384"/>
      <c r="R178" s="384"/>
      <c r="S178" s="384"/>
      <c r="T178" s="384"/>
      <c r="U178" s="384"/>
      <c r="V178" s="384"/>
      <c r="W178" s="384"/>
      <c r="X178" s="384"/>
      <c r="Y178" s="384"/>
      <c r="Z178" s="384"/>
      <c r="AA178" s="384"/>
    </row>
    <row r="179" spans="1:27" x14ac:dyDescent="0.2">
      <c r="A179" s="384"/>
      <c r="B179" s="384"/>
      <c r="C179" s="384"/>
      <c r="D179" s="384"/>
      <c r="E179" s="384"/>
      <c r="F179" s="384"/>
      <c r="G179" s="384"/>
      <c r="H179" s="384"/>
      <c r="I179" s="384"/>
      <c r="J179" s="384"/>
      <c r="K179" s="384"/>
      <c r="L179" s="384"/>
      <c r="M179" s="384"/>
      <c r="N179" s="384"/>
      <c r="O179" s="384"/>
      <c r="P179" s="384"/>
      <c r="Q179" s="384"/>
      <c r="R179" s="384"/>
      <c r="S179" s="384"/>
      <c r="T179" s="384"/>
      <c r="U179" s="384"/>
      <c r="V179" s="384"/>
      <c r="W179" s="384"/>
      <c r="X179" s="384"/>
      <c r="Y179" s="384"/>
      <c r="Z179" s="384"/>
      <c r="AA179" s="384"/>
    </row>
    <row r="180" spans="1:27" x14ac:dyDescent="0.2">
      <c r="A180" s="384"/>
      <c r="B180" s="384"/>
      <c r="C180" s="384"/>
      <c r="D180" s="384"/>
      <c r="E180" s="384"/>
      <c r="F180" s="384"/>
      <c r="G180" s="384"/>
      <c r="H180" s="384"/>
      <c r="I180" s="384"/>
      <c r="J180" s="384"/>
      <c r="K180" s="384"/>
      <c r="L180" s="384"/>
      <c r="M180" s="384"/>
      <c r="N180" s="384"/>
      <c r="O180" s="384"/>
      <c r="P180" s="384"/>
      <c r="Q180" s="384"/>
      <c r="R180" s="384"/>
      <c r="S180" s="384"/>
      <c r="T180" s="384"/>
      <c r="U180" s="384"/>
      <c r="V180" s="384"/>
      <c r="W180" s="384"/>
      <c r="X180" s="384"/>
      <c r="Y180" s="384"/>
      <c r="Z180" s="384"/>
      <c r="AA180" s="384"/>
    </row>
    <row r="181" spans="1:27" x14ac:dyDescent="0.2">
      <c r="A181" s="384"/>
      <c r="B181" s="384"/>
      <c r="C181" s="384"/>
      <c r="D181" s="384"/>
      <c r="E181" s="384"/>
      <c r="F181" s="384"/>
      <c r="G181" s="384"/>
      <c r="H181" s="384"/>
      <c r="I181" s="384"/>
      <c r="J181" s="384"/>
      <c r="K181" s="384"/>
      <c r="L181" s="384"/>
      <c r="M181" s="384"/>
      <c r="N181" s="384"/>
      <c r="O181" s="384"/>
      <c r="P181" s="384"/>
      <c r="Q181" s="384"/>
      <c r="R181" s="384"/>
      <c r="S181" s="384"/>
      <c r="T181" s="384"/>
      <c r="U181" s="384"/>
      <c r="V181" s="384"/>
      <c r="W181" s="384"/>
      <c r="X181" s="384"/>
      <c r="Y181" s="384"/>
      <c r="Z181" s="384"/>
      <c r="AA181" s="384"/>
    </row>
    <row r="182" spans="1:27" x14ac:dyDescent="0.2">
      <c r="A182" s="384"/>
      <c r="B182" s="384"/>
      <c r="C182" s="384"/>
      <c r="D182" s="384"/>
      <c r="E182" s="384"/>
      <c r="F182" s="384"/>
      <c r="G182" s="384"/>
      <c r="H182" s="384"/>
      <c r="I182" s="384"/>
      <c r="J182" s="384"/>
      <c r="K182" s="384"/>
      <c r="L182" s="384"/>
      <c r="M182" s="384"/>
      <c r="N182" s="384"/>
      <c r="O182" s="384"/>
      <c r="P182" s="384"/>
      <c r="Q182" s="384"/>
      <c r="R182" s="384"/>
      <c r="S182" s="384"/>
      <c r="T182" s="384"/>
      <c r="U182" s="384"/>
      <c r="V182" s="384"/>
      <c r="W182" s="384"/>
      <c r="X182" s="384"/>
      <c r="Y182" s="384"/>
      <c r="Z182" s="384"/>
      <c r="AA182" s="384"/>
    </row>
    <row r="183" spans="1:27" x14ac:dyDescent="0.2">
      <c r="A183" s="384"/>
      <c r="B183" s="384"/>
      <c r="C183" s="384"/>
      <c r="D183" s="384"/>
      <c r="E183" s="384"/>
      <c r="F183" s="384"/>
      <c r="G183" s="384"/>
      <c r="H183" s="384"/>
      <c r="I183" s="384"/>
      <c r="J183" s="384"/>
      <c r="K183" s="384"/>
      <c r="L183" s="384"/>
      <c r="M183" s="384"/>
      <c r="N183" s="384"/>
      <c r="O183" s="384"/>
      <c r="P183" s="384"/>
      <c r="Q183" s="384"/>
      <c r="R183" s="384"/>
      <c r="S183" s="384"/>
      <c r="T183" s="384"/>
      <c r="U183" s="384"/>
      <c r="V183" s="384"/>
      <c r="W183" s="384"/>
      <c r="X183" s="384"/>
      <c r="Y183" s="384"/>
      <c r="Z183" s="384"/>
      <c r="AA183" s="384"/>
    </row>
    <row r="184" spans="1:27" x14ac:dyDescent="0.2">
      <c r="A184" s="384"/>
      <c r="B184" s="384"/>
      <c r="C184" s="384"/>
      <c r="D184" s="384"/>
      <c r="E184" s="384"/>
      <c r="F184" s="384"/>
      <c r="G184" s="384"/>
      <c r="H184" s="384"/>
      <c r="I184" s="384"/>
      <c r="J184" s="384"/>
      <c r="K184" s="384"/>
      <c r="L184" s="384"/>
      <c r="M184" s="384"/>
      <c r="N184" s="384"/>
      <c r="O184" s="384"/>
      <c r="P184" s="384"/>
      <c r="Q184" s="384"/>
      <c r="R184" s="384"/>
      <c r="S184" s="384"/>
      <c r="T184" s="384"/>
      <c r="U184" s="384"/>
      <c r="V184" s="384"/>
      <c r="W184" s="384"/>
      <c r="X184" s="384"/>
      <c r="Y184" s="384"/>
      <c r="Z184" s="384"/>
      <c r="AA184" s="384"/>
    </row>
    <row r="185" spans="1:27" x14ac:dyDescent="0.2">
      <c r="A185" s="384"/>
      <c r="B185" s="384"/>
      <c r="C185" s="384"/>
      <c r="D185" s="384"/>
      <c r="E185" s="384"/>
      <c r="F185" s="384"/>
      <c r="G185" s="384"/>
      <c r="H185" s="384"/>
      <c r="I185" s="384"/>
      <c r="J185" s="384"/>
      <c r="K185" s="384"/>
      <c r="L185" s="384"/>
      <c r="M185" s="384"/>
      <c r="N185" s="384"/>
      <c r="O185" s="384"/>
      <c r="P185" s="384"/>
      <c r="Q185" s="384"/>
      <c r="R185" s="384"/>
      <c r="S185" s="384"/>
      <c r="T185" s="384"/>
      <c r="U185" s="384"/>
      <c r="V185" s="384"/>
      <c r="W185" s="384"/>
      <c r="X185" s="384"/>
      <c r="Y185" s="384"/>
      <c r="Z185" s="384"/>
      <c r="AA185" s="384"/>
    </row>
    <row r="186" spans="1:27" x14ac:dyDescent="0.2">
      <c r="A186" s="384"/>
      <c r="B186" s="384"/>
      <c r="C186" s="384"/>
      <c r="D186" s="384"/>
      <c r="E186" s="384"/>
      <c r="F186" s="384"/>
      <c r="G186" s="384"/>
      <c r="H186" s="384"/>
      <c r="I186" s="384"/>
      <c r="J186" s="384"/>
      <c r="K186" s="384"/>
      <c r="L186" s="384"/>
      <c r="M186" s="384"/>
      <c r="N186" s="384"/>
      <c r="O186" s="384"/>
      <c r="P186" s="384"/>
      <c r="Q186" s="384"/>
      <c r="R186" s="384"/>
      <c r="S186" s="384"/>
      <c r="T186" s="384"/>
      <c r="U186" s="384"/>
      <c r="V186" s="384"/>
      <c r="W186" s="384"/>
      <c r="X186" s="384"/>
      <c r="Y186" s="384"/>
      <c r="Z186" s="384"/>
      <c r="AA186" s="384"/>
    </row>
    <row r="187" spans="1:27" x14ac:dyDescent="0.2">
      <c r="A187" s="384"/>
      <c r="B187" s="384"/>
      <c r="C187" s="384"/>
      <c r="D187" s="384"/>
      <c r="E187" s="384"/>
      <c r="F187" s="384"/>
      <c r="G187" s="384"/>
      <c r="H187" s="384"/>
      <c r="I187" s="384"/>
      <c r="J187" s="384"/>
      <c r="K187" s="384"/>
      <c r="L187" s="384"/>
      <c r="M187" s="384"/>
      <c r="N187" s="384"/>
      <c r="O187" s="384"/>
      <c r="P187" s="384"/>
      <c r="Q187" s="384"/>
      <c r="R187" s="384"/>
      <c r="S187" s="384"/>
      <c r="T187" s="384"/>
      <c r="U187" s="384"/>
      <c r="V187" s="384"/>
      <c r="W187" s="384"/>
      <c r="X187" s="384"/>
      <c r="Y187" s="384"/>
      <c r="Z187" s="384"/>
      <c r="AA187" s="384"/>
    </row>
    <row r="188" spans="1:27" x14ac:dyDescent="0.2">
      <c r="A188" s="384"/>
      <c r="B188" s="384"/>
      <c r="C188" s="384"/>
      <c r="D188" s="384"/>
      <c r="E188" s="384"/>
      <c r="F188" s="384"/>
      <c r="G188" s="384"/>
      <c r="H188" s="384"/>
      <c r="I188" s="384"/>
      <c r="J188" s="384"/>
      <c r="K188" s="384"/>
      <c r="L188" s="384"/>
      <c r="M188" s="384"/>
      <c r="N188" s="384"/>
      <c r="O188" s="384"/>
      <c r="P188" s="384"/>
      <c r="Q188" s="384"/>
      <c r="R188" s="384"/>
      <c r="S188" s="384"/>
      <c r="T188" s="384"/>
      <c r="U188" s="384"/>
      <c r="V188" s="384"/>
      <c r="W188" s="384"/>
      <c r="X188" s="384"/>
      <c r="Y188" s="384"/>
      <c r="Z188" s="384"/>
      <c r="AA188" s="384"/>
    </row>
    <row r="189" spans="1:27" x14ac:dyDescent="0.2">
      <c r="A189" s="384"/>
      <c r="B189" s="384"/>
      <c r="C189" s="384"/>
      <c r="D189" s="384"/>
      <c r="E189" s="384"/>
      <c r="F189" s="384"/>
      <c r="G189" s="384"/>
      <c r="H189" s="384"/>
      <c r="I189" s="384"/>
      <c r="J189" s="384"/>
      <c r="K189" s="384"/>
      <c r="L189" s="384"/>
      <c r="M189" s="384"/>
      <c r="N189" s="384"/>
      <c r="O189" s="384"/>
      <c r="P189" s="384"/>
      <c r="Q189" s="384"/>
      <c r="R189" s="384"/>
      <c r="S189" s="384"/>
      <c r="T189" s="384"/>
      <c r="U189" s="384"/>
      <c r="V189" s="384"/>
      <c r="W189" s="384"/>
      <c r="X189" s="384"/>
      <c r="Y189" s="384"/>
      <c r="Z189" s="384"/>
      <c r="AA189" s="384"/>
    </row>
    <row r="190" spans="1:27" x14ac:dyDescent="0.2">
      <c r="A190" s="384"/>
      <c r="B190" s="384"/>
      <c r="C190" s="384"/>
      <c r="D190" s="384"/>
      <c r="E190" s="384"/>
      <c r="F190" s="384"/>
      <c r="G190" s="384"/>
      <c r="H190" s="384"/>
      <c r="I190" s="384"/>
      <c r="J190" s="384"/>
      <c r="K190" s="384"/>
      <c r="L190" s="384"/>
      <c r="M190" s="384"/>
      <c r="N190" s="384"/>
      <c r="O190" s="384"/>
      <c r="P190" s="384"/>
      <c r="Q190" s="384"/>
      <c r="R190" s="384"/>
      <c r="S190" s="384"/>
      <c r="T190" s="384"/>
      <c r="U190" s="384"/>
      <c r="V190" s="384"/>
      <c r="W190" s="384"/>
      <c r="X190" s="384"/>
      <c r="Y190" s="384"/>
      <c r="Z190" s="384"/>
      <c r="AA190" s="384"/>
    </row>
    <row r="191" spans="1:27" x14ac:dyDescent="0.2">
      <c r="A191" s="384"/>
      <c r="B191" s="384"/>
      <c r="C191" s="384"/>
      <c r="D191" s="384"/>
      <c r="E191" s="384"/>
      <c r="F191" s="384"/>
      <c r="G191" s="384"/>
      <c r="H191" s="384"/>
      <c r="I191" s="384"/>
      <c r="J191" s="384"/>
      <c r="K191" s="384"/>
      <c r="L191" s="384"/>
      <c r="M191" s="384"/>
      <c r="N191" s="384"/>
      <c r="O191" s="384"/>
      <c r="P191" s="384"/>
      <c r="Q191" s="384"/>
      <c r="R191" s="384"/>
      <c r="S191" s="384"/>
      <c r="T191" s="384"/>
      <c r="U191" s="384"/>
      <c r="V191" s="384"/>
      <c r="W191" s="384"/>
      <c r="X191" s="384"/>
      <c r="Y191" s="384"/>
      <c r="Z191" s="384"/>
      <c r="AA191" s="384"/>
    </row>
    <row r="192" spans="1:27" x14ac:dyDescent="0.2">
      <c r="A192" s="384"/>
      <c r="B192" s="384"/>
      <c r="C192" s="384"/>
      <c r="D192" s="384"/>
      <c r="E192" s="384"/>
      <c r="F192" s="384"/>
      <c r="G192" s="384"/>
      <c r="H192" s="384"/>
      <c r="I192" s="384"/>
      <c r="J192" s="384"/>
      <c r="K192" s="384"/>
      <c r="L192" s="384"/>
      <c r="M192" s="384"/>
      <c r="N192" s="384"/>
      <c r="O192" s="384"/>
      <c r="P192" s="384"/>
      <c r="Q192" s="384"/>
      <c r="R192" s="384"/>
      <c r="S192" s="384"/>
      <c r="T192" s="384"/>
      <c r="U192" s="384"/>
      <c r="V192" s="384"/>
      <c r="W192" s="384"/>
      <c r="X192" s="384"/>
      <c r="Y192" s="384"/>
      <c r="Z192" s="384"/>
      <c r="AA192" s="384"/>
    </row>
    <row r="193" spans="1:27" x14ac:dyDescent="0.2">
      <c r="A193" s="384"/>
      <c r="B193" s="384"/>
      <c r="C193" s="384"/>
      <c r="D193" s="384"/>
      <c r="E193" s="384"/>
      <c r="F193" s="384"/>
      <c r="G193" s="384"/>
      <c r="H193" s="384"/>
      <c r="I193" s="384"/>
      <c r="J193" s="384"/>
      <c r="K193" s="384"/>
      <c r="L193" s="384"/>
      <c r="M193" s="384"/>
      <c r="N193" s="384"/>
      <c r="O193" s="384"/>
      <c r="P193" s="384"/>
      <c r="Q193" s="384"/>
      <c r="R193" s="384"/>
      <c r="S193" s="384"/>
      <c r="T193" s="384"/>
      <c r="U193" s="384"/>
      <c r="V193" s="384"/>
      <c r="W193" s="384"/>
      <c r="X193" s="384"/>
      <c r="Y193" s="384"/>
      <c r="Z193" s="384"/>
      <c r="AA193" s="384"/>
    </row>
    <row r="194" spans="1:27" x14ac:dyDescent="0.2">
      <c r="A194" s="384"/>
      <c r="B194" s="384"/>
      <c r="C194" s="384"/>
      <c r="D194" s="384"/>
      <c r="E194" s="384"/>
      <c r="F194" s="384"/>
      <c r="G194" s="384"/>
      <c r="H194" s="384"/>
      <c r="I194" s="384"/>
      <c r="J194" s="384"/>
      <c r="K194" s="384"/>
      <c r="L194" s="384"/>
      <c r="M194" s="384"/>
      <c r="N194" s="384"/>
      <c r="O194" s="384"/>
      <c r="P194" s="384"/>
      <c r="Q194" s="384"/>
      <c r="R194" s="384"/>
      <c r="S194" s="384"/>
      <c r="T194" s="384"/>
      <c r="U194" s="384"/>
      <c r="V194" s="384"/>
      <c r="W194" s="384"/>
      <c r="X194" s="384"/>
      <c r="Y194" s="384"/>
      <c r="Z194" s="384"/>
      <c r="AA194" s="384"/>
    </row>
    <row r="195" spans="1:27" x14ac:dyDescent="0.2">
      <c r="A195" s="384"/>
      <c r="B195" s="384"/>
      <c r="C195" s="384"/>
      <c r="D195" s="384"/>
      <c r="E195" s="384"/>
      <c r="F195" s="384"/>
      <c r="G195" s="384"/>
      <c r="H195" s="384"/>
      <c r="I195" s="384"/>
      <c r="J195" s="384"/>
      <c r="K195" s="384"/>
      <c r="L195" s="384"/>
      <c r="M195" s="384"/>
      <c r="N195" s="384"/>
      <c r="O195" s="384"/>
      <c r="P195" s="384"/>
      <c r="Q195" s="384"/>
      <c r="R195" s="384"/>
      <c r="S195" s="384"/>
      <c r="T195" s="384"/>
      <c r="U195" s="384"/>
      <c r="V195" s="384"/>
      <c r="W195" s="384"/>
      <c r="X195" s="384"/>
      <c r="Y195" s="384"/>
      <c r="Z195" s="384"/>
      <c r="AA195" s="384"/>
    </row>
    <row r="196" spans="1:27" x14ac:dyDescent="0.2">
      <c r="A196" s="384"/>
      <c r="B196" s="384"/>
      <c r="C196" s="384"/>
      <c r="D196" s="384"/>
      <c r="E196" s="384"/>
      <c r="F196" s="384"/>
      <c r="G196" s="384"/>
      <c r="H196" s="384"/>
      <c r="I196" s="384"/>
      <c r="J196" s="384"/>
      <c r="K196" s="384"/>
      <c r="L196" s="384"/>
      <c r="M196" s="384"/>
      <c r="N196" s="384"/>
      <c r="O196" s="384"/>
      <c r="P196" s="384"/>
      <c r="Q196" s="384"/>
      <c r="R196" s="384"/>
      <c r="S196" s="384"/>
      <c r="T196" s="384"/>
      <c r="U196" s="384"/>
      <c r="V196" s="384"/>
      <c r="W196" s="384"/>
      <c r="X196" s="384"/>
      <c r="Y196" s="384"/>
      <c r="Z196" s="384"/>
      <c r="AA196" s="384"/>
    </row>
    <row r="197" spans="1:27" x14ac:dyDescent="0.2">
      <c r="A197" s="384"/>
      <c r="B197" s="384"/>
      <c r="C197" s="384"/>
      <c r="D197" s="384"/>
      <c r="E197" s="384"/>
      <c r="F197" s="384"/>
      <c r="G197" s="384"/>
      <c r="H197" s="384"/>
      <c r="I197" s="384"/>
      <c r="J197" s="384"/>
      <c r="K197" s="384"/>
      <c r="L197" s="384"/>
      <c r="M197" s="384"/>
      <c r="N197" s="384"/>
      <c r="O197" s="384"/>
      <c r="P197" s="384"/>
      <c r="Q197" s="384"/>
      <c r="R197" s="384"/>
      <c r="S197" s="384"/>
      <c r="T197" s="384"/>
      <c r="U197" s="384"/>
      <c r="V197" s="384"/>
      <c r="W197" s="384"/>
      <c r="X197" s="384"/>
      <c r="Y197" s="384"/>
      <c r="Z197" s="384"/>
      <c r="AA197" s="384"/>
    </row>
    <row r="198" spans="1:27" x14ac:dyDescent="0.2">
      <c r="A198" s="384"/>
      <c r="B198" s="384"/>
      <c r="C198" s="384"/>
      <c r="D198" s="384"/>
      <c r="E198" s="384"/>
      <c r="F198" s="384"/>
      <c r="G198" s="384"/>
      <c r="H198" s="384"/>
      <c r="I198" s="384"/>
      <c r="J198" s="384"/>
      <c r="K198" s="384"/>
      <c r="L198" s="384"/>
      <c r="M198" s="384"/>
      <c r="N198" s="384"/>
      <c r="O198" s="384"/>
      <c r="P198" s="384"/>
      <c r="Q198" s="384"/>
      <c r="R198" s="384"/>
      <c r="S198" s="384"/>
      <c r="T198" s="384"/>
      <c r="U198" s="384"/>
      <c r="V198" s="384"/>
      <c r="W198" s="384"/>
      <c r="X198" s="384"/>
      <c r="Y198" s="384"/>
      <c r="Z198" s="384"/>
      <c r="AA198" s="384"/>
    </row>
    <row r="199" spans="1:27" x14ac:dyDescent="0.2">
      <c r="A199" s="384"/>
      <c r="B199" s="384"/>
      <c r="C199" s="384"/>
      <c r="D199" s="384"/>
      <c r="E199" s="384"/>
      <c r="F199" s="384"/>
      <c r="G199" s="384"/>
      <c r="H199" s="384"/>
      <c r="I199" s="384"/>
      <c r="J199" s="384"/>
      <c r="K199" s="384"/>
      <c r="L199" s="384"/>
      <c r="M199" s="384"/>
      <c r="N199" s="384"/>
      <c r="O199" s="384"/>
      <c r="P199" s="384"/>
      <c r="Q199" s="384"/>
      <c r="R199" s="384"/>
      <c r="S199" s="384"/>
      <c r="T199" s="384"/>
      <c r="U199" s="384"/>
      <c r="V199" s="384"/>
      <c r="W199" s="384"/>
      <c r="X199" s="384"/>
      <c r="Y199" s="384"/>
      <c r="Z199" s="384"/>
      <c r="AA199" s="384"/>
    </row>
    <row r="200" spans="1:27" x14ac:dyDescent="0.2">
      <c r="A200" s="384"/>
      <c r="B200" s="384"/>
      <c r="C200" s="384"/>
      <c r="D200" s="384"/>
      <c r="E200" s="384"/>
      <c r="F200" s="384"/>
      <c r="G200" s="384"/>
      <c r="H200" s="384"/>
      <c r="I200" s="384"/>
      <c r="J200" s="384"/>
      <c r="K200" s="384"/>
      <c r="L200" s="384"/>
      <c r="M200" s="384"/>
      <c r="N200" s="384"/>
      <c r="O200" s="384"/>
      <c r="P200" s="384"/>
      <c r="Q200" s="384"/>
      <c r="R200" s="384"/>
      <c r="S200" s="384"/>
      <c r="T200" s="384"/>
      <c r="U200" s="384"/>
      <c r="V200" s="384"/>
      <c r="W200" s="384"/>
      <c r="X200" s="384"/>
      <c r="Y200" s="384"/>
      <c r="Z200" s="384"/>
      <c r="AA200" s="384"/>
    </row>
    <row r="201" spans="1:27" x14ac:dyDescent="0.2">
      <c r="A201" s="384"/>
      <c r="B201" s="384"/>
      <c r="C201" s="384"/>
      <c r="D201" s="384"/>
      <c r="E201" s="384"/>
      <c r="F201" s="384"/>
      <c r="G201" s="384"/>
      <c r="H201" s="384"/>
      <c r="I201" s="384"/>
      <c r="J201" s="384"/>
      <c r="K201" s="384"/>
      <c r="L201" s="384"/>
      <c r="M201" s="384"/>
      <c r="N201" s="384"/>
      <c r="O201" s="384"/>
      <c r="P201" s="384"/>
      <c r="Q201" s="384"/>
      <c r="R201" s="384"/>
      <c r="S201" s="384"/>
      <c r="T201" s="384"/>
      <c r="U201" s="384"/>
      <c r="V201" s="384"/>
      <c r="W201" s="384"/>
      <c r="X201" s="384"/>
      <c r="Y201" s="384"/>
      <c r="Z201" s="384"/>
      <c r="AA201" s="384"/>
    </row>
    <row r="202" spans="1:27" x14ac:dyDescent="0.2">
      <c r="A202" s="384"/>
      <c r="B202" s="384"/>
      <c r="C202" s="384"/>
      <c r="D202" s="384"/>
      <c r="E202" s="384"/>
      <c r="F202" s="384"/>
      <c r="G202" s="384"/>
      <c r="H202" s="384"/>
      <c r="I202" s="384"/>
      <c r="J202" s="384"/>
      <c r="K202" s="384"/>
      <c r="L202" s="384"/>
      <c r="M202" s="384"/>
      <c r="N202" s="384"/>
      <c r="O202" s="384"/>
      <c r="P202" s="384"/>
      <c r="Q202" s="384"/>
      <c r="R202" s="384"/>
      <c r="S202" s="384"/>
      <c r="T202" s="384"/>
      <c r="U202" s="384"/>
      <c r="V202" s="384"/>
      <c r="W202" s="384"/>
      <c r="X202" s="384"/>
      <c r="Y202" s="384"/>
      <c r="Z202" s="384"/>
      <c r="AA202" s="384"/>
    </row>
    <row r="203" spans="1:27" x14ac:dyDescent="0.2">
      <c r="A203" s="384"/>
      <c r="B203" s="384"/>
      <c r="C203" s="384"/>
      <c r="D203" s="384"/>
      <c r="E203" s="384"/>
      <c r="F203" s="384"/>
      <c r="G203" s="384"/>
      <c r="H203" s="384"/>
      <c r="I203" s="384"/>
      <c r="J203" s="384"/>
      <c r="K203" s="384"/>
      <c r="L203" s="384"/>
      <c r="M203" s="384"/>
      <c r="N203" s="384"/>
      <c r="O203" s="384"/>
      <c r="P203" s="384"/>
      <c r="Q203" s="384"/>
      <c r="R203" s="384"/>
      <c r="S203" s="384"/>
      <c r="T203" s="384"/>
      <c r="U203" s="384"/>
      <c r="V203" s="384"/>
      <c r="W203" s="384"/>
      <c r="X203" s="384"/>
      <c r="Y203" s="384"/>
      <c r="Z203" s="384"/>
      <c r="AA203" s="384"/>
    </row>
    <row r="204" spans="1:27" x14ac:dyDescent="0.2">
      <c r="A204" s="384"/>
      <c r="B204" s="384"/>
      <c r="C204" s="384"/>
      <c r="D204" s="384"/>
      <c r="E204" s="384"/>
      <c r="F204" s="384"/>
      <c r="G204" s="384"/>
      <c r="H204" s="384"/>
      <c r="I204" s="384"/>
      <c r="J204" s="384"/>
      <c r="K204" s="384"/>
      <c r="L204" s="384"/>
      <c r="M204" s="384"/>
      <c r="N204" s="384"/>
      <c r="O204" s="384"/>
      <c r="P204" s="384"/>
      <c r="Q204" s="384"/>
      <c r="R204" s="384"/>
      <c r="S204" s="384"/>
      <c r="T204" s="384"/>
      <c r="U204" s="384"/>
      <c r="V204" s="384"/>
      <c r="W204" s="384"/>
      <c r="X204" s="384"/>
      <c r="Y204" s="384"/>
      <c r="Z204" s="384"/>
      <c r="AA204" s="384"/>
    </row>
    <row r="205" spans="1:27" x14ac:dyDescent="0.2">
      <c r="A205" s="384"/>
      <c r="B205" s="384"/>
      <c r="C205" s="384"/>
      <c r="D205" s="384"/>
      <c r="E205" s="384"/>
      <c r="F205" s="384"/>
      <c r="G205" s="384"/>
      <c r="H205" s="384"/>
      <c r="I205" s="384"/>
      <c r="J205" s="384"/>
      <c r="K205" s="384"/>
      <c r="L205" s="384"/>
      <c r="M205" s="384"/>
      <c r="N205" s="384"/>
      <c r="O205" s="384"/>
      <c r="P205" s="384"/>
      <c r="Q205" s="384"/>
      <c r="R205" s="384"/>
      <c r="S205" s="384"/>
      <c r="T205" s="384"/>
      <c r="U205" s="384"/>
      <c r="V205" s="384"/>
      <c r="W205" s="384"/>
      <c r="X205" s="384"/>
      <c r="Y205" s="384"/>
      <c r="Z205" s="384"/>
      <c r="AA205" s="384"/>
    </row>
    <row r="206" spans="1:27" x14ac:dyDescent="0.2">
      <c r="A206" s="384"/>
      <c r="B206" s="384"/>
      <c r="C206" s="384"/>
      <c r="D206" s="384"/>
      <c r="E206" s="384"/>
      <c r="F206" s="384"/>
      <c r="G206" s="384"/>
      <c r="H206" s="384"/>
      <c r="I206" s="384"/>
      <c r="J206" s="384"/>
      <c r="K206" s="384"/>
      <c r="L206" s="384"/>
      <c r="M206" s="384"/>
      <c r="N206" s="384"/>
      <c r="O206" s="384"/>
      <c r="P206" s="384"/>
      <c r="Q206" s="384"/>
      <c r="R206" s="384"/>
      <c r="S206" s="384"/>
      <c r="T206" s="384"/>
      <c r="U206" s="384"/>
      <c r="V206" s="384"/>
      <c r="W206" s="384"/>
      <c r="X206" s="384"/>
      <c r="Y206" s="384"/>
      <c r="Z206" s="384"/>
      <c r="AA206" s="384"/>
    </row>
    <row r="207" spans="1:27" x14ac:dyDescent="0.2">
      <c r="A207" s="384"/>
      <c r="B207" s="384"/>
      <c r="C207" s="384"/>
      <c r="D207" s="384"/>
      <c r="E207" s="384"/>
      <c r="F207" s="384"/>
      <c r="G207" s="384"/>
      <c r="H207" s="384"/>
      <c r="I207" s="384"/>
      <c r="J207" s="384"/>
      <c r="K207" s="384"/>
      <c r="L207" s="384"/>
      <c r="M207" s="384"/>
      <c r="N207" s="384"/>
      <c r="O207" s="384"/>
      <c r="P207" s="384"/>
      <c r="Q207" s="384"/>
      <c r="R207" s="384"/>
      <c r="S207" s="384"/>
      <c r="T207" s="384"/>
      <c r="U207" s="384"/>
      <c r="V207" s="384"/>
      <c r="W207" s="384"/>
      <c r="X207" s="384"/>
      <c r="Y207" s="384"/>
      <c r="Z207" s="384"/>
      <c r="AA207" s="384"/>
    </row>
    <row r="208" spans="1:27" x14ac:dyDescent="0.2">
      <c r="A208" s="384"/>
      <c r="B208" s="384"/>
      <c r="C208" s="384"/>
      <c r="D208" s="384"/>
      <c r="E208" s="384"/>
      <c r="F208" s="384"/>
      <c r="G208" s="384"/>
      <c r="H208" s="384"/>
      <c r="I208" s="384"/>
      <c r="J208" s="384"/>
      <c r="K208" s="384"/>
      <c r="L208" s="384"/>
      <c r="M208" s="384"/>
      <c r="N208" s="384"/>
      <c r="O208" s="384"/>
      <c r="P208" s="384"/>
      <c r="Q208" s="384"/>
      <c r="R208" s="384"/>
      <c r="S208" s="384"/>
      <c r="T208" s="384"/>
      <c r="U208" s="384"/>
      <c r="V208" s="384"/>
      <c r="W208" s="384"/>
      <c r="X208" s="384"/>
      <c r="Y208" s="384"/>
      <c r="Z208" s="384"/>
      <c r="AA208" s="384"/>
    </row>
    <row r="209" spans="1:27" x14ac:dyDescent="0.2">
      <c r="A209" s="384"/>
      <c r="B209" s="384"/>
      <c r="C209" s="384"/>
      <c r="D209" s="384"/>
      <c r="E209" s="384"/>
      <c r="F209" s="384"/>
      <c r="G209" s="384"/>
      <c r="H209" s="384"/>
      <c r="I209" s="384"/>
      <c r="J209" s="384"/>
      <c r="K209" s="384"/>
      <c r="L209" s="384"/>
      <c r="M209" s="384"/>
      <c r="N209" s="384"/>
      <c r="O209" s="384"/>
      <c r="P209" s="384"/>
      <c r="Q209" s="384"/>
      <c r="R209" s="384"/>
      <c r="S209" s="384"/>
      <c r="T209" s="384"/>
      <c r="U209" s="384"/>
      <c r="V209" s="384"/>
      <c r="W209" s="384"/>
      <c r="X209" s="384"/>
      <c r="Y209" s="384"/>
      <c r="Z209" s="384"/>
      <c r="AA209" s="384"/>
    </row>
    <row r="210" spans="1:27" x14ac:dyDescent="0.2">
      <c r="A210" s="384"/>
      <c r="B210" s="384"/>
      <c r="C210" s="384"/>
      <c r="D210" s="384"/>
      <c r="E210" s="384"/>
      <c r="F210" s="384"/>
      <c r="G210" s="384"/>
      <c r="H210" s="384"/>
      <c r="I210" s="384"/>
      <c r="J210" s="384"/>
      <c r="K210" s="384"/>
      <c r="L210" s="384"/>
      <c r="M210" s="384"/>
      <c r="N210" s="384"/>
      <c r="O210" s="384"/>
      <c r="P210" s="384"/>
      <c r="Q210" s="384"/>
      <c r="R210" s="384"/>
      <c r="S210" s="384"/>
      <c r="T210" s="384"/>
      <c r="U210" s="384"/>
      <c r="V210" s="384"/>
      <c r="W210" s="384"/>
      <c r="X210" s="384"/>
      <c r="Y210" s="384"/>
      <c r="Z210" s="384"/>
      <c r="AA210" s="384"/>
    </row>
    <row r="211" spans="1:27" x14ac:dyDescent="0.2">
      <c r="A211" s="384"/>
      <c r="B211" s="384"/>
      <c r="C211" s="384"/>
      <c r="D211" s="384"/>
      <c r="E211" s="384"/>
      <c r="F211" s="384"/>
      <c r="G211" s="384"/>
      <c r="H211" s="384"/>
      <c r="I211" s="384"/>
      <c r="J211" s="384"/>
      <c r="K211" s="384"/>
      <c r="L211" s="384"/>
      <c r="M211" s="384"/>
      <c r="N211" s="384"/>
      <c r="O211" s="384"/>
      <c r="P211" s="384"/>
      <c r="Q211" s="384"/>
      <c r="R211" s="384"/>
      <c r="S211" s="384"/>
      <c r="T211" s="384"/>
      <c r="U211" s="384"/>
      <c r="V211" s="384"/>
      <c r="W211" s="384"/>
      <c r="X211" s="384"/>
      <c r="Y211" s="384"/>
      <c r="Z211" s="384"/>
      <c r="AA211" s="384"/>
    </row>
    <row r="212" spans="1:27" x14ac:dyDescent="0.2">
      <c r="A212" s="384"/>
      <c r="B212" s="384"/>
      <c r="C212" s="384"/>
      <c r="D212" s="384"/>
      <c r="E212" s="384"/>
      <c r="F212" s="384"/>
      <c r="G212" s="384"/>
      <c r="H212" s="384"/>
      <c r="I212" s="384"/>
      <c r="J212" s="384"/>
      <c r="K212" s="384"/>
      <c r="L212" s="384"/>
      <c r="M212" s="384"/>
      <c r="N212" s="384"/>
      <c r="O212" s="384"/>
      <c r="P212" s="384"/>
      <c r="Q212" s="384"/>
      <c r="R212" s="384"/>
      <c r="S212" s="384"/>
      <c r="T212" s="384"/>
      <c r="U212" s="384"/>
      <c r="V212" s="384"/>
      <c r="W212" s="384"/>
      <c r="X212" s="384"/>
      <c r="Y212" s="384"/>
      <c r="Z212" s="384"/>
      <c r="AA212" s="384"/>
    </row>
    <row r="213" spans="1:27" x14ac:dyDescent="0.2">
      <c r="A213" s="384"/>
      <c r="B213" s="384"/>
      <c r="C213" s="384"/>
      <c r="D213" s="384"/>
      <c r="E213" s="384"/>
      <c r="F213" s="384"/>
      <c r="G213" s="384"/>
      <c r="H213" s="384"/>
      <c r="I213" s="384"/>
      <c r="J213" s="384"/>
      <c r="K213" s="384"/>
      <c r="L213" s="384"/>
      <c r="M213" s="384"/>
      <c r="N213" s="384"/>
      <c r="O213" s="384"/>
      <c r="P213" s="384"/>
      <c r="Q213" s="384"/>
      <c r="R213" s="384"/>
      <c r="S213" s="384"/>
      <c r="T213" s="384"/>
      <c r="U213" s="384"/>
      <c r="V213" s="384"/>
      <c r="W213" s="384"/>
      <c r="X213" s="384"/>
      <c r="Y213" s="384"/>
      <c r="Z213" s="384"/>
      <c r="AA213" s="384"/>
    </row>
    <row r="214" spans="1:27" x14ac:dyDescent="0.2">
      <c r="A214" s="384"/>
      <c r="B214" s="384"/>
      <c r="C214" s="384"/>
      <c r="D214" s="384"/>
      <c r="E214" s="384"/>
      <c r="F214" s="384"/>
      <c r="G214" s="384"/>
      <c r="H214" s="384"/>
      <c r="I214" s="384"/>
      <c r="J214" s="384"/>
      <c r="K214" s="384"/>
      <c r="L214" s="384"/>
      <c r="M214" s="384"/>
      <c r="N214" s="384"/>
      <c r="O214" s="384"/>
      <c r="P214" s="384"/>
      <c r="Q214" s="384"/>
      <c r="R214" s="384"/>
      <c r="S214" s="384"/>
      <c r="T214" s="384"/>
      <c r="U214" s="384"/>
      <c r="V214" s="384"/>
      <c r="W214" s="384"/>
      <c r="X214" s="384"/>
      <c r="Y214" s="384"/>
      <c r="Z214" s="384"/>
      <c r="AA214" s="384"/>
    </row>
    <row r="215" spans="1:27" x14ac:dyDescent="0.2">
      <c r="A215" s="384"/>
      <c r="B215" s="384"/>
      <c r="C215" s="384"/>
      <c r="D215" s="384"/>
      <c r="E215" s="384"/>
      <c r="F215" s="384"/>
      <c r="G215" s="384"/>
      <c r="H215" s="384"/>
      <c r="I215" s="384"/>
      <c r="J215" s="384"/>
      <c r="K215" s="384"/>
      <c r="L215" s="384"/>
      <c r="M215" s="384"/>
      <c r="N215" s="384"/>
      <c r="O215" s="384"/>
      <c r="P215" s="384"/>
      <c r="Q215" s="384"/>
      <c r="R215" s="384"/>
      <c r="S215" s="384"/>
      <c r="T215" s="384"/>
      <c r="U215" s="384"/>
      <c r="V215" s="384"/>
      <c r="W215" s="384"/>
      <c r="X215" s="384"/>
      <c r="Y215" s="384"/>
      <c r="Z215" s="384"/>
      <c r="AA215" s="384"/>
    </row>
    <row r="216" spans="1:27" x14ac:dyDescent="0.2">
      <c r="A216" s="384"/>
      <c r="B216" s="384"/>
      <c r="C216" s="384"/>
      <c r="D216" s="384"/>
      <c r="E216" s="384"/>
      <c r="F216" s="384"/>
      <c r="G216" s="384"/>
      <c r="H216" s="384"/>
      <c r="I216" s="384"/>
      <c r="J216" s="384"/>
      <c r="K216" s="384"/>
      <c r="L216" s="384"/>
      <c r="M216" s="384"/>
      <c r="N216" s="384"/>
      <c r="O216" s="384"/>
      <c r="P216" s="384"/>
      <c r="Q216" s="384"/>
      <c r="R216" s="384"/>
      <c r="S216" s="384"/>
      <c r="T216" s="384"/>
      <c r="U216" s="384"/>
      <c r="V216" s="384"/>
      <c r="W216" s="384"/>
      <c r="X216" s="384"/>
      <c r="Y216" s="384"/>
      <c r="Z216" s="384"/>
      <c r="AA216" s="384"/>
    </row>
    <row r="217" spans="1:27" x14ac:dyDescent="0.2">
      <c r="A217" s="384"/>
      <c r="B217" s="384"/>
      <c r="C217" s="384"/>
      <c r="D217" s="384"/>
      <c r="E217" s="384"/>
      <c r="F217" s="384"/>
      <c r="G217" s="384"/>
      <c r="H217" s="384"/>
      <c r="I217" s="384"/>
      <c r="J217" s="384"/>
      <c r="K217" s="384"/>
      <c r="L217" s="384"/>
      <c r="M217" s="384"/>
      <c r="N217" s="384"/>
      <c r="O217" s="384"/>
      <c r="P217" s="384"/>
      <c r="Q217" s="384"/>
      <c r="R217" s="384"/>
      <c r="S217" s="384"/>
      <c r="T217" s="384"/>
      <c r="U217" s="384"/>
      <c r="V217" s="384"/>
      <c r="W217" s="384"/>
      <c r="X217" s="384"/>
      <c r="Y217" s="384"/>
      <c r="Z217" s="384"/>
      <c r="AA217" s="384"/>
    </row>
    <row r="218" spans="1:27" x14ac:dyDescent="0.2">
      <c r="A218" s="384"/>
      <c r="B218" s="384"/>
      <c r="C218" s="384"/>
      <c r="D218" s="384"/>
      <c r="E218" s="384"/>
      <c r="F218" s="384"/>
      <c r="G218" s="384"/>
      <c r="H218" s="384"/>
      <c r="I218" s="384"/>
      <c r="J218" s="384"/>
      <c r="K218" s="384"/>
      <c r="L218" s="384"/>
      <c r="M218" s="384"/>
      <c r="N218" s="384"/>
      <c r="O218" s="384"/>
      <c r="P218" s="384"/>
      <c r="Q218" s="384"/>
      <c r="R218" s="384"/>
      <c r="S218" s="384"/>
      <c r="T218" s="384"/>
      <c r="U218" s="384"/>
      <c r="V218" s="384"/>
      <c r="W218" s="384"/>
      <c r="X218" s="384"/>
      <c r="Y218" s="384"/>
      <c r="Z218" s="384"/>
      <c r="AA218" s="384"/>
    </row>
    <row r="219" spans="1:27" x14ac:dyDescent="0.2">
      <c r="A219" s="384"/>
      <c r="B219" s="384"/>
      <c r="C219" s="384"/>
      <c r="D219" s="384"/>
      <c r="E219" s="384"/>
      <c r="F219" s="384"/>
      <c r="G219" s="384"/>
      <c r="H219" s="384"/>
      <c r="I219" s="384"/>
      <c r="J219" s="384"/>
      <c r="K219" s="384"/>
      <c r="L219" s="384"/>
      <c r="M219" s="384"/>
      <c r="N219" s="384"/>
      <c r="O219" s="384"/>
      <c r="P219" s="384"/>
      <c r="Q219" s="384"/>
      <c r="R219" s="384"/>
      <c r="S219" s="384"/>
      <c r="T219" s="384"/>
      <c r="U219" s="384"/>
      <c r="V219" s="384"/>
      <c r="W219" s="384"/>
      <c r="X219" s="384"/>
      <c r="Y219" s="384"/>
      <c r="Z219" s="384"/>
      <c r="AA219" s="384"/>
    </row>
    <row r="220" spans="1:27" x14ac:dyDescent="0.2">
      <c r="A220" s="384"/>
      <c r="B220" s="384"/>
      <c r="C220" s="384"/>
      <c r="D220" s="384"/>
      <c r="E220" s="384"/>
      <c r="F220" s="384"/>
      <c r="G220" s="384"/>
      <c r="H220" s="384"/>
      <c r="I220" s="384"/>
      <c r="J220" s="384"/>
      <c r="K220" s="384"/>
      <c r="L220" s="384"/>
      <c r="M220" s="384"/>
      <c r="N220" s="384"/>
      <c r="O220" s="384"/>
      <c r="P220" s="384"/>
      <c r="Q220" s="384"/>
      <c r="R220" s="384"/>
      <c r="S220" s="384"/>
      <c r="T220" s="384"/>
      <c r="U220" s="384"/>
      <c r="V220" s="384"/>
      <c r="W220" s="384"/>
      <c r="X220" s="384"/>
      <c r="Y220" s="384"/>
      <c r="Z220" s="384"/>
      <c r="AA220" s="384"/>
    </row>
    <row r="221" spans="1:27" x14ac:dyDescent="0.2">
      <c r="A221" s="384"/>
      <c r="B221" s="384"/>
      <c r="C221" s="384"/>
      <c r="D221" s="384"/>
      <c r="E221" s="384"/>
      <c r="F221" s="384"/>
      <c r="G221" s="384"/>
      <c r="H221" s="384"/>
      <c r="I221" s="384"/>
      <c r="J221" s="384"/>
      <c r="K221" s="384"/>
      <c r="L221" s="384"/>
      <c r="M221" s="384"/>
      <c r="N221" s="384"/>
      <c r="O221" s="384"/>
      <c r="P221" s="384"/>
      <c r="Q221" s="384"/>
      <c r="R221" s="384"/>
      <c r="S221" s="384"/>
      <c r="T221" s="384"/>
      <c r="U221" s="384"/>
      <c r="V221" s="384"/>
      <c r="W221" s="384"/>
      <c r="X221" s="384"/>
      <c r="Y221" s="384"/>
      <c r="Z221" s="384"/>
      <c r="AA221" s="384"/>
    </row>
    <row r="222" spans="1:27" x14ac:dyDescent="0.2">
      <c r="A222" s="384"/>
      <c r="B222" s="384"/>
      <c r="C222" s="384"/>
      <c r="D222" s="384"/>
      <c r="E222" s="384"/>
      <c r="F222" s="384"/>
      <c r="G222" s="384"/>
      <c r="H222" s="384"/>
      <c r="I222" s="384"/>
      <c r="J222" s="384"/>
      <c r="K222" s="384"/>
      <c r="L222" s="384"/>
      <c r="M222" s="384"/>
      <c r="N222" s="384"/>
      <c r="O222" s="384"/>
      <c r="P222" s="384"/>
      <c r="Q222" s="384"/>
      <c r="R222" s="384"/>
      <c r="S222" s="384"/>
      <c r="T222" s="384"/>
      <c r="U222" s="384"/>
      <c r="V222" s="384"/>
      <c r="W222" s="384"/>
      <c r="X222" s="384"/>
      <c r="Y222" s="384"/>
      <c r="Z222" s="384"/>
      <c r="AA222" s="384"/>
    </row>
    <row r="223" spans="1:27" x14ac:dyDescent="0.2">
      <c r="A223" s="384"/>
      <c r="B223" s="384"/>
      <c r="C223" s="384"/>
      <c r="D223" s="384"/>
      <c r="E223" s="384"/>
      <c r="F223" s="384"/>
      <c r="G223" s="384"/>
      <c r="H223" s="384"/>
      <c r="I223" s="384"/>
      <c r="J223" s="384"/>
      <c r="K223" s="384"/>
      <c r="L223" s="384"/>
      <c r="M223" s="384"/>
      <c r="N223" s="384"/>
      <c r="O223" s="384"/>
      <c r="P223" s="384"/>
      <c r="Q223" s="384"/>
      <c r="R223" s="384"/>
      <c r="S223" s="384"/>
      <c r="T223" s="384"/>
      <c r="U223" s="384"/>
      <c r="V223" s="384"/>
      <c r="W223" s="384"/>
      <c r="X223" s="384"/>
      <c r="Y223" s="384"/>
      <c r="Z223" s="384"/>
      <c r="AA223" s="384"/>
    </row>
    <row r="224" spans="1:27" x14ac:dyDescent="0.2">
      <c r="A224" s="384"/>
      <c r="B224" s="384"/>
      <c r="C224" s="384"/>
      <c r="D224" s="384"/>
      <c r="E224" s="384"/>
      <c r="F224" s="384"/>
      <c r="G224" s="384"/>
      <c r="H224" s="384"/>
      <c r="I224" s="384"/>
      <c r="J224" s="384"/>
      <c r="K224" s="384"/>
      <c r="L224" s="384"/>
      <c r="M224" s="384"/>
      <c r="N224" s="384"/>
      <c r="O224" s="384"/>
      <c r="P224" s="384"/>
      <c r="Q224" s="384"/>
      <c r="R224" s="384"/>
      <c r="S224" s="384"/>
      <c r="T224" s="384"/>
      <c r="U224" s="384"/>
      <c r="V224" s="384"/>
      <c r="W224" s="384"/>
      <c r="X224" s="384"/>
      <c r="Y224" s="384"/>
      <c r="Z224" s="384"/>
      <c r="AA224" s="384"/>
    </row>
    <row r="225" spans="1:27" x14ac:dyDescent="0.2">
      <c r="A225" s="384"/>
      <c r="B225" s="384"/>
      <c r="C225" s="384"/>
      <c r="D225" s="384"/>
      <c r="E225" s="384"/>
      <c r="F225" s="384"/>
      <c r="G225" s="384"/>
      <c r="H225" s="384"/>
      <c r="I225" s="384"/>
      <c r="J225" s="384"/>
      <c r="K225" s="384"/>
      <c r="L225" s="384"/>
      <c r="M225" s="384"/>
      <c r="N225" s="384"/>
      <c r="O225" s="384"/>
      <c r="P225" s="384"/>
      <c r="Q225" s="384"/>
      <c r="R225" s="384"/>
      <c r="S225" s="384"/>
      <c r="T225" s="384"/>
      <c r="U225" s="384"/>
      <c r="V225" s="384"/>
      <c r="W225" s="384"/>
      <c r="X225" s="384"/>
      <c r="Y225" s="384"/>
      <c r="Z225" s="384"/>
      <c r="AA225" s="384"/>
    </row>
    <row r="226" spans="1:27" x14ac:dyDescent="0.2">
      <c r="A226" s="384"/>
      <c r="B226" s="384"/>
      <c r="C226" s="384"/>
      <c r="D226" s="384"/>
      <c r="E226" s="384"/>
      <c r="F226" s="384"/>
      <c r="G226" s="384"/>
      <c r="H226" s="384"/>
      <c r="I226" s="384"/>
      <c r="J226" s="384"/>
      <c r="K226" s="384"/>
      <c r="L226" s="384"/>
      <c r="M226" s="384"/>
      <c r="N226" s="384"/>
      <c r="O226" s="384"/>
      <c r="P226" s="384"/>
      <c r="Q226" s="384"/>
      <c r="R226" s="384"/>
      <c r="S226" s="384"/>
      <c r="T226" s="384"/>
      <c r="U226" s="384"/>
      <c r="V226" s="384"/>
      <c r="W226" s="384"/>
      <c r="X226" s="384"/>
      <c r="Y226" s="384"/>
      <c r="Z226" s="384"/>
      <c r="AA226" s="384"/>
    </row>
    <row r="227" spans="1:27" x14ac:dyDescent="0.2">
      <c r="A227" s="384"/>
      <c r="B227" s="384"/>
      <c r="C227" s="384"/>
      <c r="D227" s="384"/>
      <c r="E227" s="384"/>
      <c r="F227" s="384"/>
      <c r="G227" s="384"/>
      <c r="H227" s="384"/>
      <c r="I227" s="384"/>
      <c r="J227" s="384"/>
      <c r="K227" s="384"/>
      <c r="L227" s="384"/>
      <c r="M227" s="384"/>
      <c r="N227" s="384"/>
      <c r="O227" s="384"/>
      <c r="P227" s="384"/>
      <c r="Q227" s="384"/>
      <c r="R227" s="384"/>
      <c r="S227" s="384"/>
      <c r="T227" s="384"/>
      <c r="U227" s="384"/>
      <c r="V227" s="384"/>
      <c r="W227" s="384"/>
      <c r="X227" s="384"/>
      <c r="Y227" s="384"/>
      <c r="Z227" s="384"/>
      <c r="AA227" s="384"/>
    </row>
    <row r="228" spans="1:27" x14ac:dyDescent="0.2">
      <c r="A228" s="384"/>
      <c r="B228" s="384"/>
      <c r="C228" s="384"/>
      <c r="D228" s="384"/>
      <c r="E228" s="384"/>
      <c r="F228" s="384"/>
      <c r="G228" s="384"/>
      <c r="H228" s="384"/>
      <c r="I228" s="384"/>
      <c r="J228" s="384"/>
      <c r="K228" s="384"/>
      <c r="L228" s="384"/>
      <c r="M228" s="384"/>
      <c r="N228" s="384"/>
      <c r="O228" s="384"/>
      <c r="P228" s="384"/>
      <c r="Q228" s="384"/>
      <c r="R228" s="384"/>
      <c r="S228" s="384"/>
      <c r="T228" s="384"/>
      <c r="U228" s="384"/>
      <c r="V228" s="384"/>
      <c r="W228" s="384"/>
      <c r="X228" s="384"/>
      <c r="Y228" s="384"/>
      <c r="Z228" s="384"/>
      <c r="AA228" s="384"/>
    </row>
    <row r="229" spans="1:27" x14ac:dyDescent="0.2">
      <c r="A229" s="384"/>
      <c r="B229" s="384"/>
      <c r="C229" s="384"/>
      <c r="D229" s="384"/>
      <c r="E229" s="384"/>
      <c r="F229" s="384"/>
      <c r="G229" s="384"/>
      <c r="H229" s="384"/>
      <c r="I229" s="384"/>
      <c r="J229" s="384"/>
      <c r="K229" s="384"/>
      <c r="L229" s="384"/>
      <c r="M229" s="384"/>
      <c r="N229" s="384"/>
      <c r="O229" s="384"/>
      <c r="P229" s="384"/>
      <c r="Q229" s="384"/>
      <c r="R229" s="384"/>
      <c r="S229" s="384"/>
      <c r="T229" s="384"/>
      <c r="U229" s="384"/>
      <c r="V229" s="384"/>
      <c r="W229" s="384"/>
      <c r="X229" s="384"/>
      <c r="Y229" s="384"/>
      <c r="Z229" s="384"/>
      <c r="AA229" s="384"/>
    </row>
    <row r="230" spans="1:27" x14ac:dyDescent="0.2">
      <c r="A230" s="384"/>
      <c r="B230" s="384"/>
      <c r="C230" s="384"/>
      <c r="D230" s="384"/>
      <c r="E230" s="384"/>
      <c r="F230" s="384"/>
      <c r="G230" s="384"/>
      <c r="H230" s="384"/>
      <c r="I230" s="384"/>
      <c r="J230" s="384"/>
      <c r="K230" s="384"/>
      <c r="L230" s="384"/>
      <c r="M230" s="384"/>
      <c r="N230" s="384"/>
      <c r="O230" s="384"/>
      <c r="P230" s="384"/>
      <c r="Q230" s="384"/>
      <c r="R230" s="384"/>
      <c r="S230" s="384"/>
      <c r="T230" s="384"/>
      <c r="U230" s="384"/>
      <c r="V230" s="384"/>
      <c r="W230" s="384"/>
      <c r="X230" s="384"/>
      <c r="Y230" s="384"/>
      <c r="Z230" s="384"/>
      <c r="AA230" s="384"/>
    </row>
    <row r="231" spans="1:27" x14ac:dyDescent="0.2">
      <c r="A231" s="384"/>
      <c r="B231" s="384"/>
      <c r="C231" s="384"/>
      <c r="D231" s="384"/>
      <c r="E231" s="384"/>
      <c r="F231" s="384"/>
      <c r="G231" s="384"/>
      <c r="H231" s="384"/>
      <c r="I231" s="384"/>
      <c r="J231" s="384"/>
      <c r="K231" s="384"/>
      <c r="L231" s="384"/>
      <c r="M231" s="384"/>
      <c r="N231" s="384"/>
      <c r="O231" s="384"/>
      <c r="P231" s="384"/>
      <c r="Q231" s="384"/>
      <c r="R231" s="384"/>
      <c r="S231" s="384"/>
      <c r="T231" s="384"/>
      <c r="U231" s="384"/>
      <c r="V231" s="384"/>
      <c r="W231" s="384"/>
      <c r="X231" s="384"/>
      <c r="Y231" s="384"/>
      <c r="Z231" s="384"/>
      <c r="AA231" s="384"/>
    </row>
    <row r="232" spans="1:27" x14ac:dyDescent="0.2">
      <c r="A232" s="384"/>
      <c r="B232" s="384"/>
      <c r="C232" s="384"/>
      <c r="D232" s="384"/>
      <c r="E232" s="384"/>
      <c r="F232" s="384"/>
      <c r="G232" s="384"/>
      <c r="H232" s="384"/>
      <c r="I232" s="384"/>
      <c r="J232" s="384"/>
      <c r="K232" s="384"/>
      <c r="L232" s="384"/>
      <c r="M232" s="384"/>
      <c r="N232" s="384"/>
      <c r="O232" s="384"/>
      <c r="P232" s="384"/>
      <c r="Q232" s="384"/>
      <c r="R232" s="384"/>
      <c r="S232" s="384"/>
      <c r="T232" s="384"/>
      <c r="U232" s="384"/>
      <c r="V232" s="384"/>
      <c r="W232" s="384"/>
      <c r="X232" s="384"/>
      <c r="Y232" s="384"/>
      <c r="Z232" s="384"/>
      <c r="AA232" s="384"/>
    </row>
    <row r="233" spans="1:27" x14ac:dyDescent="0.2">
      <c r="A233" s="384"/>
      <c r="B233" s="384"/>
      <c r="C233" s="384"/>
      <c r="D233" s="384"/>
      <c r="E233" s="384"/>
      <c r="F233" s="384"/>
      <c r="G233" s="384"/>
      <c r="H233" s="384"/>
      <c r="I233" s="384"/>
      <c r="J233" s="384"/>
      <c r="K233" s="384"/>
      <c r="L233" s="384"/>
      <c r="M233" s="384"/>
      <c r="N233" s="384"/>
      <c r="O233" s="384"/>
      <c r="P233" s="384"/>
      <c r="Q233" s="384"/>
      <c r="R233" s="384"/>
      <c r="S233" s="384"/>
      <c r="T233" s="384"/>
      <c r="U233" s="384"/>
      <c r="V233" s="384"/>
      <c r="W233" s="384"/>
      <c r="X233" s="384"/>
      <c r="Y233" s="384"/>
      <c r="Z233" s="384"/>
      <c r="AA233" s="384"/>
    </row>
    <row r="234" spans="1:27" x14ac:dyDescent="0.2">
      <c r="A234" s="384"/>
      <c r="B234" s="384"/>
      <c r="C234" s="384"/>
      <c r="D234" s="384"/>
      <c r="E234" s="384"/>
      <c r="F234" s="384"/>
      <c r="G234" s="384"/>
      <c r="H234" s="384"/>
      <c r="I234" s="384"/>
      <c r="J234" s="384"/>
      <c r="K234" s="384"/>
      <c r="L234" s="384"/>
      <c r="M234" s="384"/>
      <c r="N234" s="384"/>
      <c r="O234" s="384"/>
      <c r="P234" s="384"/>
      <c r="Q234" s="384"/>
      <c r="R234" s="384"/>
      <c r="S234" s="384"/>
      <c r="T234" s="384"/>
      <c r="U234" s="384"/>
      <c r="V234" s="384"/>
      <c r="W234" s="384"/>
      <c r="X234" s="384"/>
      <c r="Y234" s="384"/>
      <c r="Z234" s="384"/>
      <c r="AA234" s="384"/>
    </row>
    <row r="235" spans="1:27" x14ac:dyDescent="0.2">
      <c r="A235" s="384"/>
      <c r="B235" s="384"/>
      <c r="C235" s="384"/>
      <c r="D235" s="384"/>
      <c r="E235" s="384"/>
      <c r="F235" s="384"/>
      <c r="G235" s="384"/>
      <c r="H235" s="384"/>
      <c r="I235" s="384"/>
      <c r="J235" s="384"/>
      <c r="K235" s="384"/>
      <c r="L235" s="384"/>
      <c r="M235" s="384"/>
      <c r="N235" s="384"/>
      <c r="O235" s="384"/>
      <c r="P235" s="384"/>
      <c r="Q235" s="384"/>
      <c r="R235" s="384"/>
      <c r="S235" s="384"/>
      <c r="T235" s="384"/>
      <c r="U235" s="384"/>
      <c r="V235" s="384"/>
      <c r="W235" s="384"/>
      <c r="X235" s="384"/>
      <c r="Y235" s="384"/>
      <c r="Z235" s="384"/>
      <c r="AA235" s="384"/>
    </row>
    <row r="236" spans="1:27" x14ac:dyDescent="0.2">
      <c r="A236" s="384"/>
      <c r="B236" s="384"/>
      <c r="C236" s="384"/>
      <c r="D236" s="384"/>
      <c r="E236" s="384"/>
      <c r="F236" s="384"/>
      <c r="G236" s="384"/>
      <c r="H236" s="384"/>
      <c r="I236" s="384"/>
      <c r="J236" s="384"/>
      <c r="K236" s="384"/>
      <c r="L236" s="384"/>
      <c r="M236" s="384"/>
      <c r="N236" s="384"/>
      <c r="O236" s="384"/>
      <c r="P236" s="384"/>
      <c r="Q236" s="384"/>
      <c r="R236" s="384"/>
      <c r="S236" s="384"/>
      <c r="T236" s="384"/>
      <c r="U236" s="384"/>
      <c r="V236" s="384"/>
      <c r="W236" s="384"/>
      <c r="X236" s="384"/>
      <c r="Y236" s="384"/>
      <c r="Z236" s="384"/>
      <c r="AA236" s="384"/>
    </row>
    <row r="237" spans="1:27" x14ac:dyDescent="0.2">
      <c r="A237" s="384"/>
      <c r="B237" s="384"/>
      <c r="C237" s="384"/>
      <c r="D237" s="384"/>
      <c r="E237" s="384"/>
      <c r="F237" s="384"/>
      <c r="G237" s="384"/>
      <c r="H237" s="384"/>
      <c r="I237" s="384"/>
      <c r="J237" s="384"/>
      <c r="K237" s="384"/>
      <c r="L237" s="384"/>
      <c r="M237" s="384"/>
      <c r="N237" s="384"/>
      <c r="O237" s="384"/>
      <c r="P237" s="384"/>
      <c r="Q237" s="384"/>
      <c r="R237" s="384"/>
      <c r="S237" s="384"/>
      <c r="T237" s="384"/>
      <c r="U237" s="384"/>
      <c r="V237" s="384"/>
      <c r="W237" s="384"/>
      <c r="X237" s="384"/>
      <c r="Y237" s="384"/>
      <c r="Z237" s="384"/>
      <c r="AA237" s="384"/>
    </row>
    <row r="238" spans="1:27" x14ac:dyDescent="0.2">
      <c r="A238" s="384"/>
      <c r="B238" s="384"/>
      <c r="C238" s="384"/>
      <c r="D238" s="384"/>
      <c r="E238" s="384"/>
      <c r="F238" s="384"/>
      <c r="G238" s="384"/>
      <c r="H238" s="384"/>
      <c r="I238" s="384"/>
      <c r="J238" s="384"/>
      <c r="K238" s="384"/>
      <c r="L238" s="384"/>
      <c r="M238" s="384"/>
      <c r="N238" s="384"/>
      <c r="O238" s="384"/>
      <c r="P238" s="384"/>
      <c r="Q238" s="384"/>
      <c r="R238" s="384"/>
      <c r="S238" s="384"/>
      <c r="T238" s="384"/>
      <c r="U238" s="384"/>
      <c r="V238" s="384"/>
      <c r="W238" s="384"/>
      <c r="X238" s="384"/>
      <c r="Y238" s="384"/>
      <c r="Z238" s="384"/>
      <c r="AA238" s="384"/>
    </row>
    <row r="239" spans="1:27" x14ac:dyDescent="0.2">
      <c r="A239" s="384"/>
      <c r="B239" s="384"/>
      <c r="C239" s="384"/>
      <c r="D239" s="384"/>
      <c r="E239" s="384"/>
      <c r="F239" s="384"/>
      <c r="G239" s="384"/>
      <c r="H239" s="384"/>
      <c r="I239" s="384"/>
      <c r="J239" s="384"/>
      <c r="K239" s="384"/>
      <c r="L239" s="384"/>
      <c r="M239" s="384"/>
      <c r="N239" s="384"/>
      <c r="O239" s="384"/>
      <c r="P239" s="384"/>
      <c r="Q239" s="384"/>
      <c r="R239" s="384"/>
      <c r="S239" s="384"/>
      <c r="T239" s="384"/>
      <c r="U239" s="384"/>
      <c r="V239" s="384"/>
      <c r="W239" s="384"/>
      <c r="X239" s="384"/>
      <c r="Y239" s="384"/>
      <c r="Z239" s="384"/>
      <c r="AA239" s="384"/>
    </row>
    <row r="240" spans="1:27" x14ac:dyDescent="0.2">
      <c r="A240" s="384"/>
      <c r="B240" s="384"/>
      <c r="C240" s="384"/>
      <c r="D240" s="384"/>
      <c r="E240" s="384"/>
      <c r="F240" s="384"/>
      <c r="G240" s="384"/>
      <c r="H240" s="384"/>
      <c r="I240" s="384"/>
      <c r="J240" s="384"/>
      <c r="K240" s="384"/>
      <c r="L240" s="384"/>
      <c r="M240" s="384"/>
      <c r="N240" s="384"/>
      <c r="O240" s="384"/>
      <c r="P240" s="384"/>
      <c r="Q240" s="384"/>
      <c r="R240" s="384"/>
      <c r="S240" s="384"/>
      <c r="T240" s="384"/>
      <c r="U240" s="384"/>
      <c r="V240" s="384"/>
      <c r="W240" s="384"/>
      <c r="X240" s="384"/>
      <c r="Y240" s="384"/>
      <c r="Z240" s="384"/>
      <c r="AA240" s="384"/>
    </row>
    <row r="241" spans="1:27" x14ac:dyDescent="0.2">
      <c r="A241" s="384"/>
      <c r="B241" s="384"/>
      <c r="C241" s="384"/>
      <c r="D241" s="384"/>
      <c r="E241" s="384"/>
      <c r="F241" s="384"/>
      <c r="G241" s="384"/>
      <c r="H241" s="384"/>
      <c r="I241" s="384"/>
      <c r="J241" s="384"/>
      <c r="K241" s="384"/>
      <c r="L241" s="384"/>
      <c r="M241" s="384"/>
      <c r="N241" s="384"/>
      <c r="O241" s="384"/>
      <c r="P241" s="384"/>
      <c r="Q241" s="384"/>
      <c r="R241" s="384"/>
      <c r="S241" s="384"/>
      <c r="T241" s="384"/>
      <c r="U241" s="384"/>
      <c r="V241" s="384"/>
      <c r="W241" s="384"/>
      <c r="X241" s="384"/>
      <c r="Y241" s="384"/>
      <c r="Z241" s="384"/>
      <c r="AA241" s="384"/>
    </row>
    <row r="242" spans="1:27" x14ac:dyDescent="0.2">
      <c r="A242" s="384"/>
      <c r="B242" s="384"/>
      <c r="C242" s="384"/>
      <c r="D242" s="384"/>
      <c r="E242" s="384"/>
      <c r="F242" s="384"/>
      <c r="G242" s="384"/>
      <c r="H242" s="384"/>
      <c r="I242" s="384"/>
      <c r="J242" s="384"/>
      <c r="K242" s="384"/>
      <c r="L242" s="384"/>
      <c r="M242" s="384"/>
      <c r="N242" s="384"/>
      <c r="O242" s="384"/>
      <c r="P242" s="384"/>
      <c r="Q242" s="384"/>
      <c r="R242" s="384"/>
      <c r="S242" s="384"/>
      <c r="T242" s="384"/>
      <c r="U242" s="384"/>
      <c r="V242" s="384"/>
      <c r="W242" s="384"/>
      <c r="X242" s="384"/>
      <c r="Y242" s="384"/>
      <c r="Z242" s="384"/>
      <c r="AA242" s="384"/>
    </row>
    <row r="243" spans="1:27" x14ac:dyDescent="0.2">
      <c r="A243" s="384"/>
      <c r="B243" s="384"/>
      <c r="C243" s="384"/>
      <c r="D243" s="384"/>
      <c r="E243" s="384"/>
      <c r="F243" s="384"/>
      <c r="G243" s="384"/>
      <c r="H243" s="384"/>
      <c r="I243" s="384"/>
      <c r="J243" s="384"/>
      <c r="K243" s="384"/>
      <c r="L243" s="384"/>
      <c r="M243" s="384"/>
      <c r="N243" s="384"/>
      <c r="O243" s="384"/>
      <c r="P243" s="384"/>
      <c r="Q243" s="384"/>
      <c r="R243" s="384"/>
      <c r="S243" s="384"/>
      <c r="T243" s="384"/>
      <c r="U243" s="384"/>
      <c r="V243" s="384"/>
      <c r="W243" s="384"/>
      <c r="X243" s="384"/>
      <c r="Y243" s="384"/>
      <c r="Z243" s="384"/>
      <c r="AA243" s="384"/>
    </row>
    <row r="244" spans="1:27" x14ac:dyDescent="0.2">
      <c r="A244" s="384"/>
      <c r="B244" s="384"/>
      <c r="C244" s="384"/>
      <c r="D244" s="384"/>
      <c r="E244" s="384"/>
      <c r="F244" s="384"/>
      <c r="G244" s="384"/>
      <c r="H244" s="384"/>
      <c r="I244" s="384"/>
      <c r="J244" s="384"/>
      <c r="K244" s="384"/>
      <c r="L244" s="384"/>
      <c r="M244" s="384"/>
      <c r="N244" s="384"/>
      <c r="O244" s="384"/>
      <c r="P244" s="384"/>
      <c r="Q244" s="384"/>
      <c r="R244" s="384"/>
      <c r="S244" s="384"/>
      <c r="T244" s="384"/>
      <c r="U244" s="384"/>
      <c r="V244" s="384"/>
      <c r="W244" s="384"/>
      <c r="X244" s="384"/>
      <c r="Y244" s="384"/>
      <c r="Z244" s="384"/>
      <c r="AA244" s="384"/>
    </row>
    <row r="245" spans="1:27" x14ac:dyDescent="0.2">
      <c r="A245" s="384"/>
      <c r="B245" s="384"/>
      <c r="C245" s="384"/>
      <c r="D245" s="384"/>
      <c r="E245" s="384"/>
      <c r="F245" s="384"/>
      <c r="G245" s="384"/>
      <c r="H245" s="384"/>
      <c r="I245" s="384"/>
      <c r="J245" s="384"/>
      <c r="K245" s="384"/>
      <c r="L245" s="384"/>
      <c r="M245" s="384"/>
      <c r="N245" s="384"/>
      <c r="O245" s="384"/>
      <c r="P245" s="384"/>
      <c r="Q245" s="384"/>
      <c r="R245" s="384"/>
      <c r="S245" s="384"/>
      <c r="T245" s="384"/>
      <c r="U245" s="384"/>
      <c r="V245" s="384"/>
      <c r="W245" s="384"/>
      <c r="X245" s="384"/>
      <c r="Y245" s="384"/>
      <c r="Z245" s="384"/>
      <c r="AA245" s="384"/>
    </row>
    <row r="246" spans="1:27" x14ac:dyDescent="0.2">
      <c r="A246" s="384"/>
      <c r="B246" s="384"/>
      <c r="C246" s="384"/>
      <c r="D246" s="384"/>
      <c r="E246" s="384"/>
      <c r="F246" s="384"/>
      <c r="G246" s="384"/>
      <c r="H246" s="384"/>
      <c r="I246" s="384"/>
      <c r="J246" s="384"/>
      <c r="K246" s="384"/>
      <c r="L246" s="384"/>
      <c r="M246" s="384"/>
      <c r="N246" s="384"/>
      <c r="O246" s="384"/>
      <c r="P246" s="384"/>
      <c r="Q246" s="384"/>
      <c r="R246" s="384"/>
      <c r="S246" s="384"/>
      <c r="T246" s="384"/>
      <c r="U246" s="384"/>
      <c r="V246" s="384"/>
      <c r="W246" s="384"/>
      <c r="X246" s="384"/>
      <c r="Y246" s="384"/>
      <c r="Z246" s="384"/>
      <c r="AA246" s="384"/>
    </row>
    <row r="247" spans="1:27" x14ac:dyDescent="0.2">
      <c r="A247" s="384"/>
      <c r="B247" s="384"/>
      <c r="C247" s="384"/>
      <c r="D247" s="384"/>
      <c r="E247" s="384"/>
      <c r="F247" s="384"/>
      <c r="G247" s="384"/>
      <c r="H247" s="384"/>
      <c r="I247" s="384"/>
      <c r="J247" s="384"/>
      <c r="K247" s="384"/>
      <c r="L247" s="384"/>
      <c r="M247" s="384"/>
      <c r="N247" s="384"/>
      <c r="O247" s="384"/>
      <c r="P247" s="384"/>
      <c r="Q247" s="384"/>
      <c r="R247" s="384"/>
      <c r="S247" s="384"/>
      <c r="T247" s="384"/>
      <c r="U247" s="384"/>
      <c r="V247" s="384"/>
      <c r="W247" s="384"/>
      <c r="X247" s="384"/>
      <c r="Y247" s="384"/>
      <c r="Z247" s="384"/>
      <c r="AA247" s="384"/>
    </row>
    <row r="248" spans="1:27" x14ac:dyDescent="0.2">
      <c r="A248" s="384"/>
      <c r="B248" s="384"/>
      <c r="C248" s="384"/>
      <c r="D248" s="384"/>
      <c r="E248" s="384"/>
      <c r="F248" s="384"/>
      <c r="G248" s="384"/>
      <c r="H248" s="384"/>
      <c r="I248" s="384"/>
      <c r="J248" s="384"/>
      <c r="K248" s="384"/>
      <c r="L248" s="384"/>
      <c r="M248" s="384"/>
      <c r="N248" s="384"/>
      <c r="O248" s="384"/>
      <c r="P248" s="384"/>
      <c r="Q248" s="384"/>
      <c r="R248" s="384"/>
      <c r="S248" s="384"/>
      <c r="T248" s="384"/>
      <c r="U248" s="384"/>
      <c r="V248" s="384"/>
      <c r="W248" s="384"/>
      <c r="X248" s="384"/>
      <c r="Y248" s="384"/>
      <c r="Z248" s="384"/>
      <c r="AA248" s="384"/>
    </row>
    <row r="249" spans="1:27" x14ac:dyDescent="0.2">
      <c r="A249" s="384"/>
      <c r="B249" s="384"/>
      <c r="C249" s="384"/>
      <c r="D249" s="384"/>
      <c r="E249" s="384"/>
      <c r="F249" s="384"/>
      <c r="G249" s="384"/>
      <c r="H249" s="384"/>
      <c r="I249" s="384"/>
      <c r="J249" s="384"/>
      <c r="K249" s="384"/>
      <c r="L249" s="384"/>
      <c r="M249" s="384"/>
      <c r="N249" s="384"/>
      <c r="O249" s="384"/>
      <c r="P249" s="384"/>
      <c r="Q249" s="384"/>
      <c r="R249" s="384"/>
      <c r="S249" s="384"/>
      <c r="T249" s="384"/>
      <c r="U249" s="384"/>
      <c r="V249" s="384"/>
      <c r="W249" s="384"/>
      <c r="X249" s="384"/>
      <c r="Y249" s="384"/>
      <c r="Z249" s="384"/>
      <c r="AA249" s="384"/>
    </row>
    <row r="250" spans="1:27" x14ac:dyDescent="0.2">
      <c r="A250" s="384"/>
      <c r="B250" s="384"/>
      <c r="C250" s="384"/>
      <c r="D250" s="384"/>
      <c r="E250" s="384"/>
      <c r="F250" s="384"/>
      <c r="G250" s="384"/>
      <c r="H250" s="384"/>
      <c r="I250" s="384"/>
      <c r="J250" s="384"/>
      <c r="K250" s="384"/>
      <c r="L250" s="384"/>
      <c r="M250" s="384"/>
      <c r="N250" s="384"/>
      <c r="O250" s="384"/>
      <c r="P250" s="384"/>
      <c r="Q250" s="384"/>
      <c r="R250" s="384"/>
      <c r="S250" s="384"/>
      <c r="T250" s="384"/>
      <c r="U250" s="384"/>
      <c r="V250" s="384"/>
      <c r="W250" s="384"/>
      <c r="X250" s="384"/>
      <c r="Y250" s="384"/>
      <c r="Z250" s="384"/>
      <c r="AA250" s="384"/>
    </row>
    <row r="251" spans="1:27" x14ac:dyDescent="0.2">
      <c r="A251" s="384"/>
      <c r="B251" s="384"/>
      <c r="C251" s="384"/>
      <c r="D251" s="384"/>
      <c r="E251" s="384"/>
      <c r="F251" s="384"/>
      <c r="G251" s="384"/>
      <c r="H251" s="384"/>
      <c r="I251" s="384"/>
      <c r="J251" s="384"/>
      <c r="K251" s="384"/>
      <c r="L251" s="384"/>
      <c r="M251" s="384"/>
      <c r="N251" s="384"/>
      <c r="O251" s="384"/>
      <c r="P251" s="384"/>
      <c r="Q251" s="384"/>
      <c r="R251" s="384"/>
      <c r="S251" s="384"/>
      <c r="T251" s="384"/>
      <c r="U251" s="384"/>
      <c r="V251" s="384"/>
      <c r="W251" s="384"/>
      <c r="X251" s="384"/>
      <c r="Y251" s="384"/>
      <c r="Z251" s="384"/>
      <c r="AA251" s="384"/>
    </row>
    <row r="252" spans="1:27" x14ac:dyDescent="0.2">
      <c r="A252" s="384"/>
      <c r="B252" s="384"/>
      <c r="C252" s="384"/>
      <c r="D252" s="384"/>
      <c r="E252" s="384"/>
      <c r="F252" s="384"/>
      <c r="G252" s="384"/>
      <c r="H252" s="384"/>
      <c r="I252" s="384"/>
      <c r="J252" s="384"/>
      <c r="K252" s="384"/>
      <c r="L252" s="384"/>
      <c r="M252" s="384"/>
      <c r="N252" s="384"/>
      <c r="O252" s="384"/>
      <c r="P252" s="384"/>
      <c r="Q252" s="384"/>
      <c r="R252" s="384"/>
      <c r="S252" s="384"/>
      <c r="T252" s="384"/>
      <c r="U252" s="384"/>
      <c r="V252" s="384"/>
      <c r="W252" s="384"/>
      <c r="X252" s="384"/>
      <c r="Y252" s="384"/>
      <c r="Z252" s="384"/>
      <c r="AA252" s="384"/>
    </row>
    <row r="253" spans="1:27" x14ac:dyDescent="0.2">
      <c r="A253" s="384"/>
      <c r="B253" s="384"/>
      <c r="C253" s="384"/>
      <c r="D253" s="384"/>
      <c r="E253" s="384"/>
      <c r="F253" s="384"/>
      <c r="G253" s="384"/>
      <c r="H253" s="384"/>
      <c r="I253" s="384"/>
      <c r="J253" s="384"/>
      <c r="K253" s="384"/>
      <c r="L253" s="384"/>
      <c r="M253" s="384"/>
      <c r="N253" s="384"/>
      <c r="O253" s="384"/>
      <c r="P253" s="384"/>
      <c r="Q253" s="384"/>
      <c r="R253" s="384"/>
      <c r="S253" s="384"/>
      <c r="T253" s="384"/>
      <c r="U253" s="384"/>
      <c r="V253" s="384"/>
      <c r="W253" s="384"/>
      <c r="X253" s="384"/>
      <c r="Y253" s="384"/>
      <c r="Z253" s="384"/>
      <c r="AA253" s="384"/>
    </row>
    <row r="254" spans="1:27" x14ac:dyDescent="0.2">
      <c r="A254" s="384"/>
      <c r="B254" s="384"/>
      <c r="C254" s="384"/>
      <c r="D254" s="384"/>
      <c r="E254" s="384"/>
      <c r="F254" s="384"/>
      <c r="G254" s="384"/>
      <c r="H254" s="384"/>
      <c r="I254" s="384"/>
      <c r="J254" s="384"/>
      <c r="K254" s="384"/>
      <c r="L254" s="384"/>
      <c r="M254" s="384"/>
      <c r="N254" s="384"/>
      <c r="O254" s="384"/>
      <c r="P254" s="384"/>
      <c r="Q254" s="384"/>
      <c r="R254" s="384"/>
      <c r="S254" s="384"/>
      <c r="T254" s="384"/>
      <c r="U254" s="384"/>
      <c r="V254" s="384"/>
      <c r="W254" s="384"/>
      <c r="X254" s="384"/>
      <c r="Y254" s="384"/>
      <c r="Z254" s="384"/>
      <c r="AA254" s="384"/>
    </row>
    <row r="255" spans="1:27" x14ac:dyDescent="0.2">
      <c r="A255" s="384"/>
      <c r="B255" s="384"/>
      <c r="C255" s="384"/>
      <c r="D255" s="384"/>
      <c r="E255" s="384"/>
      <c r="F255" s="384"/>
      <c r="G255" s="384"/>
      <c r="H255" s="384"/>
      <c r="I255" s="384"/>
      <c r="J255" s="384"/>
      <c r="K255" s="384"/>
      <c r="L255" s="384"/>
      <c r="M255" s="384"/>
      <c r="N255" s="384"/>
      <c r="O255" s="384"/>
      <c r="P255" s="384"/>
      <c r="Q255" s="384"/>
      <c r="R255" s="384"/>
      <c r="S255" s="384"/>
      <c r="T255" s="384"/>
      <c r="U255" s="384"/>
      <c r="V255" s="384"/>
      <c r="W255" s="384"/>
      <c r="X255" s="384"/>
      <c r="Y255" s="384"/>
      <c r="Z255" s="384"/>
      <c r="AA255" s="384"/>
    </row>
    <row r="256" spans="1:27" x14ac:dyDescent="0.2">
      <c r="A256" s="384"/>
      <c r="B256" s="384"/>
      <c r="C256" s="384"/>
      <c r="D256" s="384"/>
      <c r="E256" s="384"/>
      <c r="F256" s="384"/>
      <c r="G256" s="384"/>
      <c r="H256" s="384"/>
      <c r="I256" s="384"/>
      <c r="J256" s="384"/>
      <c r="K256" s="384"/>
      <c r="L256" s="384"/>
      <c r="M256" s="384"/>
      <c r="N256" s="384"/>
      <c r="O256" s="384"/>
      <c r="P256" s="384"/>
      <c r="Q256" s="384"/>
      <c r="R256" s="384"/>
      <c r="S256" s="384"/>
      <c r="T256" s="384"/>
      <c r="U256" s="384"/>
      <c r="V256" s="384"/>
      <c r="W256" s="384"/>
      <c r="X256" s="384"/>
      <c r="Y256" s="384"/>
      <c r="Z256" s="384"/>
      <c r="AA256" s="384"/>
    </row>
    <row r="257" spans="1:27" x14ac:dyDescent="0.2">
      <c r="A257" s="384"/>
      <c r="B257" s="384"/>
      <c r="C257" s="384"/>
      <c r="D257" s="384"/>
      <c r="E257" s="384"/>
      <c r="F257" s="384"/>
      <c r="G257" s="384"/>
      <c r="H257" s="384"/>
      <c r="I257" s="384"/>
      <c r="J257" s="384"/>
      <c r="K257" s="384"/>
      <c r="L257" s="384"/>
      <c r="M257" s="384"/>
      <c r="N257" s="384"/>
      <c r="O257" s="384"/>
      <c r="P257" s="384"/>
      <c r="Q257" s="384"/>
      <c r="R257" s="384"/>
      <c r="S257" s="384"/>
      <c r="T257" s="384"/>
      <c r="U257" s="384"/>
      <c r="V257" s="384"/>
      <c r="W257" s="384"/>
      <c r="X257" s="384"/>
      <c r="Y257" s="384"/>
      <c r="Z257" s="384"/>
      <c r="AA257" s="384"/>
    </row>
    <row r="258" spans="1:27" x14ac:dyDescent="0.2">
      <c r="A258" s="384"/>
      <c r="B258" s="384"/>
      <c r="C258" s="384"/>
      <c r="D258" s="384"/>
      <c r="E258" s="384"/>
      <c r="F258" s="384"/>
      <c r="G258" s="384"/>
      <c r="H258" s="384"/>
      <c r="I258" s="384"/>
      <c r="J258" s="384"/>
      <c r="K258" s="384"/>
      <c r="L258" s="384"/>
      <c r="M258" s="384"/>
      <c r="N258" s="384"/>
      <c r="O258" s="384"/>
      <c r="P258" s="384"/>
      <c r="Q258" s="384"/>
      <c r="R258" s="384"/>
      <c r="S258" s="384"/>
      <c r="T258" s="384"/>
      <c r="U258" s="384"/>
      <c r="V258" s="384"/>
      <c r="W258" s="384"/>
      <c r="X258" s="384"/>
      <c r="Y258" s="384"/>
      <c r="Z258" s="384"/>
      <c r="AA258" s="384"/>
    </row>
    <row r="259" spans="1:27" x14ac:dyDescent="0.2">
      <c r="A259" s="384"/>
      <c r="B259" s="384"/>
      <c r="C259" s="384"/>
      <c r="D259" s="384"/>
      <c r="E259" s="384"/>
      <c r="F259" s="384"/>
      <c r="G259" s="384"/>
      <c r="H259" s="384"/>
      <c r="I259" s="384"/>
      <c r="J259" s="384"/>
      <c r="K259" s="384"/>
      <c r="L259" s="384"/>
      <c r="M259" s="384"/>
      <c r="N259" s="384"/>
      <c r="O259" s="384"/>
      <c r="P259" s="384"/>
      <c r="Q259" s="384"/>
      <c r="R259" s="384"/>
      <c r="S259" s="384"/>
      <c r="T259" s="384"/>
      <c r="U259" s="384"/>
      <c r="V259" s="384"/>
      <c r="W259" s="384"/>
      <c r="X259" s="384"/>
      <c r="Y259" s="384"/>
      <c r="Z259" s="384"/>
      <c r="AA259" s="384"/>
    </row>
    <row r="260" spans="1:27" x14ac:dyDescent="0.2">
      <c r="A260" s="384"/>
      <c r="B260" s="384"/>
      <c r="C260" s="384"/>
      <c r="D260" s="384"/>
      <c r="E260" s="384"/>
      <c r="F260" s="384"/>
      <c r="G260" s="384"/>
      <c r="H260" s="384"/>
      <c r="I260" s="384"/>
      <c r="J260" s="384"/>
      <c r="K260" s="384"/>
      <c r="L260" s="384"/>
      <c r="M260" s="384"/>
      <c r="N260" s="384"/>
      <c r="O260" s="384"/>
      <c r="P260" s="384"/>
      <c r="Q260" s="384"/>
      <c r="R260" s="384"/>
      <c r="S260" s="384"/>
      <c r="T260" s="384"/>
      <c r="U260" s="384"/>
      <c r="V260" s="384"/>
      <c r="W260" s="384"/>
      <c r="X260" s="384"/>
      <c r="Y260" s="384"/>
      <c r="Z260" s="384"/>
      <c r="AA260" s="384"/>
    </row>
    <row r="261" spans="1:27" x14ac:dyDescent="0.2">
      <c r="A261" s="384"/>
      <c r="B261" s="384"/>
      <c r="C261" s="384"/>
      <c r="D261" s="384"/>
      <c r="E261" s="384"/>
      <c r="F261" s="384"/>
      <c r="G261" s="384"/>
      <c r="H261" s="384"/>
      <c r="I261" s="384"/>
      <c r="J261" s="384"/>
      <c r="K261" s="384"/>
      <c r="L261" s="384"/>
      <c r="M261" s="384"/>
      <c r="N261" s="384"/>
      <c r="O261" s="384"/>
      <c r="P261" s="384"/>
      <c r="Q261" s="384"/>
      <c r="R261" s="384"/>
      <c r="S261" s="384"/>
      <c r="T261" s="384"/>
      <c r="U261" s="384"/>
      <c r="V261" s="384"/>
      <c r="W261" s="384"/>
      <c r="X261" s="384"/>
      <c r="Y261" s="384"/>
      <c r="Z261" s="384"/>
      <c r="AA261" s="384"/>
    </row>
    <row r="262" spans="1:27" x14ac:dyDescent="0.2">
      <c r="A262" s="384"/>
      <c r="B262" s="384"/>
      <c r="C262" s="384"/>
      <c r="D262" s="384"/>
      <c r="E262" s="384"/>
      <c r="F262" s="384"/>
      <c r="G262" s="384"/>
      <c r="H262" s="384"/>
      <c r="I262" s="384"/>
      <c r="J262" s="384"/>
      <c r="K262" s="384"/>
      <c r="L262" s="384"/>
      <c r="M262" s="384"/>
      <c r="N262" s="384"/>
      <c r="O262" s="384"/>
      <c r="P262" s="384"/>
      <c r="Q262" s="384"/>
      <c r="R262" s="384"/>
      <c r="S262" s="384"/>
      <c r="T262" s="384"/>
      <c r="U262" s="384"/>
      <c r="V262" s="384"/>
      <c r="W262" s="384"/>
      <c r="X262" s="384"/>
      <c r="Y262" s="384"/>
      <c r="Z262" s="384"/>
      <c r="AA262" s="384"/>
    </row>
    <row r="263" spans="1:27" x14ac:dyDescent="0.2">
      <c r="A263" s="384"/>
      <c r="B263" s="384"/>
      <c r="C263" s="384"/>
      <c r="D263" s="384"/>
      <c r="E263" s="384"/>
      <c r="F263" s="384"/>
      <c r="G263" s="384"/>
      <c r="H263" s="384"/>
      <c r="I263" s="384"/>
      <c r="J263" s="384"/>
      <c r="K263" s="384"/>
      <c r="L263" s="384"/>
      <c r="M263" s="384"/>
      <c r="N263" s="384"/>
      <c r="O263" s="384"/>
      <c r="P263" s="384"/>
      <c r="Q263" s="384"/>
      <c r="R263" s="384"/>
      <c r="S263" s="384"/>
      <c r="T263" s="384"/>
      <c r="U263" s="384"/>
      <c r="V263" s="384"/>
      <c r="W263" s="384"/>
      <c r="X263" s="384"/>
      <c r="Y263" s="384"/>
      <c r="Z263" s="384"/>
      <c r="AA263" s="384"/>
    </row>
    <row r="264" spans="1:27" x14ac:dyDescent="0.2">
      <c r="A264" s="384"/>
      <c r="B264" s="384"/>
      <c r="C264" s="384"/>
      <c r="D264" s="384"/>
      <c r="E264" s="384"/>
      <c r="F264" s="384"/>
      <c r="G264" s="384"/>
      <c r="H264" s="384"/>
      <c r="I264" s="384"/>
      <c r="J264" s="384"/>
      <c r="K264" s="384"/>
      <c r="L264" s="384"/>
      <c r="M264" s="384"/>
      <c r="N264" s="384"/>
      <c r="O264" s="384"/>
      <c r="P264" s="384"/>
      <c r="Q264" s="384"/>
      <c r="R264" s="384"/>
      <c r="S264" s="384"/>
      <c r="T264" s="384"/>
      <c r="U264" s="384"/>
      <c r="V264" s="384"/>
      <c r="W264" s="384"/>
      <c r="X264" s="384"/>
      <c r="Y264" s="384"/>
      <c r="Z264" s="384"/>
      <c r="AA264" s="384"/>
    </row>
    <row r="265" spans="1:27" x14ac:dyDescent="0.2">
      <c r="A265" s="384"/>
      <c r="B265" s="384"/>
      <c r="C265" s="384"/>
      <c r="D265" s="384"/>
      <c r="E265" s="384"/>
      <c r="F265" s="384"/>
      <c r="G265" s="384"/>
      <c r="H265" s="384"/>
      <c r="I265" s="384"/>
      <c r="J265" s="384"/>
      <c r="K265" s="384"/>
      <c r="L265" s="384"/>
      <c r="M265" s="384"/>
      <c r="N265" s="384"/>
      <c r="O265" s="384"/>
      <c r="P265" s="384"/>
      <c r="Q265" s="384"/>
      <c r="R265" s="384"/>
      <c r="S265" s="384"/>
      <c r="T265" s="384"/>
      <c r="U265" s="384"/>
      <c r="V265" s="384"/>
      <c r="W265" s="384"/>
      <c r="X265" s="384"/>
      <c r="Y265" s="384"/>
      <c r="Z265" s="384"/>
      <c r="AA265" s="384"/>
    </row>
    <row r="266" spans="1:27" x14ac:dyDescent="0.2">
      <c r="A266" s="384"/>
      <c r="B266" s="384"/>
      <c r="C266" s="384"/>
      <c r="D266" s="384"/>
      <c r="E266" s="384"/>
      <c r="F266" s="384"/>
      <c r="G266" s="384"/>
      <c r="H266" s="384"/>
      <c r="I266" s="384"/>
      <c r="J266" s="384"/>
      <c r="K266" s="384"/>
      <c r="L266" s="384"/>
      <c r="M266" s="384"/>
      <c r="N266" s="384"/>
      <c r="O266" s="384"/>
      <c r="P266" s="384"/>
      <c r="Q266" s="384"/>
      <c r="R266" s="384"/>
      <c r="S266" s="384"/>
      <c r="T266" s="384"/>
      <c r="U266" s="384"/>
      <c r="V266" s="384"/>
      <c r="W266" s="384"/>
      <c r="X266" s="384"/>
      <c r="Y266" s="384"/>
      <c r="Z266" s="384"/>
      <c r="AA266" s="384"/>
    </row>
    <row r="267" spans="1:27" x14ac:dyDescent="0.2">
      <c r="A267" s="384"/>
      <c r="B267" s="384"/>
      <c r="C267" s="384"/>
      <c r="D267" s="384"/>
      <c r="E267" s="384"/>
      <c r="F267" s="384"/>
      <c r="G267" s="384"/>
      <c r="H267" s="384"/>
      <c r="I267" s="384"/>
      <c r="J267" s="384"/>
      <c r="K267" s="384"/>
      <c r="L267" s="384"/>
      <c r="M267" s="384"/>
      <c r="N267" s="384"/>
      <c r="O267" s="384"/>
      <c r="P267" s="384"/>
      <c r="Q267" s="384"/>
      <c r="R267" s="384"/>
      <c r="S267" s="384"/>
      <c r="T267" s="384"/>
      <c r="U267" s="384"/>
      <c r="V267" s="384"/>
      <c r="W267" s="384"/>
      <c r="X267" s="384"/>
      <c r="Y267" s="384"/>
      <c r="Z267" s="384"/>
      <c r="AA267" s="384"/>
    </row>
    <row r="268" spans="1:27" x14ac:dyDescent="0.2">
      <c r="A268" s="384"/>
      <c r="B268" s="384"/>
      <c r="C268" s="384"/>
      <c r="D268" s="384"/>
      <c r="E268" s="384"/>
      <c r="F268" s="384"/>
      <c r="G268" s="384"/>
      <c r="H268" s="384"/>
      <c r="I268" s="384"/>
      <c r="J268" s="384"/>
      <c r="K268" s="384"/>
      <c r="L268" s="384"/>
      <c r="M268" s="384"/>
      <c r="N268" s="384"/>
      <c r="O268" s="384"/>
      <c r="P268" s="384"/>
      <c r="Q268" s="384"/>
      <c r="R268" s="384"/>
      <c r="S268" s="384"/>
      <c r="T268" s="384"/>
      <c r="U268" s="384"/>
      <c r="V268" s="384"/>
      <c r="W268" s="384"/>
      <c r="X268" s="384"/>
      <c r="Y268" s="384"/>
      <c r="Z268" s="384"/>
      <c r="AA268" s="384"/>
    </row>
    <row r="269" spans="1:27" x14ac:dyDescent="0.2">
      <c r="A269" s="384"/>
      <c r="B269" s="384"/>
      <c r="C269" s="384"/>
      <c r="D269" s="384"/>
      <c r="E269" s="384"/>
      <c r="F269" s="384"/>
      <c r="G269" s="384"/>
      <c r="H269" s="384"/>
      <c r="I269" s="384"/>
      <c r="J269" s="384"/>
      <c r="K269" s="384"/>
      <c r="L269" s="384"/>
      <c r="M269" s="384"/>
      <c r="N269" s="384"/>
      <c r="O269" s="384"/>
      <c r="P269" s="384"/>
      <c r="Q269" s="384"/>
      <c r="R269" s="384"/>
      <c r="S269" s="384"/>
      <c r="T269" s="384"/>
      <c r="U269" s="384"/>
      <c r="V269" s="384"/>
      <c r="W269" s="384"/>
      <c r="X269" s="384"/>
      <c r="Y269" s="384"/>
      <c r="Z269" s="384"/>
      <c r="AA269" s="384"/>
    </row>
    <row r="270" spans="1:27" x14ac:dyDescent="0.2">
      <c r="A270" s="384"/>
      <c r="B270" s="384"/>
      <c r="C270" s="384"/>
      <c r="D270" s="384"/>
      <c r="E270" s="384"/>
      <c r="F270" s="384"/>
      <c r="G270" s="384"/>
      <c r="H270" s="384"/>
      <c r="I270" s="384"/>
      <c r="J270" s="384"/>
      <c r="K270" s="384"/>
      <c r="L270" s="384"/>
      <c r="M270" s="384"/>
      <c r="N270" s="384"/>
      <c r="O270" s="384"/>
      <c r="P270" s="384"/>
      <c r="Q270" s="384"/>
      <c r="R270" s="384"/>
      <c r="S270" s="384"/>
      <c r="T270" s="384"/>
      <c r="U270" s="384"/>
      <c r="V270" s="384"/>
      <c r="W270" s="384"/>
      <c r="X270" s="384"/>
      <c r="Y270" s="384"/>
      <c r="Z270" s="384"/>
      <c r="AA270" s="384"/>
    </row>
    <row r="271" spans="1:27" x14ac:dyDescent="0.2">
      <c r="A271" s="384"/>
      <c r="B271" s="384"/>
      <c r="C271" s="384"/>
      <c r="D271" s="384"/>
      <c r="E271" s="384"/>
      <c r="F271" s="384"/>
      <c r="G271" s="384"/>
      <c r="H271" s="384"/>
      <c r="I271" s="384"/>
      <c r="J271" s="384"/>
      <c r="K271" s="384"/>
      <c r="L271" s="384"/>
      <c r="M271" s="384"/>
      <c r="N271" s="384"/>
      <c r="O271" s="384"/>
      <c r="P271" s="384"/>
      <c r="Q271" s="384"/>
      <c r="R271" s="384"/>
      <c r="S271" s="384"/>
      <c r="T271" s="384"/>
      <c r="U271" s="384"/>
      <c r="V271" s="384"/>
      <c r="W271" s="384"/>
      <c r="X271" s="384"/>
      <c r="Y271" s="384"/>
      <c r="Z271" s="384"/>
      <c r="AA271" s="384"/>
    </row>
    <row r="272" spans="1:27" x14ac:dyDescent="0.2">
      <c r="A272" s="384"/>
      <c r="B272" s="384"/>
      <c r="C272" s="384"/>
      <c r="D272" s="384"/>
      <c r="E272" s="384"/>
      <c r="F272" s="384"/>
      <c r="G272" s="384"/>
      <c r="H272" s="384"/>
      <c r="I272" s="384"/>
      <c r="J272" s="384"/>
      <c r="K272" s="384"/>
      <c r="L272" s="384"/>
      <c r="M272" s="384"/>
      <c r="N272" s="384"/>
      <c r="O272" s="384"/>
      <c r="P272" s="384"/>
      <c r="Q272" s="384"/>
      <c r="R272" s="384"/>
      <c r="S272" s="384"/>
      <c r="T272" s="384"/>
      <c r="U272" s="384"/>
      <c r="V272" s="384"/>
      <c r="W272" s="384"/>
      <c r="X272" s="384"/>
      <c r="Y272" s="384"/>
      <c r="Z272" s="384"/>
      <c r="AA272" s="384"/>
    </row>
    <row r="273" spans="1:27" x14ac:dyDescent="0.2">
      <c r="A273" s="384"/>
      <c r="B273" s="384"/>
      <c r="C273" s="384"/>
      <c r="D273" s="384"/>
      <c r="E273" s="384"/>
      <c r="F273" s="384"/>
      <c r="G273" s="384"/>
      <c r="H273" s="384"/>
      <c r="I273" s="384"/>
      <c r="J273" s="384"/>
      <c r="K273" s="384"/>
      <c r="L273" s="384"/>
      <c r="M273" s="384"/>
      <c r="N273" s="384"/>
      <c r="O273" s="384"/>
      <c r="P273" s="384"/>
      <c r="Q273" s="384"/>
      <c r="R273" s="384"/>
      <c r="S273" s="384"/>
      <c r="T273" s="384"/>
      <c r="U273" s="384"/>
      <c r="V273" s="384"/>
      <c r="W273" s="384"/>
      <c r="X273" s="384"/>
      <c r="Y273" s="384"/>
      <c r="Z273" s="384"/>
      <c r="AA273" s="384"/>
    </row>
    <row r="274" spans="1:27" x14ac:dyDescent="0.2">
      <c r="A274" s="384"/>
      <c r="B274" s="384"/>
      <c r="C274" s="384"/>
      <c r="D274" s="384"/>
      <c r="E274" s="384"/>
      <c r="F274" s="384"/>
      <c r="G274" s="384"/>
      <c r="H274" s="384"/>
      <c r="I274" s="384"/>
      <c r="J274" s="384"/>
      <c r="K274" s="384"/>
      <c r="L274" s="384"/>
      <c r="M274" s="384"/>
      <c r="N274" s="384"/>
      <c r="O274" s="384"/>
      <c r="P274" s="384"/>
      <c r="Q274" s="384"/>
      <c r="R274" s="384"/>
      <c r="S274" s="384"/>
      <c r="T274" s="384"/>
      <c r="U274" s="384"/>
      <c r="V274" s="384"/>
      <c r="W274" s="384"/>
      <c r="X274" s="384"/>
      <c r="Y274" s="384"/>
      <c r="Z274" s="384"/>
      <c r="AA274" s="384"/>
    </row>
    <row r="275" spans="1:27" x14ac:dyDescent="0.2">
      <c r="A275" s="384"/>
      <c r="B275" s="384"/>
      <c r="C275" s="384"/>
      <c r="D275" s="384"/>
      <c r="E275" s="384"/>
      <c r="F275" s="384"/>
      <c r="G275" s="384"/>
      <c r="H275" s="384"/>
      <c r="I275" s="384"/>
      <c r="J275" s="384"/>
      <c r="K275" s="384"/>
      <c r="L275" s="384"/>
      <c r="M275" s="384"/>
      <c r="N275" s="384"/>
      <c r="O275" s="384"/>
      <c r="P275" s="384"/>
      <c r="Q275" s="384"/>
      <c r="R275" s="384"/>
      <c r="S275" s="384"/>
      <c r="T275" s="384"/>
      <c r="U275" s="384"/>
      <c r="V275" s="384"/>
      <c r="W275" s="384"/>
      <c r="X275" s="384"/>
      <c r="Y275" s="384"/>
      <c r="Z275" s="384"/>
      <c r="AA275" s="384"/>
    </row>
    <row r="276" spans="1:27" x14ac:dyDescent="0.2">
      <c r="A276" s="384"/>
      <c r="B276" s="384"/>
      <c r="C276" s="384"/>
      <c r="D276" s="384"/>
      <c r="E276" s="384"/>
      <c r="F276" s="384"/>
      <c r="G276" s="384"/>
      <c r="H276" s="384"/>
      <c r="I276" s="384"/>
      <c r="J276" s="384"/>
      <c r="K276" s="384"/>
      <c r="L276" s="384"/>
      <c r="M276" s="384"/>
      <c r="N276" s="384"/>
      <c r="O276" s="384"/>
      <c r="P276" s="384"/>
      <c r="Q276" s="384"/>
      <c r="R276" s="384"/>
      <c r="S276" s="384"/>
      <c r="T276" s="384"/>
      <c r="U276" s="384"/>
      <c r="V276" s="384"/>
      <c r="W276" s="384"/>
      <c r="X276" s="384"/>
      <c r="Y276" s="384"/>
      <c r="Z276" s="384"/>
      <c r="AA276" s="384"/>
    </row>
    <row r="277" spans="1:27" x14ac:dyDescent="0.2">
      <c r="A277" s="384"/>
      <c r="B277" s="384"/>
      <c r="C277" s="384"/>
      <c r="D277" s="384"/>
      <c r="E277" s="384"/>
      <c r="F277" s="384"/>
      <c r="G277" s="384"/>
      <c r="H277" s="384"/>
      <c r="I277" s="384"/>
      <c r="J277" s="384"/>
      <c r="K277" s="384"/>
      <c r="L277" s="384"/>
      <c r="M277" s="384"/>
      <c r="N277" s="384"/>
      <c r="O277" s="384"/>
      <c r="P277" s="384"/>
      <c r="Q277" s="384"/>
      <c r="R277" s="384"/>
      <c r="S277" s="384"/>
      <c r="T277" s="384"/>
      <c r="U277" s="384"/>
      <c r="V277" s="384"/>
      <c r="W277" s="384"/>
      <c r="X277" s="384"/>
      <c r="Y277" s="384"/>
      <c r="Z277" s="384"/>
      <c r="AA277" s="384"/>
    </row>
    <row r="278" spans="1:27" x14ac:dyDescent="0.2">
      <c r="A278" s="384"/>
      <c r="B278" s="384"/>
      <c r="C278" s="384"/>
      <c r="D278" s="384"/>
      <c r="E278" s="384"/>
      <c r="F278" s="384"/>
      <c r="G278" s="384"/>
      <c r="H278" s="384"/>
      <c r="I278" s="384"/>
      <c r="J278" s="384"/>
      <c r="K278" s="384"/>
      <c r="L278" s="384"/>
      <c r="M278" s="384"/>
      <c r="N278" s="384"/>
      <c r="O278" s="384"/>
      <c r="P278" s="384"/>
      <c r="Q278" s="384"/>
      <c r="R278" s="384"/>
      <c r="S278" s="384"/>
      <c r="T278" s="384"/>
      <c r="U278" s="384"/>
      <c r="V278" s="384"/>
      <c r="W278" s="384"/>
      <c r="X278" s="384"/>
      <c r="Y278" s="384"/>
      <c r="Z278" s="384"/>
      <c r="AA278" s="384"/>
    </row>
    <row r="279" spans="1:27" x14ac:dyDescent="0.2">
      <c r="A279" s="384"/>
      <c r="B279" s="384"/>
      <c r="C279" s="384"/>
      <c r="D279" s="384"/>
      <c r="E279" s="384"/>
      <c r="F279" s="384"/>
      <c r="G279" s="384"/>
      <c r="H279" s="384"/>
      <c r="I279" s="384"/>
      <c r="J279" s="384"/>
      <c r="K279" s="384"/>
      <c r="L279" s="384"/>
      <c r="M279" s="384"/>
      <c r="N279" s="384"/>
      <c r="O279" s="384"/>
      <c r="P279" s="384"/>
      <c r="Q279" s="384"/>
      <c r="R279" s="384"/>
      <c r="S279" s="384"/>
      <c r="T279" s="384"/>
      <c r="U279" s="384"/>
      <c r="V279" s="384"/>
      <c r="W279" s="384"/>
      <c r="X279" s="384"/>
      <c r="Y279" s="384"/>
      <c r="Z279" s="384"/>
      <c r="AA279" s="384"/>
    </row>
    <row r="280" spans="1:27" x14ac:dyDescent="0.2">
      <c r="A280" s="384"/>
      <c r="B280" s="384"/>
      <c r="C280" s="384"/>
      <c r="D280" s="384"/>
      <c r="E280" s="384"/>
      <c r="F280" s="384"/>
      <c r="G280" s="384"/>
      <c r="H280" s="384"/>
      <c r="I280" s="384"/>
      <c r="J280" s="384"/>
      <c r="K280" s="384"/>
      <c r="L280" s="384"/>
      <c r="M280" s="384"/>
      <c r="N280" s="384"/>
      <c r="O280" s="384"/>
      <c r="P280" s="384"/>
      <c r="Q280" s="384"/>
      <c r="R280" s="384"/>
      <c r="S280" s="384"/>
      <c r="T280" s="384"/>
      <c r="U280" s="384"/>
      <c r="V280" s="384"/>
      <c r="W280" s="384"/>
      <c r="X280" s="384"/>
      <c r="Y280" s="384"/>
      <c r="Z280" s="384"/>
      <c r="AA280" s="384"/>
    </row>
    <row r="281" spans="1:27" x14ac:dyDescent="0.2">
      <c r="A281" s="384"/>
      <c r="B281" s="384"/>
      <c r="C281" s="384"/>
      <c r="D281" s="384"/>
      <c r="E281" s="384"/>
      <c r="F281" s="384"/>
      <c r="G281" s="384"/>
      <c r="H281" s="384"/>
      <c r="I281" s="384"/>
      <c r="J281" s="384"/>
      <c r="K281" s="384"/>
      <c r="L281" s="384"/>
      <c r="M281" s="384"/>
      <c r="N281" s="384"/>
      <c r="O281" s="384"/>
      <c r="P281" s="384"/>
      <c r="Q281" s="384"/>
      <c r="R281" s="384"/>
      <c r="S281" s="384"/>
      <c r="T281" s="384"/>
      <c r="U281" s="384"/>
      <c r="V281" s="384"/>
      <c r="W281" s="384"/>
      <c r="X281" s="384"/>
      <c r="Y281" s="384"/>
      <c r="Z281" s="384"/>
      <c r="AA281" s="384"/>
    </row>
    <row r="282" spans="1:27" x14ac:dyDescent="0.2">
      <c r="A282" s="384"/>
      <c r="B282" s="384"/>
      <c r="C282" s="384"/>
      <c r="D282" s="384"/>
      <c r="E282" s="384"/>
      <c r="F282" s="384"/>
      <c r="G282" s="384"/>
      <c r="H282" s="384"/>
      <c r="I282" s="384"/>
      <c r="J282" s="384"/>
      <c r="K282" s="384"/>
      <c r="L282" s="384"/>
      <c r="M282" s="384"/>
      <c r="N282" s="384"/>
      <c r="O282" s="384"/>
      <c r="P282" s="384"/>
      <c r="Q282" s="384"/>
      <c r="R282" s="384"/>
      <c r="S282" s="384"/>
      <c r="T282" s="384"/>
      <c r="U282" s="384"/>
      <c r="V282" s="384"/>
      <c r="W282" s="384"/>
      <c r="X282" s="384"/>
      <c r="Y282" s="384"/>
      <c r="Z282" s="384"/>
      <c r="AA282" s="384"/>
    </row>
    <row r="283" spans="1:27" x14ac:dyDescent="0.2">
      <c r="A283" s="384"/>
      <c r="B283" s="384"/>
      <c r="C283" s="384"/>
      <c r="D283" s="384"/>
      <c r="E283" s="384"/>
      <c r="F283" s="384"/>
      <c r="G283" s="384"/>
      <c r="H283" s="384"/>
      <c r="I283" s="384"/>
      <c r="J283" s="384"/>
      <c r="K283" s="384"/>
      <c r="L283" s="384"/>
      <c r="M283" s="384"/>
      <c r="N283" s="384"/>
      <c r="O283" s="384"/>
      <c r="P283" s="384"/>
      <c r="Q283" s="384"/>
      <c r="R283" s="384"/>
      <c r="S283" s="384"/>
      <c r="T283" s="384"/>
      <c r="U283" s="384"/>
      <c r="V283" s="384"/>
      <c r="W283" s="384"/>
      <c r="X283" s="384"/>
      <c r="Y283" s="384"/>
      <c r="Z283" s="384"/>
      <c r="AA283" s="384"/>
    </row>
    <row r="284" spans="1:27" x14ac:dyDescent="0.2">
      <c r="A284" s="384"/>
      <c r="B284" s="384"/>
      <c r="C284" s="384"/>
      <c r="D284" s="384"/>
      <c r="E284" s="384"/>
      <c r="F284" s="384"/>
      <c r="G284" s="384"/>
      <c r="H284" s="384"/>
      <c r="I284" s="384"/>
      <c r="J284" s="384"/>
      <c r="K284" s="384"/>
      <c r="L284" s="384"/>
      <c r="M284" s="384"/>
      <c r="N284" s="384"/>
      <c r="O284" s="384"/>
      <c r="P284" s="384"/>
      <c r="Q284" s="384"/>
      <c r="R284" s="384"/>
      <c r="S284" s="384"/>
      <c r="T284" s="384"/>
      <c r="U284" s="384"/>
      <c r="V284" s="384"/>
      <c r="W284" s="384"/>
      <c r="X284" s="384"/>
      <c r="Y284" s="384"/>
      <c r="Z284" s="384"/>
      <c r="AA284" s="384"/>
    </row>
    <row r="285" spans="1:27" x14ac:dyDescent="0.2">
      <c r="A285" s="384"/>
      <c r="B285" s="384"/>
      <c r="C285" s="384"/>
      <c r="D285" s="384"/>
      <c r="E285" s="384"/>
      <c r="F285" s="384"/>
      <c r="G285" s="384"/>
      <c r="H285" s="384"/>
      <c r="I285" s="384"/>
      <c r="J285" s="384"/>
      <c r="K285" s="384"/>
      <c r="L285" s="384"/>
      <c r="M285" s="384"/>
      <c r="N285" s="384"/>
      <c r="O285" s="384"/>
      <c r="P285" s="384"/>
      <c r="Q285" s="384"/>
      <c r="R285" s="384"/>
      <c r="S285" s="384"/>
      <c r="T285" s="384"/>
      <c r="U285" s="384"/>
      <c r="V285" s="384"/>
      <c r="W285" s="384"/>
      <c r="X285" s="384"/>
      <c r="Y285" s="384"/>
      <c r="Z285" s="384"/>
      <c r="AA285" s="384"/>
    </row>
    <row r="286" spans="1:27" x14ac:dyDescent="0.2">
      <c r="A286" s="384"/>
      <c r="B286" s="384"/>
      <c r="C286" s="384"/>
      <c r="D286" s="384"/>
      <c r="E286" s="384"/>
      <c r="F286" s="384"/>
      <c r="G286" s="384"/>
      <c r="H286" s="384"/>
      <c r="I286" s="384"/>
      <c r="J286" s="384"/>
      <c r="K286" s="384"/>
      <c r="L286" s="384"/>
      <c r="M286" s="384"/>
      <c r="N286" s="384"/>
      <c r="O286" s="384"/>
      <c r="P286" s="384"/>
      <c r="Q286" s="384"/>
      <c r="R286" s="384"/>
      <c r="S286" s="384"/>
      <c r="T286" s="384"/>
      <c r="U286" s="384"/>
      <c r="V286" s="384"/>
      <c r="W286" s="384"/>
      <c r="X286" s="384"/>
      <c r="Y286" s="384"/>
      <c r="Z286" s="384"/>
      <c r="AA286" s="384"/>
    </row>
    <row r="287" spans="1:27" x14ac:dyDescent="0.2">
      <c r="A287" s="384"/>
      <c r="B287" s="384"/>
      <c r="C287" s="384"/>
      <c r="D287" s="384"/>
      <c r="E287" s="384"/>
      <c r="F287" s="384"/>
      <c r="G287" s="384"/>
      <c r="H287" s="384"/>
      <c r="I287" s="384"/>
      <c r="J287" s="384"/>
      <c r="K287" s="384"/>
      <c r="L287" s="384"/>
      <c r="M287" s="384"/>
      <c r="N287" s="384"/>
      <c r="O287" s="384"/>
      <c r="P287" s="384"/>
      <c r="Q287" s="384"/>
      <c r="R287" s="384"/>
      <c r="S287" s="384"/>
      <c r="T287" s="384"/>
      <c r="U287" s="384"/>
      <c r="V287" s="384"/>
      <c r="W287" s="384"/>
      <c r="X287" s="384"/>
      <c r="Y287" s="384"/>
      <c r="Z287" s="384"/>
      <c r="AA287" s="384"/>
    </row>
    <row r="288" spans="1:27" x14ac:dyDescent="0.2">
      <c r="A288" s="384"/>
      <c r="B288" s="384"/>
      <c r="C288" s="384"/>
      <c r="D288" s="384"/>
      <c r="E288" s="384"/>
      <c r="F288" s="384"/>
      <c r="G288" s="384"/>
      <c r="H288" s="384"/>
      <c r="I288" s="384"/>
      <c r="J288" s="384"/>
      <c r="K288" s="384"/>
      <c r="L288" s="384"/>
      <c r="M288" s="384"/>
      <c r="N288" s="384"/>
      <c r="O288" s="384"/>
      <c r="P288" s="384"/>
      <c r="Q288" s="384"/>
      <c r="R288" s="384"/>
      <c r="S288" s="384"/>
      <c r="T288" s="384"/>
      <c r="U288" s="384"/>
      <c r="V288" s="384"/>
      <c r="W288" s="384"/>
      <c r="X288" s="384"/>
      <c r="Y288" s="384"/>
      <c r="Z288" s="384"/>
      <c r="AA288" s="384"/>
    </row>
    <row r="289" spans="1:27" x14ac:dyDescent="0.2">
      <c r="A289" s="384"/>
      <c r="B289" s="384"/>
      <c r="C289" s="384"/>
      <c r="D289" s="384"/>
      <c r="E289" s="384"/>
      <c r="F289" s="384"/>
      <c r="G289" s="384"/>
      <c r="H289" s="384"/>
      <c r="I289" s="384"/>
      <c r="J289" s="384"/>
      <c r="K289" s="384"/>
      <c r="L289" s="384"/>
      <c r="M289" s="384"/>
      <c r="N289" s="384"/>
      <c r="O289" s="384"/>
      <c r="P289" s="384"/>
      <c r="Q289" s="384"/>
      <c r="R289" s="384"/>
      <c r="S289" s="384"/>
      <c r="T289" s="384"/>
      <c r="U289" s="384"/>
      <c r="V289" s="384"/>
      <c r="W289" s="384"/>
      <c r="X289" s="384"/>
      <c r="Y289" s="384"/>
      <c r="Z289" s="384"/>
      <c r="AA289" s="384"/>
    </row>
    <row r="290" spans="1:27" x14ac:dyDescent="0.2">
      <c r="A290" s="384"/>
      <c r="B290" s="384"/>
      <c r="C290" s="384"/>
      <c r="D290" s="384"/>
      <c r="E290" s="384"/>
      <c r="F290" s="384"/>
      <c r="G290" s="384"/>
      <c r="H290" s="384"/>
      <c r="I290" s="384"/>
      <c r="J290" s="384"/>
      <c r="K290" s="384"/>
      <c r="L290" s="384"/>
      <c r="M290" s="384"/>
      <c r="N290" s="384"/>
      <c r="O290" s="384"/>
      <c r="P290" s="384"/>
      <c r="Q290" s="384"/>
      <c r="R290" s="384"/>
      <c r="S290" s="384"/>
      <c r="T290" s="384"/>
      <c r="U290" s="384"/>
      <c r="V290" s="384"/>
      <c r="W290" s="384"/>
      <c r="X290" s="384"/>
      <c r="Y290" s="384"/>
      <c r="Z290" s="384"/>
      <c r="AA290" s="384"/>
    </row>
    <row r="291" spans="1:27" x14ac:dyDescent="0.2">
      <c r="A291" s="384"/>
      <c r="B291" s="384"/>
      <c r="C291" s="384"/>
      <c r="D291" s="384"/>
      <c r="E291" s="384"/>
      <c r="F291" s="384"/>
      <c r="G291" s="384"/>
      <c r="H291" s="384"/>
      <c r="I291" s="384"/>
      <c r="J291" s="384"/>
      <c r="K291" s="384"/>
      <c r="L291" s="384"/>
      <c r="M291" s="384"/>
      <c r="N291" s="384"/>
      <c r="O291" s="384"/>
      <c r="P291" s="384"/>
      <c r="Q291" s="384"/>
      <c r="R291" s="384"/>
      <c r="S291" s="384"/>
      <c r="T291" s="384"/>
      <c r="U291" s="384"/>
      <c r="V291" s="384"/>
      <c r="W291" s="384"/>
      <c r="X291" s="384"/>
      <c r="Y291" s="384"/>
      <c r="Z291" s="384"/>
      <c r="AA291" s="384"/>
    </row>
    <row r="292" spans="1:27" x14ac:dyDescent="0.2">
      <c r="A292" s="384"/>
      <c r="B292" s="384"/>
      <c r="C292" s="384"/>
      <c r="D292" s="384"/>
      <c r="E292" s="384"/>
      <c r="F292" s="384"/>
      <c r="G292" s="384"/>
      <c r="H292" s="384"/>
      <c r="I292" s="384"/>
      <c r="J292" s="384"/>
      <c r="K292" s="384"/>
      <c r="L292" s="384"/>
      <c r="M292" s="384"/>
      <c r="N292" s="384"/>
      <c r="O292" s="384"/>
      <c r="P292" s="384"/>
      <c r="Q292" s="384"/>
      <c r="R292" s="384"/>
      <c r="S292" s="384"/>
      <c r="T292" s="384"/>
      <c r="U292" s="384"/>
      <c r="V292" s="384"/>
      <c r="W292" s="384"/>
      <c r="X292" s="384"/>
      <c r="Y292" s="384"/>
      <c r="Z292" s="384"/>
      <c r="AA292" s="384"/>
    </row>
    <row r="293" spans="1:27" x14ac:dyDescent="0.2">
      <c r="A293" s="384"/>
      <c r="B293" s="384"/>
      <c r="C293" s="384"/>
      <c r="D293" s="384"/>
      <c r="E293" s="384"/>
      <c r="F293" s="384"/>
      <c r="G293" s="384"/>
      <c r="H293" s="384"/>
      <c r="I293" s="384"/>
      <c r="J293" s="384"/>
      <c r="K293" s="384"/>
      <c r="L293" s="384"/>
      <c r="M293" s="384"/>
      <c r="N293" s="384"/>
      <c r="O293" s="384"/>
      <c r="P293" s="384"/>
      <c r="Q293" s="384"/>
      <c r="R293" s="384"/>
      <c r="S293" s="384"/>
      <c r="T293" s="384"/>
      <c r="U293" s="384"/>
      <c r="V293" s="384"/>
      <c r="W293" s="384"/>
      <c r="X293" s="384"/>
      <c r="Y293" s="384"/>
      <c r="Z293" s="384"/>
      <c r="AA293" s="384"/>
    </row>
    <row r="294" spans="1:27" x14ac:dyDescent="0.2">
      <c r="A294" s="384"/>
      <c r="B294" s="384"/>
      <c r="C294" s="384"/>
      <c r="D294" s="384"/>
      <c r="E294" s="384"/>
      <c r="F294" s="384"/>
      <c r="G294" s="384"/>
      <c r="H294" s="384"/>
      <c r="I294" s="384"/>
      <c r="J294" s="384"/>
      <c r="K294" s="384"/>
      <c r="L294" s="384"/>
      <c r="M294" s="384"/>
      <c r="N294" s="384"/>
      <c r="O294" s="384"/>
      <c r="P294" s="384"/>
      <c r="Q294" s="384"/>
      <c r="R294" s="384"/>
      <c r="S294" s="384"/>
      <c r="T294" s="384"/>
      <c r="U294" s="384"/>
      <c r="V294" s="384"/>
      <c r="W294" s="384"/>
      <c r="X294" s="384"/>
      <c r="Y294" s="384"/>
      <c r="Z294" s="384"/>
      <c r="AA294" s="384"/>
    </row>
    <row r="295" spans="1:27" x14ac:dyDescent="0.2">
      <c r="A295" s="384"/>
      <c r="B295" s="384"/>
      <c r="C295" s="384"/>
      <c r="D295" s="384"/>
      <c r="E295" s="384"/>
      <c r="F295" s="384"/>
      <c r="G295" s="384"/>
      <c r="H295" s="384"/>
      <c r="I295" s="384"/>
      <c r="J295" s="384"/>
      <c r="K295" s="384"/>
      <c r="L295" s="384"/>
      <c r="M295" s="384"/>
      <c r="N295" s="384"/>
      <c r="O295" s="384"/>
      <c r="P295" s="384"/>
      <c r="Q295" s="384"/>
      <c r="R295" s="384"/>
      <c r="S295" s="384"/>
      <c r="T295" s="384"/>
      <c r="U295" s="384"/>
      <c r="V295" s="384"/>
      <c r="W295" s="384"/>
      <c r="X295" s="384"/>
      <c r="Y295" s="384"/>
      <c r="Z295" s="384"/>
      <c r="AA295" s="384"/>
    </row>
    <row r="296" spans="1:27" x14ac:dyDescent="0.2">
      <c r="A296" s="384"/>
      <c r="B296" s="384"/>
      <c r="C296" s="384"/>
      <c r="D296" s="384"/>
      <c r="E296" s="384"/>
      <c r="F296" s="384"/>
      <c r="G296" s="384"/>
      <c r="H296" s="384"/>
      <c r="I296" s="384"/>
      <c r="J296" s="384"/>
      <c r="K296" s="384"/>
      <c r="L296" s="384"/>
      <c r="M296" s="384"/>
      <c r="N296" s="384"/>
      <c r="O296" s="384"/>
      <c r="P296" s="384"/>
      <c r="Q296" s="384"/>
      <c r="R296" s="384"/>
      <c r="S296" s="384"/>
      <c r="T296" s="384"/>
      <c r="U296" s="384"/>
      <c r="V296" s="384"/>
      <c r="W296" s="384"/>
      <c r="X296" s="384"/>
      <c r="Y296" s="384"/>
      <c r="Z296" s="384"/>
      <c r="AA296" s="384"/>
    </row>
    <row r="297" spans="1:27" x14ac:dyDescent="0.2">
      <c r="A297" s="384"/>
      <c r="B297" s="384"/>
      <c r="C297" s="384"/>
      <c r="D297" s="384"/>
      <c r="E297" s="384"/>
      <c r="F297" s="384"/>
      <c r="G297" s="384"/>
      <c r="H297" s="384"/>
      <c r="I297" s="384"/>
      <c r="J297" s="384"/>
      <c r="K297" s="384"/>
      <c r="L297" s="384"/>
      <c r="M297" s="384"/>
      <c r="N297" s="384"/>
      <c r="O297" s="384"/>
      <c r="P297" s="384"/>
      <c r="Q297" s="384"/>
      <c r="R297" s="384"/>
      <c r="S297" s="384"/>
      <c r="T297" s="384"/>
      <c r="U297" s="384"/>
      <c r="V297" s="384"/>
      <c r="W297" s="384"/>
      <c r="X297" s="384"/>
      <c r="Y297" s="384"/>
      <c r="Z297" s="384"/>
      <c r="AA297" s="384"/>
    </row>
    <row r="298" spans="1:27" x14ac:dyDescent="0.2">
      <c r="A298" s="384"/>
      <c r="B298" s="384"/>
      <c r="C298" s="384"/>
      <c r="D298" s="384"/>
      <c r="E298" s="384"/>
      <c r="F298" s="384"/>
      <c r="G298" s="384"/>
      <c r="H298" s="384"/>
      <c r="I298" s="384"/>
      <c r="J298" s="384"/>
      <c r="K298" s="384"/>
      <c r="L298" s="384"/>
      <c r="M298" s="384"/>
      <c r="N298" s="384"/>
      <c r="O298" s="384"/>
      <c r="P298" s="384"/>
      <c r="Q298" s="384"/>
      <c r="R298" s="384"/>
      <c r="S298" s="384"/>
      <c r="T298" s="384"/>
      <c r="U298" s="384"/>
      <c r="V298" s="384"/>
      <c r="W298" s="384"/>
      <c r="X298" s="384"/>
      <c r="Y298" s="384"/>
      <c r="Z298" s="384"/>
      <c r="AA298" s="384"/>
    </row>
    <row r="299" spans="1:27" x14ac:dyDescent="0.2">
      <c r="A299" s="384"/>
      <c r="B299" s="384"/>
      <c r="C299" s="384"/>
      <c r="D299" s="384"/>
      <c r="E299" s="384"/>
      <c r="F299" s="384"/>
      <c r="G299" s="384"/>
      <c r="H299" s="384"/>
      <c r="I299" s="384"/>
      <c r="J299" s="384"/>
      <c r="K299" s="384"/>
      <c r="L299" s="384"/>
      <c r="M299" s="384"/>
      <c r="N299" s="384"/>
      <c r="O299" s="384"/>
      <c r="P299" s="384"/>
      <c r="Q299" s="384"/>
      <c r="R299" s="384"/>
      <c r="S299" s="384"/>
      <c r="T299" s="384"/>
      <c r="U299" s="384"/>
      <c r="V299" s="384"/>
      <c r="W299" s="384"/>
      <c r="X299" s="384"/>
      <c r="Y299" s="384"/>
      <c r="Z299" s="384"/>
      <c r="AA299" s="384"/>
    </row>
    <row r="300" spans="1:27" x14ac:dyDescent="0.2">
      <c r="A300" s="384"/>
      <c r="B300" s="384"/>
      <c r="C300" s="384"/>
      <c r="D300" s="384"/>
      <c r="E300" s="384"/>
      <c r="F300" s="384"/>
      <c r="G300" s="384"/>
      <c r="H300" s="384"/>
      <c r="I300" s="384"/>
      <c r="J300" s="384"/>
      <c r="K300" s="384"/>
      <c r="L300" s="384"/>
      <c r="M300" s="384"/>
      <c r="N300" s="384"/>
      <c r="O300" s="384"/>
      <c r="P300" s="384"/>
      <c r="Q300" s="384"/>
      <c r="R300" s="384"/>
      <c r="S300" s="384"/>
      <c r="T300" s="384"/>
      <c r="U300" s="384"/>
      <c r="V300" s="384"/>
      <c r="W300" s="384"/>
      <c r="X300" s="384"/>
      <c r="Y300" s="384"/>
      <c r="Z300" s="384"/>
      <c r="AA300" s="384"/>
    </row>
    <row r="301" spans="1:27" x14ac:dyDescent="0.2">
      <c r="A301" s="384"/>
      <c r="B301" s="384"/>
      <c r="C301" s="384"/>
      <c r="D301" s="384"/>
      <c r="E301" s="384"/>
      <c r="F301" s="384"/>
      <c r="G301" s="384"/>
      <c r="H301" s="384"/>
      <c r="I301" s="384"/>
      <c r="J301" s="384"/>
      <c r="K301" s="384"/>
      <c r="L301" s="384"/>
      <c r="M301" s="384"/>
      <c r="N301" s="384"/>
      <c r="O301" s="384"/>
      <c r="P301" s="384"/>
      <c r="Q301" s="384"/>
      <c r="R301" s="384"/>
      <c r="S301" s="384"/>
      <c r="T301" s="384"/>
      <c r="U301" s="384"/>
      <c r="V301" s="384"/>
      <c r="W301" s="384"/>
      <c r="X301" s="384"/>
      <c r="Y301" s="384"/>
      <c r="Z301" s="384"/>
      <c r="AA301" s="384"/>
    </row>
    <row r="302" spans="1:27" x14ac:dyDescent="0.2">
      <c r="A302" s="384"/>
      <c r="B302" s="384"/>
      <c r="C302" s="384"/>
      <c r="D302" s="384"/>
      <c r="E302" s="384"/>
      <c r="F302" s="384"/>
      <c r="G302" s="384"/>
      <c r="H302" s="384"/>
      <c r="I302" s="384"/>
      <c r="J302" s="384"/>
      <c r="K302" s="384"/>
      <c r="L302" s="384"/>
      <c r="M302" s="384"/>
      <c r="N302" s="384"/>
      <c r="O302" s="384"/>
      <c r="P302" s="384"/>
      <c r="Q302" s="384"/>
      <c r="R302" s="384"/>
      <c r="S302" s="384"/>
      <c r="T302" s="384"/>
      <c r="U302" s="384"/>
      <c r="V302" s="384"/>
      <c r="W302" s="384"/>
      <c r="X302" s="384"/>
      <c r="Y302" s="384"/>
      <c r="Z302" s="384"/>
      <c r="AA302" s="384"/>
    </row>
    <row r="303" spans="1:27" x14ac:dyDescent="0.2">
      <c r="A303" s="384"/>
      <c r="B303" s="384"/>
      <c r="C303" s="384"/>
      <c r="D303" s="384"/>
      <c r="E303" s="384"/>
      <c r="F303" s="384"/>
      <c r="G303" s="384"/>
      <c r="H303" s="384"/>
      <c r="I303" s="384"/>
      <c r="J303" s="384"/>
      <c r="K303" s="384"/>
      <c r="L303" s="384"/>
      <c r="M303" s="384"/>
      <c r="N303" s="384"/>
      <c r="O303" s="384"/>
      <c r="P303" s="384"/>
      <c r="Q303" s="384"/>
      <c r="R303" s="384"/>
      <c r="S303" s="384"/>
      <c r="T303" s="384"/>
      <c r="U303" s="384"/>
      <c r="V303" s="384"/>
      <c r="W303" s="384"/>
      <c r="X303" s="384"/>
      <c r="Y303" s="384"/>
      <c r="Z303" s="384"/>
      <c r="AA303" s="384"/>
    </row>
    <row r="304" spans="1:27" x14ac:dyDescent="0.2">
      <c r="A304" s="384"/>
      <c r="B304" s="384"/>
      <c r="C304" s="384"/>
      <c r="D304" s="384"/>
      <c r="E304" s="384"/>
      <c r="F304" s="384"/>
      <c r="G304" s="384"/>
      <c r="H304" s="384"/>
      <c r="I304" s="384"/>
      <c r="J304" s="384"/>
      <c r="K304" s="384"/>
      <c r="L304" s="384"/>
      <c r="M304" s="384"/>
      <c r="N304" s="384"/>
      <c r="O304" s="384"/>
      <c r="P304" s="384"/>
      <c r="Q304" s="384"/>
      <c r="R304" s="384"/>
      <c r="S304" s="384"/>
      <c r="T304" s="384"/>
      <c r="U304" s="384"/>
      <c r="V304" s="384"/>
      <c r="W304" s="384"/>
      <c r="X304" s="384"/>
      <c r="Y304" s="384"/>
      <c r="Z304" s="384"/>
      <c r="AA304" s="384"/>
    </row>
    <row r="305" spans="1:27" x14ac:dyDescent="0.2">
      <c r="A305" s="384"/>
      <c r="B305" s="384"/>
      <c r="C305" s="384"/>
      <c r="D305" s="384"/>
      <c r="E305" s="384"/>
      <c r="F305" s="384"/>
      <c r="G305" s="384"/>
      <c r="H305" s="384"/>
      <c r="I305" s="384"/>
      <c r="J305" s="384"/>
      <c r="K305" s="384"/>
      <c r="L305" s="384"/>
      <c r="M305" s="384"/>
      <c r="N305" s="384"/>
      <c r="O305" s="384"/>
      <c r="P305" s="384"/>
      <c r="Q305" s="384"/>
      <c r="R305" s="384"/>
      <c r="S305" s="384"/>
      <c r="T305" s="384"/>
      <c r="U305" s="384"/>
      <c r="V305" s="384"/>
      <c r="W305" s="384"/>
      <c r="X305" s="384"/>
      <c r="Y305" s="384"/>
      <c r="Z305" s="384"/>
      <c r="AA305" s="384"/>
    </row>
    <row r="306" spans="1:27" x14ac:dyDescent="0.2">
      <c r="A306" s="384"/>
      <c r="B306" s="384"/>
      <c r="C306" s="384"/>
      <c r="D306" s="384"/>
      <c r="E306" s="384"/>
      <c r="F306" s="384"/>
      <c r="G306" s="384"/>
      <c r="H306" s="384"/>
      <c r="I306" s="384"/>
      <c r="J306" s="384"/>
      <c r="K306" s="384"/>
      <c r="L306" s="384"/>
      <c r="M306" s="384"/>
      <c r="N306" s="384"/>
      <c r="O306" s="384"/>
      <c r="P306" s="384"/>
      <c r="Q306" s="384"/>
      <c r="R306" s="384"/>
      <c r="S306" s="384"/>
      <c r="T306" s="384"/>
      <c r="U306" s="384"/>
      <c r="V306" s="384"/>
      <c r="W306" s="384"/>
      <c r="X306" s="384"/>
      <c r="Y306" s="384"/>
      <c r="Z306" s="384"/>
      <c r="AA306" s="384"/>
    </row>
    <row r="307" spans="1:27" x14ac:dyDescent="0.2">
      <c r="A307" s="384"/>
      <c r="B307" s="384"/>
      <c r="C307" s="384"/>
      <c r="D307" s="384"/>
      <c r="E307" s="384"/>
      <c r="F307" s="384"/>
      <c r="G307" s="384"/>
      <c r="H307" s="384"/>
      <c r="I307" s="384"/>
      <c r="J307" s="384"/>
      <c r="K307" s="384"/>
      <c r="L307" s="384"/>
      <c r="M307" s="384"/>
      <c r="N307" s="384"/>
      <c r="O307" s="384"/>
      <c r="P307" s="384"/>
      <c r="Q307" s="384"/>
      <c r="R307" s="384"/>
      <c r="S307" s="384"/>
      <c r="T307" s="384"/>
      <c r="U307" s="384"/>
      <c r="V307" s="384"/>
      <c r="W307" s="384"/>
      <c r="X307" s="384"/>
      <c r="Y307" s="384"/>
      <c r="Z307" s="384"/>
      <c r="AA307" s="384"/>
    </row>
    <row r="308" spans="1:27" x14ac:dyDescent="0.2">
      <c r="A308" s="384"/>
      <c r="B308" s="384"/>
      <c r="C308" s="384"/>
      <c r="D308" s="384"/>
      <c r="E308" s="384"/>
      <c r="F308" s="384"/>
      <c r="G308" s="384"/>
      <c r="H308" s="384"/>
      <c r="I308" s="384"/>
      <c r="J308" s="384"/>
      <c r="K308" s="384"/>
      <c r="L308" s="384"/>
      <c r="M308" s="384"/>
      <c r="N308" s="384"/>
      <c r="O308" s="384"/>
      <c r="P308" s="384"/>
      <c r="Q308" s="384"/>
      <c r="R308" s="384"/>
      <c r="S308" s="384"/>
      <c r="T308" s="384"/>
      <c r="U308" s="384"/>
      <c r="V308" s="384"/>
      <c r="W308" s="384"/>
      <c r="X308" s="384"/>
      <c r="Y308" s="384"/>
      <c r="Z308" s="384"/>
      <c r="AA308" s="384"/>
    </row>
    <row r="309" spans="1:27" x14ac:dyDescent="0.2">
      <c r="A309" s="384"/>
      <c r="B309" s="384"/>
      <c r="C309" s="384"/>
      <c r="D309" s="384"/>
      <c r="E309" s="384"/>
      <c r="F309" s="384"/>
      <c r="G309" s="384"/>
      <c r="H309" s="384"/>
      <c r="I309" s="384"/>
      <c r="J309" s="384"/>
      <c r="K309" s="384"/>
      <c r="L309" s="384"/>
      <c r="M309" s="384"/>
      <c r="N309" s="384"/>
      <c r="O309" s="384"/>
      <c r="P309" s="384"/>
      <c r="Q309" s="384"/>
      <c r="R309" s="384"/>
      <c r="S309" s="384"/>
      <c r="T309" s="384"/>
      <c r="U309" s="384"/>
      <c r="V309" s="384"/>
      <c r="W309" s="384"/>
      <c r="X309" s="384"/>
      <c r="Y309" s="384"/>
      <c r="Z309" s="384"/>
      <c r="AA309" s="384"/>
    </row>
    <row r="310" spans="1:27" x14ac:dyDescent="0.2">
      <c r="A310" s="384"/>
      <c r="B310" s="384"/>
      <c r="C310" s="384"/>
      <c r="D310" s="384"/>
      <c r="E310" s="384"/>
      <c r="F310" s="384"/>
      <c r="G310" s="384"/>
      <c r="H310" s="384"/>
      <c r="I310" s="384"/>
      <c r="J310" s="384"/>
      <c r="K310" s="384"/>
      <c r="L310" s="384"/>
      <c r="M310" s="384"/>
      <c r="N310" s="384"/>
      <c r="O310" s="384"/>
      <c r="P310" s="384"/>
      <c r="Q310" s="384"/>
      <c r="R310" s="384"/>
      <c r="S310" s="384"/>
      <c r="T310" s="384"/>
      <c r="U310" s="384"/>
      <c r="V310" s="384"/>
      <c r="W310" s="384"/>
      <c r="X310" s="384"/>
      <c r="Y310" s="384"/>
      <c r="Z310" s="384"/>
      <c r="AA310" s="384"/>
    </row>
    <row r="311" spans="1:27" x14ac:dyDescent="0.2">
      <c r="A311" s="384"/>
      <c r="B311" s="384"/>
      <c r="C311" s="384"/>
      <c r="D311" s="384"/>
      <c r="E311" s="384"/>
      <c r="F311" s="384"/>
      <c r="G311" s="384"/>
      <c r="H311" s="384"/>
      <c r="I311" s="384"/>
      <c r="J311" s="384"/>
      <c r="K311" s="384"/>
      <c r="L311" s="384"/>
      <c r="M311" s="384"/>
      <c r="N311" s="384"/>
      <c r="O311" s="384"/>
      <c r="P311" s="384"/>
      <c r="Q311" s="384"/>
      <c r="R311" s="384"/>
      <c r="S311" s="384"/>
      <c r="T311" s="384"/>
      <c r="U311" s="384"/>
      <c r="V311" s="384"/>
      <c r="W311" s="384"/>
      <c r="X311" s="384"/>
      <c r="Y311" s="384"/>
      <c r="Z311" s="384"/>
      <c r="AA311" s="384"/>
    </row>
    <row r="312" spans="1:27" x14ac:dyDescent="0.2">
      <c r="A312" s="384"/>
      <c r="B312" s="384"/>
      <c r="C312" s="384"/>
      <c r="D312" s="384"/>
      <c r="E312" s="384"/>
      <c r="F312" s="384"/>
      <c r="G312" s="384"/>
      <c r="H312" s="384"/>
      <c r="I312" s="384"/>
      <c r="J312" s="384"/>
      <c r="K312" s="384"/>
      <c r="L312" s="384"/>
      <c r="M312" s="384"/>
      <c r="N312" s="384"/>
      <c r="O312" s="384"/>
      <c r="P312" s="384"/>
      <c r="Q312" s="384"/>
      <c r="R312" s="384"/>
      <c r="S312" s="384"/>
      <c r="T312" s="384"/>
      <c r="U312" s="384"/>
      <c r="V312" s="384"/>
      <c r="W312" s="384"/>
      <c r="X312" s="384"/>
      <c r="Y312" s="384"/>
      <c r="Z312" s="384"/>
      <c r="AA312" s="384"/>
    </row>
    <row r="313" spans="1:27" x14ac:dyDescent="0.2">
      <c r="A313" s="384"/>
      <c r="B313" s="384"/>
      <c r="C313" s="384"/>
      <c r="D313" s="384"/>
      <c r="E313" s="384"/>
      <c r="F313" s="384"/>
      <c r="G313" s="384"/>
      <c r="H313" s="384"/>
      <c r="I313" s="384"/>
      <c r="J313" s="384"/>
      <c r="K313" s="384"/>
      <c r="L313" s="384"/>
      <c r="M313" s="384"/>
      <c r="N313" s="384"/>
      <c r="O313" s="384"/>
      <c r="P313" s="384"/>
      <c r="Q313" s="384"/>
      <c r="R313" s="384"/>
      <c r="S313" s="384"/>
      <c r="T313" s="384"/>
      <c r="U313" s="384"/>
      <c r="V313" s="384"/>
      <c r="W313" s="384"/>
      <c r="X313" s="384"/>
      <c r="Y313" s="384"/>
      <c r="Z313" s="384"/>
      <c r="AA313" s="384"/>
    </row>
    <row r="314" spans="1:27" x14ac:dyDescent="0.2">
      <c r="A314" s="384"/>
      <c r="B314" s="384"/>
      <c r="C314" s="384"/>
      <c r="D314" s="384"/>
      <c r="E314" s="384"/>
      <c r="F314" s="384"/>
      <c r="G314" s="384"/>
      <c r="H314" s="384"/>
      <c r="I314" s="384"/>
      <c r="J314" s="384"/>
      <c r="K314" s="384"/>
      <c r="L314" s="384"/>
      <c r="M314" s="384"/>
      <c r="N314" s="384"/>
      <c r="O314" s="384"/>
      <c r="P314" s="384"/>
      <c r="Q314" s="384"/>
      <c r="R314" s="384"/>
      <c r="S314" s="384"/>
      <c r="T314" s="384"/>
      <c r="U314" s="384"/>
      <c r="V314" s="384"/>
      <c r="W314" s="384"/>
      <c r="X314" s="384"/>
      <c r="Y314" s="384"/>
      <c r="Z314" s="384"/>
      <c r="AA314" s="384"/>
    </row>
    <row r="315" spans="1:27" x14ac:dyDescent="0.2">
      <c r="A315" s="384"/>
      <c r="B315" s="384"/>
      <c r="C315" s="384"/>
      <c r="D315" s="384"/>
      <c r="E315" s="384"/>
      <c r="F315" s="384"/>
      <c r="G315" s="384"/>
      <c r="H315" s="384"/>
      <c r="I315" s="384"/>
      <c r="J315" s="384"/>
      <c r="K315" s="384"/>
      <c r="L315" s="384"/>
      <c r="M315" s="384"/>
      <c r="N315" s="384"/>
      <c r="O315" s="384"/>
      <c r="P315" s="384"/>
      <c r="Q315" s="384"/>
      <c r="R315" s="384"/>
      <c r="S315" s="384"/>
      <c r="T315" s="384"/>
      <c r="U315" s="384"/>
      <c r="V315" s="384"/>
      <c r="W315" s="384"/>
      <c r="X315" s="384"/>
      <c r="Y315" s="384"/>
      <c r="Z315" s="384"/>
      <c r="AA315" s="384"/>
    </row>
    <row r="316" spans="1:27" x14ac:dyDescent="0.2">
      <c r="A316" s="384"/>
      <c r="B316" s="384"/>
      <c r="C316" s="384"/>
      <c r="D316" s="384"/>
      <c r="E316" s="384"/>
      <c r="F316" s="384"/>
      <c r="G316" s="384"/>
      <c r="H316" s="384"/>
      <c r="I316" s="384"/>
      <c r="J316" s="384"/>
      <c r="K316" s="384"/>
      <c r="L316" s="384"/>
      <c r="M316" s="384"/>
      <c r="N316" s="384"/>
      <c r="O316" s="384"/>
      <c r="P316" s="384"/>
      <c r="Q316" s="384"/>
      <c r="R316" s="384"/>
      <c r="S316" s="384"/>
      <c r="T316" s="384"/>
      <c r="U316" s="384"/>
      <c r="V316" s="384"/>
      <c r="W316" s="384"/>
      <c r="X316" s="384"/>
      <c r="Y316" s="384"/>
      <c r="Z316" s="384"/>
      <c r="AA316" s="384"/>
    </row>
    <row r="317" spans="1:27" x14ac:dyDescent="0.2">
      <c r="A317" s="384"/>
      <c r="B317" s="384"/>
      <c r="C317" s="384"/>
      <c r="D317" s="384"/>
      <c r="E317" s="384"/>
      <c r="F317" s="384"/>
      <c r="G317" s="384"/>
      <c r="H317" s="384"/>
      <c r="I317" s="384"/>
      <c r="J317" s="384"/>
      <c r="K317" s="384"/>
      <c r="L317" s="384"/>
      <c r="M317" s="384"/>
      <c r="N317" s="384"/>
      <c r="O317" s="384"/>
      <c r="P317" s="384"/>
      <c r="Q317" s="384"/>
      <c r="R317" s="384"/>
      <c r="S317" s="384"/>
      <c r="T317" s="384"/>
      <c r="U317" s="384"/>
      <c r="V317" s="384"/>
      <c r="W317" s="384"/>
      <c r="X317" s="384"/>
      <c r="Y317" s="384"/>
      <c r="Z317" s="384"/>
      <c r="AA317" s="384"/>
    </row>
    <row r="318" spans="1:27" x14ac:dyDescent="0.2">
      <c r="A318" s="384"/>
      <c r="B318" s="384"/>
      <c r="C318" s="384"/>
      <c r="D318" s="384"/>
      <c r="E318" s="384"/>
      <c r="F318" s="384"/>
      <c r="G318" s="384"/>
      <c r="H318" s="384"/>
      <c r="I318" s="384"/>
      <c r="J318" s="384"/>
      <c r="K318" s="384"/>
      <c r="L318" s="384"/>
      <c r="M318" s="384"/>
      <c r="N318" s="384"/>
      <c r="O318" s="384"/>
      <c r="P318" s="384"/>
      <c r="Q318" s="384"/>
      <c r="R318" s="384"/>
      <c r="S318" s="384"/>
      <c r="T318" s="384"/>
      <c r="U318" s="384"/>
      <c r="V318" s="384"/>
      <c r="W318" s="384"/>
      <c r="X318" s="384"/>
      <c r="Y318" s="384"/>
      <c r="Z318" s="384"/>
      <c r="AA318" s="384"/>
    </row>
    <row r="319" spans="1:27" x14ac:dyDescent="0.2">
      <c r="A319" s="384"/>
      <c r="B319" s="384"/>
      <c r="C319" s="384"/>
      <c r="D319" s="384"/>
      <c r="E319" s="384"/>
      <c r="F319" s="384"/>
      <c r="G319" s="384"/>
      <c r="H319" s="384"/>
      <c r="I319" s="384"/>
      <c r="J319" s="384"/>
      <c r="K319" s="384"/>
      <c r="L319" s="384"/>
      <c r="M319" s="384"/>
      <c r="N319" s="384"/>
      <c r="O319" s="384"/>
      <c r="P319" s="384"/>
      <c r="Q319" s="384"/>
      <c r="R319" s="384"/>
      <c r="S319" s="384"/>
      <c r="T319" s="384"/>
      <c r="U319" s="384"/>
      <c r="V319" s="384"/>
      <c r="W319" s="384"/>
      <c r="X319" s="384"/>
      <c r="Y319" s="384"/>
      <c r="Z319" s="384"/>
      <c r="AA319" s="384"/>
    </row>
    <row r="320" spans="1:27" x14ac:dyDescent="0.2">
      <c r="A320" s="384"/>
      <c r="B320" s="384"/>
      <c r="C320" s="384"/>
      <c r="D320" s="384"/>
      <c r="E320" s="384"/>
      <c r="F320" s="384"/>
      <c r="G320" s="384"/>
      <c r="H320" s="384"/>
      <c r="I320" s="384"/>
      <c r="J320" s="384"/>
      <c r="K320" s="384"/>
      <c r="L320" s="384"/>
      <c r="M320" s="384"/>
      <c r="N320" s="384"/>
      <c r="O320" s="384"/>
      <c r="P320" s="384"/>
      <c r="Q320" s="384"/>
      <c r="R320" s="384"/>
      <c r="S320" s="384"/>
      <c r="T320" s="384"/>
      <c r="U320" s="384"/>
      <c r="V320" s="384"/>
      <c r="W320" s="384"/>
      <c r="X320" s="384"/>
      <c r="Y320" s="384"/>
      <c r="Z320" s="384"/>
      <c r="AA320" s="384"/>
    </row>
    <row r="321" spans="1:27" x14ac:dyDescent="0.2">
      <c r="A321" s="384"/>
      <c r="B321" s="384"/>
      <c r="C321" s="384"/>
      <c r="D321" s="384"/>
      <c r="E321" s="384"/>
      <c r="F321" s="384"/>
      <c r="G321" s="384"/>
      <c r="H321" s="384"/>
      <c r="I321" s="384"/>
      <c r="J321" s="384"/>
      <c r="K321" s="384"/>
      <c r="L321" s="384"/>
      <c r="M321" s="384"/>
      <c r="N321" s="384"/>
      <c r="O321" s="384"/>
      <c r="P321" s="384"/>
      <c r="Q321" s="384"/>
      <c r="R321" s="384"/>
      <c r="S321" s="384"/>
      <c r="T321" s="384"/>
      <c r="U321" s="384"/>
      <c r="V321" s="384"/>
      <c r="W321" s="384"/>
      <c r="X321" s="384"/>
      <c r="Y321" s="384"/>
      <c r="Z321" s="384"/>
      <c r="AA321" s="384"/>
    </row>
    <row r="322" spans="1:27" x14ac:dyDescent="0.2">
      <c r="A322" s="384"/>
      <c r="B322" s="384"/>
      <c r="C322" s="384"/>
      <c r="D322" s="384"/>
      <c r="E322" s="384"/>
      <c r="F322" s="384"/>
      <c r="G322" s="384"/>
      <c r="H322" s="384"/>
      <c r="I322" s="384"/>
      <c r="J322" s="384"/>
      <c r="K322" s="384"/>
      <c r="L322" s="384"/>
      <c r="M322" s="384"/>
      <c r="N322" s="384"/>
      <c r="O322" s="384"/>
      <c r="P322" s="384"/>
      <c r="Q322" s="384"/>
      <c r="R322" s="384"/>
      <c r="S322" s="384"/>
      <c r="T322" s="384"/>
      <c r="U322" s="384"/>
      <c r="V322" s="384"/>
      <c r="W322" s="384"/>
      <c r="X322" s="384"/>
      <c r="Y322" s="384"/>
      <c r="Z322" s="384"/>
      <c r="AA322" s="384"/>
    </row>
    <row r="323" spans="1:27" x14ac:dyDescent="0.2">
      <c r="A323" s="384"/>
      <c r="B323" s="384"/>
      <c r="C323" s="384"/>
      <c r="D323" s="384"/>
      <c r="E323" s="384"/>
      <c r="F323" s="384"/>
      <c r="G323" s="384"/>
      <c r="H323" s="384"/>
      <c r="I323" s="384"/>
      <c r="J323" s="384"/>
      <c r="K323" s="384"/>
      <c r="L323" s="384"/>
      <c r="M323" s="384"/>
      <c r="N323" s="384"/>
      <c r="O323" s="384"/>
      <c r="P323" s="384"/>
      <c r="Q323" s="384"/>
      <c r="R323" s="384"/>
      <c r="S323" s="384"/>
      <c r="T323" s="384"/>
      <c r="U323" s="384"/>
      <c r="V323" s="384"/>
      <c r="W323" s="384"/>
      <c r="X323" s="384"/>
      <c r="Y323" s="384"/>
      <c r="Z323" s="384"/>
      <c r="AA323" s="384"/>
    </row>
    <row r="324" spans="1:27" x14ac:dyDescent="0.2">
      <c r="A324" s="384"/>
      <c r="B324" s="384"/>
      <c r="C324" s="384"/>
      <c r="D324" s="384"/>
      <c r="E324" s="384"/>
      <c r="F324" s="384"/>
      <c r="G324" s="384"/>
      <c r="H324" s="384"/>
      <c r="I324" s="384"/>
      <c r="J324" s="384"/>
      <c r="K324" s="384"/>
      <c r="L324" s="384"/>
      <c r="M324" s="384"/>
      <c r="N324" s="384"/>
      <c r="O324" s="384"/>
      <c r="P324" s="384"/>
      <c r="Q324" s="384"/>
      <c r="R324" s="384"/>
      <c r="S324" s="384"/>
      <c r="T324" s="384"/>
      <c r="U324" s="384"/>
      <c r="V324" s="384"/>
      <c r="W324" s="384"/>
      <c r="X324" s="384"/>
      <c r="Y324" s="384"/>
      <c r="Z324" s="384"/>
      <c r="AA324" s="384"/>
    </row>
    <row r="325" spans="1:27" x14ac:dyDescent="0.2">
      <c r="A325" s="384"/>
      <c r="B325" s="384"/>
      <c r="C325" s="384"/>
      <c r="D325" s="384"/>
      <c r="E325" s="384"/>
      <c r="F325" s="384"/>
      <c r="G325" s="384"/>
      <c r="H325" s="384"/>
      <c r="I325" s="384"/>
      <c r="J325" s="384"/>
      <c r="K325" s="384"/>
      <c r="L325" s="384"/>
      <c r="M325" s="384"/>
      <c r="N325" s="384"/>
      <c r="O325" s="384"/>
      <c r="P325" s="384"/>
      <c r="Q325" s="384"/>
      <c r="R325" s="384"/>
      <c r="S325" s="384"/>
      <c r="T325" s="384"/>
      <c r="U325" s="384"/>
      <c r="V325" s="384"/>
      <c r="W325" s="384"/>
      <c r="X325" s="384"/>
      <c r="Y325" s="384"/>
      <c r="Z325" s="384"/>
      <c r="AA325" s="384"/>
    </row>
    <row r="326" spans="1:27" x14ac:dyDescent="0.2">
      <c r="A326" s="384"/>
      <c r="B326" s="384"/>
      <c r="C326" s="384"/>
      <c r="D326" s="384"/>
      <c r="E326" s="384"/>
      <c r="F326" s="384"/>
      <c r="G326" s="384"/>
      <c r="H326" s="384"/>
      <c r="I326" s="384"/>
      <c r="J326" s="384"/>
      <c r="K326" s="384"/>
      <c r="L326" s="384"/>
      <c r="M326" s="384"/>
      <c r="N326" s="384"/>
      <c r="O326" s="384"/>
      <c r="P326" s="384"/>
      <c r="Q326" s="384"/>
      <c r="R326" s="384"/>
      <c r="S326" s="384"/>
      <c r="T326" s="384"/>
      <c r="U326" s="384"/>
      <c r="V326" s="384"/>
      <c r="W326" s="384"/>
      <c r="X326" s="384"/>
      <c r="Y326" s="384"/>
      <c r="Z326" s="384"/>
      <c r="AA326" s="384"/>
    </row>
    <row r="327" spans="1:27" x14ac:dyDescent="0.2">
      <c r="A327" s="384"/>
      <c r="B327" s="384"/>
      <c r="C327" s="384"/>
      <c r="D327" s="384"/>
      <c r="E327" s="384"/>
      <c r="F327" s="384"/>
      <c r="G327" s="384"/>
      <c r="H327" s="384"/>
      <c r="I327" s="384"/>
      <c r="J327" s="384"/>
      <c r="K327" s="384"/>
      <c r="L327" s="384"/>
      <c r="M327" s="384"/>
      <c r="N327" s="384"/>
      <c r="O327" s="384"/>
      <c r="P327" s="384"/>
      <c r="Q327" s="384"/>
      <c r="R327" s="384"/>
      <c r="S327" s="384"/>
      <c r="T327" s="384"/>
      <c r="U327" s="384"/>
      <c r="V327" s="384"/>
      <c r="W327" s="384"/>
      <c r="X327" s="384"/>
      <c r="Y327" s="384"/>
      <c r="Z327" s="384"/>
      <c r="AA327" s="384"/>
    </row>
    <row r="328" spans="1:27" x14ac:dyDescent="0.2">
      <c r="A328" s="384"/>
      <c r="B328" s="384"/>
      <c r="C328" s="384"/>
      <c r="D328" s="384"/>
      <c r="E328" s="384"/>
      <c r="F328" s="384"/>
      <c r="G328" s="384"/>
      <c r="H328" s="384"/>
      <c r="I328" s="384"/>
      <c r="J328" s="384"/>
      <c r="K328" s="384"/>
      <c r="L328" s="384"/>
      <c r="M328" s="384"/>
      <c r="N328" s="384"/>
      <c r="O328" s="384"/>
      <c r="P328" s="384"/>
      <c r="Q328" s="384"/>
      <c r="R328" s="384"/>
      <c r="S328" s="384"/>
      <c r="T328" s="384"/>
      <c r="U328" s="384"/>
      <c r="V328" s="384"/>
      <c r="W328" s="384"/>
      <c r="X328" s="384"/>
      <c r="Y328" s="384"/>
      <c r="Z328" s="384"/>
      <c r="AA328" s="384"/>
    </row>
    <row r="329" spans="1:27" x14ac:dyDescent="0.2">
      <c r="A329" s="384"/>
      <c r="B329" s="384"/>
      <c r="C329" s="384"/>
      <c r="D329" s="384"/>
      <c r="E329" s="384"/>
      <c r="F329" s="384"/>
      <c r="G329" s="384"/>
      <c r="H329" s="384"/>
      <c r="I329" s="384"/>
      <c r="J329" s="384"/>
      <c r="K329" s="384"/>
      <c r="L329" s="384"/>
      <c r="M329" s="384"/>
      <c r="N329" s="384"/>
      <c r="O329" s="384"/>
      <c r="P329" s="384"/>
      <c r="Q329" s="384"/>
      <c r="R329" s="384"/>
      <c r="S329" s="384"/>
      <c r="T329" s="384"/>
      <c r="U329" s="384"/>
      <c r="V329" s="384"/>
      <c r="W329" s="384"/>
      <c r="X329" s="384"/>
      <c r="Y329" s="384"/>
      <c r="Z329" s="384"/>
      <c r="AA329" s="384"/>
    </row>
    <row r="330" spans="1:27" x14ac:dyDescent="0.2">
      <c r="A330" s="384"/>
      <c r="B330" s="384"/>
      <c r="C330" s="384"/>
      <c r="D330" s="384"/>
      <c r="E330" s="384"/>
      <c r="F330" s="384"/>
      <c r="G330" s="384"/>
      <c r="H330" s="384"/>
      <c r="I330" s="384"/>
      <c r="J330" s="384"/>
      <c r="K330" s="384"/>
      <c r="L330" s="384"/>
      <c r="M330" s="384"/>
      <c r="N330" s="384"/>
      <c r="O330" s="384"/>
      <c r="P330" s="384"/>
      <c r="Q330" s="384"/>
      <c r="R330" s="384"/>
      <c r="S330" s="384"/>
      <c r="T330" s="384"/>
      <c r="U330" s="384"/>
      <c r="V330" s="384"/>
      <c r="W330" s="384"/>
      <c r="X330" s="384"/>
      <c r="Y330" s="384"/>
      <c r="Z330" s="384"/>
      <c r="AA330" s="384"/>
    </row>
    <row r="331" spans="1:27" x14ac:dyDescent="0.2">
      <c r="A331" s="384"/>
      <c r="B331" s="384"/>
      <c r="C331" s="384"/>
      <c r="D331" s="384"/>
      <c r="E331" s="384"/>
      <c r="F331" s="384"/>
      <c r="G331" s="384"/>
      <c r="H331" s="384"/>
      <c r="I331" s="384"/>
      <c r="J331" s="384"/>
      <c r="K331" s="384"/>
      <c r="L331" s="384"/>
      <c r="M331" s="384"/>
      <c r="N331" s="384"/>
      <c r="O331" s="384"/>
      <c r="P331" s="384"/>
      <c r="Q331" s="384"/>
      <c r="R331" s="384"/>
      <c r="S331" s="384"/>
      <c r="T331" s="384"/>
      <c r="U331" s="384"/>
      <c r="V331" s="384"/>
      <c r="W331" s="384"/>
      <c r="X331" s="384"/>
      <c r="Y331" s="384"/>
      <c r="Z331" s="384"/>
      <c r="AA331" s="384"/>
    </row>
    <row r="332" spans="1:27" x14ac:dyDescent="0.2">
      <c r="A332" s="384"/>
      <c r="B332" s="384"/>
      <c r="C332" s="384"/>
      <c r="D332" s="384"/>
      <c r="E332" s="384"/>
      <c r="F332" s="384"/>
      <c r="G332" s="384"/>
      <c r="H332" s="384"/>
      <c r="I332" s="384"/>
      <c r="J332" s="384"/>
      <c r="K332" s="384"/>
      <c r="L332" s="384"/>
      <c r="M332" s="384"/>
      <c r="N332" s="384"/>
      <c r="O332" s="384"/>
      <c r="P332" s="384"/>
      <c r="Q332" s="384"/>
      <c r="R332" s="384"/>
      <c r="S332" s="384"/>
      <c r="T332" s="384"/>
      <c r="U332" s="384"/>
      <c r="V332" s="384"/>
      <c r="W332" s="384"/>
      <c r="X332" s="384"/>
      <c r="Y332" s="384"/>
      <c r="Z332" s="384"/>
      <c r="AA332" s="384"/>
    </row>
    <row r="333" spans="1:27" x14ac:dyDescent="0.2">
      <c r="A333" s="384"/>
      <c r="B333" s="384"/>
      <c r="C333" s="384"/>
      <c r="D333" s="384"/>
      <c r="E333" s="384"/>
      <c r="F333" s="384"/>
      <c r="G333" s="384"/>
      <c r="H333" s="384"/>
      <c r="I333" s="384"/>
      <c r="J333" s="384"/>
      <c r="K333" s="384"/>
      <c r="L333" s="384"/>
      <c r="M333" s="384"/>
      <c r="N333" s="384"/>
      <c r="O333" s="384"/>
      <c r="P333" s="384"/>
      <c r="Q333" s="384"/>
      <c r="R333" s="384"/>
      <c r="S333" s="384"/>
      <c r="T333" s="384"/>
      <c r="U333" s="384"/>
      <c r="V333" s="384"/>
      <c r="W333" s="384"/>
      <c r="X333" s="384"/>
      <c r="Y333" s="384"/>
      <c r="Z333" s="384"/>
      <c r="AA333" s="384"/>
    </row>
    <row r="334" spans="1:27" x14ac:dyDescent="0.2">
      <c r="A334" s="384"/>
      <c r="B334" s="384"/>
      <c r="C334" s="384"/>
      <c r="D334" s="384"/>
      <c r="E334" s="384"/>
      <c r="F334" s="384"/>
      <c r="G334" s="384"/>
      <c r="H334" s="384"/>
      <c r="I334" s="384"/>
      <c r="J334" s="384"/>
      <c r="K334" s="384"/>
      <c r="L334" s="384"/>
      <c r="M334" s="384"/>
      <c r="N334" s="384"/>
      <c r="O334" s="384"/>
      <c r="P334" s="384"/>
      <c r="Q334" s="384"/>
      <c r="R334" s="384"/>
      <c r="S334" s="384"/>
      <c r="T334" s="384"/>
      <c r="U334" s="384"/>
      <c r="V334" s="384"/>
      <c r="W334" s="384"/>
      <c r="X334" s="384"/>
      <c r="Y334" s="384"/>
      <c r="Z334" s="384"/>
      <c r="AA334" s="384"/>
    </row>
    <row r="335" spans="1:27" x14ac:dyDescent="0.2">
      <c r="A335" s="384"/>
      <c r="B335" s="384"/>
      <c r="C335" s="384"/>
      <c r="D335" s="384"/>
      <c r="E335" s="384"/>
      <c r="F335" s="384"/>
      <c r="G335" s="384"/>
      <c r="H335" s="384"/>
      <c r="I335" s="384"/>
      <c r="J335" s="384"/>
      <c r="K335" s="384"/>
      <c r="L335" s="384"/>
      <c r="M335" s="384"/>
      <c r="N335" s="384"/>
      <c r="O335" s="384"/>
      <c r="P335" s="384"/>
      <c r="Q335" s="384"/>
      <c r="R335" s="384"/>
      <c r="S335" s="384"/>
      <c r="T335" s="384"/>
      <c r="U335" s="384"/>
      <c r="V335" s="384"/>
      <c r="W335" s="384"/>
      <c r="X335" s="384"/>
      <c r="Y335" s="384"/>
      <c r="Z335" s="384"/>
      <c r="AA335" s="384"/>
    </row>
    <row r="336" spans="1:27" x14ac:dyDescent="0.2">
      <c r="A336" s="384"/>
      <c r="B336" s="384"/>
      <c r="C336" s="384"/>
      <c r="D336" s="384"/>
      <c r="E336" s="384"/>
      <c r="F336" s="384"/>
      <c r="G336" s="384"/>
      <c r="H336" s="384"/>
      <c r="I336" s="384"/>
      <c r="J336" s="384"/>
      <c r="K336" s="384"/>
      <c r="L336" s="384"/>
      <c r="M336" s="384"/>
      <c r="N336" s="384"/>
      <c r="O336" s="384"/>
      <c r="P336" s="384"/>
      <c r="Q336" s="384"/>
      <c r="R336" s="384"/>
      <c r="S336" s="384"/>
      <c r="T336" s="384"/>
      <c r="U336" s="384"/>
      <c r="V336" s="384"/>
      <c r="W336" s="384"/>
      <c r="X336" s="384"/>
      <c r="Y336" s="384"/>
      <c r="Z336" s="384"/>
      <c r="AA336" s="384"/>
    </row>
    <row r="337" spans="1:27" x14ac:dyDescent="0.2">
      <c r="A337" s="384"/>
      <c r="B337" s="384"/>
      <c r="C337" s="384"/>
      <c r="D337" s="384"/>
      <c r="E337" s="384"/>
      <c r="F337" s="384"/>
      <c r="G337" s="384"/>
      <c r="H337" s="384"/>
      <c r="I337" s="384"/>
      <c r="J337" s="384"/>
      <c r="K337" s="384"/>
      <c r="L337" s="384"/>
      <c r="M337" s="384"/>
      <c r="N337" s="384"/>
      <c r="O337" s="384"/>
      <c r="P337" s="384"/>
      <c r="Q337" s="384"/>
      <c r="R337" s="384"/>
      <c r="S337" s="384"/>
      <c r="T337" s="384"/>
      <c r="U337" s="384"/>
      <c r="V337" s="384"/>
      <c r="W337" s="384"/>
      <c r="X337" s="384"/>
      <c r="Y337" s="384"/>
      <c r="Z337" s="384"/>
      <c r="AA337" s="384"/>
    </row>
    <row r="338" spans="1:27" x14ac:dyDescent="0.2">
      <c r="A338" s="384"/>
      <c r="B338" s="384"/>
      <c r="C338" s="384"/>
      <c r="D338" s="384"/>
      <c r="E338" s="384"/>
      <c r="F338" s="384"/>
      <c r="G338" s="384"/>
      <c r="H338" s="384"/>
      <c r="I338" s="384"/>
      <c r="J338" s="384"/>
      <c r="K338" s="384"/>
      <c r="L338" s="384"/>
      <c r="M338" s="384"/>
      <c r="N338" s="384"/>
      <c r="O338" s="384"/>
      <c r="P338" s="384"/>
      <c r="Q338" s="384"/>
      <c r="R338" s="384"/>
      <c r="S338" s="384"/>
      <c r="T338" s="384"/>
      <c r="U338" s="384"/>
      <c r="V338" s="384"/>
      <c r="W338" s="384"/>
      <c r="X338" s="384"/>
      <c r="Y338" s="384"/>
      <c r="Z338" s="384"/>
      <c r="AA338" s="384"/>
    </row>
    <row r="339" spans="1:27" x14ac:dyDescent="0.2">
      <c r="A339" s="384"/>
      <c r="B339" s="384"/>
      <c r="C339" s="384"/>
      <c r="D339" s="384"/>
      <c r="E339" s="384"/>
      <c r="F339" s="384"/>
      <c r="G339" s="384"/>
      <c r="H339" s="384"/>
      <c r="I339" s="384"/>
      <c r="J339" s="384"/>
      <c r="K339" s="384"/>
      <c r="L339" s="384"/>
      <c r="M339" s="384"/>
      <c r="N339" s="384"/>
      <c r="O339" s="384"/>
      <c r="P339" s="384"/>
      <c r="Q339" s="384"/>
      <c r="R339" s="384"/>
      <c r="S339" s="384"/>
      <c r="T339" s="384"/>
      <c r="U339" s="384"/>
      <c r="V339" s="384"/>
      <c r="W339" s="384"/>
      <c r="X339" s="384"/>
      <c r="Y339" s="384"/>
      <c r="Z339" s="384"/>
      <c r="AA339" s="384"/>
    </row>
    <row r="340" spans="1:27" x14ac:dyDescent="0.2">
      <c r="A340" s="384"/>
      <c r="B340" s="384"/>
      <c r="C340" s="384"/>
      <c r="D340" s="384"/>
      <c r="E340" s="384"/>
      <c r="F340" s="384"/>
      <c r="G340" s="384"/>
      <c r="H340" s="384"/>
      <c r="I340" s="384"/>
      <c r="J340" s="384"/>
      <c r="K340" s="384"/>
      <c r="L340" s="384"/>
      <c r="M340" s="384"/>
      <c r="N340" s="384"/>
      <c r="O340" s="384"/>
      <c r="P340" s="384"/>
      <c r="Q340" s="384"/>
      <c r="R340" s="384"/>
      <c r="S340" s="384"/>
      <c r="T340" s="384"/>
      <c r="U340" s="384"/>
      <c r="V340" s="384"/>
      <c r="W340" s="384"/>
      <c r="X340" s="384"/>
      <c r="Y340" s="384"/>
      <c r="Z340" s="384"/>
      <c r="AA340" s="384"/>
    </row>
    <row r="341" spans="1:27" x14ac:dyDescent="0.2">
      <c r="A341" s="384"/>
      <c r="B341" s="384"/>
      <c r="C341" s="384"/>
      <c r="D341" s="384"/>
      <c r="E341" s="384"/>
      <c r="F341" s="384"/>
      <c r="G341" s="384"/>
      <c r="H341" s="384"/>
      <c r="I341" s="384"/>
      <c r="J341" s="384"/>
      <c r="K341" s="384"/>
      <c r="L341" s="384"/>
      <c r="M341" s="384"/>
      <c r="N341" s="384"/>
      <c r="O341" s="384"/>
      <c r="P341" s="384"/>
      <c r="Q341" s="384"/>
      <c r="R341" s="384"/>
      <c r="S341" s="384"/>
      <c r="T341" s="384"/>
      <c r="U341" s="384"/>
      <c r="V341" s="384"/>
      <c r="W341" s="384"/>
      <c r="X341" s="384"/>
      <c r="Y341" s="384"/>
      <c r="Z341" s="384"/>
      <c r="AA341" s="384"/>
    </row>
    <row r="342" spans="1:27" x14ac:dyDescent="0.2">
      <c r="A342" s="384"/>
      <c r="B342" s="384"/>
      <c r="C342" s="384"/>
      <c r="D342" s="384"/>
      <c r="E342" s="384"/>
      <c r="F342" s="384"/>
      <c r="G342" s="384"/>
      <c r="H342" s="384"/>
      <c r="I342" s="384"/>
      <c r="J342" s="384"/>
      <c r="K342" s="384"/>
      <c r="L342" s="384"/>
      <c r="M342" s="384"/>
      <c r="N342" s="384"/>
      <c r="O342" s="384"/>
      <c r="P342" s="384"/>
      <c r="Q342" s="384"/>
      <c r="R342" s="384"/>
      <c r="S342" s="384"/>
      <c r="T342" s="384"/>
      <c r="U342" s="384"/>
      <c r="V342" s="384"/>
      <c r="W342" s="384"/>
      <c r="X342" s="384"/>
      <c r="Y342" s="384"/>
      <c r="Z342" s="384"/>
      <c r="AA342" s="384"/>
    </row>
    <row r="343" spans="1:27" x14ac:dyDescent="0.2">
      <c r="A343" s="384"/>
      <c r="B343" s="384"/>
      <c r="C343" s="384"/>
      <c r="D343" s="384"/>
      <c r="E343" s="384"/>
      <c r="F343" s="384"/>
      <c r="G343" s="384"/>
      <c r="H343" s="384"/>
      <c r="I343" s="384"/>
      <c r="J343" s="384"/>
      <c r="K343" s="384"/>
      <c r="L343" s="384"/>
      <c r="M343" s="384"/>
      <c r="N343" s="384"/>
      <c r="O343" s="384"/>
      <c r="P343" s="384"/>
      <c r="Q343" s="384"/>
      <c r="R343" s="384"/>
      <c r="S343" s="384"/>
      <c r="T343" s="384"/>
      <c r="U343" s="384"/>
      <c r="V343" s="384"/>
      <c r="W343" s="384"/>
      <c r="X343" s="384"/>
      <c r="Y343" s="384"/>
      <c r="Z343" s="384"/>
      <c r="AA343" s="384"/>
    </row>
    <row r="344" spans="1:27" x14ac:dyDescent="0.2">
      <c r="A344" s="384"/>
      <c r="B344" s="384"/>
      <c r="C344" s="384"/>
      <c r="D344" s="384"/>
      <c r="E344" s="384"/>
      <c r="F344" s="384"/>
      <c r="G344" s="384"/>
      <c r="H344" s="384"/>
      <c r="I344" s="384"/>
      <c r="J344" s="384"/>
      <c r="K344" s="384"/>
      <c r="L344" s="384"/>
      <c r="M344" s="384"/>
      <c r="N344" s="384"/>
      <c r="O344" s="384"/>
      <c r="P344" s="384"/>
      <c r="Q344" s="384"/>
      <c r="R344" s="384"/>
      <c r="S344" s="384"/>
      <c r="T344" s="384"/>
      <c r="U344" s="384"/>
      <c r="V344" s="384"/>
      <c r="W344" s="384"/>
      <c r="X344" s="384"/>
      <c r="Y344" s="384"/>
      <c r="Z344" s="384"/>
      <c r="AA344" s="384"/>
    </row>
    <row r="345" spans="1:27" x14ac:dyDescent="0.2">
      <c r="A345" s="384"/>
      <c r="B345" s="384"/>
      <c r="C345" s="384"/>
      <c r="D345" s="384"/>
      <c r="E345" s="384"/>
      <c r="F345" s="384"/>
      <c r="G345" s="384"/>
      <c r="H345" s="384"/>
      <c r="I345" s="384"/>
      <c r="J345" s="384"/>
      <c r="K345" s="384"/>
      <c r="L345" s="384"/>
      <c r="M345" s="384"/>
      <c r="N345" s="384"/>
      <c r="O345" s="384"/>
      <c r="P345" s="384"/>
      <c r="Q345" s="384"/>
      <c r="R345" s="384"/>
      <c r="S345" s="384"/>
      <c r="T345" s="384"/>
      <c r="U345" s="384"/>
      <c r="V345" s="384"/>
      <c r="W345" s="384"/>
      <c r="X345" s="384"/>
      <c r="Y345" s="384"/>
      <c r="Z345" s="384"/>
      <c r="AA345" s="384"/>
    </row>
    <row r="346" spans="1:27" x14ac:dyDescent="0.2">
      <c r="A346" s="384"/>
      <c r="B346" s="384"/>
      <c r="C346" s="384"/>
      <c r="D346" s="384"/>
      <c r="E346" s="384"/>
      <c r="F346" s="384"/>
      <c r="G346" s="384"/>
      <c r="H346" s="384"/>
      <c r="I346" s="384"/>
      <c r="J346" s="384"/>
      <c r="K346" s="384"/>
      <c r="L346" s="384"/>
      <c r="M346" s="384"/>
      <c r="N346" s="384"/>
      <c r="O346" s="384"/>
      <c r="P346" s="384"/>
      <c r="Q346" s="384"/>
      <c r="R346" s="384"/>
      <c r="S346" s="384"/>
      <c r="T346" s="384"/>
      <c r="U346" s="384"/>
      <c r="V346" s="384"/>
      <c r="W346" s="384"/>
      <c r="X346" s="384"/>
      <c r="Y346" s="384"/>
      <c r="Z346" s="384"/>
      <c r="AA346" s="384"/>
    </row>
    <row r="347" spans="1:27" x14ac:dyDescent="0.2">
      <c r="A347" s="384"/>
      <c r="B347" s="384"/>
      <c r="C347" s="384"/>
      <c r="D347" s="384"/>
      <c r="E347" s="384"/>
      <c r="F347" s="384"/>
      <c r="G347" s="384"/>
      <c r="H347" s="384"/>
      <c r="I347" s="384"/>
      <c r="J347" s="384"/>
      <c r="K347" s="384"/>
      <c r="L347" s="384"/>
      <c r="M347" s="384"/>
      <c r="N347" s="384"/>
      <c r="O347" s="384"/>
      <c r="P347" s="384"/>
      <c r="Q347" s="384"/>
      <c r="R347" s="384"/>
      <c r="S347" s="384"/>
      <c r="T347" s="384"/>
      <c r="U347" s="384"/>
      <c r="V347" s="384"/>
      <c r="W347" s="384"/>
      <c r="X347" s="384"/>
      <c r="Y347" s="384"/>
      <c r="Z347" s="384"/>
      <c r="AA347" s="384"/>
    </row>
    <row r="348" spans="1:27" x14ac:dyDescent="0.2">
      <c r="A348" s="384"/>
      <c r="B348" s="384"/>
      <c r="C348" s="384"/>
      <c r="D348" s="384"/>
      <c r="E348" s="384"/>
      <c r="F348" s="384"/>
      <c r="G348" s="384"/>
      <c r="H348" s="384"/>
      <c r="I348" s="384"/>
      <c r="J348" s="384"/>
      <c r="K348" s="384"/>
      <c r="L348" s="384"/>
      <c r="M348" s="384"/>
      <c r="N348" s="384"/>
      <c r="O348" s="384"/>
      <c r="P348" s="384"/>
      <c r="Q348" s="384"/>
      <c r="R348" s="384"/>
      <c r="S348" s="384"/>
      <c r="T348" s="384"/>
      <c r="U348" s="384"/>
      <c r="V348" s="384"/>
      <c r="W348" s="384"/>
      <c r="X348" s="384"/>
      <c r="Y348" s="384"/>
      <c r="Z348" s="384"/>
      <c r="AA348" s="384"/>
    </row>
    <row r="349" spans="1:27" x14ac:dyDescent="0.2">
      <c r="A349" s="384"/>
      <c r="B349" s="384"/>
      <c r="C349" s="384"/>
      <c r="D349" s="384"/>
      <c r="E349" s="384"/>
      <c r="F349" s="384"/>
      <c r="G349" s="384"/>
      <c r="H349" s="384"/>
      <c r="I349" s="384"/>
      <c r="J349" s="384"/>
      <c r="K349" s="384"/>
      <c r="L349" s="384"/>
      <c r="M349" s="384"/>
      <c r="N349" s="384"/>
      <c r="O349" s="384"/>
      <c r="P349" s="384"/>
      <c r="Q349" s="384"/>
      <c r="R349" s="384"/>
      <c r="S349" s="384"/>
      <c r="T349" s="384"/>
      <c r="U349" s="384"/>
      <c r="V349" s="384"/>
      <c r="W349" s="384"/>
      <c r="X349" s="384"/>
      <c r="Y349" s="384"/>
      <c r="Z349" s="384"/>
      <c r="AA349" s="384"/>
    </row>
    <row r="350" spans="1:27" x14ac:dyDescent="0.2">
      <c r="A350" s="384"/>
      <c r="B350" s="384"/>
      <c r="C350" s="384"/>
      <c r="D350" s="384"/>
      <c r="E350" s="384"/>
      <c r="F350" s="384"/>
      <c r="G350" s="384"/>
      <c r="H350" s="384"/>
      <c r="I350" s="384"/>
      <c r="J350" s="384"/>
      <c r="K350" s="384"/>
      <c r="L350" s="384"/>
      <c r="M350" s="384"/>
      <c r="N350" s="384"/>
      <c r="O350" s="384"/>
      <c r="P350" s="384"/>
      <c r="Q350" s="384"/>
      <c r="R350" s="384"/>
      <c r="S350" s="384"/>
      <c r="T350" s="384"/>
      <c r="U350" s="384"/>
      <c r="V350" s="384"/>
      <c r="W350" s="384"/>
      <c r="X350" s="384"/>
      <c r="Y350" s="384"/>
      <c r="Z350" s="384"/>
      <c r="AA350" s="384"/>
    </row>
    <row r="351" spans="1:27" x14ac:dyDescent="0.2">
      <c r="A351" s="384"/>
      <c r="B351" s="384"/>
      <c r="C351" s="384"/>
      <c r="D351" s="384"/>
      <c r="E351" s="384"/>
      <c r="F351" s="384"/>
      <c r="G351" s="384"/>
      <c r="H351" s="384"/>
      <c r="I351" s="384"/>
      <c r="J351" s="384"/>
      <c r="K351" s="384"/>
      <c r="L351" s="384"/>
      <c r="M351" s="384"/>
      <c r="N351" s="384"/>
      <c r="O351" s="384"/>
      <c r="P351" s="384"/>
      <c r="Q351" s="384"/>
      <c r="R351" s="384"/>
      <c r="S351" s="384"/>
      <c r="T351" s="384"/>
      <c r="U351" s="384"/>
      <c r="V351" s="384"/>
      <c r="W351" s="384"/>
      <c r="X351" s="384"/>
      <c r="Y351" s="384"/>
      <c r="Z351" s="384"/>
      <c r="AA351" s="384"/>
    </row>
    <row r="352" spans="1:27" x14ac:dyDescent="0.2">
      <c r="A352" s="384"/>
      <c r="B352" s="384"/>
      <c r="C352" s="384"/>
      <c r="D352" s="384"/>
      <c r="E352" s="384"/>
      <c r="F352" s="384"/>
      <c r="G352" s="384"/>
      <c r="H352" s="384"/>
      <c r="I352" s="384"/>
      <c r="J352" s="384"/>
      <c r="K352" s="384"/>
      <c r="L352" s="384"/>
      <c r="M352" s="384"/>
      <c r="N352" s="384"/>
      <c r="O352" s="384"/>
      <c r="P352" s="384"/>
      <c r="Q352" s="384"/>
      <c r="R352" s="384"/>
      <c r="S352" s="384"/>
      <c r="T352" s="384"/>
      <c r="U352" s="384"/>
      <c r="V352" s="384"/>
      <c r="W352" s="384"/>
      <c r="X352" s="384"/>
      <c r="Y352" s="384"/>
      <c r="Z352" s="384"/>
      <c r="AA352" s="384"/>
    </row>
    <row r="353" spans="1:27" x14ac:dyDescent="0.2">
      <c r="A353" s="384"/>
      <c r="B353" s="384"/>
      <c r="C353" s="384"/>
      <c r="D353" s="384"/>
      <c r="E353" s="384"/>
      <c r="F353" s="384"/>
      <c r="G353" s="384"/>
      <c r="H353" s="384"/>
      <c r="I353" s="384"/>
      <c r="J353" s="384"/>
      <c r="K353" s="384"/>
      <c r="L353" s="384"/>
      <c r="M353" s="384"/>
      <c r="N353" s="384"/>
      <c r="O353" s="384"/>
      <c r="P353" s="384"/>
      <c r="Q353" s="384"/>
      <c r="R353" s="384"/>
      <c r="S353" s="384"/>
      <c r="T353" s="384"/>
      <c r="U353" s="384"/>
      <c r="V353" s="384"/>
      <c r="W353" s="384"/>
      <c r="X353" s="384"/>
      <c r="Y353" s="384"/>
      <c r="Z353" s="384"/>
      <c r="AA353" s="384"/>
    </row>
    <row r="354" spans="1:27" x14ac:dyDescent="0.2">
      <c r="A354" s="384"/>
      <c r="B354" s="384"/>
      <c r="C354" s="384"/>
      <c r="D354" s="384"/>
      <c r="E354" s="384"/>
      <c r="F354" s="384"/>
      <c r="G354" s="384"/>
      <c r="H354" s="384"/>
      <c r="I354" s="384"/>
      <c r="J354" s="384"/>
      <c r="K354" s="384"/>
      <c r="L354" s="384"/>
      <c r="M354" s="384"/>
      <c r="N354" s="384"/>
      <c r="O354" s="384"/>
      <c r="P354" s="384"/>
      <c r="Q354" s="384"/>
      <c r="R354" s="384"/>
      <c r="S354" s="384"/>
      <c r="T354" s="384"/>
      <c r="U354" s="384"/>
      <c r="V354" s="384"/>
      <c r="W354" s="384"/>
      <c r="X354" s="384"/>
      <c r="Y354" s="384"/>
      <c r="Z354" s="384"/>
      <c r="AA354" s="384"/>
    </row>
    <row r="355" spans="1:27" x14ac:dyDescent="0.2">
      <c r="A355" s="384"/>
      <c r="B355" s="384"/>
      <c r="C355" s="384"/>
      <c r="D355" s="384"/>
      <c r="E355" s="384"/>
      <c r="F355" s="384"/>
      <c r="G355" s="384"/>
      <c r="H355" s="384"/>
      <c r="I355" s="384"/>
      <c r="J355" s="384"/>
      <c r="K355" s="384"/>
      <c r="L355" s="384"/>
      <c r="M355" s="384"/>
      <c r="N355" s="384"/>
      <c r="O355" s="384"/>
      <c r="P355" s="384"/>
      <c r="Q355" s="384"/>
      <c r="R355" s="384"/>
      <c r="S355" s="384"/>
      <c r="T355" s="384"/>
      <c r="U355" s="384"/>
      <c r="V355" s="384"/>
      <c r="W355" s="384"/>
      <c r="X355" s="384"/>
      <c r="Y355" s="384"/>
      <c r="Z355" s="384"/>
      <c r="AA355" s="384"/>
    </row>
    <row r="356" spans="1:27" x14ac:dyDescent="0.2">
      <c r="A356" s="384"/>
      <c r="B356" s="384"/>
      <c r="C356" s="384"/>
      <c r="D356" s="384"/>
      <c r="E356" s="384"/>
      <c r="F356" s="384"/>
      <c r="G356" s="384"/>
      <c r="H356" s="384"/>
      <c r="I356" s="384"/>
      <c r="J356" s="384"/>
      <c r="K356" s="384"/>
      <c r="L356" s="384"/>
      <c r="M356" s="384"/>
      <c r="N356" s="384"/>
      <c r="O356" s="384"/>
      <c r="P356" s="384"/>
      <c r="Q356" s="384"/>
      <c r="R356" s="384"/>
      <c r="S356" s="384"/>
      <c r="T356" s="384"/>
      <c r="U356" s="384"/>
      <c r="V356" s="384"/>
      <c r="W356" s="384"/>
      <c r="X356" s="384"/>
      <c r="Y356" s="384"/>
      <c r="Z356" s="384"/>
      <c r="AA356" s="384"/>
    </row>
    <row r="357" spans="1:27" x14ac:dyDescent="0.2">
      <c r="A357" s="384"/>
      <c r="B357" s="384"/>
      <c r="C357" s="384"/>
      <c r="D357" s="384"/>
      <c r="E357" s="384"/>
      <c r="F357" s="384"/>
      <c r="G357" s="384"/>
      <c r="H357" s="384"/>
      <c r="I357" s="384"/>
      <c r="J357" s="384"/>
      <c r="K357" s="384"/>
      <c r="L357" s="384"/>
      <c r="M357" s="384"/>
      <c r="N357" s="384"/>
      <c r="O357" s="384"/>
      <c r="P357" s="384"/>
      <c r="Q357" s="384"/>
      <c r="R357" s="384"/>
      <c r="S357" s="384"/>
      <c r="T357" s="384"/>
      <c r="U357" s="384"/>
      <c r="V357" s="384"/>
      <c r="W357" s="384"/>
      <c r="X357" s="384"/>
      <c r="Y357" s="384"/>
      <c r="Z357" s="384"/>
      <c r="AA357" s="384"/>
    </row>
    <row r="358" spans="1:27" x14ac:dyDescent="0.2">
      <c r="A358" s="384"/>
      <c r="B358" s="384"/>
      <c r="C358" s="384"/>
      <c r="D358" s="384"/>
      <c r="E358" s="384"/>
      <c r="F358" s="384"/>
      <c r="G358" s="384"/>
      <c r="H358" s="384"/>
      <c r="I358" s="384"/>
      <c r="J358" s="384"/>
      <c r="K358" s="384"/>
      <c r="L358" s="384"/>
      <c r="M358" s="384"/>
      <c r="N358" s="384"/>
      <c r="O358" s="384"/>
      <c r="P358" s="384"/>
      <c r="Q358" s="384"/>
      <c r="R358" s="384"/>
      <c r="S358" s="384"/>
      <c r="T358" s="384"/>
      <c r="U358" s="384"/>
      <c r="V358" s="384"/>
      <c r="W358" s="384"/>
      <c r="X358" s="384"/>
      <c r="Y358" s="384"/>
      <c r="Z358" s="384"/>
      <c r="AA358" s="384"/>
    </row>
    <row r="359" spans="1:27" x14ac:dyDescent="0.2">
      <c r="A359" s="384"/>
      <c r="B359" s="384"/>
      <c r="C359" s="384"/>
      <c r="D359" s="384"/>
      <c r="E359" s="384"/>
      <c r="F359" s="384"/>
      <c r="G359" s="384"/>
      <c r="H359" s="384"/>
      <c r="I359" s="384"/>
      <c r="J359" s="384"/>
      <c r="K359" s="384"/>
      <c r="L359" s="384"/>
      <c r="M359" s="384"/>
      <c r="N359" s="384"/>
      <c r="O359" s="384"/>
      <c r="P359" s="384"/>
      <c r="Q359" s="384"/>
      <c r="R359" s="384"/>
      <c r="S359" s="384"/>
      <c r="T359" s="384"/>
      <c r="U359" s="384"/>
      <c r="V359" s="384"/>
      <c r="W359" s="384"/>
      <c r="X359" s="384"/>
      <c r="Y359" s="384"/>
      <c r="Z359" s="384"/>
      <c r="AA359" s="384"/>
    </row>
    <row r="360" spans="1:27" x14ac:dyDescent="0.2">
      <c r="A360" s="384"/>
      <c r="B360" s="384"/>
      <c r="C360" s="384"/>
      <c r="D360" s="384"/>
      <c r="E360" s="384"/>
      <c r="F360" s="384"/>
      <c r="G360" s="384"/>
      <c r="H360" s="384"/>
      <c r="I360" s="384"/>
      <c r="J360" s="384"/>
      <c r="K360" s="384"/>
      <c r="L360" s="384"/>
      <c r="M360" s="384"/>
      <c r="N360" s="384"/>
      <c r="O360" s="384"/>
      <c r="P360" s="384"/>
      <c r="Q360" s="384"/>
      <c r="R360" s="384"/>
      <c r="S360" s="384"/>
      <c r="T360" s="384"/>
      <c r="U360" s="384"/>
      <c r="V360" s="384"/>
      <c r="W360" s="384"/>
      <c r="X360" s="384"/>
      <c r="Y360" s="384"/>
      <c r="Z360" s="384"/>
      <c r="AA360" s="384"/>
    </row>
    <row r="361" spans="1:27" x14ac:dyDescent="0.2">
      <c r="A361" s="384"/>
      <c r="B361" s="384"/>
      <c r="C361" s="384"/>
      <c r="D361" s="384"/>
      <c r="E361" s="384"/>
      <c r="F361" s="384"/>
      <c r="G361" s="384"/>
      <c r="H361" s="384"/>
      <c r="I361" s="384"/>
      <c r="J361" s="384"/>
      <c r="K361" s="384"/>
      <c r="L361" s="384"/>
      <c r="M361" s="384"/>
      <c r="N361" s="384"/>
      <c r="O361" s="384"/>
      <c r="P361" s="384"/>
      <c r="Q361" s="384"/>
      <c r="R361" s="384"/>
      <c r="S361" s="384"/>
      <c r="T361" s="384"/>
      <c r="U361" s="384"/>
      <c r="V361" s="384"/>
      <c r="W361" s="384"/>
      <c r="X361" s="384"/>
      <c r="Y361" s="384"/>
      <c r="Z361" s="384"/>
      <c r="AA361" s="384"/>
    </row>
    <row r="362" spans="1:27" x14ac:dyDescent="0.2">
      <c r="A362" s="384"/>
      <c r="B362" s="384"/>
      <c r="C362" s="384"/>
      <c r="D362" s="384"/>
      <c r="E362" s="384"/>
      <c r="F362" s="384"/>
      <c r="G362" s="384"/>
      <c r="H362" s="384"/>
      <c r="I362" s="384"/>
      <c r="J362" s="384"/>
      <c r="K362" s="384"/>
      <c r="L362" s="384"/>
      <c r="M362" s="384"/>
      <c r="N362" s="384"/>
      <c r="O362" s="384"/>
      <c r="P362" s="384"/>
      <c r="Q362" s="384"/>
      <c r="R362" s="384"/>
      <c r="S362" s="384"/>
      <c r="T362" s="384"/>
      <c r="U362" s="384"/>
      <c r="V362" s="384"/>
      <c r="W362" s="384"/>
      <c r="X362" s="384"/>
      <c r="Y362" s="384"/>
      <c r="Z362" s="384"/>
      <c r="AA362" s="384"/>
    </row>
    <row r="363" spans="1:27" x14ac:dyDescent="0.2">
      <c r="A363" s="384"/>
      <c r="B363" s="384"/>
      <c r="C363" s="384"/>
      <c r="D363" s="384"/>
      <c r="E363" s="384"/>
      <c r="F363" s="384"/>
      <c r="G363" s="384"/>
      <c r="H363" s="384"/>
      <c r="I363" s="384"/>
      <c r="J363" s="384"/>
      <c r="K363" s="384"/>
      <c r="L363" s="384"/>
      <c r="M363" s="384"/>
      <c r="N363" s="384"/>
      <c r="O363" s="384"/>
      <c r="P363" s="384"/>
      <c r="Q363" s="384"/>
      <c r="R363" s="384"/>
      <c r="S363" s="384"/>
      <c r="T363" s="384"/>
      <c r="U363" s="384"/>
      <c r="V363" s="384"/>
      <c r="W363" s="384"/>
      <c r="X363" s="384"/>
      <c r="Y363" s="384"/>
      <c r="Z363" s="384"/>
      <c r="AA363" s="384"/>
    </row>
    <row r="364" spans="1:27" x14ac:dyDescent="0.2">
      <c r="A364" s="384"/>
      <c r="B364" s="384"/>
      <c r="C364" s="384"/>
      <c r="D364" s="384"/>
      <c r="E364" s="384"/>
      <c r="F364" s="384"/>
      <c r="G364" s="384"/>
      <c r="H364" s="384"/>
      <c r="I364" s="384"/>
      <c r="J364" s="384"/>
      <c r="K364" s="384"/>
      <c r="L364" s="384"/>
      <c r="M364" s="384"/>
      <c r="N364" s="384"/>
      <c r="O364" s="384"/>
      <c r="P364" s="384"/>
      <c r="Q364" s="384"/>
      <c r="R364" s="384"/>
      <c r="S364" s="384"/>
      <c r="T364" s="384"/>
      <c r="U364" s="384"/>
      <c r="V364" s="384"/>
      <c r="W364" s="384"/>
      <c r="X364" s="384"/>
      <c r="Y364" s="384"/>
      <c r="Z364" s="384"/>
      <c r="AA364" s="384"/>
    </row>
    <row r="365" spans="1:27" x14ac:dyDescent="0.2">
      <c r="A365" s="384"/>
      <c r="B365" s="384"/>
      <c r="C365" s="384"/>
      <c r="D365" s="384"/>
      <c r="E365" s="384"/>
      <c r="F365" s="384"/>
      <c r="G365" s="384"/>
      <c r="H365" s="384"/>
      <c r="I365" s="384"/>
      <c r="J365" s="384"/>
      <c r="K365" s="384"/>
      <c r="L365" s="384"/>
      <c r="M365" s="384"/>
      <c r="N365" s="384"/>
      <c r="O365" s="384"/>
      <c r="P365" s="384"/>
      <c r="Q365" s="384"/>
      <c r="R365" s="384"/>
      <c r="S365" s="384"/>
      <c r="T365" s="384"/>
      <c r="U365" s="384"/>
      <c r="V365" s="384"/>
      <c r="W365" s="384"/>
      <c r="X365" s="384"/>
      <c r="Y365" s="384"/>
      <c r="Z365" s="384"/>
      <c r="AA365" s="384"/>
    </row>
    <row r="366" spans="1:27" x14ac:dyDescent="0.2">
      <c r="A366" s="384"/>
      <c r="B366" s="384"/>
      <c r="C366" s="384"/>
      <c r="D366" s="384"/>
      <c r="E366" s="384"/>
      <c r="F366" s="384"/>
      <c r="G366" s="384"/>
      <c r="H366" s="384"/>
      <c r="I366" s="384"/>
      <c r="J366" s="384"/>
      <c r="K366" s="384"/>
      <c r="L366" s="384"/>
      <c r="M366" s="384"/>
      <c r="N366" s="384"/>
      <c r="O366" s="384"/>
      <c r="P366" s="384"/>
      <c r="Q366" s="384"/>
      <c r="R366" s="384"/>
      <c r="S366" s="384"/>
      <c r="T366" s="384"/>
      <c r="U366" s="384"/>
      <c r="V366" s="384"/>
      <c r="W366" s="384"/>
      <c r="X366" s="384"/>
      <c r="Y366" s="384"/>
      <c r="Z366" s="384"/>
      <c r="AA366" s="384"/>
    </row>
    <row r="367" spans="1:27" x14ac:dyDescent="0.2">
      <c r="A367" s="384"/>
      <c r="B367" s="384"/>
      <c r="C367" s="384"/>
      <c r="D367" s="384"/>
      <c r="E367" s="384"/>
      <c r="F367" s="384"/>
      <c r="G367" s="384"/>
      <c r="H367" s="384"/>
      <c r="I367" s="384"/>
      <c r="J367" s="384"/>
      <c r="K367" s="384"/>
      <c r="L367" s="384"/>
      <c r="M367" s="384"/>
      <c r="N367" s="384"/>
      <c r="O367" s="384"/>
      <c r="P367" s="384"/>
      <c r="Q367" s="384"/>
      <c r="R367" s="384"/>
      <c r="S367" s="384"/>
      <c r="T367" s="384"/>
      <c r="U367" s="384"/>
      <c r="V367" s="384"/>
      <c r="W367" s="384"/>
      <c r="X367" s="384"/>
      <c r="Y367" s="384"/>
      <c r="Z367" s="384"/>
      <c r="AA367" s="384"/>
    </row>
    <row r="368" spans="1:27" x14ac:dyDescent="0.2">
      <c r="A368" s="384"/>
      <c r="B368" s="384"/>
      <c r="C368" s="384"/>
      <c r="D368" s="384"/>
      <c r="E368" s="384"/>
      <c r="F368" s="384"/>
      <c r="G368" s="384"/>
      <c r="H368" s="384"/>
      <c r="I368" s="384"/>
      <c r="J368" s="384"/>
      <c r="K368" s="384"/>
      <c r="L368" s="384"/>
      <c r="M368" s="384"/>
      <c r="N368" s="384"/>
      <c r="O368" s="384"/>
      <c r="P368" s="384"/>
      <c r="Q368" s="384"/>
      <c r="R368" s="384"/>
      <c r="S368" s="384"/>
      <c r="T368" s="384"/>
      <c r="U368" s="384"/>
      <c r="V368" s="384"/>
      <c r="W368" s="384"/>
      <c r="X368" s="384"/>
      <c r="Y368" s="384"/>
      <c r="Z368" s="384"/>
      <c r="AA368" s="384"/>
    </row>
    <row r="369" spans="1:27" x14ac:dyDescent="0.2">
      <c r="A369" s="384"/>
      <c r="B369" s="384"/>
      <c r="C369" s="384"/>
      <c r="D369" s="384"/>
      <c r="E369" s="384"/>
      <c r="F369" s="384"/>
      <c r="G369" s="384"/>
      <c r="H369" s="384"/>
      <c r="I369" s="384"/>
      <c r="J369" s="384"/>
      <c r="K369" s="384"/>
      <c r="L369" s="384"/>
      <c r="M369" s="384"/>
      <c r="N369" s="384"/>
      <c r="O369" s="384"/>
      <c r="P369" s="384"/>
      <c r="Q369" s="384"/>
      <c r="R369" s="384"/>
      <c r="S369" s="384"/>
      <c r="T369" s="384"/>
      <c r="U369" s="384"/>
      <c r="V369" s="384"/>
      <c r="W369" s="384"/>
      <c r="X369" s="384"/>
      <c r="Y369" s="384"/>
      <c r="Z369" s="384"/>
      <c r="AA369" s="384"/>
    </row>
    <row r="370" spans="1:27" x14ac:dyDescent="0.2">
      <c r="A370" s="384"/>
      <c r="B370" s="384"/>
      <c r="C370" s="384"/>
      <c r="D370" s="384"/>
      <c r="E370" s="384"/>
      <c r="F370" s="384"/>
      <c r="G370" s="384"/>
      <c r="H370" s="384"/>
      <c r="I370" s="384"/>
      <c r="J370" s="384"/>
      <c r="K370" s="384"/>
      <c r="L370" s="384"/>
      <c r="M370" s="384"/>
      <c r="N370" s="384"/>
      <c r="O370" s="384"/>
      <c r="P370" s="384"/>
      <c r="Q370" s="384"/>
      <c r="R370" s="384"/>
      <c r="S370" s="384"/>
      <c r="T370" s="384"/>
      <c r="U370" s="384"/>
      <c r="V370" s="384"/>
      <c r="W370" s="384"/>
      <c r="X370" s="384"/>
      <c r="Y370" s="384"/>
      <c r="Z370" s="384"/>
      <c r="AA370" s="384"/>
    </row>
    <row r="371" spans="1:27" x14ac:dyDescent="0.2">
      <c r="A371" s="384"/>
      <c r="B371" s="384"/>
      <c r="C371" s="384"/>
      <c r="D371" s="384"/>
      <c r="E371" s="384"/>
      <c r="F371" s="384"/>
      <c r="G371" s="384"/>
      <c r="H371" s="384"/>
      <c r="I371" s="384"/>
      <c r="J371" s="384"/>
      <c r="K371" s="384"/>
      <c r="L371" s="384"/>
      <c r="M371" s="384"/>
      <c r="N371" s="384"/>
      <c r="O371" s="384"/>
      <c r="P371" s="384"/>
      <c r="Q371" s="384"/>
      <c r="R371" s="384"/>
      <c r="S371" s="384"/>
      <c r="T371" s="384"/>
      <c r="U371" s="384"/>
      <c r="V371" s="384"/>
      <c r="W371" s="384"/>
      <c r="X371" s="384"/>
      <c r="Y371" s="384"/>
      <c r="Z371" s="384"/>
      <c r="AA371" s="384"/>
    </row>
    <row r="372" spans="1:27" x14ac:dyDescent="0.2">
      <c r="A372" s="384"/>
      <c r="B372" s="384"/>
      <c r="C372" s="384"/>
      <c r="D372" s="384"/>
      <c r="E372" s="384"/>
      <c r="F372" s="384"/>
      <c r="G372" s="384"/>
      <c r="H372" s="384"/>
      <c r="I372" s="384"/>
      <c r="J372" s="384"/>
      <c r="K372" s="384"/>
      <c r="L372" s="384"/>
      <c r="M372" s="384"/>
      <c r="N372" s="384"/>
      <c r="O372" s="384"/>
      <c r="P372" s="384"/>
      <c r="Q372" s="384"/>
      <c r="R372" s="384"/>
      <c r="S372" s="384"/>
      <c r="T372" s="384"/>
      <c r="U372" s="384"/>
      <c r="V372" s="384"/>
      <c r="W372" s="384"/>
      <c r="X372" s="384"/>
      <c r="Y372" s="384"/>
      <c r="Z372" s="384"/>
      <c r="AA372" s="384"/>
    </row>
    <row r="373" spans="1:27" x14ac:dyDescent="0.2">
      <c r="A373" s="384"/>
      <c r="B373" s="384"/>
      <c r="C373" s="384"/>
      <c r="D373" s="384"/>
      <c r="E373" s="384"/>
      <c r="F373" s="384"/>
      <c r="G373" s="384"/>
      <c r="H373" s="384"/>
      <c r="I373" s="384"/>
      <c r="J373" s="384"/>
      <c r="K373" s="384"/>
      <c r="L373" s="384"/>
      <c r="M373" s="384"/>
      <c r="N373" s="384"/>
      <c r="O373" s="384"/>
      <c r="P373" s="384"/>
      <c r="Q373" s="384"/>
      <c r="R373" s="384"/>
      <c r="S373" s="384"/>
      <c r="T373" s="384"/>
      <c r="U373" s="384"/>
      <c r="V373" s="384"/>
      <c r="W373" s="384"/>
      <c r="X373" s="384"/>
      <c r="Y373" s="384"/>
      <c r="Z373" s="384"/>
      <c r="AA373" s="384"/>
    </row>
    <row r="374" spans="1:27" x14ac:dyDescent="0.2">
      <c r="A374" s="384"/>
      <c r="B374" s="384"/>
      <c r="C374" s="384"/>
      <c r="D374" s="384"/>
      <c r="E374" s="384"/>
      <c r="F374" s="384"/>
      <c r="G374" s="384"/>
      <c r="H374" s="384"/>
      <c r="I374" s="384"/>
      <c r="J374" s="384"/>
      <c r="K374" s="384"/>
      <c r="L374" s="384"/>
      <c r="M374" s="384"/>
      <c r="N374" s="384"/>
      <c r="O374" s="384"/>
      <c r="P374" s="384"/>
      <c r="Q374" s="384"/>
      <c r="R374" s="384"/>
      <c r="S374" s="384"/>
      <c r="T374" s="384"/>
      <c r="U374" s="384"/>
      <c r="V374" s="384"/>
      <c r="W374" s="384"/>
      <c r="X374" s="384"/>
      <c r="Y374" s="384"/>
      <c r="Z374" s="384"/>
      <c r="AA374" s="384"/>
    </row>
    <row r="375" spans="1:27" x14ac:dyDescent="0.2">
      <c r="A375" s="384"/>
      <c r="B375" s="384"/>
      <c r="C375" s="384"/>
      <c r="D375" s="384"/>
      <c r="E375" s="384"/>
      <c r="F375" s="384"/>
      <c r="G375" s="384"/>
      <c r="H375" s="384"/>
      <c r="I375" s="384"/>
      <c r="J375" s="384"/>
      <c r="K375" s="384"/>
      <c r="L375" s="384"/>
      <c r="M375" s="384"/>
      <c r="N375" s="384"/>
      <c r="O375" s="384"/>
      <c r="P375" s="384"/>
      <c r="Q375" s="384"/>
      <c r="R375" s="384"/>
      <c r="S375" s="384"/>
      <c r="T375" s="384"/>
      <c r="U375" s="384"/>
      <c r="V375" s="384"/>
      <c r="W375" s="384"/>
      <c r="X375" s="384"/>
      <c r="Y375" s="384"/>
      <c r="Z375" s="384"/>
      <c r="AA375" s="384"/>
    </row>
    <row r="376" spans="1:27" x14ac:dyDescent="0.2">
      <c r="A376" s="384"/>
      <c r="B376" s="384"/>
      <c r="C376" s="384"/>
      <c r="D376" s="384"/>
      <c r="E376" s="384"/>
      <c r="F376" s="384"/>
      <c r="G376" s="384"/>
      <c r="H376" s="384"/>
      <c r="I376" s="384"/>
      <c r="J376" s="384"/>
      <c r="K376" s="384"/>
      <c r="L376" s="384"/>
      <c r="M376" s="384"/>
      <c r="N376" s="384"/>
      <c r="O376" s="384"/>
      <c r="P376" s="384"/>
      <c r="Q376" s="384"/>
      <c r="R376" s="384"/>
      <c r="S376" s="384"/>
      <c r="T376" s="384"/>
      <c r="U376" s="384"/>
      <c r="V376" s="384"/>
      <c r="W376" s="384"/>
      <c r="X376" s="384"/>
      <c r="Y376" s="384"/>
      <c r="Z376" s="384"/>
      <c r="AA376" s="384"/>
    </row>
    <row r="377" spans="1:27" x14ac:dyDescent="0.2">
      <c r="A377" s="384"/>
      <c r="B377" s="384"/>
      <c r="C377" s="384"/>
      <c r="D377" s="384"/>
      <c r="E377" s="384"/>
      <c r="F377" s="384"/>
      <c r="G377" s="384"/>
      <c r="H377" s="384"/>
      <c r="I377" s="384"/>
      <c r="J377" s="384"/>
      <c r="K377" s="384"/>
      <c r="L377" s="384"/>
      <c r="M377" s="384"/>
      <c r="N377" s="384"/>
      <c r="O377" s="384"/>
      <c r="P377" s="384"/>
      <c r="Q377" s="384"/>
      <c r="R377" s="384"/>
      <c r="S377" s="384"/>
      <c r="T377" s="384"/>
      <c r="U377" s="384"/>
      <c r="V377" s="384"/>
      <c r="W377" s="384"/>
      <c r="X377" s="384"/>
      <c r="Y377" s="384"/>
      <c r="Z377" s="384"/>
      <c r="AA377" s="384"/>
    </row>
    <row r="378" spans="1:27" x14ac:dyDescent="0.2">
      <c r="A378" s="384"/>
      <c r="B378" s="384"/>
      <c r="C378" s="384"/>
      <c r="D378" s="384"/>
      <c r="E378" s="384"/>
      <c r="F378" s="384"/>
      <c r="G378" s="384"/>
      <c r="H378" s="384"/>
      <c r="I378" s="384"/>
      <c r="J378" s="384"/>
      <c r="K378" s="384"/>
      <c r="L378" s="384"/>
      <c r="M378" s="384"/>
      <c r="N378" s="384"/>
      <c r="O378" s="384"/>
      <c r="P378" s="384"/>
      <c r="Q378" s="384"/>
      <c r="R378" s="384"/>
      <c r="S378" s="384"/>
      <c r="T378" s="384"/>
      <c r="U378" s="384"/>
      <c r="V378" s="384"/>
      <c r="W378" s="384"/>
      <c r="X378" s="384"/>
      <c r="Y378" s="384"/>
      <c r="Z378" s="384"/>
      <c r="AA378" s="384"/>
    </row>
    <row r="379" spans="1:27" x14ac:dyDescent="0.2">
      <c r="A379" s="384"/>
      <c r="B379" s="384"/>
      <c r="C379" s="384"/>
      <c r="D379" s="384"/>
      <c r="E379" s="384"/>
      <c r="F379" s="384"/>
      <c r="G379" s="384"/>
      <c r="H379" s="384"/>
      <c r="I379" s="384"/>
      <c r="J379" s="384"/>
      <c r="K379" s="384"/>
      <c r="L379" s="384"/>
      <c r="M379" s="384"/>
      <c r="N379" s="384"/>
      <c r="O379" s="384"/>
      <c r="P379" s="384"/>
      <c r="Q379" s="384"/>
      <c r="R379" s="384"/>
      <c r="S379" s="384"/>
      <c r="T379" s="384"/>
      <c r="U379" s="384"/>
      <c r="V379" s="384"/>
      <c r="W379" s="384"/>
      <c r="X379" s="384"/>
      <c r="Y379" s="384"/>
      <c r="Z379" s="384"/>
      <c r="AA379" s="384"/>
    </row>
    <row r="380" spans="1:27" x14ac:dyDescent="0.2">
      <c r="A380" s="384"/>
      <c r="B380" s="384"/>
      <c r="C380" s="384"/>
      <c r="D380" s="384"/>
      <c r="E380" s="384"/>
      <c r="F380" s="384"/>
      <c r="G380" s="384"/>
      <c r="H380" s="384"/>
      <c r="I380" s="384"/>
      <c r="J380" s="384"/>
      <c r="K380" s="384"/>
      <c r="L380" s="384"/>
      <c r="M380" s="384"/>
      <c r="N380" s="384"/>
      <c r="O380" s="384"/>
      <c r="P380" s="384"/>
      <c r="Q380" s="384"/>
      <c r="R380" s="384"/>
      <c r="S380" s="384"/>
      <c r="T380" s="384"/>
      <c r="U380" s="384"/>
      <c r="V380" s="384"/>
      <c r="W380" s="384"/>
      <c r="X380" s="384"/>
      <c r="Y380" s="384"/>
      <c r="Z380" s="384"/>
      <c r="AA380" s="384"/>
    </row>
    <row r="381" spans="1:27" x14ac:dyDescent="0.2">
      <c r="A381" s="384"/>
      <c r="B381" s="384"/>
      <c r="C381" s="384"/>
      <c r="D381" s="384"/>
      <c r="E381" s="384"/>
      <c r="F381" s="384"/>
      <c r="G381" s="384"/>
      <c r="H381" s="384"/>
      <c r="I381" s="384"/>
      <c r="J381" s="384"/>
      <c r="K381" s="384"/>
      <c r="L381" s="384"/>
      <c r="M381" s="384"/>
      <c r="N381" s="384"/>
      <c r="O381" s="384"/>
      <c r="P381" s="384"/>
      <c r="Q381" s="384"/>
      <c r="R381" s="384"/>
      <c r="S381" s="384"/>
      <c r="T381" s="384"/>
      <c r="U381" s="384"/>
      <c r="V381" s="384"/>
      <c r="W381" s="384"/>
      <c r="X381" s="384"/>
      <c r="Y381" s="384"/>
      <c r="Z381" s="384"/>
      <c r="AA381" s="384"/>
    </row>
    <row r="382" spans="1:27" x14ac:dyDescent="0.2">
      <c r="A382" s="384"/>
      <c r="B382" s="384"/>
      <c r="C382" s="384"/>
      <c r="D382" s="384"/>
      <c r="E382" s="384"/>
      <c r="F382" s="384"/>
      <c r="G382" s="384"/>
      <c r="H382" s="384"/>
      <c r="I382" s="384"/>
      <c r="J382" s="384"/>
      <c r="K382" s="384"/>
      <c r="L382" s="384"/>
      <c r="M382" s="384"/>
      <c r="N382" s="384"/>
      <c r="O382" s="384"/>
      <c r="P382" s="384"/>
      <c r="Q382" s="384"/>
      <c r="R382" s="384"/>
      <c r="S382" s="384"/>
      <c r="T382" s="384"/>
      <c r="U382" s="384"/>
      <c r="V382" s="384"/>
      <c r="W382" s="384"/>
      <c r="X382" s="384"/>
      <c r="Y382" s="384"/>
      <c r="Z382" s="384"/>
      <c r="AA382" s="384"/>
    </row>
    <row r="383" spans="1:27" x14ac:dyDescent="0.2">
      <c r="A383" s="384"/>
      <c r="B383" s="384"/>
      <c r="C383" s="384"/>
      <c r="D383" s="384"/>
      <c r="E383" s="384"/>
      <c r="F383" s="384"/>
      <c r="G383" s="384"/>
      <c r="H383" s="384"/>
      <c r="I383" s="384"/>
      <c r="J383" s="384"/>
      <c r="K383" s="384"/>
      <c r="L383" s="384"/>
      <c r="M383" s="384"/>
      <c r="N383" s="384"/>
      <c r="O383" s="384"/>
      <c r="P383" s="384"/>
      <c r="Q383" s="384"/>
      <c r="R383" s="384"/>
      <c r="S383" s="384"/>
      <c r="T383" s="384"/>
      <c r="U383" s="384"/>
      <c r="V383" s="384"/>
      <c r="W383" s="384"/>
      <c r="X383" s="384"/>
      <c r="Y383" s="384"/>
      <c r="Z383" s="384"/>
      <c r="AA383" s="384"/>
    </row>
    <row r="384" spans="1:27" x14ac:dyDescent="0.2">
      <c r="A384" s="384"/>
      <c r="B384" s="384"/>
      <c r="C384" s="384"/>
      <c r="D384" s="384"/>
      <c r="E384" s="384"/>
      <c r="F384" s="384"/>
      <c r="G384" s="384"/>
      <c r="H384" s="384"/>
      <c r="I384" s="384"/>
      <c r="J384" s="384"/>
      <c r="K384" s="384"/>
      <c r="L384" s="384"/>
      <c r="M384" s="384"/>
      <c r="N384" s="384"/>
      <c r="O384" s="384"/>
      <c r="P384" s="384"/>
      <c r="Q384" s="384"/>
      <c r="R384" s="384"/>
      <c r="S384" s="384"/>
      <c r="T384" s="384"/>
      <c r="U384" s="384"/>
      <c r="V384" s="384"/>
      <c r="W384" s="384"/>
      <c r="X384" s="384"/>
      <c r="Y384" s="384"/>
      <c r="Z384" s="384"/>
      <c r="AA384" s="384"/>
    </row>
    <row r="385" spans="1:27" x14ac:dyDescent="0.2">
      <c r="A385" s="384"/>
      <c r="B385" s="384"/>
      <c r="C385" s="384"/>
      <c r="D385" s="384"/>
      <c r="E385" s="384"/>
      <c r="F385" s="384"/>
      <c r="G385" s="384"/>
      <c r="H385" s="384"/>
      <c r="I385" s="384"/>
      <c r="J385" s="384"/>
      <c r="K385" s="384"/>
      <c r="L385" s="384"/>
      <c r="M385" s="384"/>
      <c r="N385" s="384"/>
      <c r="O385" s="384"/>
      <c r="P385" s="384"/>
      <c r="Q385" s="384"/>
      <c r="R385" s="384"/>
      <c r="S385" s="384"/>
      <c r="T385" s="384"/>
      <c r="U385" s="384"/>
      <c r="V385" s="384"/>
      <c r="W385" s="384"/>
      <c r="X385" s="384"/>
      <c r="Y385" s="384"/>
      <c r="Z385" s="384"/>
      <c r="AA385" s="384"/>
    </row>
    <row r="386" spans="1:27" x14ac:dyDescent="0.2">
      <c r="A386" s="384"/>
      <c r="B386" s="384"/>
      <c r="C386" s="384"/>
      <c r="D386" s="384"/>
      <c r="E386" s="384"/>
      <c r="F386" s="384"/>
      <c r="G386" s="384"/>
      <c r="H386" s="384"/>
      <c r="I386" s="384"/>
      <c r="J386" s="384"/>
      <c r="K386" s="384"/>
      <c r="L386" s="384"/>
      <c r="M386" s="384"/>
      <c r="N386" s="384"/>
      <c r="O386" s="384"/>
      <c r="P386" s="384"/>
      <c r="Q386" s="384"/>
      <c r="R386" s="384"/>
      <c r="S386" s="384"/>
      <c r="T386" s="384"/>
      <c r="U386" s="384"/>
      <c r="V386" s="384"/>
      <c r="W386" s="384"/>
      <c r="X386" s="384"/>
      <c r="Y386" s="384"/>
      <c r="Z386" s="384"/>
      <c r="AA386" s="384"/>
    </row>
    <row r="387" spans="1:27" x14ac:dyDescent="0.2">
      <c r="A387" s="384"/>
      <c r="B387" s="384"/>
      <c r="C387" s="384"/>
      <c r="D387" s="384"/>
      <c r="E387" s="384"/>
      <c r="F387" s="384"/>
      <c r="G387" s="384"/>
      <c r="H387" s="384"/>
      <c r="I387" s="384"/>
      <c r="J387" s="384"/>
      <c r="K387" s="384"/>
      <c r="L387" s="384"/>
      <c r="M387" s="384"/>
      <c r="N387" s="384"/>
      <c r="O387" s="384"/>
      <c r="P387" s="384"/>
      <c r="Q387" s="384"/>
      <c r="R387" s="384"/>
      <c r="S387" s="384"/>
      <c r="T387" s="384"/>
      <c r="U387" s="384"/>
      <c r="V387" s="384"/>
      <c r="W387" s="384"/>
      <c r="X387" s="384"/>
      <c r="Y387" s="384"/>
      <c r="Z387" s="384"/>
      <c r="AA387" s="384"/>
    </row>
    <row r="388" spans="1:27" x14ac:dyDescent="0.2">
      <c r="A388" s="384"/>
      <c r="B388" s="384"/>
      <c r="C388" s="384"/>
      <c r="D388" s="384"/>
      <c r="E388" s="384"/>
      <c r="F388" s="384"/>
      <c r="G388" s="384"/>
      <c r="H388" s="384"/>
      <c r="I388" s="384"/>
      <c r="J388" s="384"/>
      <c r="K388" s="384"/>
      <c r="L388" s="384"/>
      <c r="M388" s="384"/>
      <c r="N388" s="384"/>
      <c r="O388" s="384"/>
      <c r="P388" s="384"/>
      <c r="Q388" s="384"/>
      <c r="R388" s="384"/>
      <c r="S388" s="384"/>
      <c r="T388" s="384"/>
      <c r="U388" s="384"/>
      <c r="V388" s="384"/>
      <c r="W388" s="384"/>
      <c r="X388" s="384"/>
      <c r="Y388" s="384"/>
      <c r="Z388" s="384"/>
      <c r="AA388" s="384"/>
    </row>
    <row r="389" spans="1:27" x14ac:dyDescent="0.2">
      <c r="A389" s="384"/>
      <c r="B389" s="384"/>
      <c r="C389" s="384"/>
      <c r="D389" s="384"/>
      <c r="E389" s="384"/>
      <c r="F389" s="384"/>
      <c r="G389" s="384"/>
      <c r="H389" s="384"/>
      <c r="I389" s="384"/>
      <c r="J389" s="384"/>
      <c r="K389" s="384"/>
      <c r="L389" s="384"/>
      <c r="M389" s="384"/>
      <c r="N389" s="384"/>
      <c r="O389" s="384"/>
      <c r="P389" s="384"/>
      <c r="Q389" s="384"/>
      <c r="R389" s="384"/>
      <c r="S389" s="384"/>
      <c r="T389" s="384"/>
      <c r="U389" s="384"/>
      <c r="V389" s="384"/>
      <c r="W389" s="384"/>
      <c r="X389" s="384"/>
      <c r="Y389" s="384"/>
      <c r="Z389" s="384"/>
      <c r="AA389" s="384"/>
    </row>
    <row r="390" spans="1:27" x14ac:dyDescent="0.2">
      <c r="A390" s="384"/>
      <c r="B390" s="384"/>
      <c r="C390" s="384"/>
      <c r="D390" s="384"/>
      <c r="E390" s="384"/>
      <c r="F390" s="384"/>
      <c r="G390" s="384"/>
      <c r="H390" s="384"/>
      <c r="I390" s="384"/>
      <c r="J390" s="384"/>
      <c r="K390" s="384"/>
      <c r="L390" s="384"/>
      <c r="M390" s="384"/>
      <c r="N390" s="384"/>
      <c r="O390" s="384"/>
      <c r="P390" s="384"/>
      <c r="Q390" s="384"/>
      <c r="R390" s="384"/>
      <c r="S390" s="384"/>
      <c r="T390" s="384"/>
      <c r="U390" s="384"/>
      <c r="V390" s="384"/>
      <c r="W390" s="384"/>
      <c r="X390" s="384"/>
      <c r="Y390" s="384"/>
      <c r="Z390" s="384"/>
      <c r="AA390" s="384"/>
    </row>
    <row r="391" spans="1:27" x14ac:dyDescent="0.2">
      <c r="A391" s="384"/>
      <c r="B391" s="384"/>
      <c r="C391" s="384"/>
      <c r="D391" s="384"/>
      <c r="E391" s="384"/>
      <c r="F391" s="384"/>
      <c r="G391" s="384"/>
      <c r="H391" s="384"/>
      <c r="I391" s="384"/>
      <c r="J391" s="384"/>
      <c r="K391" s="384"/>
      <c r="L391" s="384"/>
      <c r="M391" s="384"/>
      <c r="N391" s="384"/>
      <c r="O391" s="384"/>
      <c r="P391" s="384"/>
      <c r="Q391" s="384"/>
      <c r="R391" s="384"/>
      <c r="S391" s="384"/>
      <c r="T391" s="384"/>
      <c r="U391" s="384"/>
      <c r="V391" s="384"/>
      <c r="W391" s="384"/>
      <c r="X391" s="384"/>
      <c r="Y391" s="384"/>
      <c r="Z391" s="384"/>
      <c r="AA391" s="384"/>
    </row>
    <row r="392" spans="1:27" x14ac:dyDescent="0.2">
      <c r="A392" s="384"/>
      <c r="B392" s="384"/>
      <c r="C392" s="384"/>
      <c r="D392" s="384"/>
      <c r="E392" s="384"/>
      <c r="F392" s="384"/>
      <c r="G392" s="384"/>
      <c r="H392" s="384"/>
      <c r="I392" s="384"/>
      <c r="J392" s="384"/>
      <c r="K392" s="384"/>
      <c r="L392" s="384"/>
      <c r="M392" s="384"/>
      <c r="N392" s="384"/>
      <c r="O392" s="384"/>
      <c r="P392" s="384"/>
      <c r="Q392" s="384"/>
      <c r="R392" s="384"/>
      <c r="S392" s="384"/>
      <c r="T392" s="384"/>
      <c r="U392" s="384"/>
      <c r="V392" s="384"/>
      <c r="W392" s="384"/>
      <c r="X392" s="384"/>
      <c r="Y392" s="384"/>
      <c r="Z392" s="384"/>
      <c r="AA392" s="384"/>
    </row>
    <row r="393" spans="1:27" x14ac:dyDescent="0.2">
      <c r="A393" s="384"/>
      <c r="B393" s="384"/>
      <c r="C393" s="384"/>
      <c r="D393" s="384"/>
      <c r="E393" s="384"/>
      <c r="F393" s="384"/>
      <c r="G393" s="384"/>
      <c r="H393" s="384"/>
      <c r="I393" s="384"/>
      <c r="J393" s="384"/>
      <c r="K393" s="384"/>
      <c r="L393" s="384"/>
      <c r="M393" s="384"/>
      <c r="N393" s="384"/>
      <c r="O393" s="384"/>
      <c r="P393" s="384"/>
      <c r="Q393" s="384"/>
      <c r="R393" s="384"/>
      <c r="S393" s="384"/>
      <c r="T393" s="384"/>
      <c r="U393" s="384"/>
      <c r="V393" s="384"/>
      <c r="W393" s="384"/>
      <c r="X393" s="384"/>
      <c r="Y393" s="384"/>
      <c r="Z393" s="384"/>
      <c r="AA393" s="384"/>
    </row>
    <row r="394" spans="1:27" x14ac:dyDescent="0.2">
      <c r="A394" s="384"/>
      <c r="B394" s="384"/>
      <c r="C394" s="384"/>
      <c r="D394" s="384"/>
      <c r="E394" s="384"/>
      <c r="F394" s="384"/>
      <c r="G394" s="384"/>
      <c r="H394" s="384"/>
      <c r="I394" s="384"/>
      <c r="J394" s="384"/>
      <c r="K394" s="384"/>
      <c r="L394" s="384"/>
      <c r="M394" s="384"/>
      <c r="N394" s="384"/>
      <c r="O394" s="384"/>
      <c r="P394" s="384"/>
      <c r="Q394" s="384"/>
      <c r="R394" s="384"/>
      <c r="S394" s="384"/>
      <c r="T394" s="384"/>
      <c r="U394" s="384"/>
      <c r="V394" s="384"/>
      <c r="W394" s="384"/>
      <c r="X394" s="384"/>
      <c r="Y394" s="384"/>
      <c r="Z394" s="384"/>
      <c r="AA394" s="384"/>
    </row>
    <row r="395" spans="1:27" x14ac:dyDescent="0.2">
      <c r="A395" s="384"/>
      <c r="B395" s="384"/>
      <c r="C395" s="384"/>
      <c r="D395" s="384"/>
      <c r="E395" s="384"/>
      <c r="F395" s="384"/>
      <c r="G395" s="384"/>
      <c r="H395" s="384"/>
      <c r="I395" s="384"/>
      <c r="J395" s="384"/>
      <c r="K395" s="384"/>
      <c r="L395" s="384"/>
      <c r="M395" s="384"/>
      <c r="N395" s="384"/>
      <c r="O395" s="384"/>
      <c r="P395" s="384"/>
      <c r="Q395" s="384"/>
      <c r="R395" s="384"/>
      <c r="S395" s="384"/>
      <c r="T395" s="384"/>
      <c r="U395" s="384"/>
      <c r="V395" s="384"/>
      <c r="W395" s="384"/>
      <c r="X395" s="384"/>
      <c r="Y395" s="384"/>
      <c r="Z395" s="384"/>
      <c r="AA395" s="384"/>
    </row>
    <row r="396" spans="1:27" x14ac:dyDescent="0.2">
      <c r="A396" s="384"/>
      <c r="B396" s="384"/>
      <c r="C396" s="384"/>
      <c r="D396" s="384"/>
      <c r="E396" s="384"/>
      <c r="F396" s="384"/>
      <c r="G396" s="384"/>
      <c r="H396" s="384"/>
      <c r="I396" s="384"/>
      <c r="J396" s="384"/>
      <c r="K396" s="384"/>
      <c r="L396" s="384"/>
      <c r="M396" s="384"/>
      <c r="N396" s="384"/>
      <c r="O396" s="384"/>
      <c r="P396" s="384"/>
      <c r="Q396" s="384"/>
      <c r="R396" s="384"/>
      <c r="S396" s="384"/>
      <c r="T396" s="384"/>
      <c r="U396" s="384"/>
      <c r="V396" s="384"/>
      <c r="W396" s="384"/>
      <c r="X396" s="384"/>
      <c r="Y396" s="384"/>
      <c r="Z396" s="384"/>
      <c r="AA396" s="384"/>
    </row>
    <row r="397" spans="1:27" x14ac:dyDescent="0.2">
      <c r="A397" s="384"/>
      <c r="B397" s="384"/>
      <c r="C397" s="384"/>
      <c r="D397" s="384"/>
      <c r="E397" s="384"/>
      <c r="F397" s="384"/>
      <c r="G397" s="384"/>
      <c r="H397" s="384"/>
      <c r="I397" s="384"/>
      <c r="J397" s="384"/>
      <c r="K397" s="384"/>
      <c r="L397" s="384"/>
      <c r="M397" s="384"/>
      <c r="N397" s="384"/>
      <c r="O397" s="384"/>
      <c r="P397" s="384"/>
      <c r="Q397" s="384"/>
      <c r="R397" s="384"/>
      <c r="S397" s="384"/>
      <c r="T397" s="384"/>
      <c r="U397" s="384"/>
      <c r="V397" s="384"/>
      <c r="W397" s="384"/>
      <c r="X397" s="384"/>
      <c r="Y397" s="384"/>
      <c r="Z397" s="384"/>
      <c r="AA397" s="384"/>
    </row>
    <row r="398" spans="1:27" x14ac:dyDescent="0.2">
      <c r="A398" s="384"/>
      <c r="B398" s="384"/>
      <c r="C398" s="384"/>
      <c r="D398" s="384"/>
      <c r="E398" s="384"/>
      <c r="F398" s="384"/>
      <c r="G398" s="384"/>
      <c r="H398" s="384"/>
      <c r="I398" s="384"/>
      <c r="J398" s="384"/>
      <c r="K398" s="384"/>
      <c r="L398" s="384"/>
      <c r="M398" s="384"/>
      <c r="N398" s="384"/>
      <c r="O398" s="384"/>
      <c r="P398" s="384"/>
      <c r="Q398" s="384"/>
      <c r="R398" s="384"/>
      <c r="S398" s="384"/>
      <c r="T398" s="384"/>
      <c r="U398" s="384"/>
      <c r="V398" s="384"/>
      <c r="W398" s="384"/>
      <c r="X398" s="384"/>
      <c r="Y398" s="384"/>
      <c r="Z398" s="384"/>
      <c r="AA398" s="384"/>
    </row>
    <row r="399" spans="1:27" x14ac:dyDescent="0.2">
      <c r="A399" s="384"/>
      <c r="B399" s="384"/>
      <c r="C399" s="384"/>
      <c r="D399" s="384"/>
      <c r="E399" s="384"/>
      <c r="F399" s="384"/>
      <c r="G399" s="384"/>
      <c r="H399" s="384"/>
      <c r="I399" s="384"/>
      <c r="J399" s="384"/>
      <c r="K399" s="384"/>
      <c r="L399" s="384"/>
      <c r="M399" s="384"/>
      <c r="N399" s="384"/>
      <c r="O399" s="384"/>
      <c r="P399" s="384"/>
      <c r="Q399" s="384"/>
      <c r="R399" s="384"/>
      <c r="S399" s="384"/>
      <c r="T399" s="384"/>
      <c r="U399" s="384"/>
      <c r="V399" s="384"/>
      <c r="W399" s="384"/>
      <c r="X399" s="384"/>
      <c r="Y399" s="384"/>
      <c r="Z399" s="384"/>
      <c r="AA399" s="384"/>
    </row>
    <row r="400" spans="1:27" x14ac:dyDescent="0.2">
      <c r="A400" s="384"/>
      <c r="B400" s="384"/>
      <c r="C400" s="384"/>
      <c r="D400" s="384"/>
      <c r="E400" s="384"/>
      <c r="F400" s="384"/>
      <c r="G400" s="384"/>
      <c r="H400" s="384"/>
      <c r="I400" s="384"/>
      <c r="J400" s="384"/>
      <c r="K400" s="384"/>
      <c r="L400" s="384"/>
      <c r="M400" s="384"/>
      <c r="N400" s="384"/>
      <c r="O400" s="384"/>
      <c r="P400" s="384"/>
      <c r="Q400" s="384"/>
      <c r="R400" s="384"/>
      <c r="S400" s="384"/>
      <c r="T400" s="384"/>
      <c r="U400" s="384"/>
      <c r="V400" s="384"/>
      <c r="W400" s="384"/>
      <c r="X400" s="384"/>
      <c r="Y400" s="384"/>
      <c r="Z400" s="384"/>
      <c r="AA400" s="384"/>
    </row>
    <row r="401" spans="1:27" x14ac:dyDescent="0.2">
      <c r="A401" s="384"/>
      <c r="B401" s="384"/>
      <c r="C401" s="384"/>
      <c r="D401" s="384"/>
      <c r="E401" s="384"/>
      <c r="F401" s="384"/>
      <c r="G401" s="384"/>
      <c r="H401" s="384"/>
      <c r="I401" s="384"/>
      <c r="J401" s="384"/>
      <c r="K401" s="384"/>
      <c r="L401" s="384"/>
      <c r="M401" s="384"/>
      <c r="N401" s="384"/>
      <c r="O401" s="384"/>
      <c r="P401" s="384"/>
      <c r="Q401" s="384"/>
      <c r="R401" s="384"/>
      <c r="S401" s="384"/>
      <c r="T401" s="384"/>
      <c r="U401" s="384"/>
      <c r="V401" s="384"/>
      <c r="W401" s="384"/>
      <c r="X401" s="384"/>
      <c r="Y401" s="384"/>
      <c r="Z401" s="384"/>
      <c r="AA401" s="384"/>
    </row>
    <row r="402" spans="1:27" x14ac:dyDescent="0.2">
      <c r="A402" s="384"/>
      <c r="B402" s="384"/>
      <c r="C402" s="384"/>
      <c r="D402" s="384"/>
      <c r="E402" s="384"/>
      <c r="F402" s="384"/>
      <c r="G402" s="384"/>
      <c r="H402" s="384"/>
      <c r="I402" s="384"/>
      <c r="J402" s="384"/>
      <c r="K402" s="384"/>
      <c r="L402" s="384"/>
      <c r="M402" s="384"/>
      <c r="N402" s="384"/>
      <c r="O402" s="384"/>
      <c r="P402" s="384"/>
      <c r="Q402" s="384"/>
      <c r="R402" s="384"/>
      <c r="S402" s="384"/>
      <c r="T402" s="384"/>
      <c r="U402" s="384"/>
      <c r="V402" s="384"/>
      <c r="W402" s="384"/>
      <c r="X402" s="384"/>
      <c r="Y402" s="384"/>
      <c r="Z402" s="384"/>
      <c r="AA402" s="384"/>
    </row>
    <row r="403" spans="1:27" x14ac:dyDescent="0.2">
      <c r="A403" s="384"/>
      <c r="B403" s="384"/>
      <c r="C403" s="384"/>
      <c r="D403" s="384"/>
      <c r="E403" s="384"/>
      <c r="F403" s="384"/>
      <c r="G403" s="384"/>
      <c r="H403" s="384"/>
      <c r="I403" s="384"/>
      <c r="J403" s="384"/>
      <c r="K403" s="384"/>
      <c r="L403" s="384"/>
      <c r="M403" s="384"/>
      <c r="N403" s="384"/>
      <c r="O403" s="384"/>
      <c r="P403" s="384"/>
      <c r="Q403" s="384"/>
      <c r="R403" s="384"/>
      <c r="S403" s="384"/>
      <c r="T403" s="384"/>
      <c r="U403" s="384"/>
      <c r="V403" s="384"/>
      <c r="W403" s="384"/>
      <c r="X403" s="384"/>
      <c r="Y403" s="384"/>
      <c r="Z403" s="384"/>
      <c r="AA403" s="384"/>
    </row>
    <row r="404" spans="1:27" x14ac:dyDescent="0.2">
      <c r="A404" s="384"/>
      <c r="B404" s="384"/>
      <c r="C404" s="384"/>
      <c r="D404" s="384"/>
      <c r="E404" s="384"/>
      <c r="F404" s="384"/>
      <c r="G404" s="384"/>
      <c r="H404" s="384"/>
      <c r="I404" s="384"/>
      <c r="J404" s="384"/>
      <c r="K404" s="384"/>
      <c r="L404" s="384"/>
      <c r="M404" s="384"/>
      <c r="N404" s="384"/>
      <c r="O404" s="384"/>
      <c r="P404" s="384"/>
      <c r="Q404" s="384"/>
      <c r="R404" s="384"/>
      <c r="S404" s="384"/>
      <c r="T404" s="384"/>
      <c r="U404" s="384"/>
      <c r="V404" s="384"/>
      <c r="W404" s="384"/>
      <c r="X404" s="384"/>
      <c r="Y404" s="384"/>
      <c r="Z404" s="384"/>
      <c r="AA404" s="384"/>
    </row>
    <row r="405" spans="1:27" x14ac:dyDescent="0.2">
      <c r="A405" s="384"/>
      <c r="B405" s="384"/>
      <c r="C405" s="384"/>
      <c r="D405" s="384"/>
      <c r="E405" s="384"/>
      <c r="F405" s="384"/>
      <c r="G405" s="384"/>
      <c r="H405" s="384"/>
      <c r="I405" s="384"/>
      <c r="J405" s="384"/>
      <c r="K405" s="384"/>
      <c r="L405" s="384"/>
      <c r="M405" s="384"/>
      <c r="N405" s="384"/>
      <c r="O405" s="384"/>
      <c r="P405" s="384"/>
      <c r="Q405" s="384"/>
      <c r="R405" s="384"/>
      <c r="S405" s="384"/>
      <c r="T405" s="384"/>
      <c r="U405" s="384"/>
      <c r="V405" s="384"/>
      <c r="W405" s="384"/>
      <c r="X405" s="384"/>
      <c r="Y405" s="384"/>
      <c r="Z405" s="384"/>
      <c r="AA405" s="384"/>
    </row>
    <row r="406" spans="1:27" x14ac:dyDescent="0.2">
      <c r="A406" s="384"/>
      <c r="B406" s="384"/>
      <c r="C406" s="384"/>
      <c r="D406" s="384"/>
      <c r="E406" s="384"/>
      <c r="F406" s="384"/>
      <c r="G406" s="384"/>
      <c r="H406" s="384"/>
      <c r="I406" s="384"/>
      <c r="J406" s="384"/>
      <c r="K406" s="384"/>
      <c r="L406" s="384"/>
      <c r="M406" s="384"/>
      <c r="N406" s="384"/>
      <c r="O406" s="384"/>
      <c r="P406" s="384"/>
      <c r="Q406" s="384"/>
      <c r="R406" s="384"/>
      <c r="S406" s="384"/>
      <c r="T406" s="384"/>
      <c r="U406" s="384"/>
      <c r="V406" s="384"/>
      <c r="W406" s="384"/>
      <c r="X406" s="384"/>
      <c r="Y406" s="384"/>
      <c r="Z406" s="384"/>
      <c r="AA406" s="384"/>
    </row>
    <row r="407" spans="1:27" x14ac:dyDescent="0.2">
      <c r="A407" s="384"/>
      <c r="B407" s="384"/>
      <c r="C407" s="384"/>
      <c r="D407" s="384"/>
      <c r="E407" s="384"/>
      <c r="F407" s="384"/>
      <c r="G407" s="384"/>
      <c r="H407" s="384"/>
      <c r="I407" s="384"/>
      <c r="J407" s="384"/>
      <c r="K407" s="384"/>
      <c r="L407" s="384"/>
      <c r="M407" s="384"/>
      <c r="N407" s="384"/>
      <c r="O407" s="384"/>
      <c r="P407" s="384"/>
      <c r="Q407" s="384"/>
      <c r="R407" s="384"/>
      <c r="S407" s="384"/>
      <c r="T407" s="384"/>
      <c r="U407" s="384"/>
      <c r="V407" s="384"/>
      <c r="W407" s="384"/>
      <c r="X407" s="384"/>
      <c r="Y407" s="384"/>
      <c r="Z407" s="384"/>
      <c r="AA407" s="384"/>
    </row>
    <row r="408" spans="1:27" x14ac:dyDescent="0.2">
      <c r="A408" s="384"/>
      <c r="B408" s="384"/>
      <c r="C408" s="384"/>
      <c r="D408" s="384"/>
      <c r="E408" s="384"/>
      <c r="F408" s="384"/>
      <c r="G408" s="384"/>
      <c r="H408" s="384"/>
      <c r="I408" s="384"/>
      <c r="J408" s="384"/>
      <c r="K408" s="384"/>
      <c r="L408" s="384"/>
      <c r="M408" s="384"/>
      <c r="N408" s="384"/>
      <c r="O408" s="384"/>
      <c r="P408" s="384"/>
      <c r="Q408" s="384"/>
      <c r="R408" s="384"/>
      <c r="S408" s="384"/>
      <c r="T408" s="384"/>
      <c r="U408" s="384"/>
      <c r="V408" s="384"/>
      <c r="W408" s="384"/>
      <c r="X408" s="384"/>
      <c r="Y408" s="384"/>
      <c r="Z408" s="384"/>
      <c r="AA408" s="384"/>
    </row>
    <row r="409" spans="1:27" x14ac:dyDescent="0.2">
      <c r="A409" s="384"/>
      <c r="B409" s="384"/>
      <c r="C409" s="384"/>
      <c r="D409" s="384"/>
      <c r="E409" s="384"/>
      <c r="F409" s="384"/>
      <c r="G409" s="384"/>
      <c r="H409" s="384"/>
      <c r="I409" s="384"/>
      <c r="J409" s="384"/>
      <c r="K409" s="384"/>
      <c r="L409" s="384"/>
      <c r="M409" s="384"/>
      <c r="N409" s="384"/>
      <c r="O409" s="384"/>
      <c r="P409" s="384"/>
      <c r="Q409" s="384"/>
      <c r="R409" s="384"/>
      <c r="S409" s="384"/>
      <c r="T409" s="384"/>
      <c r="U409" s="384"/>
      <c r="V409" s="384"/>
      <c r="W409" s="384"/>
      <c r="X409" s="384"/>
      <c r="Y409" s="384"/>
      <c r="Z409" s="384"/>
      <c r="AA409" s="384"/>
    </row>
    <row r="410" spans="1:27" x14ac:dyDescent="0.2">
      <c r="A410" s="384"/>
      <c r="B410" s="384"/>
      <c r="C410" s="384"/>
      <c r="D410" s="384"/>
      <c r="E410" s="384"/>
      <c r="F410" s="384"/>
      <c r="G410" s="384"/>
      <c r="H410" s="384"/>
      <c r="I410" s="384"/>
      <c r="J410" s="384"/>
      <c r="K410" s="384"/>
      <c r="L410" s="384"/>
      <c r="M410" s="384"/>
      <c r="N410" s="384"/>
      <c r="O410" s="384"/>
      <c r="P410" s="384"/>
      <c r="Q410" s="384"/>
      <c r="R410" s="384"/>
      <c r="S410" s="384"/>
      <c r="T410" s="384"/>
      <c r="U410" s="384"/>
      <c r="V410" s="384"/>
      <c r="W410" s="384"/>
      <c r="X410" s="384"/>
      <c r="Y410" s="384"/>
      <c r="Z410" s="384"/>
      <c r="AA410" s="384"/>
    </row>
    <row r="411" spans="1:27" x14ac:dyDescent="0.2">
      <c r="A411" s="384"/>
      <c r="B411" s="384"/>
      <c r="C411" s="384"/>
      <c r="D411" s="384"/>
      <c r="E411" s="384"/>
      <c r="F411" s="384"/>
      <c r="G411" s="384"/>
      <c r="H411" s="384"/>
      <c r="I411" s="384"/>
      <c r="J411" s="384"/>
      <c r="K411" s="384"/>
      <c r="L411" s="384"/>
      <c r="M411" s="384"/>
      <c r="N411" s="384"/>
      <c r="O411" s="384"/>
      <c r="P411" s="384"/>
      <c r="Q411" s="384"/>
      <c r="R411" s="384"/>
      <c r="S411" s="384"/>
      <c r="T411" s="384"/>
      <c r="U411" s="384"/>
      <c r="V411" s="384"/>
      <c r="W411" s="384"/>
      <c r="X411" s="384"/>
      <c r="Y411" s="384"/>
      <c r="Z411" s="384"/>
      <c r="AA411" s="384"/>
    </row>
    <row r="412" spans="1:27" x14ac:dyDescent="0.2">
      <c r="A412" s="384"/>
      <c r="B412" s="384"/>
      <c r="C412" s="384"/>
      <c r="D412" s="384"/>
      <c r="E412" s="384"/>
      <c r="F412" s="384"/>
      <c r="G412" s="384"/>
      <c r="H412" s="384"/>
      <c r="I412" s="384"/>
      <c r="J412" s="384"/>
      <c r="K412" s="384"/>
      <c r="L412" s="384"/>
      <c r="M412" s="384"/>
      <c r="N412" s="384"/>
      <c r="O412" s="384"/>
      <c r="P412" s="384"/>
      <c r="Q412" s="384"/>
      <c r="R412" s="384"/>
      <c r="S412" s="384"/>
      <c r="T412" s="384"/>
      <c r="U412" s="384"/>
      <c r="V412" s="384"/>
      <c r="W412" s="384"/>
      <c r="X412" s="384"/>
      <c r="Y412" s="384"/>
      <c r="Z412" s="384"/>
      <c r="AA412" s="384"/>
    </row>
    <row r="413" spans="1:27" x14ac:dyDescent="0.2">
      <c r="A413" s="384"/>
      <c r="B413" s="384"/>
      <c r="C413" s="384"/>
      <c r="D413" s="384"/>
      <c r="E413" s="384"/>
      <c r="F413" s="384"/>
      <c r="G413" s="384"/>
      <c r="H413" s="384"/>
      <c r="I413" s="384"/>
      <c r="J413" s="384"/>
      <c r="K413" s="384"/>
      <c r="L413" s="384"/>
      <c r="M413" s="384"/>
      <c r="N413" s="384"/>
      <c r="O413" s="384"/>
      <c r="P413" s="384"/>
      <c r="Q413" s="384"/>
      <c r="R413" s="384"/>
      <c r="S413" s="384"/>
      <c r="T413" s="384"/>
      <c r="U413" s="384"/>
      <c r="V413" s="384"/>
      <c r="W413" s="384"/>
      <c r="X413" s="384"/>
      <c r="Y413" s="384"/>
      <c r="Z413" s="384"/>
      <c r="AA413" s="384"/>
    </row>
    <row r="414" spans="1:27" x14ac:dyDescent="0.2">
      <c r="A414" s="384"/>
      <c r="B414" s="384"/>
      <c r="C414" s="384"/>
      <c r="D414" s="384"/>
      <c r="E414" s="384"/>
      <c r="F414" s="384"/>
      <c r="G414" s="384"/>
      <c r="H414" s="384"/>
      <c r="I414" s="384"/>
      <c r="J414" s="384"/>
      <c r="K414" s="384"/>
      <c r="L414" s="384"/>
      <c r="M414" s="384"/>
      <c r="N414" s="384"/>
      <c r="O414" s="384"/>
      <c r="P414" s="384"/>
      <c r="Q414" s="384"/>
      <c r="R414" s="384"/>
      <c r="S414" s="384"/>
      <c r="T414" s="384"/>
      <c r="U414" s="384"/>
      <c r="V414" s="384"/>
      <c r="W414" s="384"/>
      <c r="X414" s="384"/>
      <c r="Y414" s="384"/>
      <c r="Z414" s="384"/>
      <c r="AA414" s="384"/>
    </row>
    <row r="415" spans="1:27" x14ac:dyDescent="0.2">
      <c r="A415" s="384"/>
      <c r="B415" s="384"/>
      <c r="C415" s="384"/>
      <c r="D415" s="384"/>
      <c r="E415" s="384"/>
      <c r="F415" s="384"/>
      <c r="G415" s="384"/>
      <c r="H415" s="384"/>
      <c r="I415" s="384"/>
      <c r="J415" s="384"/>
      <c r="K415" s="384"/>
      <c r="L415" s="384"/>
      <c r="M415" s="384"/>
      <c r="N415" s="384"/>
      <c r="O415" s="384"/>
      <c r="P415" s="384"/>
      <c r="Q415" s="384"/>
      <c r="R415" s="384"/>
      <c r="S415" s="384"/>
      <c r="T415" s="384"/>
      <c r="U415" s="384"/>
      <c r="V415" s="384"/>
      <c r="W415" s="384"/>
      <c r="X415" s="384"/>
      <c r="Y415" s="384"/>
      <c r="Z415" s="384"/>
      <c r="AA415" s="384"/>
    </row>
    <row r="416" spans="1:27" x14ac:dyDescent="0.2">
      <c r="A416" s="384"/>
      <c r="B416" s="384"/>
      <c r="C416" s="384"/>
      <c r="D416" s="384"/>
      <c r="E416" s="384"/>
      <c r="F416" s="384"/>
      <c r="G416" s="384"/>
      <c r="H416" s="384"/>
      <c r="I416" s="384"/>
      <c r="J416" s="384"/>
      <c r="K416" s="384"/>
      <c r="L416" s="384"/>
      <c r="M416" s="384"/>
      <c r="N416" s="384"/>
      <c r="O416" s="384"/>
      <c r="P416" s="384"/>
      <c r="Q416" s="384"/>
      <c r="R416" s="384"/>
      <c r="S416" s="384"/>
      <c r="T416" s="384"/>
      <c r="U416" s="384"/>
      <c r="V416" s="384"/>
      <c r="W416" s="384"/>
      <c r="X416" s="384"/>
      <c r="Y416" s="384"/>
      <c r="Z416" s="384"/>
      <c r="AA416" s="384"/>
    </row>
    <row r="417" spans="1:27" x14ac:dyDescent="0.2">
      <c r="A417" s="384"/>
      <c r="B417" s="384"/>
      <c r="C417" s="384"/>
      <c r="D417" s="384"/>
      <c r="E417" s="384"/>
      <c r="F417" s="384"/>
      <c r="G417" s="384"/>
      <c r="H417" s="384"/>
      <c r="I417" s="384"/>
      <c r="J417" s="384"/>
      <c r="K417" s="384"/>
      <c r="L417" s="384"/>
      <c r="M417" s="384"/>
      <c r="N417" s="384"/>
      <c r="O417" s="384"/>
      <c r="P417" s="384"/>
      <c r="Q417" s="384"/>
      <c r="R417" s="384"/>
      <c r="S417" s="384"/>
      <c r="T417" s="384"/>
      <c r="U417" s="384"/>
      <c r="V417" s="384"/>
      <c r="W417" s="384"/>
      <c r="X417" s="384"/>
      <c r="Y417" s="384"/>
      <c r="Z417" s="384"/>
      <c r="AA417" s="384"/>
    </row>
    <row r="418" spans="1:27" x14ac:dyDescent="0.2">
      <c r="A418" s="384"/>
      <c r="B418" s="384"/>
      <c r="C418" s="384"/>
      <c r="D418" s="384"/>
      <c r="E418" s="384"/>
      <c r="F418" s="384"/>
      <c r="G418" s="384"/>
      <c r="H418" s="384"/>
      <c r="I418" s="384"/>
      <c r="J418" s="384"/>
      <c r="K418" s="384"/>
      <c r="L418" s="384"/>
      <c r="M418" s="384"/>
      <c r="N418" s="384"/>
      <c r="O418" s="384"/>
      <c r="P418" s="384"/>
      <c r="Q418" s="384"/>
      <c r="R418" s="384"/>
      <c r="S418" s="384"/>
      <c r="T418" s="384"/>
      <c r="U418" s="384"/>
      <c r="V418" s="384"/>
      <c r="W418" s="384"/>
      <c r="X418" s="384"/>
      <c r="Y418" s="384"/>
      <c r="Z418" s="384"/>
      <c r="AA418" s="384"/>
    </row>
    <row r="419" spans="1:27" x14ac:dyDescent="0.2">
      <c r="A419" s="384"/>
      <c r="B419" s="384"/>
      <c r="C419" s="384"/>
      <c r="D419" s="384"/>
      <c r="E419" s="384"/>
      <c r="F419" s="384"/>
      <c r="G419" s="384"/>
      <c r="H419" s="384"/>
      <c r="I419" s="384"/>
      <c r="J419" s="384"/>
      <c r="K419" s="384"/>
      <c r="L419" s="384"/>
      <c r="M419" s="384"/>
      <c r="N419" s="384"/>
      <c r="O419" s="384"/>
      <c r="P419" s="384"/>
      <c r="Q419" s="384"/>
      <c r="R419" s="384"/>
      <c r="S419" s="384"/>
      <c r="T419" s="384"/>
      <c r="U419" s="384"/>
      <c r="V419" s="384"/>
      <c r="W419" s="384"/>
      <c r="X419" s="384"/>
      <c r="Y419" s="384"/>
      <c r="Z419" s="384"/>
      <c r="AA419" s="384"/>
    </row>
    <row r="420" spans="1:27" x14ac:dyDescent="0.2">
      <c r="A420" s="384"/>
      <c r="B420" s="384"/>
      <c r="C420" s="384"/>
      <c r="D420" s="384"/>
      <c r="E420" s="384"/>
      <c r="F420" s="384"/>
      <c r="G420" s="384"/>
      <c r="H420" s="384"/>
      <c r="I420" s="384"/>
      <c r="J420" s="384"/>
      <c r="K420" s="384"/>
      <c r="L420" s="384"/>
      <c r="M420" s="384"/>
      <c r="N420" s="384"/>
      <c r="O420" s="384"/>
      <c r="P420" s="384"/>
      <c r="Q420" s="384"/>
      <c r="R420" s="384"/>
      <c r="S420" s="384"/>
      <c r="T420" s="384"/>
      <c r="U420" s="384"/>
      <c r="V420" s="384"/>
      <c r="W420" s="384"/>
      <c r="X420" s="384"/>
      <c r="Y420" s="384"/>
      <c r="Z420" s="384"/>
      <c r="AA420" s="384"/>
    </row>
    <row r="421" spans="1:27" x14ac:dyDescent="0.2">
      <c r="A421" s="384"/>
      <c r="B421" s="384"/>
      <c r="C421" s="384"/>
      <c r="D421" s="384"/>
      <c r="E421" s="384"/>
      <c r="F421" s="384"/>
      <c r="G421" s="384"/>
      <c r="H421" s="384"/>
      <c r="I421" s="384"/>
      <c r="J421" s="384"/>
      <c r="K421" s="384"/>
      <c r="L421" s="384"/>
      <c r="M421" s="384"/>
      <c r="N421" s="384"/>
      <c r="O421" s="384"/>
      <c r="P421" s="384"/>
      <c r="Q421" s="384"/>
      <c r="R421" s="384"/>
      <c r="S421" s="384"/>
      <c r="T421" s="384"/>
      <c r="U421" s="384"/>
      <c r="V421" s="384"/>
      <c r="W421" s="384"/>
      <c r="X421" s="384"/>
      <c r="Y421" s="384"/>
      <c r="Z421" s="384"/>
      <c r="AA421" s="384"/>
    </row>
    <row r="422" spans="1:27" x14ac:dyDescent="0.2">
      <c r="A422" s="384"/>
      <c r="B422" s="384"/>
      <c r="C422" s="384"/>
      <c r="D422" s="384"/>
      <c r="E422" s="384"/>
      <c r="F422" s="384"/>
      <c r="G422" s="384"/>
      <c r="H422" s="384"/>
      <c r="I422" s="384"/>
      <c r="J422" s="384"/>
      <c r="K422" s="384"/>
      <c r="L422" s="384"/>
      <c r="M422" s="384"/>
      <c r="N422" s="384"/>
      <c r="O422" s="384"/>
      <c r="P422" s="384"/>
      <c r="Q422" s="384"/>
      <c r="R422" s="384"/>
      <c r="S422" s="384"/>
      <c r="T422" s="384"/>
      <c r="U422" s="384"/>
      <c r="V422" s="384"/>
      <c r="W422" s="384"/>
      <c r="X422" s="384"/>
      <c r="Y422" s="384"/>
      <c r="Z422" s="384"/>
      <c r="AA422" s="384"/>
    </row>
    <row r="423" spans="1:27" x14ac:dyDescent="0.2">
      <c r="A423" s="384"/>
      <c r="B423" s="384"/>
      <c r="C423" s="384"/>
      <c r="D423" s="384"/>
      <c r="E423" s="384"/>
      <c r="F423" s="384"/>
      <c r="G423" s="384"/>
      <c r="H423" s="384"/>
      <c r="I423" s="384"/>
      <c r="J423" s="384"/>
      <c r="K423" s="384"/>
      <c r="L423" s="384"/>
      <c r="M423" s="384"/>
      <c r="N423" s="384"/>
      <c r="O423" s="384"/>
      <c r="P423" s="384"/>
      <c r="Q423" s="384"/>
      <c r="R423" s="384"/>
      <c r="S423" s="384"/>
      <c r="T423" s="384"/>
      <c r="U423" s="384"/>
      <c r="V423" s="384"/>
      <c r="W423" s="384"/>
      <c r="X423" s="384"/>
      <c r="Y423" s="384"/>
      <c r="Z423" s="384"/>
      <c r="AA423" s="384"/>
    </row>
    <row r="424" spans="1:27" x14ac:dyDescent="0.2">
      <c r="A424" s="384"/>
      <c r="B424" s="384"/>
      <c r="C424" s="384"/>
      <c r="D424" s="384"/>
      <c r="E424" s="384"/>
      <c r="F424" s="384"/>
      <c r="G424" s="384"/>
      <c r="H424" s="384"/>
      <c r="I424" s="384"/>
      <c r="J424" s="384"/>
      <c r="K424" s="384"/>
      <c r="L424" s="384"/>
      <c r="M424" s="384"/>
      <c r="N424" s="384"/>
      <c r="O424" s="384"/>
      <c r="P424" s="384"/>
      <c r="Q424" s="384"/>
      <c r="R424" s="384"/>
      <c r="S424" s="384"/>
      <c r="T424" s="384"/>
      <c r="U424" s="384"/>
      <c r="V424" s="384"/>
      <c r="W424" s="384"/>
      <c r="X424" s="384"/>
      <c r="Y424" s="384"/>
      <c r="Z424" s="384"/>
      <c r="AA424" s="384"/>
    </row>
    <row r="425" spans="1:27" x14ac:dyDescent="0.2">
      <c r="A425" s="384"/>
      <c r="B425" s="384"/>
      <c r="C425" s="384"/>
      <c r="D425" s="384"/>
      <c r="E425" s="384"/>
      <c r="F425" s="384"/>
      <c r="G425" s="384"/>
      <c r="H425" s="384"/>
      <c r="I425" s="384"/>
      <c r="J425" s="384"/>
      <c r="K425" s="384"/>
      <c r="L425" s="384"/>
      <c r="M425" s="384"/>
      <c r="N425" s="384"/>
      <c r="O425" s="384"/>
      <c r="P425" s="384"/>
      <c r="Q425" s="384"/>
      <c r="R425" s="384"/>
      <c r="S425" s="384"/>
      <c r="T425" s="384"/>
      <c r="U425" s="384"/>
      <c r="V425" s="384"/>
      <c r="W425" s="384"/>
      <c r="X425" s="384"/>
      <c r="Y425" s="384"/>
      <c r="Z425" s="384"/>
      <c r="AA425" s="384"/>
    </row>
    <row r="426" spans="1:27" x14ac:dyDescent="0.2">
      <c r="A426" s="384"/>
      <c r="B426" s="384"/>
      <c r="C426" s="384"/>
      <c r="D426" s="384"/>
      <c r="E426" s="384"/>
      <c r="F426" s="384"/>
      <c r="G426" s="384"/>
      <c r="H426" s="384"/>
      <c r="I426" s="384"/>
      <c r="J426" s="384"/>
      <c r="K426" s="384"/>
      <c r="L426" s="384"/>
      <c r="M426" s="384"/>
      <c r="N426" s="384"/>
      <c r="O426" s="384"/>
      <c r="P426" s="384"/>
      <c r="Q426" s="384"/>
      <c r="R426" s="384"/>
      <c r="S426" s="384"/>
      <c r="T426" s="384"/>
      <c r="U426" s="384"/>
      <c r="V426" s="384"/>
      <c r="W426" s="384"/>
      <c r="X426" s="384"/>
      <c r="Y426" s="384"/>
      <c r="Z426" s="384"/>
      <c r="AA426" s="384"/>
    </row>
    <row r="427" spans="1:27" x14ac:dyDescent="0.2">
      <c r="A427" s="384"/>
      <c r="B427" s="384"/>
      <c r="C427" s="384"/>
      <c r="D427" s="384"/>
      <c r="E427" s="384"/>
      <c r="F427" s="384"/>
      <c r="G427" s="384"/>
      <c r="H427" s="384"/>
      <c r="I427" s="384"/>
      <c r="J427" s="384"/>
      <c r="K427" s="384"/>
      <c r="L427" s="384"/>
      <c r="M427" s="384"/>
      <c r="N427" s="384"/>
      <c r="O427" s="384"/>
      <c r="P427" s="384"/>
      <c r="Q427" s="384"/>
      <c r="R427" s="384"/>
      <c r="S427" s="384"/>
      <c r="T427" s="384"/>
      <c r="U427" s="384"/>
      <c r="V427" s="384"/>
      <c r="W427" s="384"/>
      <c r="X427" s="384"/>
      <c r="Y427" s="384"/>
      <c r="Z427" s="384"/>
      <c r="AA427" s="384"/>
    </row>
    <row r="428" spans="1:27" x14ac:dyDescent="0.2">
      <c r="A428" s="384"/>
      <c r="B428" s="384"/>
      <c r="C428" s="384"/>
      <c r="D428" s="384"/>
      <c r="E428" s="384"/>
      <c r="F428" s="384"/>
      <c r="G428" s="384"/>
      <c r="H428" s="384"/>
      <c r="I428" s="384"/>
      <c r="J428" s="384"/>
      <c r="K428" s="384"/>
      <c r="L428" s="384"/>
      <c r="M428" s="384"/>
      <c r="N428" s="384"/>
      <c r="O428" s="384"/>
      <c r="P428" s="384"/>
      <c r="Q428" s="384"/>
      <c r="R428" s="384"/>
      <c r="S428" s="384"/>
      <c r="T428" s="384"/>
      <c r="U428" s="384"/>
      <c r="V428" s="384"/>
      <c r="W428" s="384"/>
      <c r="X428" s="384"/>
      <c r="Y428" s="384"/>
      <c r="Z428" s="384"/>
      <c r="AA428" s="384"/>
    </row>
    <row r="429" spans="1:27" x14ac:dyDescent="0.2">
      <c r="A429" s="384"/>
      <c r="B429" s="384"/>
      <c r="C429" s="384"/>
      <c r="D429" s="384"/>
      <c r="E429" s="384"/>
      <c r="F429" s="384"/>
      <c r="G429" s="384"/>
      <c r="H429" s="384"/>
      <c r="I429" s="384"/>
      <c r="J429" s="384"/>
      <c r="K429" s="384"/>
      <c r="L429" s="384"/>
      <c r="M429" s="384"/>
      <c r="N429" s="384"/>
      <c r="O429" s="384"/>
      <c r="P429" s="384"/>
      <c r="Q429" s="384"/>
      <c r="R429" s="384"/>
      <c r="S429" s="384"/>
      <c r="T429" s="384"/>
      <c r="U429" s="384"/>
      <c r="V429" s="384"/>
      <c r="W429" s="384"/>
      <c r="X429" s="384"/>
      <c r="Y429" s="384"/>
      <c r="Z429" s="384"/>
      <c r="AA429" s="384"/>
    </row>
    <row r="430" spans="1:27" x14ac:dyDescent="0.2">
      <c r="A430" s="384"/>
      <c r="B430" s="384"/>
      <c r="C430" s="384"/>
      <c r="D430" s="384"/>
      <c r="E430" s="384"/>
      <c r="F430" s="384"/>
      <c r="G430" s="384"/>
      <c r="H430" s="384"/>
      <c r="I430" s="384"/>
      <c r="J430" s="384"/>
      <c r="K430" s="384"/>
      <c r="L430" s="384"/>
      <c r="M430" s="384"/>
      <c r="N430" s="384"/>
      <c r="O430" s="384"/>
      <c r="P430" s="384"/>
      <c r="Q430" s="384"/>
      <c r="R430" s="384"/>
      <c r="S430" s="384"/>
      <c r="T430" s="384"/>
      <c r="U430" s="384"/>
      <c r="V430" s="384"/>
      <c r="W430" s="384"/>
      <c r="X430" s="384"/>
      <c r="Y430" s="384"/>
      <c r="Z430" s="384"/>
      <c r="AA430" s="384"/>
    </row>
    <row r="431" spans="1:27" x14ac:dyDescent="0.2">
      <c r="A431" s="384"/>
      <c r="B431" s="384"/>
      <c r="C431" s="384"/>
      <c r="D431" s="384"/>
      <c r="E431" s="384"/>
      <c r="F431" s="384"/>
      <c r="G431" s="384"/>
      <c r="H431" s="384"/>
      <c r="I431" s="384"/>
      <c r="J431" s="384"/>
      <c r="K431" s="384"/>
      <c r="L431" s="384"/>
      <c r="M431" s="384"/>
      <c r="N431" s="384"/>
      <c r="O431" s="384"/>
      <c r="P431" s="384"/>
      <c r="Q431" s="384"/>
      <c r="R431" s="384"/>
      <c r="S431" s="384"/>
      <c r="T431" s="384"/>
      <c r="U431" s="384"/>
      <c r="V431" s="384"/>
      <c r="W431" s="384"/>
      <c r="X431" s="384"/>
      <c r="Y431" s="384"/>
      <c r="Z431" s="384"/>
      <c r="AA431" s="384"/>
    </row>
    <row r="432" spans="1:27" x14ac:dyDescent="0.2">
      <c r="A432" s="384"/>
      <c r="B432" s="384"/>
      <c r="C432" s="384"/>
      <c r="D432" s="384"/>
      <c r="E432" s="384"/>
      <c r="F432" s="384"/>
      <c r="G432" s="384"/>
      <c r="H432" s="384"/>
      <c r="I432" s="384"/>
      <c r="J432" s="384"/>
      <c r="K432" s="384"/>
      <c r="L432" s="384"/>
      <c r="M432" s="384"/>
      <c r="N432" s="384"/>
      <c r="O432" s="384"/>
      <c r="P432" s="384"/>
      <c r="Q432" s="384"/>
      <c r="R432" s="384"/>
      <c r="S432" s="384"/>
      <c r="T432" s="384"/>
      <c r="U432" s="384"/>
      <c r="V432" s="384"/>
      <c r="W432" s="384"/>
      <c r="X432" s="384"/>
      <c r="Y432" s="384"/>
      <c r="Z432" s="384"/>
      <c r="AA432" s="384"/>
    </row>
    <row r="433" spans="1:27" x14ac:dyDescent="0.2">
      <c r="A433" s="384"/>
      <c r="B433" s="384"/>
      <c r="C433" s="384"/>
      <c r="D433" s="384"/>
      <c r="E433" s="384"/>
      <c r="F433" s="384"/>
      <c r="G433" s="384"/>
      <c r="H433" s="384"/>
      <c r="I433" s="384"/>
      <c r="J433" s="384"/>
      <c r="K433" s="384"/>
      <c r="L433" s="384"/>
      <c r="M433" s="384"/>
      <c r="N433" s="384"/>
      <c r="O433" s="384"/>
      <c r="P433" s="384"/>
      <c r="Q433" s="384"/>
      <c r="R433" s="384"/>
      <c r="S433" s="384"/>
      <c r="T433" s="384"/>
      <c r="U433" s="384"/>
      <c r="V433" s="384"/>
      <c r="W433" s="384"/>
      <c r="X433" s="384"/>
      <c r="Y433" s="384"/>
      <c r="Z433" s="384"/>
      <c r="AA433" s="384"/>
    </row>
    <row r="434" spans="1:27" x14ac:dyDescent="0.2">
      <c r="A434" s="384"/>
      <c r="B434" s="384"/>
      <c r="C434" s="384"/>
      <c r="D434" s="384"/>
      <c r="E434" s="384"/>
      <c r="F434" s="384"/>
      <c r="G434" s="384"/>
      <c r="H434" s="384"/>
      <c r="I434" s="384"/>
      <c r="J434" s="384"/>
      <c r="K434" s="384"/>
      <c r="L434" s="384"/>
      <c r="M434" s="384"/>
      <c r="N434" s="384"/>
      <c r="O434" s="384"/>
      <c r="P434" s="384"/>
      <c r="Q434" s="384"/>
      <c r="R434" s="384"/>
      <c r="S434" s="384"/>
      <c r="T434" s="384"/>
      <c r="U434" s="384"/>
      <c r="V434" s="384"/>
      <c r="W434" s="384"/>
      <c r="X434" s="384"/>
      <c r="Y434" s="384"/>
      <c r="Z434" s="384"/>
      <c r="AA434" s="384"/>
    </row>
    <row r="435" spans="1:27" x14ac:dyDescent="0.2">
      <c r="A435" s="384"/>
      <c r="B435" s="384"/>
      <c r="C435" s="384"/>
      <c r="D435" s="384"/>
      <c r="E435" s="384"/>
      <c r="F435" s="384"/>
      <c r="G435" s="384"/>
      <c r="H435" s="384"/>
      <c r="I435" s="384"/>
      <c r="J435" s="384"/>
      <c r="K435" s="384"/>
      <c r="L435" s="384"/>
      <c r="M435" s="384"/>
      <c r="N435" s="384"/>
      <c r="O435" s="384"/>
      <c r="P435" s="384"/>
      <c r="Q435" s="384"/>
      <c r="R435" s="384"/>
      <c r="S435" s="384"/>
      <c r="T435" s="384"/>
      <c r="U435" s="384"/>
      <c r="V435" s="384"/>
      <c r="W435" s="384"/>
      <c r="X435" s="384"/>
      <c r="Y435" s="384"/>
      <c r="Z435" s="384"/>
      <c r="AA435" s="384"/>
    </row>
    <row r="436" spans="1:27" x14ac:dyDescent="0.2">
      <c r="A436" s="384"/>
      <c r="B436" s="384"/>
      <c r="C436" s="384"/>
      <c r="D436" s="384"/>
      <c r="E436" s="384"/>
      <c r="F436" s="384"/>
      <c r="G436" s="384"/>
      <c r="H436" s="384"/>
      <c r="I436" s="384"/>
      <c r="J436" s="384"/>
      <c r="K436" s="384"/>
      <c r="L436" s="384"/>
      <c r="M436" s="384"/>
      <c r="N436" s="384"/>
      <c r="O436" s="384"/>
      <c r="P436" s="384"/>
      <c r="Q436" s="384"/>
      <c r="R436" s="384"/>
      <c r="S436" s="384"/>
      <c r="T436" s="384"/>
      <c r="U436" s="384"/>
      <c r="V436" s="384"/>
      <c r="W436" s="384"/>
      <c r="X436" s="384"/>
      <c r="Y436" s="384"/>
      <c r="Z436" s="384"/>
      <c r="AA436" s="384"/>
    </row>
    <row r="437" spans="1:27" x14ac:dyDescent="0.2">
      <c r="A437" s="384"/>
      <c r="B437" s="384"/>
      <c r="C437" s="384"/>
      <c r="D437" s="384"/>
      <c r="E437" s="384"/>
      <c r="F437" s="384"/>
      <c r="G437" s="384"/>
      <c r="H437" s="384"/>
      <c r="I437" s="384"/>
      <c r="J437" s="384"/>
      <c r="K437" s="384"/>
      <c r="L437" s="384"/>
      <c r="M437" s="384"/>
      <c r="N437" s="384"/>
      <c r="O437" s="384"/>
      <c r="P437" s="384"/>
      <c r="Q437" s="384"/>
      <c r="R437" s="384"/>
      <c r="S437" s="384"/>
      <c r="T437" s="384"/>
      <c r="U437" s="384"/>
      <c r="V437" s="384"/>
      <c r="W437" s="384"/>
      <c r="X437" s="384"/>
      <c r="Y437" s="384"/>
      <c r="Z437" s="384"/>
      <c r="AA437" s="384"/>
    </row>
    <row r="438" spans="1:27" x14ac:dyDescent="0.2">
      <c r="A438" s="384"/>
      <c r="B438" s="384"/>
      <c r="C438" s="384"/>
      <c r="D438" s="384"/>
      <c r="E438" s="384"/>
      <c r="F438" s="384"/>
      <c r="G438" s="384"/>
      <c r="H438" s="384"/>
      <c r="I438" s="384"/>
      <c r="J438" s="384"/>
      <c r="K438" s="384"/>
      <c r="L438" s="384"/>
      <c r="M438" s="384"/>
      <c r="N438" s="384"/>
      <c r="O438" s="384"/>
      <c r="P438" s="384"/>
      <c r="Q438" s="384"/>
      <c r="R438" s="384"/>
      <c r="S438" s="384"/>
      <c r="T438" s="384"/>
      <c r="U438" s="384"/>
      <c r="V438" s="384"/>
      <c r="W438" s="384"/>
      <c r="X438" s="384"/>
      <c r="Y438" s="384"/>
      <c r="Z438" s="384"/>
      <c r="AA438" s="384"/>
    </row>
    <row r="439" spans="1:27" x14ac:dyDescent="0.2">
      <c r="A439" s="384"/>
      <c r="B439" s="384"/>
      <c r="C439" s="384"/>
      <c r="D439" s="384"/>
      <c r="E439" s="384"/>
      <c r="F439" s="384"/>
      <c r="G439" s="384"/>
      <c r="H439" s="384"/>
      <c r="I439" s="384"/>
      <c r="J439" s="384"/>
      <c r="K439" s="384"/>
      <c r="L439" s="384"/>
      <c r="M439" s="384"/>
      <c r="N439" s="384"/>
      <c r="O439" s="384"/>
      <c r="P439" s="384"/>
      <c r="Q439" s="384"/>
      <c r="R439" s="384"/>
      <c r="S439" s="384"/>
      <c r="T439" s="384"/>
      <c r="U439" s="384"/>
      <c r="V439" s="384"/>
      <c r="W439" s="384"/>
      <c r="X439" s="384"/>
      <c r="Y439" s="384"/>
      <c r="Z439" s="384"/>
      <c r="AA439" s="384"/>
    </row>
    <row r="440" spans="1:27" x14ac:dyDescent="0.2">
      <c r="A440" s="384"/>
      <c r="B440" s="384"/>
      <c r="C440" s="384"/>
      <c r="D440" s="384"/>
      <c r="E440" s="384"/>
      <c r="F440" s="384"/>
      <c r="G440" s="384"/>
      <c r="H440" s="384"/>
      <c r="I440" s="384"/>
      <c r="J440" s="384"/>
      <c r="K440" s="384"/>
      <c r="L440" s="384"/>
      <c r="M440" s="384"/>
      <c r="N440" s="384"/>
      <c r="O440" s="384"/>
      <c r="P440" s="384"/>
      <c r="Q440" s="384"/>
      <c r="R440" s="384"/>
      <c r="S440" s="384"/>
      <c r="T440" s="384"/>
      <c r="U440" s="384"/>
      <c r="V440" s="384"/>
      <c r="W440" s="384"/>
      <c r="X440" s="384"/>
      <c r="Y440" s="384"/>
      <c r="Z440" s="384"/>
      <c r="AA440" s="384"/>
    </row>
    <row r="441" spans="1:27" x14ac:dyDescent="0.2">
      <c r="A441" s="384"/>
      <c r="B441" s="384"/>
      <c r="C441" s="384"/>
      <c r="D441" s="384"/>
      <c r="E441" s="384"/>
      <c r="F441" s="384"/>
      <c r="G441" s="384"/>
      <c r="H441" s="384"/>
      <c r="I441" s="384"/>
      <c r="J441" s="384"/>
      <c r="K441" s="384"/>
      <c r="L441" s="384"/>
      <c r="M441" s="384"/>
      <c r="N441" s="384"/>
      <c r="O441" s="384"/>
      <c r="P441" s="384"/>
      <c r="Q441" s="384"/>
      <c r="R441" s="384"/>
      <c r="S441" s="384"/>
      <c r="T441" s="384"/>
      <c r="U441" s="384"/>
      <c r="V441" s="384"/>
      <c r="W441" s="384"/>
      <c r="X441" s="384"/>
      <c r="Y441" s="384"/>
      <c r="Z441" s="384"/>
      <c r="AA441" s="384"/>
    </row>
    <row r="442" spans="1:27" x14ac:dyDescent="0.2">
      <c r="A442" s="384"/>
      <c r="B442" s="384"/>
      <c r="C442" s="384"/>
      <c r="D442" s="384"/>
      <c r="E442" s="384"/>
      <c r="F442" s="384"/>
      <c r="G442" s="384"/>
      <c r="H442" s="384"/>
      <c r="I442" s="384"/>
      <c r="J442" s="384"/>
      <c r="K442" s="384"/>
      <c r="L442" s="384"/>
      <c r="M442" s="384"/>
      <c r="N442" s="384"/>
      <c r="O442" s="384"/>
      <c r="P442" s="384"/>
      <c r="Q442" s="384"/>
      <c r="R442" s="384"/>
      <c r="S442" s="384"/>
      <c r="T442" s="384"/>
      <c r="U442" s="384"/>
      <c r="V442" s="384"/>
      <c r="W442" s="384"/>
      <c r="X442" s="384"/>
      <c r="Y442" s="384"/>
      <c r="Z442" s="384"/>
      <c r="AA442" s="384"/>
    </row>
    <row r="443" spans="1:27" x14ac:dyDescent="0.2">
      <c r="A443" s="384"/>
      <c r="B443" s="384"/>
      <c r="C443" s="384"/>
      <c r="D443" s="384"/>
      <c r="E443" s="384"/>
      <c r="F443" s="384"/>
      <c r="G443" s="384"/>
      <c r="H443" s="384"/>
      <c r="I443" s="384"/>
      <c r="J443" s="384"/>
      <c r="K443" s="384"/>
      <c r="L443" s="384"/>
      <c r="M443" s="384"/>
      <c r="N443" s="384"/>
      <c r="O443" s="384"/>
      <c r="P443" s="384"/>
      <c r="Q443" s="384"/>
      <c r="R443" s="384"/>
      <c r="S443" s="384"/>
      <c r="T443" s="384"/>
      <c r="U443" s="384"/>
      <c r="V443" s="384"/>
      <c r="W443" s="384"/>
      <c r="X443" s="384"/>
      <c r="Y443" s="384"/>
      <c r="Z443" s="384"/>
      <c r="AA443" s="384"/>
    </row>
    <row r="444" spans="1:27" x14ac:dyDescent="0.2">
      <c r="A444" s="384"/>
      <c r="B444" s="384"/>
      <c r="C444" s="384"/>
      <c r="D444" s="384"/>
      <c r="E444" s="384"/>
      <c r="F444" s="384"/>
      <c r="G444" s="384"/>
      <c r="H444" s="384"/>
      <c r="I444" s="384"/>
      <c r="J444" s="384"/>
      <c r="K444" s="384"/>
      <c r="L444" s="384"/>
      <c r="M444" s="384"/>
      <c r="N444" s="384"/>
      <c r="O444" s="384"/>
      <c r="P444" s="384"/>
      <c r="Q444" s="384"/>
      <c r="R444" s="384"/>
      <c r="S444" s="384"/>
      <c r="T444" s="384"/>
      <c r="U444" s="384"/>
      <c r="V444" s="384"/>
      <c r="W444" s="384"/>
      <c r="X444" s="384"/>
      <c r="Y444" s="384"/>
      <c r="Z444" s="384"/>
      <c r="AA444" s="384"/>
    </row>
    <row r="445" spans="1:27" x14ac:dyDescent="0.2">
      <c r="A445" s="384"/>
      <c r="B445" s="384"/>
      <c r="C445" s="384"/>
      <c r="D445" s="384"/>
      <c r="E445" s="384"/>
      <c r="F445" s="384"/>
      <c r="G445" s="384"/>
      <c r="H445" s="384"/>
      <c r="I445" s="384"/>
      <c r="J445" s="384"/>
      <c r="K445" s="384"/>
      <c r="L445" s="384"/>
      <c r="M445" s="384"/>
      <c r="N445" s="384"/>
      <c r="O445" s="384"/>
      <c r="P445" s="384"/>
      <c r="Q445" s="384"/>
      <c r="R445" s="384"/>
      <c r="S445" s="384"/>
      <c r="T445" s="384"/>
      <c r="U445" s="384"/>
      <c r="V445" s="384"/>
      <c r="W445" s="384"/>
      <c r="X445" s="384"/>
      <c r="Y445" s="384"/>
      <c r="Z445" s="384"/>
      <c r="AA445" s="384"/>
    </row>
    <row r="446" spans="1:27" x14ac:dyDescent="0.2">
      <c r="A446" s="384"/>
      <c r="B446" s="384"/>
      <c r="C446" s="384"/>
      <c r="D446" s="384"/>
      <c r="E446" s="384"/>
      <c r="F446" s="384"/>
      <c r="G446" s="384"/>
      <c r="H446" s="384"/>
      <c r="I446" s="384"/>
      <c r="J446" s="384"/>
      <c r="K446" s="384"/>
      <c r="L446" s="384"/>
      <c r="M446" s="384"/>
      <c r="N446" s="384"/>
      <c r="O446" s="384"/>
      <c r="P446" s="384"/>
      <c r="Q446" s="384"/>
      <c r="R446" s="384"/>
      <c r="S446" s="384"/>
      <c r="T446" s="384"/>
      <c r="U446" s="384"/>
      <c r="V446" s="384"/>
      <c r="W446" s="384"/>
      <c r="X446" s="384"/>
      <c r="Y446" s="384"/>
      <c r="Z446" s="384"/>
      <c r="AA446" s="384"/>
    </row>
    <row r="447" spans="1:27" x14ac:dyDescent="0.2">
      <c r="A447" s="384"/>
      <c r="B447" s="384"/>
      <c r="C447" s="384"/>
      <c r="D447" s="384"/>
      <c r="E447" s="384"/>
      <c r="F447" s="384"/>
      <c r="G447" s="384"/>
      <c r="H447" s="384"/>
      <c r="I447" s="384"/>
      <c r="J447" s="384"/>
      <c r="K447" s="384"/>
      <c r="L447" s="384"/>
      <c r="M447" s="384"/>
      <c r="N447" s="384"/>
      <c r="O447" s="384"/>
      <c r="P447" s="384"/>
      <c r="Q447" s="384"/>
      <c r="R447" s="384"/>
      <c r="S447" s="384"/>
      <c r="T447" s="384"/>
      <c r="U447" s="384"/>
      <c r="V447" s="384"/>
      <c r="W447" s="384"/>
      <c r="X447" s="384"/>
      <c r="Y447" s="384"/>
      <c r="Z447" s="384"/>
      <c r="AA447" s="384"/>
    </row>
    <row r="448" spans="1:27" x14ac:dyDescent="0.2">
      <c r="A448" s="384"/>
      <c r="B448" s="384"/>
      <c r="C448" s="384"/>
      <c r="D448" s="384"/>
      <c r="E448" s="384"/>
      <c r="F448" s="384"/>
      <c r="G448" s="384"/>
      <c r="H448" s="384"/>
      <c r="I448" s="384"/>
      <c r="J448" s="384"/>
      <c r="K448" s="384"/>
      <c r="L448" s="384"/>
      <c r="M448" s="384"/>
      <c r="N448" s="384"/>
      <c r="O448" s="384"/>
      <c r="P448" s="384"/>
      <c r="Q448" s="384"/>
      <c r="R448" s="384"/>
      <c r="S448" s="384"/>
      <c r="T448" s="384"/>
      <c r="U448" s="384"/>
      <c r="V448" s="384"/>
      <c r="W448" s="384"/>
      <c r="X448" s="384"/>
      <c r="Y448" s="384"/>
      <c r="Z448" s="384"/>
      <c r="AA448" s="384"/>
    </row>
    <row r="449" spans="1:27" x14ac:dyDescent="0.2">
      <c r="A449" s="384"/>
      <c r="B449" s="384"/>
      <c r="C449" s="384"/>
      <c r="D449" s="384"/>
      <c r="E449" s="384"/>
      <c r="F449" s="384"/>
      <c r="G449" s="384"/>
      <c r="H449" s="384"/>
      <c r="I449" s="384"/>
      <c r="J449" s="384"/>
      <c r="K449" s="384"/>
      <c r="L449" s="384"/>
      <c r="M449" s="384"/>
      <c r="N449" s="384"/>
      <c r="O449" s="384"/>
      <c r="P449" s="384"/>
      <c r="Q449" s="384"/>
      <c r="R449" s="384"/>
      <c r="S449" s="384"/>
      <c r="T449" s="384"/>
      <c r="U449" s="384"/>
      <c r="V449" s="384"/>
      <c r="W449" s="384"/>
      <c r="X449" s="384"/>
      <c r="Y449" s="384"/>
      <c r="Z449" s="384"/>
      <c r="AA449" s="384"/>
    </row>
    <row r="450" spans="1:27" x14ac:dyDescent="0.2">
      <c r="A450" s="384"/>
      <c r="B450" s="384"/>
      <c r="C450" s="384"/>
      <c r="D450" s="384"/>
      <c r="E450" s="384"/>
      <c r="F450" s="384"/>
      <c r="G450" s="384"/>
      <c r="H450" s="384"/>
      <c r="I450" s="384"/>
      <c r="J450" s="384"/>
      <c r="K450" s="384"/>
      <c r="L450" s="384"/>
      <c r="M450" s="384"/>
      <c r="N450" s="384"/>
      <c r="O450" s="384"/>
      <c r="P450" s="384"/>
      <c r="Q450" s="384"/>
      <c r="R450" s="384"/>
      <c r="S450" s="384"/>
      <c r="T450" s="384"/>
      <c r="U450" s="384"/>
      <c r="V450" s="384"/>
      <c r="W450" s="384"/>
      <c r="X450" s="384"/>
      <c r="Y450" s="384"/>
      <c r="Z450" s="384"/>
      <c r="AA450" s="384"/>
    </row>
    <row r="451" spans="1:27" x14ac:dyDescent="0.2">
      <c r="A451" s="384"/>
      <c r="B451" s="384"/>
      <c r="C451" s="384"/>
      <c r="D451" s="384"/>
      <c r="E451" s="384"/>
      <c r="F451" s="384"/>
      <c r="G451" s="384"/>
      <c r="H451" s="384"/>
      <c r="I451" s="384"/>
      <c r="J451" s="384"/>
      <c r="K451" s="384"/>
      <c r="L451" s="384"/>
      <c r="M451" s="384"/>
      <c r="N451" s="384"/>
      <c r="O451" s="384"/>
      <c r="P451" s="384"/>
      <c r="Q451" s="384"/>
      <c r="R451" s="384"/>
      <c r="S451" s="384"/>
      <c r="T451" s="384"/>
      <c r="U451" s="384"/>
      <c r="V451" s="384"/>
      <c r="W451" s="384"/>
      <c r="X451" s="384"/>
      <c r="Y451" s="384"/>
      <c r="Z451" s="384"/>
      <c r="AA451" s="384"/>
    </row>
    <row r="452" spans="1:27" x14ac:dyDescent="0.2">
      <c r="A452" s="384"/>
      <c r="B452" s="384"/>
      <c r="C452" s="384"/>
      <c r="D452" s="384"/>
      <c r="E452" s="384"/>
      <c r="F452" s="384"/>
      <c r="G452" s="384"/>
      <c r="H452" s="384"/>
      <c r="I452" s="384"/>
      <c r="J452" s="384"/>
      <c r="K452" s="384"/>
      <c r="L452" s="384"/>
      <c r="M452" s="384"/>
      <c r="N452" s="384"/>
      <c r="O452" s="384"/>
      <c r="P452" s="384"/>
      <c r="Q452" s="384"/>
      <c r="R452" s="384"/>
      <c r="S452" s="384"/>
      <c r="T452" s="384"/>
      <c r="U452" s="384"/>
      <c r="V452" s="384"/>
      <c r="W452" s="384"/>
      <c r="X452" s="384"/>
      <c r="Y452" s="384"/>
      <c r="Z452" s="384"/>
      <c r="AA452" s="384"/>
    </row>
    <row r="453" spans="1:27" x14ac:dyDescent="0.2">
      <c r="A453" s="384"/>
      <c r="B453" s="384"/>
      <c r="C453" s="384"/>
      <c r="D453" s="384"/>
      <c r="E453" s="384"/>
      <c r="F453" s="384"/>
      <c r="G453" s="384"/>
      <c r="H453" s="384"/>
      <c r="I453" s="384"/>
      <c r="J453" s="384"/>
      <c r="K453" s="384"/>
      <c r="L453" s="384"/>
      <c r="M453" s="384"/>
      <c r="N453" s="384"/>
      <c r="O453" s="384"/>
      <c r="P453" s="384"/>
      <c r="Q453" s="384"/>
      <c r="R453" s="384"/>
      <c r="S453" s="384"/>
      <c r="T453" s="384"/>
      <c r="U453" s="384"/>
      <c r="V453" s="384"/>
      <c r="W453" s="384"/>
      <c r="X453" s="384"/>
      <c r="Y453" s="384"/>
      <c r="Z453" s="384"/>
      <c r="AA453" s="384"/>
    </row>
    <row r="454" spans="1:27" x14ac:dyDescent="0.2">
      <c r="A454" s="384"/>
      <c r="B454" s="384"/>
      <c r="C454" s="384"/>
      <c r="D454" s="384"/>
      <c r="E454" s="384"/>
      <c r="F454" s="384"/>
      <c r="G454" s="384"/>
      <c r="H454" s="384"/>
      <c r="I454" s="384"/>
      <c r="J454" s="384"/>
      <c r="K454" s="384"/>
      <c r="L454" s="384"/>
      <c r="M454" s="384"/>
      <c r="N454" s="384"/>
      <c r="O454" s="384"/>
      <c r="P454" s="384"/>
      <c r="Q454" s="384"/>
      <c r="R454" s="384"/>
      <c r="S454" s="384"/>
      <c r="T454" s="384"/>
      <c r="U454" s="384"/>
      <c r="V454" s="384"/>
      <c r="W454" s="384"/>
      <c r="X454" s="384"/>
      <c r="Y454" s="384"/>
      <c r="Z454" s="384"/>
      <c r="AA454" s="384"/>
    </row>
    <row r="455" spans="1:27" x14ac:dyDescent="0.2">
      <c r="A455" s="384"/>
      <c r="B455" s="384"/>
      <c r="C455" s="384"/>
      <c r="D455" s="384"/>
      <c r="E455" s="384"/>
      <c r="F455" s="384"/>
      <c r="G455" s="384"/>
      <c r="H455" s="384"/>
      <c r="I455" s="384"/>
      <c r="J455" s="384"/>
      <c r="K455" s="384"/>
      <c r="L455" s="384"/>
      <c r="M455" s="384"/>
      <c r="N455" s="384"/>
      <c r="O455" s="384"/>
      <c r="P455" s="384"/>
      <c r="Q455" s="384"/>
      <c r="R455" s="384"/>
      <c r="S455" s="384"/>
      <c r="T455" s="384"/>
      <c r="U455" s="384"/>
      <c r="V455" s="384"/>
      <c r="W455" s="384"/>
      <c r="X455" s="384"/>
      <c r="Y455" s="384"/>
      <c r="Z455" s="384"/>
      <c r="AA455" s="384"/>
    </row>
    <row r="456" spans="1:27" x14ac:dyDescent="0.2">
      <c r="A456" s="384"/>
      <c r="B456" s="384"/>
      <c r="C456" s="384"/>
      <c r="D456" s="384"/>
      <c r="E456" s="384"/>
      <c r="F456" s="384"/>
      <c r="G456" s="384"/>
      <c r="H456" s="384"/>
      <c r="I456" s="384"/>
      <c r="J456" s="384"/>
      <c r="K456" s="384"/>
      <c r="L456" s="384"/>
      <c r="M456" s="384"/>
      <c r="N456" s="384"/>
      <c r="O456" s="384"/>
      <c r="P456" s="384"/>
      <c r="Q456" s="384"/>
      <c r="R456" s="384"/>
      <c r="S456" s="384"/>
      <c r="T456" s="384"/>
      <c r="U456" s="384"/>
      <c r="V456" s="384"/>
      <c r="W456" s="384"/>
      <c r="X456" s="384"/>
      <c r="Y456" s="384"/>
      <c r="Z456" s="384"/>
      <c r="AA456" s="384"/>
    </row>
    <row r="457" spans="1:27" x14ac:dyDescent="0.2">
      <c r="A457" s="384"/>
      <c r="B457" s="384"/>
      <c r="C457" s="384"/>
      <c r="D457" s="384"/>
      <c r="E457" s="384"/>
      <c r="F457" s="384"/>
      <c r="G457" s="384"/>
      <c r="H457" s="384"/>
      <c r="I457" s="384"/>
      <c r="J457" s="384"/>
      <c r="K457" s="384"/>
      <c r="L457" s="384"/>
      <c r="M457" s="384"/>
      <c r="N457" s="384"/>
      <c r="O457" s="384"/>
      <c r="P457" s="384"/>
      <c r="Q457" s="384"/>
      <c r="R457" s="384"/>
      <c r="S457" s="384"/>
      <c r="T457" s="384"/>
      <c r="U457" s="384"/>
      <c r="V457" s="384"/>
      <c r="W457" s="384"/>
      <c r="X457" s="384"/>
      <c r="Y457" s="384"/>
      <c r="Z457" s="384"/>
      <c r="AA457" s="384"/>
    </row>
    <row r="458" spans="1:27" x14ac:dyDescent="0.2">
      <c r="A458" s="384"/>
      <c r="B458" s="384"/>
      <c r="C458" s="384"/>
      <c r="D458" s="384"/>
      <c r="E458" s="384"/>
      <c r="F458" s="384"/>
      <c r="G458" s="384"/>
      <c r="H458" s="384"/>
      <c r="I458" s="384"/>
      <c r="J458" s="384"/>
      <c r="K458" s="384"/>
      <c r="L458" s="384"/>
      <c r="M458" s="384"/>
      <c r="N458" s="384"/>
      <c r="O458" s="384"/>
      <c r="P458" s="384"/>
      <c r="Q458" s="384"/>
      <c r="R458" s="384"/>
      <c r="S458" s="384"/>
      <c r="T458" s="384"/>
      <c r="U458" s="384"/>
      <c r="V458" s="384"/>
      <c r="W458" s="384"/>
      <c r="X458" s="384"/>
      <c r="Y458" s="384"/>
      <c r="Z458" s="384"/>
      <c r="AA458" s="384"/>
    </row>
    <row r="459" spans="1:27" x14ac:dyDescent="0.2">
      <c r="A459" s="384"/>
      <c r="B459" s="384"/>
      <c r="C459" s="384"/>
      <c r="D459" s="384"/>
      <c r="E459" s="384"/>
      <c r="F459" s="384"/>
      <c r="G459" s="384"/>
      <c r="H459" s="384"/>
      <c r="I459" s="384"/>
      <c r="J459" s="384"/>
      <c r="K459" s="384"/>
      <c r="L459" s="384"/>
      <c r="M459" s="384"/>
      <c r="N459" s="384"/>
      <c r="O459" s="384"/>
      <c r="P459" s="384"/>
      <c r="Q459" s="384"/>
      <c r="R459" s="384"/>
      <c r="S459" s="384"/>
      <c r="T459" s="384"/>
      <c r="U459" s="384"/>
      <c r="V459" s="384"/>
      <c r="W459" s="384"/>
      <c r="X459" s="384"/>
      <c r="Y459" s="384"/>
      <c r="Z459" s="384"/>
      <c r="AA459" s="384"/>
    </row>
    <row r="460" spans="1:27" x14ac:dyDescent="0.2">
      <c r="A460" s="384"/>
      <c r="B460" s="384"/>
      <c r="C460" s="384"/>
      <c r="D460" s="384"/>
      <c r="E460" s="384"/>
      <c r="F460" s="384"/>
      <c r="G460" s="384"/>
      <c r="H460" s="384"/>
      <c r="I460" s="384"/>
      <c r="J460" s="384"/>
      <c r="K460" s="384"/>
      <c r="L460" s="384"/>
      <c r="M460" s="384"/>
      <c r="N460" s="384"/>
      <c r="O460" s="384"/>
      <c r="P460" s="384"/>
      <c r="Q460" s="384"/>
      <c r="R460" s="384"/>
      <c r="S460" s="384"/>
      <c r="T460" s="384"/>
      <c r="U460" s="384"/>
      <c r="V460" s="384"/>
      <c r="W460" s="384"/>
      <c r="X460" s="384"/>
      <c r="Y460" s="384"/>
      <c r="Z460" s="384"/>
      <c r="AA460" s="384"/>
    </row>
    <row r="461" spans="1:27" x14ac:dyDescent="0.2">
      <c r="A461" s="384"/>
      <c r="B461" s="384"/>
      <c r="C461" s="384"/>
      <c r="D461" s="384"/>
      <c r="E461" s="384"/>
      <c r="F461" s="384"/>
      <c r="G461" s="384"/>
      <c r="H461" s="384"/>
      <c r="I461" s="384"/>
      <c r="J461" s="384"/>
      <c r="K461" s="384"/>
      <c r="L461" s="384"/>
      <c r="M461" s="384"/>
      <c r="N461" s="384"/>
      <c r="O461" s="384"/>
      <c r="P461" s="384"/>
      <c r="Q461" s="384"/>
      <c r="R461" s="384"/>
      <c r="S461" s="384"/>
      <c r="T461" s="384"/>
      <c r="U461" s="384"/>
      <c r="V461" s="384"/>
      <c r="W461" s="384"/>
      <c r="X461" s="384"/>
      <c r="Y461" s="384"/>
      <c r="Z461" s="384"/>
      <c r="AA461" s="384"/>
    </row>
    <row r="462" spans="1:27" x14ac:dyDescent="0.2">
      <c r="A462" s="384"/>
      <c r="B462" s="384"/>
      <c r="C462" s="384"/>
      <c r="D462" s="384"/>
      <c r="E462" s="384"/>
      <c r="F462" s="384"/>
      <c r="G462" s="384"/>
      <c r="H462" s="384"/>
      <c r="I462" s="384"/>
      <c r="J462" s="384"/>
      <c r="K462" s="384"/>
      <c r="L462" s="384"/>
      <c r="M462" s="384"/>
      <c r="N462" s="384"/>
      <c r="O462" s="384"/>
      <c r="P462" s="384"/>
      <c r="Q462" s="384"/>
      <c r="R462" s="384"/>
      <c r="S462" s="384"/>
      <c r="T462" s="384"/>
      <c r="U462" s="384"/>
      <c r="V462" s="384"/>
      <c r="W462" s="384"/>
      <c r="X462" s="384"/>
      <c r="Y462" s="384"/>
      <c r="Z462" s="384"/>
      <c r="AA462" s="384"/>
    </row>
    <row r="463" spans="1:27" x14ac:dyDescent="0.2">
      <c r="A463" s="384"/>
      <c r="B463" s="384"/>
      <c r="C463" s="384"/>
      <c r="D463" s="384"/>
      <c r="E463" s="384"/>
      <c r="F463" s="384"/>
      <c r="G463" s="384"/>
      <c r="H463" s="384"/>
      <c r="I463" s="384"/>
      <c r="J463" s="384"/>
      <c r="K463" s="384"/>
      <c r="L463" s="384"/>
      <c r="M463" s="384"/>
      <c r="N463" s="384"/>
      <c r="O463" s="384"/>
      <c r="P463" s="384"/>
      <c r="Q463" s="384"/>
      <c r="R463" s="384"/>
      <c r="S463" s="384"/>
      <c r="T463" s="384"/>
      <c r="U463" s="384"/>
      <c r="V463" s="384"/>
      <c r="W463" s="384"/>
      <c r="X463" s="384"/>
      <c r="Y463" s="384"/>
      <c r="Z463" s="384"/>
      <c r="AA463" s="384"/>
    </row>
    <row r="464" spans="1:27" x14ac:dyDescent="0.2">
      <c r="A464" s="384"/>
      <c r="B464" s="384"/>
      <c r="C464" s="384"/>
      <c r="D464" s="384"/>
      <c r="E464" s="384"/>
      <c r="F464" s="384"/>
      <c r="G464" s="384"/>
      <c r="H464" s="384"/>
      <c r="I464" s="384"/>
      <c r="J464" s="384"/>
      <c r="K464" s="384"/>
      <c r="L464" s="384"/>
      <c r="M464" s="384"/>
      <c r="N464" s="384"/>
      <c r="O464" s="384"/>
      <c r="P464" s="384"/>
      <c r="Q464" s="384"/>
      <c r="R464" s="384"/>
      <c r="S464" s="384"/>
      <c r="T464" s="384"/>
      <c r="U464" s="384"/>
      <c r="V464" s="384"/>
      <c r="W464" s="384"/>
      <c r="X464" s="384"/>
      <c r="Y464" s="384"/>
      <c r="Z464" s="384"/>
      <c r="AA464" s="384"/>
    </row>
    <row r="465" spans="1:27" x14ac:dyDescent="0.2">
      <c r="A465" s="384"/>
      <c r="B465" s="384"/>
      <c r="C465" s="384"/>
      <c r="D465" s="384"/>
      <c r="E465" s="384"/>
      <c r="F465" s="384"/>
      <c r="G465" s="384"/>
      <c r="H465" s="384"/>
      <c r="I465" s="384"/>
      <c r="J465" s="384"/>
      <c r="K465" s="384"/>
      <c r="L465" s="384"/>
      <c r="M465" s="384"/>
      <c r="N465" s="384"/>
      <c r="O465" s="384"/>
      <c r="P465" s="384"/>
      <c r="Q465" s="384"/>
      <c r="R465" s="384"/>
      <c r="S465" s="384"/>
      <c r="T465" s="384"/>
      <c r="U465" s="384"/>
      <c r="V465" s="384"/>
      <c r="W465" s="384"/>
      <c r="X465" s="384"/>
      <c r="Y465" s="384"/>
      <c r="Z465" s="384"/>
      <c r="AA465" s="384"/>
    </row>
    <row r="466" spans="1:27" x14ac:dyDescent="0.2">
      <c r="A466" s="384"/>
      <c r="B466" s="384"/>
      <c r="C466" s="384"/>
      <c r="D466" s="384"/>
      <c r="E466" s="384"/>
      <c r="F466" s="384"/>
      <c r="G466" s="384"/>
      <c r="H466" s="384"/>
      <c r="I466" s="384"/>
      <c r="J466" s="384"/>
      <c r="K466" s="384"/>
      <c r="L466" s="384"/>
      <c r="M466" s="384"/>
      <c r="N466" s="384"/>
      <c r="O466" s="384"/>
      <c r="P466" s="384"/>
      <c r="Q466" s="384"/>
      <c r="R466" s="384"/>
      <c r="S466" s="384"/>
      <c r="T466" s="384"/>
      <c r="U466" s="384"/>
      <c r="V466" s="384"/>
      <c r="W466" s="384"/>
      <c r="X466" s="384"/>
      <c r="Y466" s="384"/>
      <c r="Z466" s="384"/>
      <c r="AA466" s="384"/>
    </row>
    <row r="467" spans="1:27" x14ac:dyDescent="0.2">
      <c r="A467" s="384"/>
      <c r="B467" s="384"/>
      <c r="C467" s="384"/>
      <c r="D467" s="384"/>
      <c r="E467" s="384"/>
      <c r="F467" s="384"/>
      <c r="G467" s="384"/>
      <c r="H467" s="384"/>
      <c r="I467" s="384"/>
      <c r="J467" s="384"/>
      <c r="K467" s="384"/>
      <c r="L467" s="384"/>
      <c r="M467" s="384"/>
      <c r="N467" s="384"/>
      <c r="O467" s="384"/>
      <c r="P467" s="384"/>
      <c r="Q467" s="384"/>
      <c r="R467" s="384"/>
      <c r="S467" s="384"/>
      <c r="T467" s="384"/>
      <c r="U467" s="384"/>
      <c r="V467" s="384"/>
      <c r="W467" s="384"/>
      <c r="X467" s="384"/>
      <c r="Y467" s="384"/>
      <c r="Z467" s="384"/>
      <c r="AA467" s="384"/>
    </row>
    <row r="468" spans="1:27" x14ac:dyDescent="0.2">
      <c r="A468" s="384"/>
      <c r="B468" s="384"/>
      <c r="C468" s="384"/>
      <c r="D468" s="384"/>
      <c r="E468" s="384"/>
      <c r="F468" s="384"/>
      <c r="G468" s="384"/>
      <c r="H468" s="384"/>
      <c r="I468" s="384"/>
      <c r="J468" s="384"/>
      <c r="K468" s="384"/>
      <c r="L468" s="384"/>
      <c r="M468" s="384"/>
      <c r="N468" s="384"/>
      <c r="O468" s="384"/>
      <c r="P468" s="384"/>
      <c r="Q468" s="384"/>
      <c r="R468" s="384"/>
      <c r="S468" s="384"/>
      <c r="T468" s="384"/>
      <c r="U468" s="384"/>
      <c r="V468" s="384"/>
      <c r="W468" s="384"/>
      <c r="X468" s="384"/>
      <c r="Y468" s="384"/>
      <c r="Z468" s="384"/>
      <c r="AA468" s="384"/>
    </row>
    <row r="469" spans="1:27" x14ac:dyDescent="0.2">
      <c r="A469" s="384"/>
      <c r="B469" s="384"/>
      <c r="C469" s="384"/>
      <c r="D469" s="384"/>
      <c r="E469" s="384"/>
      <c r="F469" s="384"/>
      <c r="G469" s="384"/>
      <c r="H469" s="384"/>
      <c r="I469" s="384"/>
      <c r="J469" s="384"/>
      <c r="K469" s="384"/>
      <c r="L469" s="384"/>
      <c r="M469" s="384"/>
      <c r="N469" s="384"/>
      <c r="O469" s="384"/>
      <c r="P469" s="384"/>
      <c r="Q469" s="384"/>
      <c r="R469" s="384"/>
      <c r="S469" s="384"/>
      <c r="T469" s="384"/>
      <c r="U469" s="384"/>
      <c r="V469" s="384"/>
      <c r="W469" s="384"/>
      <c r="X469" s="384"/>
      <c r="Y469" s="384"/>
      <c r="Z469" s="384"/>
      <c r="AA469" s="384"/>
    </row>
    <row r="470" spans="1:27" x14ac:dyDescent="0.2">
      <c r="A470" s="384"/>
      <c r="B470" s="384"/>
      <c r="C470" s="384"/>
      <c r="D470" s="384"/>
      <c r="E470" s="384"/>
      <c r="F470" s="384"/>
      <c r="G470" s="384"/>
      <c r="H470" s="384"/>
      <c r="I470" s="384"/>
      <c r="J470" s="384"/>
      <c r="K470" s="384"/>
      <c r="L470" s="384"/>
      <c r="M470" s="384"/>
      <c r="N470" s="384"/>
      <c r="O470" s="384"/>
      <c r="P470" s="384"/>
      <c r="Q470" s="384"/>
      <c r="R470" s="384"/>
      <c r="S470" s="384"/>
      <c r="T470" s="384"/>
      <c r="U470" s="384"/>
      <c r="V470" s="384"/>
      <c r="W470" s="384"/>
      <c r="X470" s="384"/>
      <c r="Y470" s="384"/>
      <c r="Z470" s="384"/>
      <c r="AA470" s="384"/>
    </row>
    <row r="471" spans="1:27" x14ac:dyDescent="0.2">
      <c r="A471" s="384"/>
      <c r="B471" s="384"/>
      <c r="C471" s="384"/>
      <c r="D471" s="384"/>
      <c r="E471" s="384"/>
      <c r="F471" s="384"/>
      <c r="G471" s="384"/>
      <c r="H471" s="384"/>
      <c r="I471" s="384"/>
      <c r="J471" s="384"/>
      <c r="K471" s="384"/>
      <c r="L471" s="384"/>
      <c r="M471" s="384"/>
      <c r="N471" s="384"/>
      <c r="O471" s="384"/>
      <c r="P471" s="384"/>
      <c r="Q471" s="384"/>
      <c r="R471" s="384"/>
      <c r="S471" s="384"/>
      <c r="T471" s="384"/>
      <c r="U471" s="384"/>
      <c r="V471" s="384"/>
      <c r="W471" s="384"/>
      <c r="X471" s="384"/>
      <c r="Y471" s="384"/>
      <c r="Z471" s="384"/>
      <c r="AA471" s="384"/>
    </row>
    <row r="472" spans="1:27" x14ac:dyDescent="0.2">
      <c r="A472" s="384"/>
      <c r="B472" s="384"/>
      <c r="C472" s="384"/>
      <c r="D472" s="384"/>
      <c r="E472" s="384"/>
      <c r="F472" s="384"/>
      <c r="G472" s="384"/>
      <c r="H472" s="384"/>
      <c r="I472" s="384"/>
      <c r="J472" s="384"/>
      <c r="K472" s="384"/>
      <c r="L472" s="384"/>
      <c r="M472" s="384"/>
      <c r="N472" s="384"/>
      <c r="O472" s="384"/>
      <c r="P472" s="384"/>
      <c r="Q472" s="384"/>
      <c r="R472" s="384"/>
      <c r="S472" s="384"/>
      <c r="T472" s="384"/>
      <c r="U472" s="384"/>
      <c r="V472" s="384"/>
      <c r="W472" s="384"/>
      <c r="X472" s="384"/>
      <c r="Y472" s="384"/>
      <c r="Z472" s="384"/>
      <c r="AA472" s="384"/>
    </row>
    <row r="473" spans="1:27" x14ac:dyDescent="0.2">
      <c r="A473" s="384"/>
      <c r="B473" s="384"/>
      <c r="C473" s="384"/>
      <c r="D473" s="384"/>
      <c r="E473" s="384"/>
      <c r="F473" s="384"/>
      <c r="G473" s="384"/>
      <c r="H473" s="384"/>
      <c r="I473" s="384"/>
      <c r="J473" s="384"/>
      <c r="K473" s="384"/>
      <c r="L473" s="384"/>
      <c r="M473" s="384"/>
      <c r="N473" s="384"/>
      <c r="O473" s="384"/>
      <c r="P473" s="384"/>
      <c r="Q473" s="384"/>
      <c r="R473" s="384"/>
      <c r="S473" s="384"/>
      <c r="T473" s="384"/>
      <c r="U473" s="384"/>
      <c r="V473" s="384"/>
      <c r="W473" s="384"/>
      <c r="X473" s="384"/>
      <c r="Y473" s="384"/>
      <c r="Z473" s="384"/>
      <c r="AA473" s="384"/>
    </row>
    <row r="474" spans="1:27" x14ac:dyDescent="0.2">
      <c r="A474" s="384"/>
      <c r="B474" s="384"/>
      <c r="C474" s="384"/>
      <c r="D474" s="384"/>
      <c r="E474" s="384"/>
      <c r="F474" s="384"/>
      <c r="G474" s="384"/>
      <c r="H474" s="384"/>
      <c r="I474" s="384"/>
      <c r="J474" s="384"/>
      <c r="K474" s="384"/>
      <c r="L474" s="384"/>
      <c r="M474" s="384"/>
      <c r="N474" s="384"/>
      <c r="O474" s="384"/>
      <c r="P474" s="384"/>
      <c r="Q474" s="384"/>
      <c r="R474" s="384"/>
      <c r="S474" s="384"/>
      <c r="T474" s="384"/>
      <c r="U474" s="384"/>
      <c r="V474" s="384"/>
      <c r="W474" s="384"/>
      <c r="X474" s="384"/>
      <c r="Y474" s="384"/>
      <c r="Z474" s="384"/>
      <c r="AA474" s="384"/>
    </row>
    <row r="475" spans="1:27" x14ac:dyDescent="0.2">
      <c r="A475" s="384"/>
      <c r="B475" s="384"/>
      <c r="C475" s="384"/>
      <c r="D475" s="384"/>
      <c r="E475" s="384"/>
      <c r="F475" s="384"/>
      <c r="G475" s="384"/>
      <c r="H475" s="384"/>
      <c r="I475" s="384"/>
      <c r="J475" s="384"/>
      <c r="K475" s="384"/>
      <c r="L475" s="384"/>
      <c r="M475" s="384"/>
      <c r="N475" s="384"/>
      <c r="O475" s="384"/>
      <c r="P475" s="384"/>
      <c r="Q475" s="384"/>
      <c r="R475" s="384"/>
      <c r="S475" s="384"/>
      <c r="T475" s="384"/>
      <c r="U475" s="384"/>
      <c r="V475" s="384"/>
      <c r="W475" s="384"/>
      <c r="X475" s="384"/>
      <c r="Y475" s="384"/>
      <c r="Z475" s="384"/>
      <c r="AA475" s="384"/>
    </row>
    <row r="476" spans="1:27" x14ac:dyDescent="0.2">
      <c r="A476" s="384"/>
      <c r="B476" s="384"/>
      <c r="C476" s="384"/>
      <c r="D476" s="384"/>
      <c r="E476" s="384"/>
      <c r="F476" s="384"/>
      <c r="G476" s="384"/>
      <c r="H476" s="384"/>
      <c r="I476" s="384"/>
      <c r="J476" s="384"/>
      <c r="K476" s="384"/>
      <c r="L476" s="384"/>
      <c r="M476" s="384"/>
      <c r="N476" s="384"/>
      <c r="O476" s="384"/>
      <c r="P476" s="384"/>
      <c r="Q476" s="384"/>
      <c r="R476" s="384"/>
      <c r="S476" s="384"/>
      <c r="T476" s="384"/>
      <c r="U476" s="384"/>
      <c r="V476" s="384"/>
      <c r="W476" s="384"/>
      <c r="X476" s="384"/>
      <c r="Y476" s="384"/>
      <c r="Z476" s="384"/>
      <c r="AA476" s="384"/>
    </row>
    <row r="477" spans="1:27" x14ac:dyDescent="0.2">
      <c r="A477" s="384"/>
      <c r="B477" s="384"/>
      <c r="C477" s="384"/>
      <c r="D477" s="384"/>
      <c r="E477" s="384"/>
      <c r="F477" s="384"/>
      <c r="G477" s="384"/>
      <c r="H477" s="384"/>
      <c r="I477" s="384"/>
      <c r="J477" s="384"/>
      <c r="K477" s="384"/>
      <c r="L477" s="384"/>
      <c r="M477" s="384"/>
      <c r="N477" s="384"/>
      <c r="O477" s="384"/>
      <c r="P477" s="384"/>
      <c r="Q477" s="384"/>
      <c r="R477" s="384"/>
      <c r="S477" s="384"/>
      <c r="T477" s="384"/>
      <c r="U477" s="384"/>
      <c r="V477" s="384"/>
      <c r="W477" s="384"/>
      <c r="X477" s="384"/>
      <c r="Y477" s="384"/>
      <c r="Z477" s="384"/>
      <c r="AA477" s="384"/>
    </row>
    <row r="478" spans="1:27" x14ac:dyDescent="0.2">
      <c r="A478" s="384"/>
      <c r="B478" s="384"/>
      <c r="C478" s="384"/>
      <c r="D478" s="384"/>
      <c r="E478" s="384"/>
      <c r="F478" s="384"/>
      <c r="G478" s="384"/>
      <c r="H478" s="384"/>
      <c r="I478" s="384"/>
      <c r="J478" s="384"/>
      <c r="K478" s="384"/>
      <c r="L478" s="384"/>
      <c r="M478" s="384"/>
      <c r="N478" s="384"/>
      <c r="O478" s="384"/>
      <c r="P478" s="384"/>
      <c r="Q478" s="384"/>
      <c r="R478" s="384"/>
      <c r="S478" s="384"/>
      <c r="T478" s="384"/>
      <c r="U478" s="384"/>
      <c r="V478" s="384"/>
      <c r="W478" s="384"/>
      <c r="X478" s="384"/>
      <c r="Y478" s="384"/>
      <c r="Z478" s="384"/>
      <c r="AA478" s="384"/>
    </row>
    <row r="479" spans="1:27" x14ac:dyDescent="0.2">
      <c r="A479" s="384"/>
      <c r="B479" s="384"/>
      <c r="C479" s="384"/>
      <c r="D479" s="384"/>
      <c r="E479" s="384"/>
      <c r="F479" s="384"/>
      <c r="G479" s="384"/>
      <c r="H479" s="384"/>
      <c r="I479" s="384"/>
      <c r="J479" s="384"/>
      <c r="K479" s="384"/>
      <c r="L479" s="384"/>
      <c r="M479" s="384"/>
      <c r="N479" s="384"/>
      <c r="O479" s="384"/>
      <c r="P479" s="384"/>
      <c r="Q479" s="384"/>
      <c r="R479" s="384"/>
      <c r="S479" s="384"/>
      <c r="T479" s="384"/>
      <c r="U479" s="384"/>
      <c r="V479" s="384"/>
      <c r="W479" s="384"/>
      <c r="X479" s="384"/>
      <c r="Y479" s="384"/>
      <c r="Z479" s="384"/>
      <c r="AA479" s="384"/>
    </row>
    <row r="480" spans="1:27" x14ac:dyDescent="0.2">
      <c r="A480" s="384"/>
      <c r="B480" s="384"/>
      <c r="C480" s="384"/>
      <c r="D480" s="384"/>
      <c r="E480" s="384"/>
      <c r="F480" s="384"/>
      <c r="G480" s="384"/>
      <c r="H480" s="384"/>
      <c r="I480" s="384"/>
      <c r="J480" s="384"/>
      <c r="K480" s="384"/>
      <c r="L480" s="384"/>
      <c r="M480" s="384"/>
      <c r="N480" s="384"/>
      <c r="O480" s="384"/>
      <c r="P480" s="384"/>
      <c r="Q480" s="384"/>
      <c r="R480" s="384"/>
      <c r="S480" s="384"/>
      <c r="T480" s="384"/>
      <c r="U480" s="384"/>
      <c r="V480" s="384"/>
      <c r="W480" s="384"/>
      <c r="X480" s="384"/>
      <c r="Y480" s="384"/>
      <c r="Z480" s="384"/>
      <c r="AA480" s="384"/>
    </row>
    <row r="481" spans="1:27" x14ac:dyDescent="0.2">
      <c r="A481" s="384"/>
      <c r="B481" s="384"/>
      <c r="C481" s="384"/>
      <c r="D481" s="384"/>
      <c r="E481" s="384"/>
      <c r="F481" s="384"/>
      <c r="G481" s="384"/>
      <c r="H481" s="384"/>
      <c r="I481" s="384"/>
      <c r="J481" s="384"/>
      <c r="K481" s="384"/>
      <c r="L481" s="384"/>
      <c r="M481" s="384"/>
      <c r="N481" s="384"/>
      <c r="O481" s="384"/>
      <c r="P481" s="384"/>
      <c r="Q481" s="384"/>
      <c r="R481" s="384"/>
      <c r="S481" s="384"/>
      <c r="T481" s="384"/>
      <c r="U481" s="384"/>
      <c r="V481" s="384"/>
      <c r="W481" s="384"/>
      <c r="X481" s="384"/>
      <c r="Y481" s="384"/>
      <c r="Z481" s="384"/>
      <c r="AA481" s="384"/>
    </row>
    <row r="482" spans="1:27" x14ac:dyDescent="0.2">
      <c r="A482" s="384"/>
      <c r="B482" s="384"/>
      <c r="C482" s="384"/>
      <c r="D482" s="384"/>
      <c r="E482" s="384"/>
      <c r="F482" s="384"/>
      <c r="G482" s="384"/>
      <c r="H482" s="384"/>
      <c r="I482" s="384"/>
      <c r="J482" s="384"/>
      <c r="K482" s="384"/>
      <c r="L482" s="384"/>
      <c r="M482" s="384"/>
      <c r="N482" s="384"/>
      <c r="O482" s="384"/>
      <c r="P482" s="384"/>
      <c r="Q482" s="384"/>
      <c r="R482" s="384"/>
      <c r="S482" s="384"/>
      <c r="T482" s="384"/>
      <c r="U482" s="384"/>
      <c r="V482" s="384"/>
      <c r="W482" s="384"/>
      <c r="X482" s="384"/>
      <c r="Y482" s="384"/>
      <c r="Z482" s="384"/>
      <c r="AA482" s="384"/>
    </row>
    <row r="483" spans="1:27" x14ac:dyDescent="0.2">
      <c r="A483" s="384"/>
      <c r="B483" s="384"/>
      <c r="C483" s="384"/>
      <c r="D483" s="384"/>
      <c r="E483" s="384"/>
      <c r="F483" s="384"/>
      <c r="G483" s="384"/>
      <c r="H483" s="384"/>
      <c r="I483" s="384"/>
      <c r="J483" s="384"/>
      <c r="K483" s="384"/>
      <c r="L483" s="384"/>
      <c r="M483" s="384"/>
      <c r="N483" s="384"/>
      <c r="O483" s="384"/>
      <c r="P483" s="384"/>
      <c r="Q483" s="384"/>
      <c r="R483" s="384"/>
      <c r="S483" s="384"/>
      <c r="T483" s="384"/>
      <c r="U483" s="384"/>
      <c r="V483" s="384"/>
      <c r="W483" s="384"/>
      <c r="X483" s="384"/>
      <c r="Y483" s="384"/>
      <c r="Z483" s="384"/>
      <c r="AA483" s="384"/>
    </row>
    <row r="484" spans="1:27" x14ac:dyDescent="0.2">
      <c r="A484" s="384"/>
      <c r="B484" s="384"/>
      <c r="C484" s="384"/>
      <c r="D484" s="384"/>
      <c r="E484" s="384"/>
      <c r="F484" s="384"/>
      <c r="G484" s="384"/>
      <c r="H484" s="384"/>
      <c r="I484" s="384"/>
      <c r="J484" s="384"/>
      <c r="K484" s="384"/>
      <c r="L484" s="384"/>
      <c r="M484" s="384"/>
      <c r="N484" s="384"/>
      <c r="O484" s="384"/>
      <c r="P484" s="384"/>
      <c r="Q484" s="384"/>
      <c r="R484" s="384"/>
      <c r="S484" s="384"/>
      <c r="T484" s="384"/>
      <c r="U484" s="384"/>
      <c r="V484" s="384"/>
      <c r="W484" s="384"/>
      <c r="X484" s="384"/>
      <c r="Y484" s="384"/>
      <c r="Z484" s="384"/>
      <c r="AA484" s="384"/>
    </row>
    <row r="485" spans="1:27" x14ac:dyDescent="0.2">
      <c r="A485" s="384"/>
      <c r="B485" s="384"/>
      <c r="C485" s="384"/>
      <c r="D485" s="384"/>
      <c r="E485" s="384"/>
      <c r="F485" s="384"/>
      <c r="G485" s="384"/>
      <c r="H485" s="384"/>
      <c r="I485" s="384"/>
      <c r="J485" s="384"/>
      <c r="K485" s="384"/>
      <c r="L485" s="384"/>
      <c r="M485" s="384"/>
      <c r="N485" s="384"/>
      <c r="O485" s="384"/>
      <c r="P485" s="384"/>
      <c r="Q485" s="384"/>
      <c r="R485" s="384"/>
      <c r="S485" s="384"/>
      <c r="T485" s="384"/>
      <c r="U485" s="384"/>
      <c r="V485" s="384"/>
      <c r="W485" s="384"/>
      <c r="X485" s="384"/>
      <c r="Y485" s="384"/>
      <c r="Z485" s="384"/>
      <c r="AA485" s="384"/>
    </row>
    <row r="486" spans="1:27" x14ac:dyDescent="0.2">
      <c r="A486" s="384"/>
      <c r="B486" s="384"/>
      <c r="C486" s="384"/>
      <c r="D486" s="384"/>
      <c r="E486" s="384"/>
      <c r="F486" s="384"/>
      <c r="G486" s="384"/>
      <c r="H486" s="384"/>
      <c r="I486" s="384"/>
      <c r="J486" s="384"/>
      <c r="K486" s="384"/>
      <c r="L486" s="384"/>
      <c r="M486" s="384"/>
      <c r="N486" s="384"/>
      <c r="O486" s="384"/>
      <c r="P486" s="384"/>
      <c r="Q486" s="384"/>
      <c r="R486" s="384"/>
      <c r="S486" s="384"/>
      <c r="T486" s="384"/>
      <c r="U486" s="384"/>
      <c r="V486" s="384"/>
      <c r="W486" s="384"/>
      <c r="X486" s="384"/>
      <c r="Y486" s="384"/>
      <c r="Z486" s="384"/>
      <c r="AA486" s="384"/>
    </row>
    <row r="487" spans="1:27" x14ac:dyDescent="0.2">
      <c r="A487" s="384"/>
      <c r="B487" s="384"/>
      <c r="C487" s="384"/>
      <c r="D487" s="384"/>
      <c r="E487" s="384"/>
      <c r="F487" s="384"/>
      <c r="G487" s="384"/>
      <c r="H487" s="384"/>
      <c r="I487" s="384"/>
      <c r="J487" s="384"/>
      <c r="K487" s="384"/>
      <c r="L487" s="384"/>
      <c r="M487" s="384"/>
      <c r="N487" s="384"/>
      <c r="O487" s="384"/>
      <c r="P487" s="384"/>
      <c r="Q487" s="384"/>
      <c r="R487" s="384"/>
      <c r="S487" s="384"/>
      <c r="T487" s="384"/>
      <c r="U487" s="384"/>
      <c r="V487" s="384"/>
      <c r="W487" s="384"/>
      <c r="X487" s="384"/>
      <c r="Y487" s="384"/>
      <c r="Z487" s="384"/>
      <c r="AA487" s="384"/>
    </row>
    <row r="488" spans="1:27" x14ac:dyDescent="0.2">
      <c r="A488" s="384"/>
      <c r="B488" s="384"/>
      <c r="C488" s="384"/>
      <c r="D488" s="384"/>
      <c r="E488" s="384"/>
      <c r="F488" s="384"/>
      <c r="G488" s="384"/>
      <c r="H488" s="384"/>
      <c r="I488" s="384"/>
      <c r="J488" s="384"/>
      <c r="K488" s="384"/>
      <c r="L488" s="384"/>
      <c r="M488" s="384"/>
      <c r="N488" s="384"/>
      <c r="O488" s="384"/>
      <c r="P488" s="384"/>
      <c r="Q488" s="384"/>
      <c r="R488" s="384"/>
      <c r="S488" s="384"/>
      <c r="T488" s="384"/>
      <c r="U488" s="384"/>
      <c r="V488" s="384"/>
      <c r="W488" s="384"/>
      <c r="X488" s="384"/>
      <c r="Y488" s="384"/>
      <c r="Z488" s="384"/>
      <c r="AA488" s="384"/>
    </row>
    <row r="489" spans="1:27" x14ac:dyDescent="0.2">
      <c r="A489" s="384"/>
      <c r="B489" s="384"/>
      <c r="C489" s="384"/>
      <c r="D489" s="384"/>
      <c r="E489" s="384"/>
      <c r="F489" s="384"/>
      <c r="G489" s="384"/>
      <c r="H489" s="384"/>
      <c r="I489" s="384"/>
      <c r="J489" s="384"/>
      <c r="K489" s="384"/>
      <c r="L489" s="384"/>
      <c r="M489" s="384"/>
      <c r="N489" s="384"/>
      <c r="O489" s="384"/>
      <c r="P489" s="384"/>
      <c r="Q489" s="384"/>
      <c r="R489" s="384"/>
      <c r="S489" s="384"/>
      <c r="T489" s="384"/>
      <c r="U489" s="384"/>
      <c r="V489" s="384"/>
      <c r="W489" s="384"/>
      <c r="X489" s="384"/>
      <c r="Y489" s="384"/>
      <c r="Z489" s="384"/>
      <c r="AA489" s="384"/>
    </row>
    <row r="490" spans="1:27" x14ac:dyDescent="0.2">
      <c r="A490" s="384"/>
      <c r="B490" s="384"/>
      <c r="C490" s="384"/>
      <c r="D490" s="384"/>
      <c r="E490" s="384"/>
      <c r="F490" s="384"/>
      <c r="G490" s="384"/>
      <c r="H490" s="384"/>
      <c r="I490" s="384"/>
      <c r="J490" s="384"/>
      <c r="K490" s="384"/>
      <c r="L490" s="384"/>
      <c r="M490" s="384"/>
      <c r="N490" s="384"/>
      <c r="O490" s="384"/>
      <c r="P490" s="384"/>
      <c r="Q490" s="384"/>
      <c r="R490" s="384"/>
      <c r="S490" s="384"/>
      <c r="T490" s="384"/>
      <c r="U490" s="384"/>
      <c r="V490" s="384"/>
      <c r="W490" s="384"/>
      <c r="X490" s="384"/>
      <c r="Y490" s="384"/>
      <c r="Z490" s="384"/>
      <c r="AA490" s="384"/>
    </row>
    <row r="491" spans="1:27" x14ac:dyDescent="0.2">
      <c r="A491" s="384"/>
      <c r="B491" s="384"/>
      <c r="C491" s="384"/>
      <c r="D491" s="384"/>
      <c r="E491" s="384"/>
      <c r="F491" s="384"/>
      <c r="G491" s="384"/>
      <c r="H491" s="384"/>
      <c r="I491" s="384"/>
      <c r="J491" s="384"/>
      <c r="K491" s="384"/>
      <c r="L491" s="384"/>
      <c r="M491" s="384"/>
      <c r="N491" s="384"/>
      <c r="O491" s="384"/>
      <c r="P491" s="384"/>
      <c r="Q491" s="384"/>
      <c r="R491" s="384"/>
      <c r="S491" s="384"/>
      <c r="T491" s="384"/>
      <c r="U491" s="384"/>
      <c r="V491" s="384"/>
      <c r="W491" s="384"/>
      <c r="X491" s="384"/>
      <c r="Y491" s="384"/>
      <c r="Z491" s="384"/>
      <c r="AA491" s="384"/>
    </row>
    <row r="492" spans="1:27" x14ac:dyDescent="0.2">
      <c r="A492" s="384"/>
      <c r="B492" s="384"/>
      <c r="C492" s="384"/>
      <c r="D492" s="384"/>
      <c r="E492" s="384"/>
      <c r="F492" s="384"/>
      <c r="G492" s="384"/>
      <c r="H492" s="384"/>
      <c r="I492" s="384"/>
      <c r="J492" s="384"/>
      <c r="K492" s="384"/>
      <c r="L492" s="384"/>
      <c r="M492" s="384"/>
      <c r="N492" s="384"/>
      <c r="O492" s="384"/>
      <c r="P492" s="384"/>
      <c r="Q492" s="384"/>
      <c r="R492" s="384"/>
      <c r="S492" s="384"/>
      <c r="T492" s="384"/>
      <c r="U492" s="384"/>
      <c r="V492" s="384"/>
      <c r="W492" s="384"/>
      <c r="X492" s="384"/>
      <c r="Y492" s="384"/>
      <c r="Z492" s="384"/>
      <c r="AA492" s="384"/>
    </row>
    <row r="493" spans="1:27" x14ac:dyDescent="0.2">
      <c r="A493" s="384"/>
      <c r="B493" s="384"/>
      <c r="C493" s="384"/>
      <c r="D493" s="384"/>
      <c r="E493" s="384"/>
      <c r="F493" s="384"/>
      <c r="G493" s="384"/>
      <c r="H493" s="384"/>
      <c r="I493" s="384"/>
      <c r="J493" s="384"/>
      <c r="K493" s="384"/>
      <c r="L493" s="384"/>
      <c r="M493" s="384"/>
      <c r="N493" s="384"/>
      <c r="O493" s="384"/>
      <c r="P493" s="384"/>
      <c r="Q493" s="384"/>
      <c r="R493" s="384"/>
      <c r="S493" s="384"/>
      <c r="T493" s="384"/>
      <c r="U493" s="384"/>
      <c r="V493" s="384"/>
      <c r="W493" s="384"/>
      <c r="X493" s="384"/>
      <c r="Y493" s="384"/>
      <c r="Z493" s="384"/>
      <c r="AA493" s="384"/>
    </row>
    <row r="494" spans="1:27" x14ac:dyDescent="0.2">
      <c r="A494" s="384"/>
      <c r="B494" s="384"/>
      <c r="C494" s="384"/>
      <c r="D494" s="384"/>
      <c r="E494" s="384"/>
      <c r="F494" s="384"/>
      <c r="G494" s="384"/>
      <c r="H494" s="384"/>
      <c r="I494" s="384"/>
      <c r="J494" s="384"/>
      <c r="K494" s="384"/>
      <c r="L494" s="384"/>
      <c r="M494" s="384"/>
      <c r="N494" s="384"/>
      <c r="O494" s="384"/>
      <c r="P494" s="384"/>
      <c r="Q494" s="384"/>
      <c r="R494" s="384"/>
      <c r="S494" s="384"/>
      <c r="T494" s="384"/>
      <c r="U494" s="384"/>
      <c r="V494" s="384"/>
      <c r="W494" s="384"/>
      <c r="X494" s="384"/>
      <c r="Y494" s="384"/>
      <c r="Z494" s="384"/>
      <c r="AA494" s="384"/>
    </row>
    <row r="495" spans="1:27" x14ac:dyDescent="0.2">
      <c r="A495" s="384"/>
      <c r="B495" s="384"/>
      <c r="C495" s="384"/>
      <c r="D495" s="384"/>
      <c r="E495" s="384"/>
      <c r="F495" s="384"/>
      <c r="G495" s="384"/>
      <c r="H495" s="384"/>
      <c r="I495" s="384"/>
      <c r="J495" s="384"/>
      <c r="K495" s="384"/>
      <c r="L495" s="384"/>
      <c r="M495" s="384"/>
      <c r="N495" s="384"/>
      <c r="O495" s="384"/>
      <c r="P495" s="384"/>
      <c r="Q495" s="384"/>
      <c r="R495" s="384"/>
      <c r="S495" s="384"/>
      <c r="T495" s="384"/>
      <c r="U495" s="384"/>
      <c r="V495" s="384"/>
      <c r="W495" s="384"/>
      <c r="X495" s="384"/>
      <c r="Y495" s="384"/>
      <c r="Z495" s="384"/>
      <c r="AA495" s="384"/>
    </row>
    <row r="496" spans="1:27" x14ac:dyDescent="0.2">
      <c r="A496" s="384"/>
      <c r="B496" s="384"/>
      <c r="C496" s="384"/>
      <c r="D496" s="384"/>
      <c r="E496" s="384"/>
      <c r="F496" s="384"/>
      <c r="G496" s="384"/>
      <c r="H496" s="384"/>
      <c r="I496" s="384"/>
      <c r="J496" s="384"/>
      <c r="K496" s="384"/>
      <c r="L496" s="384"/>
      <c r="M496" s="384"/>
      <c r="N496" s="384"/>
      <c r="O496" s="384"/>
      <c r="P496" s="384"/>
      <c r="Q496" s="384"/>
      <c r="R496" s="384"/>
      <c r="S496" s="384"/>
      <c r="T496" s="384"/>
      <c r="U496" s="384"/>
      <c r="V496" s="384"/>
      <c r="W496" s="384"/>
      <c r="X496" s="384"/>
      <c r="Y496" s="384"/>
      <c r="Z496" s="384"/>
      <c r="AA496" s="384"/>
    </row>
    <row r="497" spans="1:27" x14ac:dyDescent="0.2">
      <c r="A497" s="384"/>
      <c r="B497" s="384"/>
      <c r="C497" s="384"/>
      <c r="D497" s="384"/>
      <c r="E497" s="384"/>
      <c r="F497" s="384"/>
      <c r="G497" s="384"/>
      <c r="H497" s="384"/>
      <c r="I497" s="384"/>
      <c r="J497" s="384"/>
      <c r="K497" s="384"/>
      <c r="L497" s="384"/>
      <c r="M497" s="384"/>
      <c r="N497" s="384"/>
      <c r="O497" s="384"/>
      <c r="P497" s="384"/>
      <c r="Q497" s="384"/>
      <c r="R497" s="384"/>
      <c r="S497" s="384"/>
      <c r="T497" s="384"/>
      <c r="U497" s="384"/>
      <c r="V497" s="384"/>
      <c r="W497" s="384"/>
      <c r="X497" s="384"/>
      <c r="Y497" s="384"/>
      <c r="Z497" s="384"/>
      <c r="AA497" s="384"/>
    </row>
    <row r="498" spans="1:27" x14ac:dyDescent="0.2">
      <c r="A498" s="384"/>
      <c r="B498" s="384"/>
      <c r="C498" s="384"/>
      <c r="D498" s="384"/>
      <c r="E498" s="384"/>
      <c r="F498" s="384"/>
      <c r="G498" s="384"/>
      <c r="H498" s="384"/>
      <c r="I498" s="384"/>
      <c r="J498" s="384"/>
      <c r="K498" s="384"/>
      <c r="L498" s="384"/>
      <c r="M498" s="384"/>
      <c r="N498" s="384"/>
      <c r="O498" s="384"/>
      <c r="P498" s="384"/>
      <c r="Q498" s="384"/>
      <c r="R498" s="384"/>
      <c r="S498" s="384"/>
      <c r="T498" s="384"/>
      <c r="U498" s="384"/>
      <c r="V498" s="384"/>
      <c r="W498" s="384"/>
      <c r="X498" s="384"/>
      <c r="Y498" s="384"/>
      <c r="Z498" s="384"/>
      <c r="AA498" s="384"/>
    </row>
    <row r="499" spans="1:27" x14ac:dyDescent="0.2">
      <c r="A499" s="384"/>
      <c r="B499" s="384"/>
      <c r="C499" s="384"/>
      <c r="D499" s="384"/>
      <c r="E499" s="384"/>
      <c r="F499" s="384"/>
      <c r="G499" s="384"/>
      <c r="H499" s="384"/>
      <c r="I499" s="384"/>
      <c r="J499" s="384"/>
      <c r="K499" s="384"/>
      <c r="L499" s="384"/>
      <c r="M499" s="384"/>
      <c r="N499" s="384"/>
      <c r="O499" s="384"/>
      <c r="P499" s="384"/>
      <c r="Q499" s="384"/>
      <c r="R499" s="384"/>
      <c r="S499" s="384"/>
      <c r="T499" s="384"/>
      <c r="U499" s="384"/>
      <c r="V499" s="384"/>
      <c r="W499" s="384"/>
      <c r="X499" s="384"/>
      <c r="Y499" s="384"/>
      <c r="Z499" s="384"/>
      <c r="AA499" s="384"/>
    </row>
    <row r="500" spans="1:27" x14ac:dyDescent="0.2">
      <c r="A500" s="384"/>
      <c r="B500" s="384"/>
      <c r="C500" s="384"/>
      <c r="D500" s="384"/>
      <c r="E500" s="384"/>
      <c r="F500" s="384"/>
      <c r="G500" s="384"/>
      <c r="H500" s="384"/>
      <c r="I500" s="384"/>
      <c r="J500" s="384"/>
      <c r="K500" s="384"/>
      <c r="L500" s="384"/>
      <c r="M500" s="384"/>
      <c r="N500" s="384"/>
      <c r="O500" s="384"/>
      <c r="P500" s="384"/>
      <c r="Q500" s="384"/>
      <c r="R500" s="384"/>
      <c r="S500" s="384"/>
      <c r="T500" s="384"/>
      <c r="U500" s="384"/>
      <c r="V500" s="384"/>
      <c r="W500" s="384"/>
      <c r="X500" s="384"/>
      <c r="Y500" s="384"/>
      <c r="Z500" s="384"/>
      <c r="AA500" s="384"/>
    </row>
    <row r="501" spans="1:27" x14ac:dyDescent="0.2">
      <c r="A501" s="384"/>
      <c r="B501" s="384"/>
      <c r="C501" s="384"/>
      <c r="D501" s="384"/>
      <c r="E501" s="384"/>
      <c r="F501" s="384"/>
      <c r="G501" s="384"/>
      <c r="H501" s="384"/>
      <c r="I501" s="384"/>
      <c r="J501" s="384"/>
      <c r="K501" s="384"/>
      <c r="L501" s="384"/>
      <c r="M501" s="384"/>
      <c r="N501" s="384"/>
      <c r="O501" s="384"/>
      <c r="P501" s="384"/>
      <c r="Q501" s="384"/>
      <c r="R501" s="384"/>
      <c r="S501" s="384"/>
      <c r="T501" s="384"/>
      <c r="U501" s="384"/>
      <c r="V501" s="384"/>
      <c r="W501" s="384"/>
      <c r="X501" s="384"/>
      <c r="Y501" s="384"/>
      <c r="Z501" s="384"/>
      <c r="AA501" s="384"/>
    </row>
    <row r="502" spans="1:27" x14ac:dyDescent="0.2">
      <c r="A502" s="384"/>
      <c r="B502" s="384"/>
      <c r="C502" s="384"/>
      <c r="D502" s="384"/>
      <c r="E502" s="384"/>
      <c r="F502" s="384"/>
      <c r="G502" s="384"/>
      <c r="H502" s="384"/>
      <c r="I502" s="384"/>
      <c r="J502" s="384"/>
      <c r="K502" s="384"/>
      <c r="L502" s="384"/>
      <c r="M502" s="384"/>
      <c r="N502" s="384"/>
      <c r="O502" s="384"/>
      <c r="P502" s="384"/>
      <c r="Q502" s="384"/>
      <c r="R502" s="384"/>
      <c r="S502" s="384"/>
      <c r="T502" s="384"/>
      <c r="U502" s="384"/>
      <c r="V502" s="384"/>
      <c r="W502" s="384"/>
      <c r="X502" s="384"/>
      <c r="Y502" s="384"/>
      <c r="Z502" s="384"/>
      <c r="AA502" s="384"/>
    </row>
    <row r="503" spans="1:27" x14ac:dyDescent="0.2">
      <c r="A503" s="384"/>
      <c r="B503" s="384"/>
      <c r="C503" s="384"/>
      <c r="D503" s="384"/>
      <c r="E503" s="384"/>
      <c r="F503" s="384"/>
      <c r="G503" s="384"/>
      <c r="H503" s="384"/>
      <c r="I503" s="384"/>
      <c r="J503" s="384"/>
      <c r="K503" s="384"/>
      <c r="L503" s="384"/>
      <c r="M503" s="384"/>
      <c r="N503" s="384"/>
      <c r="O503" s="384"/>
      <c r="P503" s="384"/>
      <c r="Q503" s="384"/>
      <c r="R503" s="384"/>
      <c r="S503" s="384"/>
      <c r="T503" s="384"/>
      <c r="U503" s="384"/>
      <c r="V503" s="384"/>
      <c r="W503" s="384"/>
      <c r="X503" s="384"/>
      <c r="Y503" s="384"/>
      <c r="Z503" s="384"/>
      <c r="AA503" s="384"/>
    </row>
    <row r="504" spans="1:27" x14ac:dyDescent="0.2">
      <c r="A504" s="384"/>
      <c r="B504" s="384"/>
      <c r="C504" s="384"/>
      <c r="D504" s="384"/>
      <c r="E504" s="384"/>
      <c r="F504" s="384"/>
      <c r="G504" s="384"/>
      <c r="H504" s="384"/>
      <c r="I504" s="384"/>
      <c r="J504" s="384"/>
      <c r="K504" s="384"/>
      <c r="L504" s="384"/>
      <c r="M504" s="384"/>
      <c r="N504" s="384"/>
      <c r="O504" s="384"/>
      <c r="P504" s="384"/>
      <c r="Q504" s="384"/>
      <c r="R504" s="384"/>
      <c r="S504" s="384"/>
      <c r="T504" s="384"/>
      <c r="U504" s="384"/>
      <c r="V504" s="384"/>
      <c r="W504" s="384"/>
      <c r="X504" s="384"/>
      <c r="Y504" s="384"/>
      <c r="Z504" s="384"/>
      <c r="AA504" s="384"/>
    </row>
    <row r="505" spans="1:27" x14ac:dyDescent="0.2">
      <c r="A505" s="384"/>
      <c r="B505" s="384"/>
      <c r="C505" s="384"/>
      <c r="D505" s="384"/>
      <c r="E505" s="384"/>
      <c r="F505" s="384"/>
      <c r="G505" s="384"/>
      <c r="H505" s="384"/>
      <c r="I505" s="384"/>
      <c r="J505" s="384"/>
      <c r="K505" s="384"/>
      <c r="L505" s="384"/>
      <c r="M505" s="384"/>
      <c r="N505" s="384"/>
      <c r="O505" s="384"/>
      <c r="P505" s="384"/>
      <c r="Q505" s="384"/>
      <c r="R505" s="384"/>
      <c r="S505" s="384"/>
      <c r="T505" s="384"/>
      <c r="U505" s="384"/>
      <c r="V505" s="384"/>
      <c r="W505" s="384"/>
      <c r="X505" s="384"/>
      <c r="Y505" s="384"/>
      <c r="Z505" s="384"/>
      <c r="AA505" s="384"/>
    </row>
    <row r="506" spans="1:27" x14ac:dyDescent="0.2">
      <c r="A506" s="384"/>
      <c r="B506" s="384"/>
      <c r="C506" s="384"/>
      <c r="D506" s="384"/>
      <c r="E506" s="384"/>
      <c r="F506" s="384"/>
      <c r="G506" s="384"/>
      <c r="H506" s="384"/>
      <c r="I506" s="384"/>
      <c r="J506" s="384"/>
      <c r="K506" s="384"/>
      <c r="L506" s="384"/>
      <c r="M506" s="384"/>
      <c r="N506" s="384"/>
      <c r="O506" s="384"/>
      <c r="P506" s="384"/>
      <c r="Q506" s="384"/>
      <c r="R506" s="384"/>
      <c r="S506" s="384"/>
      <c r="T506" s="384"/>
      <c r="U506" s="384"/>
      <c r="V506" s="384"/>
      <c r="W506" s="384"/>
      <c r="X506" s="384"/>
      <c r="Y506" s="384"/>
      <c r="Z506" s="384"/>
      <c r="AA506" s="384"/>
    </row>
    <row r="507" spans="1:27" x14ac:dyDescent="0.2">
      <c r="A507" s="384"/>
      <c r="B507" s="384"/>
      <c r="C507" s="384"/>
      <c r="D507" s="384"/>
      <c r="E507" s="384"/>
      <c r="F507" s="384"/>
      <c r="G507" s="384"/>
      <c r="H507" s="384"/>
      <c r="I507" s="384"/>
      <c r="J507" s="384"/>
      <c r="K507" s="384"/>
      <c r="L507" s="384"/>
      <c r="M507" s="384"/>
      <c r="N507" s="384"/>
      <c r="O507" s="384"/>
      <c r="P507" s="384"/>
      <c r="Q507" s="384"/>
      <c r="R507" s="384"/>
      <c r="S507" s="384"/>
      <c r="T507" s="384"/>
      <c r="U507" s="384"/>
      <c r="V507" s="384"/>
      <c r="W507" s="384"/>
      <c r="X507" s="384"/>
      <c r="Y507" s="384"/>
      <c r="Z507" s="384"/>
      <c r="AA507" s="384"/>
    </row>
    <row r="508" spans="1:27" x14ac:dyDescent="0.2">
      <c r="A508" s="384"/>
      <c r="B508" s="384"/>
      <c r="C508" s="384"/>
      <c r="D508" s="384"/>
      <c r="E508" s="384"/>
      <c r="F508" s="384"/>
      <c r="G508" s="384"/>
      <c r="H508" s="384"/>
      <c r="I508" s="384"/>
      <c r="J508" s="384"/>
      <c r="K508" s="384"/>
      <c r="L508" s="384"/>
      <c r="M508" s="384"/>
      <c r="N508" s="384"/>
      <c r="O508" s="384"/>
      <c r="P508" s="384"/>
      <c r="Q508" s="384"/>
      <c r="R508" s="384"/>
      <c r="S508" s="384"/>
      <c r="T508" s="384"/>
      <c r="U508" s="384"/>
      <c r="V508" s="384"/>
      <c r="W508" s="384"/>
      <c r="X508" s="384"/>
      <c r="Y508" s="384"/>
      <c r="Z508" s="384"/>
      <c r="AA508" s="384"/>
    </row>
    <row r="509" spans="1:27" x14ac:dyDescent="0.2">
      <c r="A509" s="384"/>
      <c r="B509" s="384"/>
      <c r="C509" s="384"/>
      <c r="D509" s="384"/>
      <c r="E509" s="384"/>
      <c r="F509" s="384"/>
      <c r="G509" s="384"/>
      <c r="H509" s="384"/>
      <c r="I509" s="384"/>
      <c r="J509" s="384"/>
      <c r="K509" s="384"/>
      <c r="L509" s="384"/>
      <c r="M509" s="384"/>
      <c r="N509" s="384"/>
      <c r="O509" s="384"/>
      <c r="P509" s="384"/>
      <c r="Q509" s="384"/>
      <c r="R509" s="384"/>
      <c r="S509" s="384"/>
      <c r="T509" s="384"/>
      <c r="U509" s="384"/>
      <c r="V509" s="384"/>
      <c r="W509" s="384"/>
      <c r="X509" s="384"/>
      <c r="Y509" s="384"/>
      <c r="Z509" s="384"/>
      <c r="AA509" s="384"/>
    </row>
    <row r="510" spans="1:27" x14ac:dyDescent="0.2">
      <c r="A510" s="384"/>
      <c r="B510" s="384"/>
      <c r="C510" s="384"/>
      <c r="D510" s="384"/>
      <c r="E510" s="384"/>
      <c r="F510" s="384"/>
      <c r="G510" s="384"/>
      <c r="H510" s="384"/>
      <c r="I510" s="384"/>
      <c r="J510" s="384"/>
      <c r="K510" s="384"/>
      <c r="L510" s="384"/>
      <c r="M510" s="384"/>
      <c r="N510" s="384"/>
      <c r="O510" s="384"/>
      <c r="P510" s="384"/>
      <c r="Q510" s="384"/>
      <c r="R510" s="384"/>
      <c r="S510" s="384"/>
      <c r="T510" s="384"/>
      <c r="U510" s="384"/>
      <c r="V510" s="384"/>
      <c r="W510" s="384"/>
      <c r="X510" s="384"/>
      <c r="Y510" s="384"/>
      <c r="Z510" s="384"/>
      <c r="AA510" s="384"/>
    </row>
    <row r="511" spans="1:27" x14ac:dyDescent="0.2">
      <c r="A511" s="384"/>
      <c r="B511" s="384"/>
      <c r="C511" s="384"/>
      <c r="D511" s="384"/>
      <c r="E511" s="384"/>
      <c r="F511" s="384"/>
      <c r="G511" s="384"/>
      <c r="H511" s="384"/>
      <c r="I511" s="384"/>
      <c r="J511" s="384"/>
      <c r="K511" s="384"/>
      <c r="L511" s="384"/>
      <c r="M511" s="384"/>
      <c r="N511" s="384"/>
      <c r="O511" s="384"/>
      <c r="P511" s="384"/>
      <c r="Q511" s="384"/>
      <c r="R511" s="384"/>
      <c r="S511" s="384"/>
      <c r="T511" s="384"/>
      <c r="U511" s="384"/>
      <c r="V511" s="384"/>
      <c r="W511" s="384"/>
      <c r="X511" s="384"/>
      <c r="Y511" s="384"/>
      <c r="Z511" s="384"/>
      <c r="AA511" s="384"/>
    </row>
    <row r="512" spans="1:27" x14ac:dyDescent="0.2">
      <c r="A512" s="384"/>
      <c r="B512" s="384"/>
      <c r="C512" s="384"/>
      <c r="D512" s="384"/>
      <c r="E512" s="384"/>
      <c r="F512" s="384"/>
      <c r="G512" s="384"/>
      <c r="H512" s="384"/>
      <c r="I512" s="384"/>
      <c r="J512" s="384"/>
      <c r="K512" s="384"/>
      <c r="L512" s="384"/>
      <c r="M512" s="384"/>
      <c r="N512" s="384"/>
      <c r="O512" s="384"/>
      <c r="P512" s="384"/>
      <c r="Q512" s="384"/>
      <c r="R512" s="384"/>
      <c r="S512" s="384"/>
      <c r="T512" s="384"/>
      <c r="U512" s="384"/>
      <c r="V512" s="384"/>
      <c r="W512" s="384"/>
      <c r="X512" s="384"/>
      <c r="Y512" s="384"/>
      <c r="Z512" s="384"/>
      <c r="AA512" s="384"/>
    </row>
    <row r="513" spans="1:27" x14ac:dyDescent="0.2">
      <c r="A513" s="384"/>
      <c r="B513" s="384"/>
      <c r="C513" s="384"/>
      <c r="D513" s="384"/>
      <c r="E513" s="384"/>
      <c r="F513" s="384"/>
      <c r="G513" s="384"/>
      <c r="H513" s="384"/>
      <c r="I513" s="384"/>
      <c r="J513" s="384"/>
      <c r="K513" s="384"/>
      <c r="L513" s="384"/>
      <c r="M513" s="384"/>
      <c r="N513" s="384"/>
      <c r="O513" s="384"/>
      <c r="P513" s="384"/>
      <c r="Q513" s="384"/>
      <c r="R513" s="384"/>
      <c r="S513" s="384"/>
      <c r="T513" s="384"/>
      <c r="U513" s="384"/>
      <c r="V513" s="384"/>
      <c r="W513" s="384"/>
      <c r="X513" s="384"/>
      <c r="Y513" s="384"/>
      <c r="Z513" s="384"/>
      <c r="AA513" s="384"/>
    </row>
    <row r="514" spans="1:27" x14ac:dyDescent="0.2">
      <c r="A514" s="384"/>
      <c r="B514" s="384"/>
      <c r="C514" s="384"/>
      <c r="D514" s="384"/>
      <c r="E514" s="384"/>
      <c r="F514" s="384"/>
      <c r="G514" s="384"/>
      <c r="H514" s="384"/>
      <c r="I514" s="384"/>
      <c r="J514" s="384"/>
      <c r="K514" s="384"/>
      <c r="L514" s="384"/>
      <c r="M514" s="384"/>
      <c r="N514" s="384"/>
      <c r="O514" s="384"/>
      <c r="P514" s="384"/>
      <c r="Q514" s="384"/>
      <c r="R514" s="384"/>
      <c r="S514" s="384"/>
      <c r="T514" s="384"/>
      <c r="U514" s="384"/>
      <c r="V514" s="384"/>
      <c r="W514" s="384"/>
      <c r="X514" s="384"/>
      <c r="Y514" s="384"/>
      <c r="Z514" s="384"/>
      <c r="AA514" s="384"/>
    </row>
    <row r="515" spans="1:27" x14ac:dyDescent="0.2">
      <c r="A515" s="384"/>
      <c r="B515" s="384"/>
      <c r="C515" s="384"/>
      <c r="D515" s="384"/>
      <c r="E515" s="384"/>
      <c r="F515" s="384"/>
      <c r="G515" s="384"/>
      <c r="H515" s="384"/>
      <c r="I515" s="384"/>
      <c r="J515" s="384"/>
      <c r="K515" s="384"/>
      <c r="L515" s="384"/>
      <c r="M515" s="384"/>
      <c r="N515" s="384"/>
      <c r="O515" s="384"/>
      <c r="P515" s="384"/>
      <c r="Q515" s="384"/>
      <c r="R515" s="384"/>
      <c r="S515" s="384"/>
      <c r="T515" s="384"/>
      <c r="U515" s="384"/>
      <c r="V515" s="384"/>
      <c r="W515" s="384"/>
      <c r="X515" s="384"/>
      <c r="Y515" s="384"/>
      <c r="Z515" s="384"/>
      <c r="AA515" s="384"/>
    </row>
    <row r="516" spans="1:27" x14ac:dyDescent="0.2">
      <c r="A516" s="384"/>
      <c r="B516" s="384"/>
      <c r="C516" s="384"/>
      <c r="D516" s="384"/>
      <c r="E516" s="384"/>
      <c r="F516" s="384"/>
      <c r="G516" s="384"/>
      <c r="H516" s="384"/>
      <c r="I516" s="384"/>
      <c r="J516" s="384"/>
      <c r="K516" s="384"/>
      <c r="L516" s="384"/>
      <c r="M516" s="384"/>
      <c r="N516" s="384"/>
      <c r="O516" s="384"/>
      <c r="P516" s="384"/>
      <c r="Q516" s="384"/>
      <c r="R516" s="384"/>
      <c r="S516" s="384"/>
      <c r="T516" s="384"/>
      <c r="U516" s="384"/>
      <c r="V516" s="384"/>
      <c r="W516" s="384"/>
      <c r="X516" s="384"/>
      <c r="Y516" s="384"/>
      <c r="Z516" s="384"/>
      <c r="AA516" s="384"/>
    </row>
    <row r="517" spans="1:27" x14ac:dyDescent="0.2">
      <c r="A517" s="384"/>
      <c r="B517" s="384"/>
      <c r="C517" s="384"/>
      <c r="D517" s="384"/>
      <c r="E517" s="384"/>
      <c r="F517" s="384"/>
      <c r="G517" s="384"/>
      <c r="H517" s="384"/>
      <c r="I517" s="384"/>
      <c r="J517" s="384"/>
      <c r="K517" s="384"/>
      <c r="L517" s="384"/>
      <c r="M517" s="384"/>
      <c r="N517" s="384"/>
      <c r="O517" s="384"/>
      <c r="P517" s="384"/>
      <c r="Q517" s="384"/>
      <c r="R517" s="384"/>
      <c r="S517" s="384"/>
      <c r="T517" s="384"/>
      <c r="U517" s="384"/>
      <c r="V517" s="384"/>
      <c r="W517" s="384"/>
      <c r="X517" s="384"/>
      <c r="Y517" s="384"/>
      <c r="Z517" s="384"/>
      <c r="AA517" s="384"/>
    </row>
    <row r="518" spans="1:27" x14ac:dyDescent="0.2">
      <c r="A518" s="384"/>
      <c r="B518" s="384"/>
      <c r="C518" s="384"/>
      <c r="D518" s="384"/>
      <c r="E518" s="384"/>
      <c r="F518" s="384"/>
      <c r="G518" s="384"/>
      <c r="H518" s="384"/>
      <c r="I518" s="384"/>
      <c r="J518" s="384"/>
      <c r="K518" s="384"/>
      <c r="L518" s="384"/>
      <c r="M518" s="384"/>
      <c r="N518" s="384"/>
      <c r="O518" s="384"/>
      <c r="P518" s="384"/>
      <c r="Q518" s="384"/>
      <c r="R518" s="384"/>
      <c r="S518" s="384"/>
      <c r="T518" s="384"/>
      <c r="U518" s="384"/>
      <c r="V518" s="384"/>
      <c r="W518" s="384"/>
      <c r="X518" s="384"/>
      <c r="Y518" s="384"/>
      <c r="Z518" s="384"/>
      <c r="AA518" s="384"/>
    </row>
    <row r="519" spans="1:27" x14ac:dyDescent="0.2">
      <c r="A519" s="384"/>
      <c r="B519" s="384"/>
      <c r="C519" s="384"/>
      <c r="D519" s="384"/>
      <c r="E519" s="384"/>
      <c r="F519" s="384"/>
      <c r="G519" s="384"/>
      <c r="H519" s="384"/>
      <c r="I519" s="384"/>
      <c r="J519" s="384"/>
      <c r="K519" s="384"/>
      <c r="L519" s="384"/>
      <c r="M519" s="384"/>
      <c r="N519" s="384"/>
      <c r="O519" s="384"/>
      <c r="P519" s="384"/>
      <c r="Q519" s="384"/>
      <c r="R519" s="384"/>
      <c r="S519" s="384"/>
      <c r="T519" s="384"/>
      <c r="U519" s="384"/>
      <c r="V519" s="384"/>
      <c r="W519" s="384"/>
      <c r="X519" s="384"/>
      <c r="Y519" s="384"/>
      <c r="Z519" s="384"/>
      <c r="AA519" s="384"/>
    </row>
    <row r="520" spans="1:27" x14ac:dyDescent="0.2">
      <c r="A520" s="384"/>
      <c r="B520" s="384"/>
      <c r="C520" s="384"/>
      <c r="D520" s="384"/>
      <c r="E520" s="384"/>
      <c r="F520" s="384"/>
      <c r="G520" s="384"/>
      <c r="H520" s="384"/>
      <c r="I520" s="384"/>
      <c r="J520" s="384"/>
      <c r="K520" s="384"/>
      <c r="L520" s="384"/>
      <c r="M520" s="384"/>
      <c r="N520" s="384"/>
      <c r="O520" s="384"/>
      <c r="P520" s="384"/>
      <c r="Q520" s="384"/>
      <c r="R520" s="384"/>
      <c r="S520" s="384"/>
      <c r="T520" s="384"/>
      <c r="U520" s="384"/>
      <c r="V520" s="384"/>
      <c r="W520" s="384"/>
      <c r="X520" s="384"/>
      <c r="Y520" s="384"/>
      <c r="Z520" s="384"/>
      <c r="AA520" s="384"/>
    </row>
    <row r="521" spans="1:27" x14ac:dyDescent="0.2">
      <c r="A521" s="384"/>
      <c r="B521" s="384"/>
      <c r="C521" s="384"/>
      <c r="D521" s="384"/>
      <c r="E521" s="384"/>
      <c r="F521" s="384"/>
      <c r="G521" s="384"/>
      <c r="H521" s="384"/>
      <c r="I521" s="384"/>
      <c r="J521" s="384"/>
      <c r="K521" s="384"/>
      <c r="L521" s="384"/>
      <c r="M521" s="384"/>
      <c r="N521" s="384"/>
      <c r="O521" s="384"/>
      <c r="P521" s="384"/>
      <c r="Q521" s="384"/>
      <c r="R521" s="384"/>
      <c r="S521" s="384"/>
      <c r="T521" s="384"/>
      <c r="U521" s="384"/>
      <c r="V521" s="384"/>
      <c r="W521" s="384"/>
      <c r="X521" s="384"/>
      <c r="Y521" s="384"/>
      <c r="Z521" s="384"/>
      <c r="AA521" s="384"/>
    </row>
    <row r="522" spans="1:27" x14ac:dyDescent="0.2">
      <c r="A522" s="384"/>
      <c r="B522" s="384"/>
      <c r="C522" s="384"/>
      <c r="D522" s="384"/>
      <c r="E522" s="384"/>
      <c r="F522" s="384"/>
      <c r="G522" s="384"/>
      <c r="H522" s="384"/>
      <c r="I522" s="384"/>
      <c r="J522" s="384"/>
      <c r="K522" s="384"/>
      <c r="L522" s="384"/>
      <c r="M522" s="384"/>
      <c r="N522" s="384"/>
      <c r="O522" s="384"/>
      <c r="P522" s="384"/>
      <c r="Q522" s="384"/>
      <c r="R522" s="384"/>
      <c r="S522" s="384"/>
      <c r="T522" s="384"/>
      <c r="U522" s="384"/>
      <c r="V522" s="384"/>
      <c r="W522" s="384"/>
      <c r="X522" s="384"/>
      <c r="Y522" s="384"/>
      <c r="Z522" s="384"/>
      <c r="AA522" s="384"/>
    </row>
    <row r="523" spans="1:27" x14ac:dyDescent="0.2">
      <c r="A523" s="384"/>
      <c r="B523" s="384"/>
      <c r="C523" s="384"/>
      <c r="D523" s="384"/>
      <c r="E523" s="384"/>
      <c r="F523" s="384"/>
      <c r="G523" s="384"/>
      <c r="H523" s="384"/>
      <c r="I523" s="384"/>
      <c r="J523" s="384"/>
      <c r="K523" s="384"/>
      <c r="L523" s="384"/>
      <c r="M523" s="384"/>
      <c r="N523" s="384"/>
      <c r="O523" s="384"/>
      <c r="P523" s="384"/>
      <c r="Q523" s="384"/>
      <c r="R523" s="384"/>
      <c r="S523" s="384"/>
      <c r="T523" s="384"/>
      <c r="U523" s="384"/>
      <c r="V523" s="384"/>
      <c r="W523" s="384"/>
      <c r="X523" s="384"/>
      <c r="Y523" s="384"/>
      <c r="Z523" s="384"/>
      <c r="AA523" s="384"/>
    </row>
    <row r="524" spans="1:27" x14ac:dyDescent="0.2">
      <c r="A524" s="384"/>
      <c r="B524" s="384"/>
      <c r="C524" s="384"/>
      <c r="D524" s="384"/>
      <c r="E524" s="384"/>
      <c r="F524" s="384"/>
      <c r="G524" s="384"/>
      <c r="H524" s="384"/>
      <c r="I524" s="384"/>
      <c r="J524" s="384"/>
      <c r="K524" s="384"/>
      <c r="L524" s="384"/>
      <c r="M524" s="384"/>
      <c r="N524" s="384"/>
      <c r="O524" s="384"/>
      <c r="P524" s="384"/>
      <c r="Q524" s="384"/>
      <c r="R524" s="384"/>
      <c r="S524" s="384"/>
      <c r="T524" s="384"/>
      <c r="U524" s="384"/>
      <c r="V524" s="384"/>
      <c r="W524" s="384"/>
      <c r="X524" s="384"/>
      <c r="Y524" s="384"/>
      <c r="Z524" s="384"/>
      <c r="AA524" s="384"/>
    </row>
    <row r="525" spans="1:27" x14ac:dyDescent="0.2">
      <c r="A525" s="384"/>
      <c r="B525" s="384"/>
      <c r="C525" s="384"/>
      <c r="D525" s="384"/>
      <c r="E525" s="384"/>
      <c r="F525" s="384"/>
      <c r="G525" s="384"/>
      <c r="H525" s="384"/>
      <c r="I525" s="384"/>
      <c r="J525" s="384"/>
      <c r="K525" s="384"/>
      <c r="L525" s="384"/>
      <c r="M525" s="384"/>
      <c r="N525" s="384"/>
      <c r="O525" s="384"/>
      <c r="P525" s="384"/>
      <c r="Q525" s="384"/>
      <c r="R525" s="384"/>
      <c r="S525" s="384"/>
      <c r="T525" s="384"/>
      <c r="U525" s="384"/>
      <c r="V525" s="384"/>
      <c r="W525" s="384"/>
      <c r="X525" s="384"/>
      <c r="Y525" s="384"/>
      <c r="Z525" s="384"/>
      <c r="AA525" s="384"/>
    </row>
    <row r="526" spans="1:27" x14ac:dyDescent="0.2">
      <c r="A526" s="384"/>
      <c r="B526" s="384"/>
      <c r="C526" s="384"/>
      <c r="D526" s="384"/>
      <c r="E526" s="384"/>
      <c r="F526" s="384"/>
      <c r="G526" s="384"/>
      <c r="H526" s="384"/>
      <c r="I526" s="384"/>
      <c r="J526" s="384"/>
      <c r="K526" s="384"/>
      <c r="L526" s="384"/>
      <c r="M526" s="384"/>
      <c r="N526" s="384"/>
      <c r="O526" s="384"/>
      <c r="P526" s="384"/>
      <c r="Q526" s="384"/>
      <c r="R526" s="384"/>
      <c r="S526" s="384"/>
      <c r="T526" s="384"/>
      <c r="U526" s="384"/>
      <c r="V526" s="384"/>
      <c r="W526" s="384"/>
      <c r="X526" s="384"/>
      <c r="Y526" s="384"/>
      <c r="Z526" s="384"/>
      <c r="AA526" s="384"/>
    </row>
    <row r="527" spans="1:27" x14ac:dyDescent="0.2">
      <c r="A527" s="384"/>
      <c r="B527" s="384"/>
      <c r="C527" s="384"/>
      <c r="D527" s="384"/>
      <c r="E527" s="384"/>
      <c r="F527" s="384"/>
      <c r="G527" s="384"/>
      <c r="H527" s="384"/>
      <c r="I527" s="384"/>
      <c r="J527" s="384"/>
      <c r="K527" s="384"/>
      <c r="L527" s="384"/>
      <c r="M527" s="384"/>
      <c r="N527" s="384"/>
      <c r="O527" s="384"/>
      <c r="P527" s="384"/>
      <c r="Q527" s="384"/>
      <c r="R527" s="384"/>
      <c r="S527" s="384"/>
      <c r="T527" s="384"/>
      <c r="U527" s="384"/>
      <c r="V527" s="384"/>
      <c r="W527" s="384"/>
      <c r="X527" s="384"/>
      <c r="Y527" s="384"/>
      <c r="Z527" s="384"/>
      <c r="AA527" s="384"/>
    </row>
    <row r="528" spans="1:27" x14ac:dyDescent="0.2">
      <c r="A528" s="384"/>
      <c r="B528" s="384"/>
      <c r="C528" s="384"/>
      <c r="D528" s="384"/>
      <c r="E528" s="384"/>
      <c r="F528" s="384"/>
      <c r="G528" s="384"/>
      <c r="H528" s="384"/>
      <c r="I528" s="384"/>
      <c r="J528" s="384"/>
      <c r="K528" s="384"/>
      <c r="L528" s="384"/>
      <c r="M528" s="384"/>
      <c r="N528" s="384"/>
      <c r="O528" s="384"/>
      <c r="P528" s="384"/>
      <c r="Q528" s="384"/>
      <c r="R528" s="384"/>
      <c r="S528" s="384"/>
      <c r="T528" s="384"/>
      <c r="U528" s="384"/>
      <c r="V528" s="384"/>
      <c r="W528" s="384"/>
      <c r="X528" s="384"/>
      <c r="Y528" s="384"/>
      <c r="Z528" s="384"/>
      <c r="AA528" s="384"/>
    </row>
    <row r="529" spans="1:27" x14ac:dyDescent="0.2">
      <c r="A529" s="384"/>
      <c r="B529" s="384"/>
      <c r="C529" s="384"/>
      <c r="D529" s="384"/>
      <c r="E529" s="384"/>
      <c r="F529" s="384"/>
      <c r="G529" s="384"/>
      <c r="H529" s="384"/>
      <c r="I529" s="384"/>
      <c r="J529" s="384"/>
      <c r="K529" s="384"/>
      <c r="L529" s="384"/>
      <c r="M529" s="384"/>
      <c r="N529" s="384"/>
      <c r="O529" s="384"/>
      <c r="P529" s="384"/>
      <c r="Q529" s="384"/>
      <c r="R529" s="384"/>
      <c r="S529" s="384"/>
      <c r="T529" s="384"/>
      <c r="U529" s="384"/>
      <c r="V529" s="384"/>
      <c r="W529" s="384"/>
      <c r="X529" s="384"/>
      <c r="Y529" s="384"/>
      <c r="Z529" s="384"/>
      <c r="AA529" s="384"/>
    </row>
    <row r="530" spans="1:27" x14ac:dyDescent="0.2">
      <c r="A530" s="384"/>
      <c r="B530" s="384"/>
      <c r="C530" s="384"/>
      <c r="D530" s="384"/>
      <c r="E530" s="384"/>
      <c r="F530" s="384"/>
      <c r="G530" s="384"/>
      <c r="H530" s="384"/>
      <c r="I530" s="384"/>
      <c r="J530" s="384"/>
      <c r="K530" s="384"/>
      <c r="L530" s="384"/>
      <c r="M530" s="384"/>
      <c r="N530" s="384"/>
      <c r="O530" s="384"/>
      <c r="P530" s="384"/>
      <c r="Q530" s="384"/>
      <c r="R530" s="384"/>
      <c r="S530" s="384"/>
      <c r="T530" s="384"/>
      <c r="U530" s="384"/>
      <c r="V530" s="384"/>
      <c r="W530" s="384"/>
      <c r="X530" s="384"/>
      <c r="Y530" s="384"/>
      <c r="Z530" s="384"/>
      <c r="AA530" s="384"/>
    </row>
    <row r="531" spans="1:27" x14ac:dyDescent="0.2">
      <c r="A531" s="384"/>
      <c r="B531" s="384"/>
      <c r="C531" s="384"/>
      <c r="D531" s="384"/>
      <c r="E531" s="384"/>
      <c r="F531" s="384"/>
      <c r="G531" s="384"/>
      <c r="H531" s="384"/>
      <c r="I531" s="384"/>
      <c r="J531" s="384"/>
      <c r="K531" s="384"/>
      <c r="L531" s="384"/>
      <c r="M531" s="384"/>
      <c r="N531" s="384"/>
      <c r="O531" s="384"/>
      <c r="P531" s="384"/>
      <c r="Q531" s="384"/>
      <c r="R531" s="384"/>
      <c r="S531" s="384"/>
      <c r="T531" s="384"/>
      <c r="U531" s="384"/>
      <c r="V531" s="384"/>
      <c r="W531" s="384"/>
      <c r="X531" s="384"/>
      <c r="Y531" s="384"/>
      <c r="Z531" s="384"/>
      <c r="AA531" s="384"/>
    </row>
    <row r="532" spans="1:27" x14ac:dyDescent="0.2">
      <c r="A532" s="384"/>
      <c r="B532" s="384"/>
      <c r="C532" s="384"/>
      <c r="D532" s="384"/>
      <c r="E532" s="384"/>
      <c r="F532" s="384"/>
      <c r="G532" s="384"/>
      <c r="H532" s="384"/>
      <c r="I532" s="384"/>
      <c r="J532" s="384"/>
      <c r="K532" s="384"/>
      <c r="L532" s="384"/>
      <c r="M532" s="384"/>
      <c r="N532" s="384"/>
      <c r="O532" s="384"/>
      <c r="P532" s="384"/>
      <c r="Q532" s="384"/>
      <c r="R532" s="384"/>
      <c r="S532" s="384"/>
      <c r="T532" s="384"/>
      <c r="U532" s="384"/>
      <c r="V532" s="384"/>
      <c r="W532" s="384"/>
      <c r="X532" s="384"/>
      <c r="Y532" s="384"/>
      <c r="Z532" s="384"/>
      <c r="AA532" s="384"/>
    </row>
    <row r="533" spans="1:27" x14ac:dyDescent="0.2">
      <c r="A533" s="384"/>
      <c r="B533" s="384"/>
      <c r="C533" s="384"/>
      <c r="D533" s="384"/>
      <c r="E533" s="384"/>
      <c r="F533" s="384"/>
      <c r="G533" s="384"/>
      <c r="H533" s="384"/>
      <c r="I533" s="384"/>
      <c r="J533" s="384"/>
      <c r="K533" s="384"/>
      <c r="L533" s="384"/>
      <c r="M533" s="384"/>
      <c r="N533" s="384"/>
      <c r="O533" s="384"/>
      <c r="P533" s="384"/>
      <c r="Q533" s="384"/>
      <c r="R533" s="384"/>
      <c r="S533" s="384"/>
      <c r="T533" s="384"/>
      <c r="U533" s="384"/>
      <c r="V533" s="384"/>
      <c r="W533" s="384"/>
      <c r="X533" s="384"/>
      <c r="Y533" s="384"/>
      <c r="Z533" s="384"/>
      <c r="AA533" s="384"/>
    </row>
    <row r="534" spans="1:27" x14ac:dyDescent="0.2">
      <c r="A534" s="384"/>
      <c r="B534" s="384"/>
      <c r="C534" s="384"/>
      <c r="D534" s="384"/>
      <c r="E534" s="384"/>
      <c r="F534" s="384"/>
      <c r="G534" s="384"/>
      <c r="H534" s="384"/>
      <c r="I534" s="384"/>
      <c r="J534" s="384"/>
      <c r="K534" s="384"/>
      <c r="L534" s="384"/>
      <c r="M534" s="384"/>
      <c r="N534" s="384"/>
      <c r="O534" s="384"/>
      <c r="P534" s="384"/>
      <c r="Q534" s="384"/>
      <c r="R534" s="384"/>
      <c r="S534" s="384"/>
      <c r="T534" s="384"/>
      <c r="U534" s="384"/>
      <c r="V534" s="384"/>
      <c r="W534" s="384"/>
      <c r="X534" s="384"/>
      <c r="Y534" s="384"/>
      <c r="Z534" s="384"/>
      <c r="AA534" s="384"/>
    </row>
    <row r="535" spans="1:27" x14ac:dyDescent="0.2">
      <c r="A535" s="384"/>
      <c r="B535" s="384"/>
      <c r="C535" s="384"/>
      <c r="D535" s="384"/>
      <c r="E535" s="384"/>
      <c r="F535" s="384"/>
      <c r="G535" s="384"/>
      <c r="H535" s="384"/>
      <c r="I535" s="384"/>
      <c r="J535" s="384"/>
      <c r="K535" s="384"/>
      <c r="L535" s="384"/>
      <c r="M535" s="384"/>
      <c r="N535" s="384"/>
      <c r="O535" s="384"/>
      <c r="P535" s="384"/>
      <c r="Q535" s="384"/>
      <c r="R535" s="384"/>
      <c r="S535" s="384"/>
      <c r="T535" s="384"/>
      <c r="U535" s="384"/>
      <c r="V535" s="384"/>
      <c r="W535" s="384"/>
      <c r="X535" s="384"/>
      <c r="Y535" s="384"/>
      <c r="Z535" s="384"/>
      <c r="AA535" s="384"/>
    </row>
    <row r="536" spans="1:27" x14ac:dyDescent="0.2">
      <c r="A536" s="384"/>
      <c r="B536" s="384"/>
      <c r="C536" s="384"/>
      <c r="D536" s="384"/>
      <c r="E536" s="384"/>
      <c r="F536" s="384"/>
      <c r="G536" s="384"/>
      <c r="H536" s="384"/>
      <c r="I536" s="384"/>
      <c r="J536" s="384"/>
      <c r="K536" s="384"/>
      <c r="L536" s="384"/>
      <c r="M536" s="384"/>
      <c r="N536" s="384"/>
      <c r="O536" s="384"/>
      <c r="P536" s="384"/>
      <c r="Q536" s="384"/>
      <c r="R536" s="384"/>
      <c r="S536" s="384"/>
      <c r="T536" s="384"/>
      <c r="U536" s="384"/>
      <c r="V536" s="384"/>
      <c r="W536" s="384"/>
      <c r="X536" s="384"/>
      <c r="Y536" s="384"/>
      <c r="Z536" s="384"/>
      <c r="AA536" s="384"/>
    </row>
    <row r="537" spans="1:27" x14ac:dyDescent="0.2">
      <c r="A537" s="384"/>
      <c r="B537" s="384"/>
      <c r="C537" s="384"/>
      <c r="D537" s="384"/>
      <c r="E537" s="384"/>
      <c r="F537" s="384"/>
      <c r="G537" s="384"/>
      <c r="H537" s="384"/>
      <c r="I537" s="384"/>
      <c r="J537" s="384"/>
      <c r="K537" s="384"/>
      <c r="L537" s="384"/>
      <c r="M537" s="384"/>
      <c r="N537" s="384"/>
      <c r="O537" s="384"/>
      <c r="P537" s="384"/>
      <c r="Q537" s="384"/>
      <c r="R537" s="384"/>
      <c r="S537" s="384"/>
      <c r="T537" s="384"/>
      <c r="U537" s="384"/>
      <c r="V537" s="384"/>
      <c r="W537" s="384"/>
      <c r="X537" s="384"/>
      <c r="Y537" s="384"/>
      <c r="Z537" s="384"/>
      <c r="AA537" s="384"/>
    </row>
    <row r="538" spans="1:27" x14ac:dyDescent="0.2">
      <c r="A538" s="384"/>
      <c r="B538" s="384"/>
      <c r="C538" s="384"/>
      <c r="D538" s="384"/>
      <c r="E538" s="384"/>
      <c r="F538" s="384"/>
      <c r="G538" s="384"/>
      <c r="H538" s="384"/>
      <c r="I538" s="384"/>
      <c r="J538" s="384"/>
      <c r="K538" s="384"/>
      <c r="L538" s="384"/>
      <c r="M538" s="384"/>
      <c r="N538" s="384"/>
      <c r="O538" s="384"/>
      <c r="P538" s="384"/>
      <c r="Q538" s="384"/>
      <c r="R538" s="384"/>
      <c r="S538" s="384"/>
      <c r="T538" s="384"/>
      <c r="U538" s="384"/>
      <c r="V538" s="384"/>
      <c r="W538" s="384"/>
      <c r="X538" s="384"/>
      <c r="Y538" s="384"/>
      <c r="Z538" s="384"/>
      <c r="AA538" s="384"/>
    </row>
    <row r="539" spans="1:27" x14ac:dyDescent="0.2">
      <c r="A539" s="384"/>
      <c r="B539" s="384"/>
      <c r="C539" s="384"/>
      <c r="D539" s="384"/>
      <c r="E539" s="384"/>
      <c r="F539" s="384"/>
      <c r="G539" s="384"/>
      <c r="H539" s="384"/>
      <c r="I539" s="384"/>
      <c r="J539" s="384"/>
      <c r="K539" s="384"/>
      <c r="L539" s="384"/>
      <c r="M539" s="384"/>
      <c r="N539" s="384"/>
      <c r="O539" s="384"/>
      <c r="P539" s="384"/>
      <c r="Q539" s="384"/>
      <c r="R539" s="384"/>
      <c r="S539" s="384"/>
      <c r="T539" s="384"/>
      <c r="U539" s="384"/>
      <c r="V539" s="384"/>
      <c r="W539" s="384"/>
      <c r="X539" s="384"/>
      <c r="Y539" s="384"/>
      <c r="Z539" s="384"/>
      <c r="AA539" s="384"/>
    </row>
    <row r="540" spans="1:27" x14ac:dyDescent="0.2">
      <c r="A540" s="384"/>
      <c r="B540" s="384"/>
      <c r="C540" s="384"/>
      <c r="D540" s="384"/>
      <c r="E540" s="384"/>
      <c r="F540" s="384"/>
      <c r="G540" s="384"/>
      <c r="H540" s="384"/>
      <c r="I540" s="384"/>
      <c r="J540" s="384"/>
      <c r="K540" s="384"/>
      <c r="L540" s="384"/>
      <c r="M540" s="384"/>
      <c r="N540" s="384"/>
      <c r="O540" s="384"/>
      <c r="P540" s="384"/>
      <c r="Q540" s="384"/>
      <c r="R540" s="384"/>
      <c r="S540" s="384"/>
      <c r="T540" s="384"/>
      <c r="U540" s="384"/>
      <c r="V540" s="384"/>
      <c r="W540" s="384"/>
      <c r="X540" s="384"/>
      <c r="Y540" s="384"/>
      <c r="Z540" s="384"/>
      <c r="AA540" s="384"/>
    </row>
    <row r="541" spans="1:27" x14ac:dyDescent="0.2">
      <c r="A541" s="384"/>
      <c r="B541" s="384"/>
      <c r="C541" s="384"/>
      <c r="D541" s="384"/>
      <c r="E541" s="384"/>
      <c r="F541" s="384"/>
      <c r="G541" s="384"/>
      <c r="H541" s="384"/>
      <c r="I541" s="384"/>
      <c r="J541" s="384"/>
      <c r="K541" s="384"/>
      <c r="L541" s="384"/>
      <c r="M541" s="384"/>
      <c r="N541" s="384"/>
      <c r="O541" s="384"/>
      <c r="P541" s="384"/>
      <c r="Q541" s="384"/>
      <c r="R541" s="384"/>
      <c r="S541" s="384"/>
      <c r="T541" s="384"/>
      <c r="U541" s="384"/>
      <c r="V541" s="384"/>
      <c r="W541" s="384"/>
      <c r="X541" s="384"/>
      <c r="Y541" s="384"/>
      <c r="Z541" s="384"/>
      <c r="AA541" s="384"/>
    </row>
    <row r="542" spans="1:27" x14ac:dyDescent="0.2">
      <c r="A542" s="384"/>
      <c r="B542" s="384"/>
      <c r="C542" s="384"/>
      <c r="D542" s="384"/>
      <c r="E542" s="384"/>
      <c r="F542" s="384"/>
      <c r="G542" s="384"/>
      <c r="H542" s="384"/>
      <c r="I542" s="384"/>
      <c r="J542" s="384"/>
      <c r="K542" s="384"/>
      <c r="L542" s="384"/>
      <c r="M542" s="384"/>
      <c r="N542" s="384"/>
      <c r="O542" s="384"/>
      <c r="P542" s="384"/>
      <c r="Q542" s="384"/>
      <c r="R542" s="384"/>
      <c r="S542" s="384"/>
      <c r="T542" s="384"/>
      <c r="U542" s="384"/>
      <c r="V542" s="384"/>
      <c r="W542" s="384"/>
      <c r="X542" s="384"/>
      <c r="Y542" s="384"/>
      <c r="Z542" s="384"/>
      <c r="AA542" s="384"/>
    </row>
    <row r="543" spans="1:27" x14ac:dyDescent="0.2">
      <c r="A543" s="384"/>
      <c r="B543" s="384"/>
      <c r="C543" s="384"/>
      <c r="D543" s="384"/>
      <c r="E543" s="384"/>
      <c r="F543" s="384"/>
      <c r="G543" s="384"/>
      <c r="H543" s="384"/>
      <c r="I543" s="384"/>
      <c r="J543" s="384"/>
      <c r="K543" s="384"/>
      <c r="L543" s="384"/>
      <c r="M543" s="384"/>
      <c r="N543" s="384"/>
      <c r="O543" s="384"/>
      <c r="P543" s="384"/>
      <c r="Q543" s="384"/>
      <c r="R543" s="384"/>
      <c r="S543" s="384"/>
      <c r="T543" s="384"/>
      <c r="U543" s="384"/>
      <c r="V543" s="384"/>
      <c r="W543" s="384"/>
      <c r="X543" s="384"/>
      <c r="Y543" s="384"/>
      <c r="Z543" s="384"/>
      <c r="AA543" s="384"/>
    </row>
    <row r="544" spans="1:27" x14ac:dyDescent="0.2">
      <c r="A544" s="384"/>
      <c r="B544" s="384"/>
      <c r="C544" s="384"/>
      <c r="D544" s="384"/>
      <c r="E544" s="384"/>
      <c r="F544" s="384"/>
      <c r="G544" s="384"/>
      <c r="H544" s="384"/>
      <c r="I544" s="384"/>
      <c r="J544" s="384"/>
      <c r="K544" s="384"/>
      <c r="L544" s="384"/>
      <c r="M544" s="384"/>
      <c r="N544" s="384"/>
      <c r="O544" s="384"/>
      <c r="P544" s="384"/>
      <c r="Q544" s="384"/>
      <c r="R544" s="384"/>
      <c r="S544" s="384"/>
      <c r="T544" s="384"/>
      <c r="U544" s="384"/>
      <c r="V544" s="384"/>
      <c r="W544" s="384"/>
      <c r="X544" s="384"/>
      <c r="Y544" s="384"/>
      <c r="Z544" s="384"/>
      <c r="AA544" s="384"/>
    </row>
    <row r="545" spans="1:27" x14ac:dyDescent="0.2">
      <c r="A545" s="384"/>
      <c r="B545" s="384"/>
      <c r="C545" s="384"/>
      <c r="D545" s="384"/>
      <c r="E545" s="384"/>
      <c r="F545" s="384"/>
      <c r="G545" s="384"/>
      <c r="H545" s="384"/>
      <c r="I545" s="384"/>
      <c r="J545" s="384"/>
      <c r="K545" s="384"/>
      <c r="L545" s="384"/>
      <c r="M545" s="384"/>
      <c r="N545" s="384"/>
      <c r="O545" s="384"/>
      <c r="P545" s="384"/>
      <c r="Q545" s="384"/>
      <c r="R545" s="384"/>
      <c r="S545" s="384"/>
      <c r="T545" s="384"/>
      <c r="U545" s="384"/>
      <c r="V545" s="384"/>
      <c r="W545" s="384"/>
      <c r="X545" s="384"/>
      <c r="Y545" s="384"/>
      <c r="Z545" s="384"/>
      <c r="AA545" s="384"/>
    </row>
    <row r="546" spans="1:27" x14ac:dyDescent="0.2">
      <c r="A546" s="384"/>
      <c r="B546" s="384"/>
      <c r="C546" s="384"/>
      <c r="D546" s="384"/>
      <c r="E546" s="384"/>
      <c r="F546" s="384"/>
      <c r="G546" s="384"/>
      <c r="H546" s="384"/>
      <c r="I546" s="384"/>
      <c r="J546" s="384"/>
      <c r="K546" s="384"/>
      <c r="L546" s="384"/>
      <c r="M546" s="384"/>
      <c r="N546" s="384"/>
      <c r="O546" s="384"/>
      <c r="P546" s="384"/>
      <c r="Q546" s="384"/>
      <c r="R546" s="384"/>
      <c r="S546" s="384"/>
      <c r="T546" s="384"/>
      <c r="U546" s="384"/>
      <c r="V546" s="384"/>
      <c r="W546" s="384"/>
      <c r="X546" s="384"/>
      <c r="Y546" s="384"/>
      <c r="Z546" s="384"/>
      <c r="AA546" s="384"/>
    </row>
    <row r="547" spans="1:27" x14ac:dyDescent="0.2">
      <c r="A547" s="384"/>
      <c r="B547" s="384"/>
      <c r="C547" s="384"/>
      <c r="D547" s="384"/>
      <c r="E547" s="384"/>
      <c r="F547" s="384"/>
      <c r="G547" s="384"/>
      <c r="H547" s="384"/>
      <c r="I547" s="384"/>
      <c r="J547" s="384"/>
      <c r="K547" s="384"/>
      <c r="L547" s="384"/>
      <c r="M547" s="384"/>
      <c r="N547" s="384"/>
      <c r="O547" s="384"/>
      <c r="P547" s="384"/>
      <c r="Q547" s="384"/>
      <c r="R547" s="384"/>
      <c r="S547" s="384"/>
      <c r="T547" s="384"/>
      <c r="U547" s="384"/>
      <c r="V547" s="384"/>
      <c r="W547" s="384"/>
      <c r="X547" s="384"/>
      <c r="Y547" s="384"/>
      <c r="Z547" s="384"/>
      <c r="AA547" s="384"/>
    </row>
    <row r="548" spans="1:27" x14ac:dyDescent="0.2">
      <c r="A548" s="384"/>
      <c r="B548" s="384"/>
      <c r="C548" s="384"/>
      <c r="D548" s="384"/>
      <c r="E548" s="384"/>
      <c r="F548" s="384"/>
      <c r="G548" s="384"/>
      <c r="H548" s="384"/>
      <c r="I548" s="384"/>
      <c r="J548" s="384"/>
      <c r="K548" s="384"/>
      <c r="L548" s="384"/>
      <c r="M548" s="384"/>
      <c r="N548" s="384"/>
      <c r="O548" s="384"/>
      <c r="P548" s="384"/>
      <c r="Q548" s="384"/>
      <c r="R548" s="384"/>
      <c r="S548" s="384"/>
      <c r="T548" s="384"/>
      <c r="U548" s="384"/>
      <c r="V548" s="384"/>
      <c r="W548" s="384"/>
      <c r="X548" s="384"/>
      <c r="Y548" s="384"/>
      <c r="Z548" s="384"/>
      <c r="AA548" s="384"/>
    </row>
    <row r="549" spans="1:27" x14ac:dyDescent="0.2">
      <c r="A549" s="384"/>
      <c r="B549" s="384"/>
      <c r="C549" s="384"/>
      <c r="D549" s="384"/>
      <c r="E549" s="384"/>
      <c r="F549" s="384"/>
      <c r="G549" s="384"/>
      <c r="H549" s="384"/>
      <c r="I549" s="384"/>
      <c r="J549" s="384"/>
      <c r="K549" s="384"/>
      <c r="L549" s="384"/>
      <c r="M549" s="384"/>
      <c r="N549" s="384"/>
      <c r="O549" s="384"/>
      <c r="P549" s="384"/>
      <c r="Q549" s="384"/>
      <c r="R549" s="384"/>
      <c r="S549" s="384"/>
      <c r="T549" s="384"/>
      <c r="U549" s="384"/>
      <c r="V549" s="384"/>
      <c r="W549" s="384"/>
      <c r="X549" s="384"/>
      <c r="Y549" s="384"/>
      <c r="Z549" s="384"/>
      <c r="AA549" s="384"/>
    </row>
    <row r="550" spans="1:27" x14ac:dyDescent="0.2">
      <c r="A550" s="384"/>
      <c r="B550" s="384"/>
      <c r="C550" s="384"/>
      <c r="D550" s="384"/>
      <c r="E550" s="384"/>
      <c r="F550" s="384"/>
      <c r="G550" s="384"/>
      <c r="H550" s="384"/>
      <c r="I550" s="384"/>
      <c r="J550" s="384"/>
      <c r="K550" s="384"/>
      <c r="L550" s="384"/>
      <c r="M550" s="384"/>
      <c r="N550" s="384"/>
      <c r="O550" s="384"/>
      <c r="P550" s="384"/>
      <c r="Q550" s="384"/>
      <c r="R550" s="384"/>
      <c r="S550" s="384"/>
      <c r="T550" s="384"/>
      <c r="U550" s="384"/>
      <c r="V550" s="384"/>
      <c r="W550" s="384"/>
      <c r="X550" s="384"/>
      <c r="Y550" s="384"/>
      <c r="Z550" s="384"/>
      <c r="AA550" s="384"/>
    </row>
    <row r="551" spans="1:27" x14ac:dyDescent="0.2">
      <c r="A551" s="384"/>
      <c r="B551" s="384"/>
      <c r="C551" s="384"/>
      <c r="D551" s="384"/>
      <c r="E551" s="384"/>
      <c r="F551" s="384"/>
      <c r="G551" s="384"/>
      <c r="H551" s="384"/>
      <c r="I551" s="384"/>
      <c r="J551" s="384"/>
      <c r="K551" s="384"/>
      <c r="L551" s="384"/>
      <c r="M551" s="384"/>
      <c r="N551" s="384"/>
      <c r="O551" s="384"/>
      <c r="P551" s="384"/>
      <c r="Q551" s="384"/>
      <c r="R551" s="384"/>
      <c r="S551" s="384"/>
      <c r="T551" s="384"/>
      <c r="U551" s="384"/>
      <c r="V551" s="384"/>
      <c r="W551" s="384"/>
      <c r="X551" s="384"/>
      <c r="Y551" s="384"/>
      <c r="Z551" s="384"/>
      <c r="AA551" s="384"/>
    </row>
    <row r="552" spans="1:27" x14ac:dyDescent="0.2">
      <c r="A552" s="384"/>
      <c r="B552" s="384"/>
      <c r="C552" s="384"/>
      <c r="D552" s="384"/>
      <c r="E552" s="384"/>
      <c r="F552" s="384"/>
      <c r="G552" s="384"/>
      <c r="H552" s="384"/>
      <c r="I552" s="384"/>
      <c r="J552" s="384"/>
      <c r="K552" s="384"/>
      <c r="L552" s="384"/>
      <c r="M552" s="384"/>
      <c r="N552" s="384"/>
      <c r="O552" s="384"/>
      <c r="P552" s="384"/>
      <c r="Q552" s="384"/>
      <c r="R552" s="384"/>
      <c r="S552" s="384"/>
      <c r="T552" s="384"/>
      <c r="U552" s="384"/>
      <c r="V552" s="384"/>
      <c r="W552" s="384"/>
      <c r="X552" s="384"/>
      <c r="Y552" s="384"/>
      <c r="Z552" s="384"/>
      <c r="AA552" s="384"/>
    </row>
    <row r="553" spans="1:27" x14ac:dyDescent="0.2">
      <c r="A553" s="384"/>
      <c r="B553" s="384"/>
      <c r="C553" s="384"/>
      <c r="D553" s="384"/>
      <c r="E553" s="384"/>
      <c r="F553" s="384"/>
      <c r="G553" s="384"/>
      <c r="H553" s="384"/>
      <c r="I553" s="384"/>
      <c r="J553" s="384"/>
      <c r="K553" s="384"/>
      <c r="L553" s="384"/>
      <c r="M553" s="384"/>
      <c r="N553" s="384"/>
      <c r="O553" s="384"/>
      <c r="P553" s="384"/>
      <c r="Q553" s="384"/>
      <c r="R553" s="384"/>
      <c r="S553" s="384"/>
      <c r="T553" s="384"/>
      <c r="U553" s="384"/>
      <c r="V553" s="384"/>
      <c r="W553" s="384"/>
      <c r="X553" s="384"/>
      <c r="Y553" s="384"/>
      <c r="Z553" s="384"/>
      <c r="AA553" s="384"/>
    </row>
    <row r="554" spans="1:27" x14ac:dyDescent="0.2">
      <c r="A554" s="384"/>
      <c r="B554" s="384"/>
      <c r="C554" s="384"/>
      <c r="D554" s="384"/>
      <c r="E554" s="384"/>
      <c r="F554" s="384"/>
      <c r="G554" s="384"/>
      <c r="H554" s="384"/>
      <c r="I554" s="384"/>
      <c r="J554" s="384"/>
      <c r="K554" s="384"/>
      <c r="L554" s="384"/>
      <c r="M554" s="384"/>
      <c r="N554" s="384"/>
      <c r="O554" s="384"/>
      <c r="P554" s="384"/>
      <c r="Q554" s="384"/>
      <c r="R554" s="384"/>
      <c r="S554" s="384"/>
      <c r="T554" s="384"/>
      <c r="U554" s="384"/>
      <c r="V554" s="384"/>
      <c r="W554" s="384"/>
      <c r="X554" s="384"/>
      <c r="Y554" s="384"/>
      <c r="Z554" s="384"/>
      <c r="AA554" s="384"/>
    </row>
    <row r="555" spans="1:27" x14ac:dyDescent="0.2">
      <c r="A555" s="384"/>
      <c r="B555" s="384"/>
      <c r="C555" s="384"/>
      <c r="D555" s="384"/>
      <c r="E555" s="384"/>
      <c r="F555" s="384"/>
      <c r="G555" s="384"/>
      <c r="H555" s="384"/>
      <c r="I555" s="384"/>
      <c r="J555" s="384"/>
      <c r="K555" s="384"/>
      <c r="L555" s="384"/>
      <c r="M555" s="384"/>
      <c r="N555" s="384"/>
      <c r="O555" s="384"/>
      <c r="P555" s="384"/>
      <c r="Q555" s="384"/>
      <c r="R555" s="384"/>
      <c r="S555" s="384"/>
      <c r="T555" s="384"/>
      <c r="U555" s="384"/>
      <c r="V555" s="384"/>
      <c r="W555" s="384"/>
      <c r="X555" s="384"/>
      <c r="Y555" s="384"/>
      <c r="Z555" s="384"/>
      <c r="AA555" s="384"/>
    </row>
    <row r="556" spans="1:27" x14ac:dyDescent="0.2">
      <c r="A556" s="384"/>
      <c r="B556" s="384"/>
      <c r="C556" s="384"/>
      <c r="D556" s="384"/>
      <c r="E556" s="384"/>
      <c r="F556" s="384"/>
      <c r="G556" s="384"/>
      <c r="H556" s="384"/>
      <c r="I556" s="384"/>
      <c r="J556" s="384"/>
      <c r="K556" s="384"/>
      <c r="L556" s="384"/>
      <c r="M556" s="384"/>
      <c r="N556" s="384"/>
      <c r="O556" s="384"/>
      <c r="P556" s="384"/>
      <c r="Q556" s="384"/>
      <c r="R556" s="384"/>
      <c r="S556" s="384"/>
      <c r="T556" s="384"/>
      <c r="U556" s="384"/>
      <c r="V556" s="384"/>
      <c r="W556" s="384"/>
      <c r="X556" s="384"/>
      <c r="Y556" s="384"/>
      <c r="Z556" s="384"/>
      <c r="AA556" s="384"/>
    </row>
    <row r="557" spans="1:27" x14ac:dyDescent="0.2">
      <c r="A557" s="384"/>
      <c r="B557" s="384"/>
      <c r="C557" s="384"/>
      <c r="D557" s="384"/>
      <c r="E557" s="384"/>
      <c r="F557" s="384"/>
      <c r="G557" s="384"/>
      <c r="H557" s="384"/>
      <c r="I557" s="384"/>
      <c r="J557" s="384"/>
      <c r="K557" s="384"/>
      <c r="L557" s="384"/>
      <c r="M557" s="384"/>
      <c r="N557" s="384"/>
      <c r="O557" s="384"/>
      <c r="P557" s="384"/>
      <c r="Q557" s="384"/>
      <c r="R557" s="384"/>
      <c r="S557" s="384"/>
      <c r="T557" s="384"/>
      <c r="U557" s="384"/>
      <c r="V557" s="384"/>
      <c r="W557" s="384"/>
      <c r="X557" s="384"/>
      <c r="Y557" s="384"/>
      <c r="Z557" s="384"/>
      <c r="AA557" s="384"/>
    </row>
    <row r="558" spans="1:27" x14ac:dyDescent="0.2">
      <c r="A558" s="384"/>
      <c r="B558" s="384"/>
      <c r="C558" s="384"/>
      <c r="D558" s="384"/>
      <c r="E558" s="384"/>
      <c r="F558" s="384"/>
      <c r="G558" s="384"/>
      <c r="H558" s="384"/>
      <c r="I558" s="384"/>
      <c r="J558" s="384"/>
      <c r="K558" s="384"/>
      <c r="L558" s="384"/>
      <c r="M558" s="384"/>
      <c r="N558" s="384"/>
      <c r="O558" s="384"/>
      <c r="P558" s="384"/>
      <c r="Q558" s="384"/>
      <c r="R558" s="384"/>
      <c r="S558" s="384"/>
      <c r="T558" s="384"/>
      <c r="U558" s="384"/>
      <c r="V558" s="384"/>
      <c r="W558" s="384"/>
      <c r="X558" s="384"/>
      <c r="Y558" s="384"/>
      <c r="Z558" s="384"/>
      <c r="AA558" s="384"/>
    </row>
    <row r="559" spans="1:27" x14ac:dyDescent="0.2">
      <c r="A559" s="384"/>
      <c r="B559" s="384"/>
      <c r="C559" s="384"/>
      <c r="D559" s="384"/>
      <c r="E559" s="384"/>
      <c r="F559" s="384"/>
      <c r="G559" s="384"/>
      <c r="H559" s="384"/>
      <c r="I559" s="384"/>
      <c r="J559" s="384"/>
      <c r="K559" s="384"/>
      <c r="L559" s="384"/>
      <c r="M559" s="384"/>
      <c r="N559" s="384"/>
      <c r="O559" s="384"/>
      <c r="P559" s="384"/>
      <c r="Q559" s="384"/>
      <c r="R559" s="384"/>
      <c r="S559" s="384"/>
      <c r="T559" s="384"/>
      <c r="U559" s="384"/>
      <c r="V559" s="384"/>
      <c r="W559" s="384"/>
      <c r="X559" s="384"/>
      <c r="Y559" s="384"/>
      <c r="Z559" s="384"/>
      <c r="AA559" s="384"/>
    </row>
    <row r="560" spans="1:27" x14ac:dyDescent="0.2">
      <c r="A560" s="384"/>
      <c r="B560" s="384"/>
      <c r="C560" s="384"/>
      <c r="D560" s="384"/>
      <c r="E560" s="384"/>
      <c r="F560" s="384"/>
      <c r="G560" s="384"/>
      <c r="H560" s="384"/>
      <c r="I560" s="384"/>
      <c r="J560" s="384"/>
      <c r="K560" s="384"/>
      <c r="L560" s="384"/>
      <c r="M560" s="384"/>
      <c r="N560" s="384"/>
      <c r="O560" s="384"/>
      <c r="P560" s="384"/>
      <c r="Q560" s="384"/>
      <c r="R560" s="384"/>
      <c r="S560" s="384"/>
      <c r="T560" s="384"/>
      <c r="U560" s="384"/>
      <c r="V560" s="384"/>
      <c r="W560" s="384"/>
      <c r="X560" s="384"/>
      <c r="Y560" s="384"/>
      <c r="Z560" s="384"/>
      <c r="AA560" s="384"/>
    </row>
    <row r="561" spans="1:27" x14ac:dyDescent="0.2">
      <c r="A561" s="384"/>
      <c r="B561" s="384"/>
      <c r="C561" s="384"/>
      <c r="D561" s="384"/>
      <c r="E561" s="384"/>
      <c r="F561" s="384"/>
      <c r="G561" s="384"/>
      <c r="H561" s="384"/>
      <c r="I561" s="384"/>
      <c r="J561" s="384"/>
      <c r="K561" s="384"/>
      <c r="L561" s="384"/>
      <c r="M561" s="384"/>
      <c r="N561" s="384"/>
      <c r="O561" s="384"/>
      <c r="P561" s="384"/>
      <c r="Q561" s="384"/>
      <c r="R561" s="384"/>
      <c r="S561" s="384"/>
      <c r="T561" s="384"/>
      <c r="U561" s="384"/>
      <c r="V561" s="384"/>
      <c r="W561" s="384"/>
      <c r="X561" s="384"/>
      <c r="Y561" s="384"/>
      <c r="Z561" s="384"/>
      <c r="AA561" s="384"/>
    </row>
    <row r="562" spans="1:27" x14ac:dyDescent="0.2">
      <c r="A562" s="384"/>
      <c r="B562" s="384"/>
      <c r="C562" s="384"/>
      <c r="D562" s="384"/>
      <c r="E562" s="384"/>
      <c r="F562" s="384"/>
      <c r="G562" s="384"/>
      <c r="H562" s="384"/>
      <c r="I562" s="384"/>
      <c r="J562" s="384"/>
      <c r="K562" s="384"/>
      <c r="L562" s="384"/>
      <c r="M562" s="384"/>
      <c r="N562" s="384"/>
      <c r="O562" s="384"/>
      <c r="P562" s="384"/>
      <c r="Q562" s="384"/>
      <c r="R562" s="384"/>
      <c r="S562" s="384"/>
      <c r="T562" s="384"/>
      <c r="U562" s="384"/>
      <c r="V562" s="384"/>
      <c r="W562" s="384"/>
      <c r="X562" s="384"/>
      <c r="Y562" s="384"/>
      <c r="Z562" s="384"/>
      <c r="AA562" s="384"/>
    </row>
    <row r="563" spans="1:27" x14ac:dyDescent="0.2">
      <c r="A563" s="384"/>
      <c r="B563" s="384"/>
      <c r="C563" s="384"/>
      <c r="D563" s="384"/>
      <c r="E563" s="384"/>
      <c r="F563" s="384"/>
      <c r="G563" s="384"/>
      <c r="H563" s="384"/>
      <c r="I563" s="384"/>
      <c r="J563" s="384"/>
      <c r="K563" s="384"/>
      <c r="L563" s="384"/>
      <c r="M563" s="384"/>
      <c r="N563" s="384"/>
      <c r="O563" s="384"/>
      <c r="P563" s="384"/>
      <c r="Q563" s="384"/>
      <c r="R563" s="384"/>
      <c r="S563" s="384"/>
      <c r="T563" s="384"/>
      <c r="U563" s="384"/>
      <c r="V563" s="384"/>
      <c r="W563" s="384"/>
      <c r="X563" s="384"/>
      <c r="Y563" s="384"/>
      <c r="Z563" s="384"/>
      <c r="AA563" s="384"/>
    </row>
    <row r="564" spans="1:27" x14ac:dyDescent="0.2">
      <c r="A564" s="384"/>
      <c r="B564" s="384"/>
      <c r="C564" s="384"/>
      <c r="D564" s="384"/>
      <c r="E564" s="384"/>
      <c r="F564" s="384"/>
      <c r="G564" s="384"/>
      <c r="H564" s="384"/>
      <c r="I564" s="384"/>
      <c r="J564" s="384"/>
      <c r="K564" s="384"/>
      <c r="L564" s="384"/>
      <c r="M564" s="384"/>
      <c r="N564" s="384"/>
      <c r="O564" s="384"/>
      <c r="P564" s="384"/>
      <c r="Q564" s="384"/>
      <c r="R564" s="384"/>
      <c r="S564" s="384"/>
      <c r="T564" s="384"/>
      <c r="U564" s="384"/>
      <c r="V564" s="384"/>
      <c r="W564" s="384"/>
      <c r="X564" s="384"/>
      <c r="Y564" s="384"/>
      <c r="Z564" s="384"/>
      <c r="AA564" s="384"/>
    </row>
    <row r="565" spans="1:27" x14ac:dyDescent="0.2">
      <c r="A565" s="384"/>
      <c r="B565" s="384"/>
      <c r="C565" s="384"/>
      <c r="D565" s="384"/>
      <c r="E565" s="384"/>
      <c r="F565" s="384"/>
      <c r="G565" s="384"/>
      <c r="H565" s="384"/>
      <c r="I565" s="384"/>
      <c r="J565" s="384"/>
      <c r="K565" s="384"/>
      <c r="L565" s="384"/>
      <c r="M565" s="384"/>
      <c r="N565" s="384"/>
      <c r="O565" s="384"/>
      <c r="P565" s="384"/>
      <c r="Q565" s="384"/>
      <c r="R565" s="384"/>
      <c r="S565" s="384"/>
      <c r="T565" s="384"/>
      <c r="U565" s="384"/>
      <c r="V565" s="384"/>
      <c r="W565" s="384"/>
      <c r="X565" s="384"/>
      <c r="Y565" s="384"/>
      <c r="Z565" s="384"/>
      <c r="AA565" s="384"/>
    </row>
    <row r="566" spans="1:27" x14ac:dyDescent="0.2">
      <c r="A566" s="384"/>
      <c r="B566" s="384"/>
      <c r="C566" s="384"/>
      <c r="D566" s="384"/>
      <c r="E566" s="384"/>
      <c r="F566" s="384"/>
      <c r="G566" s="384"/>
      <c r="H566" s="384"/>
      <c r="I566" s="384"/>
      <c r="J566" s="384"/>
      <c r="K566" s="384"/>
      <c r="L566" s="384"/>
      <c r="M566" s="384"/>
      <c r="N566" s="384"/>
      <c r="O566" s="384"/>
      <c r="P566" s="384"/>
      <c r="Q566" s="384"/>
      <c r="R566" s="384"/>
      <c r="S566" s="384"/>
      <c r="T566" s="384"/>
      <c r="U566" s="384"/>
      <c r="V566" s="384"/>
      <c r="W566" s="384"/>
      <c r="X566" s="384"/>
      <c r="Y566" s="384"/>
      <c r="Z566" s="384"/>
      <c r="AA566" s="384"/>
    </row>
    <row r="567" spans="1:27" x14ac:dyDescent="0.2">
      <c r="A567" s="384"/>
      <c r="B567" s="384"/>
      <c r="C567" s="384"/>
      <c r="D567" s="384"/>
      <c r="E567" s="384"/>
      <c r="F567" s="384"/>
      <c r="G567" s="384"/>
      <c r="H567" s="384"/>
      <c r="I567" s="384"/>
      <c r="J567" s="384"/>
      <c r="K567" s="384"/>
      <c r="L567" s="384"/>
      <c r="M567" s="384"/>
      <c r="N567" s="384"/>
      <c r="O567" s="384"/>
      <c r="P567" s="384"/>
      <c r="Q567" s="384"/>
      <c r="R567" s="384"/>
      <c r="S567" s="384"/>
      <c r="T567" s="384"/>
      <c r="U567" s="384"/>
      <c r="V567" s="384"/>
      <c r="W567" s="384"/>
      <c r="X567" s="384"/>
      <c r="Y567" s="384"/>
      <c r="Z567" s="384"/>
      <c r="AA567" s="384"/>
    </row>
    <row r="568" spans="1:27" x14ac:dyDescent="0.2">
      <c r="A568" s="384"/>
      <c r="B568" s="384"/>
      <c r="C568" s="384"/>
      <c r="D568" s="384"/>
      <c r="E568" s="384"/>
      <c r="F568" s="384"/>
      <c r="G568" s="384"/>
      <c r="H568" s="384"/>
      <c r="I568" s="384"/>
      <c r="J568" s="384"/>
      <c r="K568" s="384"/>
      <c r="L568" s="384"/>
      <c r="M568" s="384"/>
      <c r="N568" s="384"/>
      <c r="O568" s="384"/>
      <c r="P568" s="384"/>
      <c r="Q568" s="384"/>
      <c r="R568" s="384"/>
      <c r="S568" s="384"/>
      <c r="T568" s="384"/>
      <c r="U568" s="384"/>
      <c r="V568" s="384"/>
      <c r="W568" s="384"/>
      <c r="X568" s="384"/>
      <c r="Y568" s="384"/>
      <c r="Z568" s="384"/>
      <c r="AA568" s="384"/>
    </row>
    <row r="569" spans="1:27" x14ac:dyDescent="0.2">
      <c r="A569" s="384"/>
      <c r="B569" s="384"/>
      <c r="C569" s="384"/>
      <c r="D569" s="384"/>
      <c r="E569" s="384"/>
      <c r="F569" s="384"/>
      <c r="G569" s="384"/>
      <c r="H569" s="384"/>
      <c r="I569" s="384"/>
      <c r="J569" s="384"/>
      <c r="K569" s="384"/>
      <c r="L569" s="384"/>
      <c r="M569" s="384"/>
      <c r="N569" s="384"/>
      <c r="O569" s="384"/>
      <c r="P569" s="384"/>
      <c r="Q569" s="384"/>
      <c r="R569" s="384"/>
      <c r="S569" s="384"/>
      <c r="T569" s="384"/>
      <c r="U569" s="384"/>
      <c r="V569" s="384"/>
      <c r="W569" s="384"/>
      <c r="X569" s="384"/>
      <c r="Y569" s="384"/>
      <c r="Z569" s="384"/>
      <c r="AA569" s="384"/>
    </row>
    <row r="570" spans="1:27" x14ac:dyDescent="0.2">
      <c r="A570" s="384"/>
      <c r="B570" s="384"/>
      <c r="C570" s="384"/>
      <c r="D570" s="384"/>
      <c r="E570" s="384"/>
      <c r="F570" s="384"/>
      <c r="G570" s="384"/>
      <c r="H570" s="384"/>
      <c r="I570" s="384"/>
      <c r="J570" s="384"/>
      <c r="K570" s="384"/>
      <c r="L570" s="384"/>
      <c r="M570" s="384"/>
      <c r="N570" s="384"/>
      <c r="O570" s="384"/>
      <c r="P570" s="384"/>
      <c r="Q570" s="384"/>
      <c r="R570" s="384"/>
      <c r="S570" s="384"/>
      <c r="T570" s="384"/>
      <c r="U570" s="384"/>
      <c r="V570" s="384"/>
      <c r="W570" s="384"/>
      <c r="X570" s="384"/>
      <c r="Y570" s="384"/>
      <c r="Z570" s="384"/>
      <c r="AA570" s="384"/>
    </row>
    <row r="571" spans="1:27" x14ac:dyDescent="0.2">
      <c r="A571" s="384"/>
      <c r="B571" s="384"/>
      <c r="C571" s="384"/>
      <c r="D571" s="384"/>
      <c r="E571" s="384"/>
      <c r="F571" s="384"/>
      <c r="G571" s="384"/>
      <c r="H571" s="384"/>
      <c r="I571" s="384"/>
      <c r="J571" s="384"/>
      <c r="K571" s="384"/>
      <c r="L571" s="384"/>
      <c r="M571" s="384"/>
      <c r="N571" s="384"/>
      <c r="O571" s="384"/>
      <c r="P571" s="384"/>
      <c r="Q571" s="384"/>
      <c r="R571" s="384"/>
      <c r="S571" s="384"/>
      <c r="T571" s="384"/>
      <c r="U571" s="384"/>
      <c r="V571" s="384"/>
      <c r="W571" s="384"/>
      <c r="X571" s="384"/>
      <c r="Y571" s="384"/>
      <c r="Z571" s="384"/>
      <c r="AA571" s="384"/>
    </row>
    <row r="572" spans="1:27" x14ac:dyDescent="0.2">
      <c r="A572" s="384"/>
      <c r="B572" s="384"/>
      <c r="C572" s="384"/>
      <c r="D572" s="384"/>
      <c r="E572" s="384"/>
      <c r="F572" s="384"/>
      <c r="G572" s="384"/>
      <c r="H572" s="384"/>
      <c r="I572" s="384"/>
      <c r="J572" s="384"/>
      <c r="K572" s="384"/>
      <c r="L572" s="384"/>
      <c r="M572" s="384"/>
      <c r="N572" s="384"/>
      <c r="O572" s="384"/>
      <c r="P572" s="384"/>
      <c r="Q572" s="384"/>
      <c r="R572" s="384"/>
      <c r="S572" s="384"/>
      <c r="T572" s="384"/>
      <c r="U572" s="384"/>
      <c r="V572" s="384"/>
      <c r="W572" s="384"/>
      <c r="X572" s="384"/>
      <c r="Y572" s="384"/>
      <c r="Z572" s="384"/>
      <c r="AA572" s="384"/>
    </row>
    <row r="573" spans="1:27" x14ac:dyDescent="0.2">
      <c r="A573" s="384"/>
      <c r="B573" s="384"/>
      <c r="C573" s="384"/>
      <c r="D573" s="384"/>
      <c r="E573" s="384"/>
      <c r="F573" s="384"/>
      <c r="G573" s="384"/>
      <c r="H573" s="384"/>
      <c r="I573" s="384"/>
      <c r="J573" s="384"/>
      <c r="K573" s="384"/>
      <c r="L573" s="384"/>
      <c r="M573" s="384"/>
      <c r="N573" s="384"/>
      <c r="O573" s="384"/>
      <c r="P573" s="384"/>
      <c r="Q573" s="384"/>
      <c r="R573" s="384"/>
      <c r="S573" s="384"/>
      <c r="T573" s="384"/>
      <c r="U573" s="384"/>
      <c r="V573" s="384"/>
      <c r="W573" s="384"/>
      <c r="X573" s="384"/>
      <c r="Y573" s="384"/>
      <c r="Z573" s="384"/>
      <c r="AA573" s="384"/>
    </row>
    <row r="574" spans="1:27" x14ac:dyDescent="0.2">
      <c r="A574" s="384"/>
      <c r="B574" s="384"/>
      <c r="C574" s="384"/>
      <c r="D574" s="384"/>
      <c r="E574" s="384"/>
      <c r="F574" s="384"/>
      <c r="G574" s="384"/>
      <c r="H574" s="384"/>
      <c r="I574" s="384"/>
      <c r="J574" s="384"/>
      <c r="K574" s="384"/>
      <c r="L574" s="384"/>
      <c r="M574" s="384"/>
      <c r="N574" s="384"/>
      <c r="O574" s="384"/>
      <c r="P574" s="384"/>
      <c r="Q574" s="384"/>
      <c r="R574" s="384"/>
      <c r="S574" s="384"/>
      <c r="T574" s="384"/>
      <c r="U574" s="384"/>
      <c r="V574" s="384"/>
      <c r="W574" s="384"/>
      <c r="X574" s="384"/>
      <c r="Y574" s="384"/>
      <c r="Z574" s="384"/>
      <c r="AA574" s="384"/>
    </row>
    <row r="575" spans="1:27" x14ac:dyDescent="0.2">
      <c r="A575" s="384"/>
      <c r="B575" s="384"/>
      <c r="C575" s="384"/>
      <c r="D575" s="384"/>
      <c r="E575" s="384"/>
      <c r="F575" s="384"/>
      <c r="G575" s="384"/>
      <c r="H575" s="384"/>
      <c r="I575" s="384"/>
      <c r="J575" s="384"/>
      <c r="K575" s="384"/>
      <c r="L575" s="384"/>
      <c r="M575" s="384"/>
      <c r="N575" s="384"/>
      <c r="O575" s="384"/>
      <c r="P575" s="384"/>
      <c r="Q575" s="384"/>
      <c r="R575" s="384"/>
      <c r="S575" s="384"/>
      <c r="T575" s="384"/>
      <c r="U575" s="384"/>
      <c r="V575" s="384"/>
      <c r="W575" s="384"/>
      <c r="X575" s="384"/>
      <c r="Y575" s="384"/>
      <c r="Z575" s="384"/>
      <c r="AA575" s="384"/>
    </row>
    <row r="576" spans="1:27" x14ac:dyDescent="0.2">
      <c r="A576" s="384"/>
      <c r="B576" s="384"/>
      <c r="C576" s="384"/>
      <c r="D576" s="384"/>
      <c r="E576" s="384"/>
      <c r="F576" s="384"/>
      <c r="G576" s="384"/>
      <c r="H576" s="384"/>
      <c r="I576" s="384"/>
      <c r="J576" s="384"/>
      <c r="K576" s="384"/>
      <c r="L576" s="384"/>
      <c r="M576" s="384"/>
      <c r="N576" s="384"/>
      <c r="O576" s="384"/>
      <c r="P576" s="384"/>
      <c r="Q576" s="384"/>
      <c r="R576" s="384"/>
      <c r="S576" s="384"/>
      <c r="T576" s="384"/>
      <c r="U576" s="384"/>
      <c r="V576" s="384"/>
      <c r="W576" s="384"/>
      <c r="X576" s="384"/>
      <c r="Y576" s="384"/>
      <c r="Z576" s="384"/>
      <c r="AA576" s="384"/>
    </row>
    <row r="577" spans="1:27" x14ac:dyDescent="0.2">
      <c r="A577" s="384"/>
      <c r="B577" s="384"/>
      <c r="C577" s="384"/>
      <c r="D577" s="384"/>
      <c r="E577" s="384"/>
      <c r="F577" s="384"/>
      <c r="G577" s="384"/>
      <c r="H577" s="384"/>
      <c r="I577" s="384"/>
      <c r="J577" s="384"/>
      <c r="K577" s="384"/>
      <c r="L577" s="384"/>
      <c r="M577" s="384"/>
      <c r="N577" s="384"/>
      <c r="O577" s="384"/>
      <c r="P577" s="384"/>
      <c r="Q577" s="384"/>
      <c r="R577" s="384"/>
      <c r="S577" s="384"/>
      <c r="T577" s="384"/>
      <c r="U577" s="384"/>
      <c r="V577" s="384"/>
      <c r="W577" s="384"/>
      <c r="X577" s="384"/>
      <c r="Y577" s="384"/>
      <c r="Z577" s="384"/>
      <c r="AA577" s="384"/>
    </row>
    <row r="578" spans="1:27" x14ac:dyDescent="0.2">
      <c r="A578" s="384"/>
      <c r="B578" s="384"/>
      <c r="C578" s="384"/>
      <c r="D578" s="384"/>
      <c r="E578" s="384"/>
      <c r="F578" s="384"/>
      <c r="G578" s="384"/>
      <c r="H578" s="384"/>
      <c r="I578" s="384"/>
      <c r="J578" s="384"/>
      <c r="K578" s="384"/>
      <c r="L578" s="384"/>
      <c r="M578" s="384"/>
      <c r="N578" s="384"/>
      <c r="O578" s="384"/>
      <c r="P578" s="384"/>
      <c r="Q578" s="384"/>
      <c r="R578" s="384"/>
      <c r="S578" s="384"/>
      <c r="T578" s="384"/>
      <c r="U578" s="384"/>
      <c r="V578" s="384"/>
      <c r="W578" s="384"/>
      <c r="X578" s="384"/>
      <c r="Y578" s="384"/>
      <c r="Z578" s="384"/>
      <c r="AA578" s="384"/>
    </row>
    <row r="579" spans="1:27" x14ac:dyDescent="0.2">
      <c r="A579" s="384"/>
      <c r="B579" s="384"/>
      <c r="C579" s="384"/>
      <c r="D579" s="384"/>
      <c r="E579" s="384"/>
      <c r="F579" s="384"/>
      <c r="G579" s="384"/>
      <c r="H579" s="384"/>
      <c r="I579" s="384"/>
      <c r="J579" s="384"/>
      <c r="K579" s="384"/>
      <c r="L579" s="384"/>
      <c r="M579" s="384"/>
      <c r="N579" s="384"/>
      <c r="O579" s="384"/>
      <c r="P579" s="384"/>
      <c r="Q579" s="384"/>
      <c r="R579" s="384"/>
      <c r="S579" s="384"/>
      <c r="T579" s="384"/>
      <c r="U579" s="384"/>
      <c r="V579" s="384"/>
      <c r="W579" s="384"/>
      <c r="X579" s="384"/>
      <c r="Y579" s="384"/>
      <c r="Z579" s="384"/>
      <c r="AA579" s="384"/>
    </row>
    <row r="580" spans="1:27" x14ac:dyDescent="0.2">
      <c r="A580" s="384"/>
      <c r="B580" s="384"/>
      <c r="C580" s="384"/>
      <c r="D580" s="384"/>
      <c r="E580" s="384"/>
      <c r="F580" s="384"/>
      <c r="G580" s="384"/>
      <c r="H580" s="384"/>
      <c r="I580" s="384"/>
      <c r="J580" s="384"/>
      <c r="K580" s="384"/>
      <c r="L580" s="384"/>
      <c r="M580" s="384"/>
      <c r="N580" s="384"/>
      <c r="O580" s="384"/>
      <c r="P580" s="384"/>
      <c r="Q580" s="384"/>
      <c r="R580" s="384"/>
      <c r="S580" s="384"/>
      <c r="T580" s="384"/>
      <c r="U580" s="384"/>
      <c r="V580" s="384"/>
      <c r="W580" s="384"/>
      <c r="X580" s="384"/>
      <c r="Y580" s="384"/>
      <c r="Z580" s="384"/>
      <c r="AA580" s="384"/>
    </row>
    <row r="581" spans="1:27" x14ac:dyDescent="0.2">
      <c r="A581" s="384"/>
      <c r="B581" s="384"/>
      <c r="C581" s="384"/>
      <c r="D581" s="384"/>
      <c r="E581" s="384"/>
      <c r="F581" s="384"/>
      <c r="G581" s="384"/>
      <c r="H581" s="384"/>
      <c r="I581" s="384"/>
      <c r="J581" s="384"/>
      <c r="K581" s="384"/>
      <c r="L581" s="384"/>
      <c r="M581" s="384"/>
      <c r="N581" s="384"/>
      <c r="O581" s="384"/>
      <c r="P581" s="384"/>
      <c r="Q581" s="384"/>
      <c r="R581" s="384"/>
      <c r="S581" s="384"/>
      <c r="T581" s="384"/>
      <c r="U581" s="384"/>
      <c r="V581" s="384"/>
      <c r="W581" s="384"/>
      <c r="X581" s="384"/>
      <c r="Y581" s="384"/>
      <c r="Z581" s="384"/>
      <c r="AA581" s="384"/>
    </row>
    <row r="582" spans="1:27" x14ac:dyDescent="0.2">
      <c r="A582" s="384"/>
      <c r="B582" s="384"/>
      <c r="C582" s="384"/>
      <c r="D582" s="384"/>
      <c r="E582" s="384"/>
      <c r="F582" s="384"/>
      <c r="G582" s="384"/>
      <c r="H582" s="384"/>
      <c r="I582" s="384"/>
      <c r="J582" s="384"/>
      <c r="K582" s="384"/>
      <c r="L582" s="384"/>
      <c r="M582" s="384"/>
      <c r="N582" s="384"/>
      <c r="O582" s="384"/>
      <c r="P582" s="384"/>
      <c r="Q582" s="384"/>
      <c r="R582" s="384"/>
      <c r="S582" s="384"/>
      <c r="T582" s="384"/>
      <c r="U582" s="384"/>
      <c r="V582" s="384"/>
      <c r="W582" s="384"/>
      <c r="X582" s="384"/>
      <c r="Y582" s="384"/>
      <c r="Z582" s="384"/>
      <c r="AA582" s="384"/>
    </row>
    <row r="583" spans="1:27" x14ac:dyDescent="0.2">
      <c r="A583" s="384"/>
      <c r="B583" s="384"/>
      <c r="C583" s="384"/>
      <c r="D583" s="384"/>
      <c r="E583" s="384"/>
      <c r="F583" s="384"/>
      <c r="G583" s="384"/>
      <c r="H583" s="384"/>
      <c r="I583" s="384"/>
      <c r="J583" s="384"/>
      <c r="K583" s="384"/>
      <c r="L583" s="384"/>
      <c r="M583" s="384"/>
      <c r="N583" s="384"/>
      <c r="O583" s="384"/>
      <c r="P583" s="384"/>
      <c r="Q583" s="384"/>
      <c r="R583" s="384"/>
      <c r="S583" s="384"/>
      <c r="T583" s="384"/>
      <c r="U583" s="384"/>
      <c r="V583" s="384"/>
      <c r="W583" s="384"/>
      <c r="X583" s="384"/>
      <c r="Y583" s="384"/>
      <c r="Z583" s="384"/>
      <c r="AA583" s="384"/>
    </row>
    <row r="584" spans="1:27" x14ac:dyDescent="0.2">
      <c r="A584" s="384"/>
      <c r="B584" s="384"/>
      <c r="C584" s="384"/>
      <c r="D584" s="384"/>
      <c r="E584" s="384"/>
      <c r="F584" s="384"/>
      <c r="G584" s="384"/>
      <c r="H584" s="384"/>
      <c r="I584" s="384"/>
      <c r="J584" s="384"/>
      <c r="K584" s="384"/>
      <c r="L584" s="384"/>
      <c r="M584" s="384"/>
      <c r="N584" s="384"/>
      <c r="O584" s="384"/>
      <c r="P584" s="384"/>
      <c r="Q584" s="384"/>
      <c r="R584" s="384"/>
      <c r="S584" s="384"/>
      <c r="T584" s="384"/>
      <c r="U584" s="384"/>
      <c r="V584" s="384"/>
      <c r="W584" s="384"/>
      <c r="X584" s="384"/>
      <c r="Y584" s="384"/>
      <c r="Z584" s="384"/>
      <c r="AA584" s="384"/>
    </row>
    <row r="585" spans="1:27" x14ac:dyDescent="0.2">
      <c r="A585" s="384"/>
      <c r="B585" s="384"/>
      <c r="C585" s="384"/>
      <c r="D585" s="384"/>
      <c r="E585" s="384"/>
      <c r="F585" s="384"/>
      <c r="G585" s="384"/>
      <c r="H585" s="384"/>
      <c r="I585" s="384"/>
      <c r="J585" s="384"/>
      <c r="K585" s="384"/>
      <c r="L585" s="384"/>
      <c r="M585" s="384"/>
      <c r="N585" s="384"/>
      <c r="O585" s="384"/>
      <c r="P585" s="384"/>
      <c r="Q585" s="384"/>
      <c r="R585" s="384"/>
      <c r="S585" s="384"/>
      <c r="T585" s="384"/>
      <c r="U585" s="384"/>
      <c r="V585" s="384"/>
      <c r="W585" s="384"/>
      <c r="X585" s="384"/>
      <c r="Y585" s="384"/>
      <c r="Z585" s="384"/>
      <c r="AA585" s="384"/>
    </row>
    <row r="586" spans="1:27" x14ac:dyDescent="0.2">
      <c r="A586" s="384"/>
      <c r="B586" s="384"/>
      <c r="C586" s="384"/>
      <c r="D586" s="384"/>
      <c r="E586" s="384"/>
      <c r="F586" s="384"/>
      <c r="G586" s="384"/>
      <c r="H586" s="384"/>
      <c r="I586" s="384"/>
      <c r="J586" s="384"/>
      <c r="K586" s="384"/>
      <c r="L586" s="384"/>
      <c r="M586" s="384"/>
      <c r="N586" s="384"/>
      <c r="O586" s="384"/>
      <c r="P586" s="384"/>
      <c r="Q586" s="384"/>
      <c r="R586" s="384"/>
      <c r="S586" s="384"/>
      <c r="T586" s="384"/>
      <c r="U586" s="384"/>
      <c r="V586" s="384"/>
      <c r="W586" s="384"/>
      <c r="X586" s="384"/>
      <c r="Y586" s="384"/>
      <c r="Z586" s="384"/>
      <c r="AA586" s="384"/>
    </row>
    <row r="587" spans="1:27" x14ac:dyDescent="0.2">
      <c r="A587" s="384"/>
      <c r="B587" s="384"/>
      <c r="C587" s="384"/>
      <c r="D587" s="384"/>
      <c r="E587" s="384"/>
      <c r="F587" s="384"/>
      <c r="G587" s="384"/>
      <c r="H587" s="384"/>
      <c r="I587" s="384"/>
      <c r="J587" s="384"/>
      <c r="K587" s="384"/>
      <c r="L587" s="384"/>
      <c r="M587" s="384"/>
      <c r="N587" s="384"/>
      <c r="O587" s="384"/>
      <c r="P587" s="384"/>
      <c r="Q587" s="384"/>
      <c r="R587" s="384"/>
      <c r="S587" s="384"/>
      <c r="T587" s="384"/>
      <c r="U587" s="384"/>
      <c r="V587" s="384"/>
      <c r="W587" s="384"/>
      <c r="X587" s="384"/>
      <c r="Y587" s="384"/>
      <c r="Z587" s="384"/>
      <c r="AA587" s="384"/>
    </row>
    <row r="588" spans="1:27" x14ac:dyDescent="0.2">
      <c r="A588" s="384"/>
      <c r="B588" s="384"/>
      <c r="C588" s="384"/>
      <c r="D588" s="384"/>
      <c r="E588" s="384"/>
      <c r="F588" s="384"/>
      <c r="G588" s="384"/>
      <c r="H588" s="384"/>
      <c r="I588" s="384"/>
      <c r="J588" s="384"/>
      <c r="K588" s="384"/>
      <c r="L588" s="384"/>
      <c r="M588" s="384"/>
      <c r="N588" s="384"/>
      <c r="O588" s="384"/>
      <c r="P588" s="384"/>
      <c r="Q588" s="384"/>
      <c r="R588" s="384"/>
      <c r="S588" s="384"/>
      <c r="T588" s="384"/>
      <c r="U588" s="384"/>
      <c r="V588" s="384"/>
      <c r="W588" s="384"/>
      <c r="X588" s="384"/>
      <c r="Y588" s="384"/>
      <c r="Z588" s="384"/>
      <c r="AA588" s="384"/>
    </row>
    <row r="589" spans="1:27" x14ac:dyDescent="0.2">
      <c r="A589" s="384"/>
      <c r="B589" s="384"/>
      <c r="C589" s="384"/>
      <c r="D589" s="384"/>
      <c r="E589" s="384"/>
      <c r="F589" s="384"/>
      <c r="G589" s="384"/>
      <c r="H589" s="384"/>
      <c r="I589" s="384"/>
      <c r="J589" s="384"/>
      <c r="K589" s="384"/>
      <c r="L589" s="384"/>
      <c r="M589" s="384"/>
      <c r="N589" s="384"/>
      <c r="O589" s="384"/>
      <c r="P589" s="384"/>
      <c r="Q589" s="384"/>
      <c r="R589" s="384"/>
      <c r="S589" s="384"/>
      <c r="T589" s="384"/>
      <c r="U589" s="384"/>
      <c r="V589" s="384"/>
      <c r="W589" s="384"/>
      <c r="X589" s="384"/>
      <c r="Y589" s="384"/>
      <c r="Z589" s="384"/>
      <c r="AA589" s="384"/>
    </row>
    <row r="590" spans="1:27" x14ac:dyDescent="0.2">
      <c r="A590" s="384"/>
      <c r="B590" s="384"/>
      <c r="C590" s="384"/>
      <c r="D590" s="384"/>
      <c r="E590" s="384"/>
      <c r="F590" s="384"/>
      <c r="G590" s="384"/>
      <c r="H590" s="384"/>
      <c r="I590" s="384"/>
      <c r="J590" s="384"/>
      <c r="K590" s="384"/>
      <c r="L590" s="384"/>
      <c r="M590" s="384"/>
      <c r="N590" s="384"/>
      <c r="O590" s="384"/>
      <c r="P590" s="384"/>
      <c r="Q590" s="384"/>
      <c r="R590" s="384"/>
      <c r="S590" s="384"/>
      <c r="T590" s="384"/>
      <c r="U590" s="384"/>
      <c r="V590" s="384"/>
      <c r="W590" s="384"/>
      <c r="X590" s="384"/>
      <c r="Y590" s="384"/>
      <c r="Z590" s="384"/>
      <c r="AA590" s="384"/>
    </row>
    <row r="591" spans="1:27" x14ac:dyDescent="0.2">
      <c r="A591" s="384"/>
      <c r="B591" s="384"/>
      <c r="C591" s="384"/>
      <c r="D591" s="384"/>
      <c r="E591" s="384"/>
      <c r="F591" s="384"/>
      <c r="G591" s="384"/>
      <c r="H591" s="384"/>
      <c r="I591" s="384"/>
      <c r="J591" s="384"/>
      <c r="K591" s="384"/>
      <c r="L591" s="384"/>
      <c r="M591" s="384"/>
      <c r="N591" s="384"/>
      <c r="O591" s="384"/>
      <c r="P591" s="384"/>
      <c r="Q591" s="384"/>
      <c r="R591" s="384"/>
      <c r="S591" s="384"/>
      <c r="T591" s="384"/>
      <c r="U591" s="384"/>
      <c r="V591" s="384"/>
      <c r="W591" s="384"/>
      <c r="X591" s="384"/>
      <c r="Y591" s="384"/>
      <c r="Z591" s="384"/>
      <c r="AA591" s="384"/>
    </row>
    <row r="592" spans="1:27" x14ac:dyDescent="0.2">
      <c r="A592" s="384"/>
      <c r="B592" s="384"/>
      <c r="C592" s="384"/>
      <c r="D592" s="384"/>
      <c r="E592" s="384"/>
      <c r="F592" s="384"/>
      <c r="G592" s="384"/>
      <c r="H592" s="384"/>
      <c r="I592" s="384"/>
      <c r="J592" s="384"/>
      <c r="K592" s="384"/>
      <c r="L592" s="384"/>
      <c r="M592" s="384"/>
      <c r="N592" s="384"/>
      <c r="O592" s="384"/>
      <c r="P592" s="384"/>
      <c r="Q592" s="384"/>
      <c r="R592" s="384"/>
      <c r="S592" s="384"/>
      <c r="T592" s="384"/>
      <c r="U592" s="384"/>
      <c r="V592" s="384"/>
      <c r="W592" s="384"/>
      <c r="X592" s="384"/>
      <c r="Y592" s="384"/>
      <c r="Z592" s="384"/>
      <c r="AA592" s="384"/>
    </row>
    <row r="593" spans="1:27" x14ac:dyDescent="0.2">
      <c r="A593" s="384"/>
      <c r="B593" s="384"/>
      <c r="C593" s="384"/>
      <c r="D593" s="384"/>
      <c r="E593" s="384"/>
      <c r="F593" s="384"/>
      <c r="G593" s="384"/>
      <c r="H593" s="384"/>
      <c r="I593" s="384"/>
      <c r="J593" s="384"/>
      <c r="K593" s="384"/>
      <c r="L593" s="384"/>
      <c r="M593" s="384"/>
      <c r="N593" s="384"/>
      <c r="O593" s="384"/>
      <c r="P593" s="384"/>
      <c r="Q593" s="384"/>
      <c r="R593" s="384"/>
      <c r="S593" s="384"/>
      <c r="T593" s="384"/>
      <c r="U593" s="384"/>
      <c r="V593" s="384"/>
      <c r="W593" s="384"/>
      <c r="X593" s="384"/>
      <c r="Y593" s="384"/>
      <c r="Z593" s="384"/>
      <c r="AA593" s="384"/>
    </row>
    <row r="594" spans="1:27" x14ac:dyDescent="0.2">
      <c r="A594" s="384"/>
      <c r="B594" s="384"/>
      <c r="C594" s="384"/>
      <c r="D594" s="384"/>
      <c r="E594" s="384"/>
      <c r="F594" s="384"/>
      <c r="G594" s="384"/>
      <c r="H594" s="384"/>
      <c r="I594" s="384"/>
      <c r="J594" s="384"/>
      <c r="K594" s="384"/>
      <c r="L594" s="384"/>
      <c r="M594" s="384"/>
      <c r="N594" s="384"/>
      <c r="O594" s="384"/>
      <c r="P594" s="384"/>
      <c r="Q594" s="384"/>
      <c r="R594" s="384"/>
      <c r="S594" s="384"/>
      <c r="T594" s="384"/>
      <c r="U594" s="384"/>
      <c r="V594" s="384"/>
      <c r="W594" s="384"/>
      <c r="X594" s="384"/>
      <c r="Y594" s="384"/>
      <c r="Z594" s="384"/>
      <c r="AA594" s="384"/>
    </row>
    <row r="595" spans="1:27" x14ac:dyDescent="0.2">
      <c r="A595" s="384"/>
      <c r="B595" s="384"/>
      <c r="C595" s="384"/>
      <c r="D595" s="384"/>
      <c r="E595" s="384"/>
      <c r="F595" s="384"/>
      <c r="G595" s="384"/>
      <c r="H595" s="384"/>
      <c r="I595" s="384"/>
      <c r="J595" s="384"/>
      <c r="K595" s="384"/>
      <c r="L595" s="384"/>
      <c r="M595" s="384"/>
      <c r="N595" s="384"/>
      <c r="O595" s="384"/>
      <c r="P595" s="384"/>
      <c r="Q595" s="384"/>
      <c r="R595" s="384"/>
      <c r="S595" s="384"/>
      <c r="T595" s="384"/>
      <c r="U595" s="384"/>
      <c r="V595" s="384"/>
      <c r="W595" s="384"/>
      <c r="X595" s="384"/>
      <c r="Y595" s="384"/>
      <c r="Z595" s="384"/>
      <c r="AA595" s="384"/>
    </row>
    <row r="596" spans="1:27" x14ac:dyDescent="0.2">
      <c r="A596" s="384"/>
      <c r="B596" s="384"/>
      <c r="C596" s="384"/>
      <c r="D596" s="384"/>
      <c r="E596" s="384"/>
      <c r="F596" s="384"/>
      <c r="G596" s="384"/>
      <c r="H596" s="384"/>
      <c r="I596" s="384"/>
      <c r="J596" s="384"/>
      <c r="K596" s="384"/>
      <c r="L596" s="384"/>
      <c r="M596" s="384"/>
      <c r="N596" s="384"/>
      <c r="O596" s="384"/>
      <c r="P596" s="384"/>
      <c r="Q596" s="384"/>
      <c r="R596" s="384"/>
      <c r="S596" s="384"/>
      <c r="T596" s="384"/>
      <c r="U596" s="384"/>
      <c r="V596" s="384"/>
      <c r="W596" s="384"/>
      <c r="X596" s="384"/>
      <c r="Y596" s="384"/>
      <c r="Z596" s="384"/>
      <c r="AA596" s="384"/>
    </row>
    <row r="597" spans="1:27" x14ac:dyDescent="0.2">
      <c r="A597" s="384"/>
      <c r="B597" s="384"/>
      <c r="C597" s="384"/>
      <c r="D597" s="384"/>
      <c r="E597" s="384"/>
      <c r="F597" s="384"/>
      <c r="G597" s="384"/>
      <c r="H597" s="384"/>
      <c r="I597" s="384"/>
      <c r="J597" s="384"/>
      <c r="K597" s="384"/>
      <c r="L597" s="384"/>
      <c r="M597" s="384"/>
      <c r="N597" s="384"/>
      <c r="O597" s="384"/>
      <c r="P597" s="384"/>
      <c r="Q597" s="384"/>
      <c r="R597" s="384"/>
      <c r="S597" s="384"/>
      <c r="T597" s="384"/>
      <c r="U597" s="384"/>
      <c r="V597" s="384"/>
      <c r="W597" s="384"/>
      <c r="X597" s="384"/>
      <c r="Y597" s="384"/>
      <c r="Z597" s="384"/>
      <c r="AA597" s="384"/>
    </row>
    <row r="598" spans="1:27" x14ac:dyDescent="0.2">
      <c r="A598" s="384"/>
      <c r="B598" s="384"/>
      <c r="C598" s="384"/>
      <c r="D598" s="384"/>
      <c r="E598" s="384"/>
      <c r="F598" s="384"/>
      <c r="G598" s="384"/>
      <c r="H598" s="384"/>
      <c r="I598" s="384"/>
      <c r="J598" s="384"/>
      <c r="K598" s="384"/>
      <c r="L598" s="384"/>
      <c r="M598" s="384"/>
      <c r="N598" s="384"/>
      <c r="O598" s="384"/>
      <c r="P598" s="384"/>
      <c r="Q598" s="384"/>
      <c r="R598" s="384"/>
      <c r="S598" s="384"/>
      <c r="T598" s="384"/>
      <c r="U598" s="384"/>
      <c r="V598" s="384"/>
      <c r="W598" s="384"/>
      <c r="X598" s="384"/>
      <c r="Y598" s="384"/>
      <c r="Z598" s="384"/>
      <c r="AA598" s="384"/>
    </row>
    <row r="599" spans="1:27" x14ac:dyDescent="0.2">
      <c r="A599" s="384"/>
      <c r="B599" s="384"/>
      <c r="C599" s="384"/>
      <c r="D599" s="384"/>
      <c r="E599" s="384"/>
      <c r="F599" s="384"/>
      <c r="G599" s="384"/>
      <c r="H599" s="384"/>
      <c r="I599" s="384"/>
      <c r="J599" s="384"/>
      <c r="K599" s="384"/>
      <c r="L599" s="384"/>
      <c r="M599" s="384"/>
      <c r="N599" s="384"/>
      <c r="O599" s="384"/>
      <c r="P599" s="384"/>
      <c r="Q599" s="384"/>
      <c r="R599" s="384"/>
      <c r="S599" s="384"/>
      <c r="T599" s="384"/>
      <c r="U599" s="384"/>
      <c r="V599" s="384"/>
      <c r="W599" s="384"/>
      <c r="X599" s="384"/>
      <c r="Y599" s="384"/>
      <c r="Z599" s="384"/>
      <c r="AA599" s="384"/>
    </row>
    <row r="600" spans="1:27" x14ac:dyDescent="0.2">
      <c r="A600" s="384"/>
      <c r="B600" s="384"/>
      <c r="C600" s="384"/>
      <c r="D600" s="384"/>
      <c r="E600" s="384"/>
      <c r="F600" s="384"/>
      <c r="G600" s="384"/>
      <c r="H600" s="384"/>
      <c r="I600" s="384"/>
      <c r="J600" s="384"/>
      <c r="K600" s="384"/>
      <c r="L600" s="384"/>
      <c r="M600" s="384"/>
      <c r="N600" s="384"/>
      <c r="O600" s="384"/>
      <c r="P600" s="384"/>
      <c r="Q600" s="384"/>
      <c r="R600" s="384"/>
      <c r="S600" s="384"/>
      <c r="T600" s="384"/>
      <c r="U600" s="384"/>
      <c r="V600" s="384"/>
      <c r="W600" s="384"/>
      <c r="X600" s="384"/>
      <c r="Y600" s="384"/>
      <c r="Z600" s="384"/>
      <c r="AA600" s="384"/>
    </row>
    <row r="601" spans="1:27" x14ac:dyDescent="0.2">
      <c r="A601" s="384"/>
      <c r="B601" s="384"/>
      <c r="C601" s="384"/>
      <c r="D601" s="384"/>
      <c r="E601" s="384"/>
      <c r="F601" s="384"/>
      <c r="G601" s="384"/>
      <c r="H601" s="384"/>
      <c r="I601" s="384"/>
      <c r="J601" s="384"/>
      <c r="K601" s="384"/>
      <c r="L601" s="384"/>
      <c r="M601" s="384"/>
      <c r="N601" s="384"/>
      <c r="O601" s="384"/>
      <c r="P601" s="384"/>
      <c r="Q601" s="384"/>
      <c r="R601" s="384"/>
      <c r="S601" s="384"/>
      <c r="T601" s="384"/>
      <c r="U601" s="384"/>
      <c r="V601" s="384"/>
      <c r="W601" s="384"/>
      <c r="X601" s="384"/>
      <c r="Y601" s="384"/>
      <c r="Z601" s="384"/>
      <c r="AA601" s="384"/>
    </row>
    <row r="602" spans="1:27" x14ac:dyDescent="0.2">
      <c r="A602" s="384"/>
      <c r="B602" s="384"/>
      <c r="C602" s="384"/>
      <c r="D602" s="384"/>
      <c r="E602" s="384"/>
      <c r="F602" s="384"/>
      <c r="G602" s="384"/>
      <c r="H602" s="384"/>
      <c r="I602" s="384"/>
      <c r="J602" s="384"/>
      <c r="K602" s="384"/>
      <c r="L602" s="384"/>
      <c r="M602" s="384"/>
      <c r="N602" s="384"/>
      <c r="O602" s="384"/>
      <c r="P602" s="384"/>
      <c r="Q602" s="384"/>
      <c r="R602" s="384"/>
      <c r="S602" s="384"/>
      <c r="T602" s="384"/>
      <c r="U602" s="384"/>
      <c r="V602" s="384"/>
      <c r="W602" s="384"/>
      <c r="X602" s="384"/>
      <c r="Y602" s="384"/>
      <c r="Z602" s="384"/>
      <c r="AA602" s="384"/>
    </row>
    <row r="603" spans="1:27" x14ac:dyDescent="0.2">
      <c r="A603" s="384"/>
      <c r="B603" s="384"/>
      <c r="C603" s="384"/>
      <c r="D603" s="384"/>
      <c r="E603" s="384"/>
      <c r="F603" s="384"/>
      <c r="G603" s="384"/>
      <c r="H603" s="384"/>
      <c r="I603" s="384"/>
      <c r="J603" s="384"/>
      <c r="K603" s="384"/>
      <c r="L603" s="384"/>
      <c r="M603" s="384"/>
      <c r="N603" s="384"/>
      <c r="O603" s="384"/>
      <c r="P603" s="384"/>
      <c r="Q603" s="384"/>
      <c r="R603" s="384"/>
      <c r="S603" s="384"/>
      <c r="T603" s="384"/>
      <c r="U603" s="384"/>
      <c r="V603" s="384"/>
      <c r="W603" s="384"/>
      <c r="X603" s="384"/>
      <c r="Y603" s="384"/>
      <c r="Z603" s="384"/>
      <c r="AA603" s="384"/>
    </row>
    <row r="604" spans="1:27" x14ac:dyDescent="0.2">
      <c r="A604" s="384"/>
      <c r="B604" s="384"/>
      <c r="C604" s="384"/>
      <c r="D604" s="384"/>
      <c r="E604" s="384"/>
      <c r="F604" s="384"/>
      <c r="G604" s="384"/>
      <c r="H604" s="384"/>
      <c r="I604" s="384"/>
      <c r="J604" s="384"/>
      <c r="K604" s="384"/>
      <c r="L604" s="384"/>
      <c r="M604" s="384"/>
      <c r="N604" s="384"/>
      <c r="O604" s="384"/>
      <c r="P604" s="384"/>
      <c r="Q604" s="384"/>
      <c r="R604" s="384"/>
      <c r="S604" s="384"/>
      <c r="T604" s="384"/>
      <c r="U604" s="384"/>
      <c r="V604" s="384"/>
      <c r="W604" s="384"/>
      <c r="X604" s="384"/>
      <c r="Y604" s="384"/>
      <c r="Z604" s="384"/>
      <c r="AA604" s="384"/>
    </row>
    <row r="605" spans="1:27" x14ac:dyDescent="0.2">
      <c r="A605" s="384"/>
      <c r="B605" s="384"/>
      <c r="C605" s="384"/>
      <c r="D605" s="384"/>
      <c r="E605" s="384"/>
      <c r="F605" s="384"/>
      <c r="G605" s="384"/>
      <c r="H605" s="384"/>
      <c r="I605" s="384"/>
      <c r="J605" s="384"/>
      <c r="K605" s="384"/>
      <c r="L605" s="384"/>
      <c r="M605" s="384"/>
      <c r="N605" s="384"/>
      <c r="O605" s="384"/>
      <c r="P605" s="384"/>
      <c r="Q605" s="384"/>
      <c r="R605" s="384"/>
      <c r="S605" s="384"/>
      <c r="T605" s="384"/>
      <c r="U605" s="384"/>
      <c r="V605" s="384"/>
      <c r="W605" s="384"/>
      <c r="X605" s="384"/>
      <c r="Y605" s="384"/>
      <c r="Z605" s="384"/>
      <c r="AA605" s="384"/>
    </row>
    <row r="606" spans="1:27" x14ac:dyDescent="0.2">
      <c r="A606" s="384"/>
      <c r="B606" s="384"/>
      <c r="C606" s="384"/>
      <c r="D606" s="384"/>
      <c r="E606" s="384"/>
      <c r="F606" s="384"/>
      <c r="G606" s="384"/>
      <c r="H606" s="384"/>
      <c r="I606" s="384"/>
      <c r="J606" s="384"/>
      <c r="K606" s="384"/>
      <c r="L606" s="384"/>
      <c r="M606" s="384"/>
      <c r="N606" s="384"/>
      <c r="O606" s="384"/>
      <c r="P606" s="384"/>
      <c r="Q606" s="384"/>
      <c r="R606" s="384"/>
      <c r="S606" s="384"/>
      <c r="T606" s="384"/>
      <c r="U606" s="384"/>
      <c r="V606" s="384"/>
      <c r="W606" s="384"/>
      <c r="X606" s="384"/>
      <c r="Y606" s="384"/>
      <c r="Z606" s="384"/>
      <c r="AA606" s="384"/>
    </row>
    <row r="607" spans="1:27" x14ac:dyDescent="0.2">
      <c r="A607" s="384"/>
      <c r="B607" s="384"/>
      <c r="C607" s="384"/>
      <c r="D607" s="384"/>
      <c r="E607" s="384"/>
      <c r="F607" s="384"/>
      <c r="G607" s="384"/>
      <c r="H607" s="384"/>
      <c r="I607" s="384"/>
      <c r="J607" s="384"/>
      <c r="K607" s="384"/>
      <c r="L607" s="384"/>
      <c r="M607" s="384"/>
      <c r="N607" s="384"/>
      <c r="O607" s="384"/>
      <c r="P607" s="384"/>
      <c r="Q607" s="384"/>
      <c r="R607" s="384"/>
      <c r="S607" s="384"/>
      <c r="T607" s="384"/>
      <c r="U607" s="384"/>
      <c r="V607" s="384"/>
      <c r="W607" s="384"/>
      <c r="X607" s="384"/>
      <c r="Y607" s="384"/>
      <c r="Z607" s="384"/>
      <c r="AA607" s="384"/>
    </row>
    <row r="608" spans="1:27" x14ac:dyDescent="0.2">
      <c r="A608" s="384"/>
      <c r="B608" s="384"/>
      <c r="C608" s="384"/>
      <c r="D608" s="384"/>
      <c r="E608" s="384"/>
      <c r="F608" s="384"/>
      <c r="G608" s="384"/>
      <c r="H608" s="384"/>
      <c r="I608" s="384"/>
      <c r="J608" s="384"/>
      <c r="K608" s="384"/>
      <c r="L608" s="384"/>
      <c r="M608" s="384"/>
      <c r="N608" s="384"/>
      <c r="O608" s="384"/>
      <c r="P608" s="384"/>
      <c r="Q608" s="384"/>
      <c r="R608" s="384"/>
      <c r="S608" s="384"/>
      <c r="T608" s="384"/>
      <c r="U608" s="384"/>
      <c r="V608" s="384"/>
      <c r="W608" s="384"/>
      <c r="X608" s="384"/>
      <c r="Y608" s="384"/>
      <c r="Z608" s="384"/>
      <c r="AA608" s="384"/>
    </row>
    <row r="609" spans="1:27" x14ac:dyDescent="0.2">
      <c r="A609" s="384"/>
      <c r="B609" s="384"/>
      <c r="C609" s="384"/>
      <c r="D609" s="384"/>
      <c r="E609" s="384"/>
      <c r="F609" s="384"/>
      <c r="G609" s="384"/>
      <c r="H609" s="384"/>
      <c r="I609" s="384"/>
      <c r="J609" s="384"/>
      <c r="K609" s="384"/>
      <c r="L609" s="384"/>
      <c r="M609" s="384"/>
      <c r="N609" s="384"/>
      <c r="O609" s="384"/>
      <c r="P609" s="384"/>
      <c r="Q609" s="384"/>
      <c r="R609" s="384"/>
      <c r="S609" s="384"/>
      <c r="T609" s="384"/>
      <c r="U609" s="384"/>
      <c r="V609" s="384"/>
      <c r="W609" s="384"/>
      <c r="X609" s="384"/>
      <c r="Y609" s="384"/>
      <c r="Z609" s="384"/>
      <c r="AA609" s="384"/>
    </row>
    <row r="610" spans="1:27" x14ac:dyDescent="0.2">
      <c r="A610" s="384"/>
      <c r="B610" s="384"/>
      <c r="C610" s="384"/>
      <c r="D610" s="384"/>
      <c r="E610" s="384"/>
      <c r="F610" s="384"/>
      <c r="G610" s="384"/>
      <c r="H610" s="384"/>
      <c r="I610" s="384"/>
      <c r="J610" s="384"/>
      <c r="K610" s="384"/>
      <c r="L610" s="384"/>
      <c r="M610" s="384"/>
      <c r="N610" s="384"/>
      <c r="O610" s="384"/>
      <c r="P610" s="384"/>
      <c r="Q610" s="384"/>
      <c r="R610" s="384"/>
      <c r="S610" s="384"/>
      <c r="T610" s="384"/>
      <c r="U610" s="384"/>
      <c r="V610" s="384"/>
      <c r="W610" s="384"/>
      <c r="X610" s="384"/>
      <c r="Y610" s="384"/>
      <c r="Z610" s="384"/>
      <c r="AA610" s="384"/>
    </row>
    <row r="611" spans="1:27" x14ac:dyDescent="0.2">
      <c r="A611" s="384"/>
      <c r="B611" s="384"/>
      <c r="C611" s="384"/>
      <c r="D611" s="384"/>
      <c r="E611" s="384"/>
      <c r="F611" s="384"/>
      <c r="G611" s="384"/>
      <c r="H611" s="384"/>
      <c r="I611" s="384"/>
      <c r="J611" s="384"/>
      <c r="K611" s="384"/>
      <c r="L611" s="384"/>
      <c r="M611" s="384"/>
      <c r="N611" s="384"/>
      <c r="O611" s="384"/>
      <c r="P611" s="384"/>
      <c r="Q611" s="384"/>
      <c r="R611" s="384"/>
      <c r="S611" s="384"/>
      <c r="T611" s="384"/>
      <c r="U611" s="384"/>
      <c r="V611" s="384"/>
      <c r="W611" s="384"/>
      <c r="X611" s="384"/>
      <c r="Y611" s="384"/>
      <c r="Z611" s="384"/>
      <c r="AA611" s="384"/>
    </row>
    <row r="612" spans="1:27" x14ac:dyDescent="0.2">
      <c r="A612" s="384"/>
      <c r="B612" s="384"/>
      <c r="C612" s="384"/>
      <c r="D612" s="384"/>
      <c r="E612" s="384"/>
      <c r="F612" s="384"/>
      <c r="G612" s="384"/>
      <c r="H612" s="384"/>
      <c r="I612" s="384"/>
      <c r="J612" s="384"/>
      <c r="K612" s="384"/>
      <c r="L612" s="384"/>
      <c r="M612" s="384"/>
      <c r="N612" s="384"/>
      <c r="O612" s="384"/>
      <c r="P612" s="384"/>
      <c r="Q612" s="384"/>
      <c r="R612" s="384"/>
      <c r="S612" s="384"/>
      <c r="T612" s="384"/>
      <c r="U612" s="384"/>
      <c r="V612" s="384"/>
      <c r="W612" s="384"/>
      <c r="X612" s="384"/>
      <c r="Y612" s="384"/>
      <c r="Z612" s="384"/>
      <c r="AA612" s="384"/>
    </row>
    <row r="613" spans="1:27" x14ac:dyDescent="0.2">
      <c r="A613" s="384"/>
      <c r="B613" s="384"/>
      <c r="C613" s="384"/>
      <c r="D613" s="384"/>
      <c r="E613" s="384"/>
      <c r="F613" s="384"/>
      <c r="G613" s="384"/>
      <c r="H613" s="384"/>
      <c r="I613" s="384"/>
      <c r="J613" s="384"/>
      <c r="K613" s="384"/>
      <c r="L613" s="384"/>
      <c r="M613" s="384"/>
      <c r="N613" s="384"/>
      <c r="O613" s="384"/>
      <c r="P613" s="384"/>
      <c r="Q613" s="384"/>
      <c r="R613" s="384"/>
      <c r="S613" s="384"/>
      <c r="T613" s="384"/>
      <c r="U613" s="384"/>
      <c r="V613" s="384"/>
      <c r="W613" s="384"/>
      <c r="X613" s="384"/>
      <c r="Y613" s="384"/>
      <c r="Z613" s="384"/>
      <c r="AA613" s="384"/>
    </row>
    <row r="614" spans="1:27" x14ac:dyDescent="0.2">
      <c r="A614" s="384"/>
      <c r="B614" s="384"/>
      <c r="C614" s="384"/>
      <c r="D614" s="384"/>
      <c r="E614" s="384"/>
      <c r="F614" s="384"/>
      <c r="G614" s="384"/>
      <c r="H614" s="384"/>
      <c r="I614" s="384"/>
      <c r="J614" s="384"/>
      <c r="K614" s="384"/>
      <c r="L614" s="384"/>
      <c r="M614" s="384"/>
      <c r="N614" s="384"/>
      <c r="O614" s="384"/>
      <c r="P614" s="384"/>
      <c r="Q614" s="384"/>
      <c r="R614" s="384"/>
      <c r="S614" s="384"/>
      <c r="T614" s="384"/>
      <c r="U614" s="384"/>
      <c r="V614" s="384"/>
      <c r="W614" s="384"/>
      <c r="X614" s="384"/>
      <c r="Y614" s="384"/>
      <c r="Z614" s="384"/>
      <c r="AA614" s="384"/>
    </row>
    <row r="615" spans="1:27" x14ac:dyDescent="0.2">
      <c r="A615" s="384"/>
      <c r="B615" s="384"/>
      <c r="C615" s="384"/>
      <c r="D615" s="384"/>
      <c r="E615" s="384"/>
      <c r="F615" s="384"/>
      <c r="G615" s="384"/>
      <c r="H615" s="384"/>
      <c r="I615" s="384"/>
      <c r="J615" s="384"/>
      <c r="K615" s="384"/>
      <c r="L615" s="384"/>
      <c r="M615" s="384"/>
      <c r="N615" s="384"/>
      <c r="O615" s="384"/>
      <c r="P615" s="384"/>
      <c r="Q615" s="384"/>
      <c r="R615" s="384"/>
      <c r="S615" s="384"/>
      <c r="T615" s="384"/>
      <c r="U615" s="384"/>
      <c r="V615" s="384"/>
      <c r="W615" s="384"/>
      <c r="X615" s="384"/>
      <c r="Y615" s="384"/>
      <c r="Z615" s="384"/>
      <c r="AA615" s="384"/>
    </row>
    <row r="616" spans="1:27" x14ac:dyDescent="0.2">
      <c r="A616" s="384"/>
      <c r="B616" s="384"/>
      <c r="C616" s="384"/>
      <c r="D616" s="384"/>
      <c r="E616" s="384"/>
      <c r="F616" s="384"/>
      <c r="G616" s="384"/>
      <c r="H616" s="384"/>
      <c r="I616" s="384"/>
      <c r="J616" s="384"/>
      <c r="K616" s="384"/>
      <c r="L616" s="384"/>
      <c r="M616" s="384"/>
      <c r="N616" s="384"/>
      <c r="O616" s="384"/>
      <c r="P616" s="384"/>
      <c r="Q616" s="384"/>
      <c r="R616" s="384"/>
      <c r="S616" s="384"/>
      <c r="T616" s="384"/>
      <c r="U616" s="384"/>
      <c r="V616" s="384"/>
      <c r="W616" s="384"/>
      <c r="X616" s="384"/>
      <c r="Y616" s="384"/>
      <c r="Z616" s="384"/>
      <c r="AA616" s="384"/>
    </row>
    <row r="617" spans="1:27" x14ac:dyDescent="0.2">
      <c r="A617" s="384"/>
      <c r="B617" s="384"/>
      <c r="C617" s="384"/>
      <c r="D617" s="384"/>
      <c r="E617" s="384"/>
      <c r="F617" s="384"/>
      <c r="G617" s="384"/>
      <c r="H617" s="384"/>
      <c r="I617" s="384"/>
      <c r="J617" s="384"/>
      <c r="K617" s="384"/>
      <c r="L617" s="384"/>
      <c r="M617" s="384"/>
      <c r="N617" s="384"/>
      <c r="O617" s="384"/>
      <c r="P617" s="384"/>
      <c r="Q617" s="384"/>
      <c r="R617" s="384"/>
      <c r="S617" s="384"/>
      <c r="T617" s="384"/>
      <c r="U617" s="384"/>
      <c r="V617" s="384"/>
      <c r="W617" s="384"/>
      <c r="X617" s="384"/>
      <c r="Y617" s="384"/>
      <c r="Z617" s="384"/>
      <c r="AA617" s="384"/>
    </row>
    <row r="618" spans="1:27" x14ac:dyDescent="0.2">
      <c r="A618" s="384"/>
      <c r="B618" s="384"/>
      <c r="C618" s="384"/>
      <c r="D618" s="384"/>
      <c r="E618" s="384"/>
      <c r="F618" s="384"/>
      <c r="G618" s="384"/>
      <c r="H618" s="384"/>
      <c r="I618" s="384"/>
      <c r="J618" s="384"/>
      <c r="K618" s="384"/>
      <c r="L618" s="384"/>
      <c r="M618" s="384"/>
      <c r="N618" s="384"/>
      <c r="O618" s="384"/>
      <c r="P618" s="384"/>
      <c r="Q618" s="384"/>
      <c r="R618" s="384"/>
      <c r="S618" s="384"/>
      <c r="T618" s="384"/>
      <c r="U618" s="384"/>
      <c r="V618" s="384"/>
      <c r="W618" s="384"/>
      <c r="X618" s="384"/>
      <c r="Y618" s="384"/>
      <c r="Z618" s="384"/>
      <c r="AA618" s="384"/>
    </row>
    <row r="619" spans="1:27" x14ac:dyDescent="0.2">
      <c r="A619" s="384"/>
      <c r="B619" s="384"/>
      <c r="C619" s="384"/>
      <c r="D619" s="384"/>
      <c r="E619" s="384"/>
      <c r="F619" s="384"/>
      <c r="G619" s="384"/>
      <c r="H619" s="384"/>
      <c r="I619" s="384"/>
      <c r="J619" s="384"/>
      <c r="K619" s="384"/>
      <c r="L619" s="384"/>
      <c r="M619" s="384"/>
      <c r="N619" s="384"/>
      <c r="O619" s="384"/>
      <c r="P619" s="384"/>
      <c r="Q619" s="384"/>
      <c r="R619" s="384"/>
      <c r="S619" s="384"/>
      <c r="T619" s="384"/>
      <c r="U619" s="384"/>
      <c r="V619" s="384"/>
      <c r="W619" s="384"/>
      <c r="X619" s="384"/>
      <c r="Y619" s="384"/>
      <c r="Z619" s="384"/>
      <c r="AA619" s="384"/>
    </row>
    <row r="620" spans="1:27" x14ac:dyDescent="0.2">
      <c r="A620" s="384"/>
      <c r="B620" s="384"/>
      <c r="C620" s="384"/>
      <c r="D620" s="384"/>
      <c r="E620" s="384"/>
      <c r="F620" s="384"/>
      <c r="G620" s="384"/>
      <c r="H620" s="384"/>
      <c r="I620" s="384"/>
      <c r="J620" s="384"/>
      <c r="K620" s="384"/>
      <c r="L620" s="384"/>
      <c r="M620" s="384"/>
      <c r="N620" s="384"/>
      <c r="O620" s="384"/>
      <c r="P620" s="384"/>
      <c r="Q620" s="384"/>
      <c r="R620" s="384"/>
      <c r="S620" s="384"/>
      <c r="T620" s="384"/>
      <c r="U620" s="384"/>
      <c r="V620" s="384"/>
      <c r="W620" s="384"/>
      <c r="X620" s="384"/>
      <c r="Y620" s="384"/>
      <c r="Z620" s="384"/>
      <c r="AA620" s="384"/>
    </row>
    <row r="621" spans="1:27" x14ac:dyDescent="0.2">
      <c r="A621" s="384"/>
      <c r="B621" s="384"/>
      <c r="C621" s="384"/>
      <c r="D621" s="384"/>
      <c r="E621" s="384"/>
      <c r="F621" s="384"/>
      <c r="G621" s="384"/>
      <c r="H621" s="384"/>
      <c r="I621" s="384"/>
      <c r="J621" s="384"/>
      <c r="K621" s="384"/>
      <c r="L621" s="384"/>
      <c r="M621" s="384"/>
      <c r="N621" s="384"/>
      <c r="O621" s="384"/>
      <c r="P621" s="384"/>
      <c r="Q621" s="384"/>
      <c r="R621" s="384"/>
      <c r="S621" s="384"/>
      <c r="T621" s="384"/>
      <c r="U621" s="384"/>
      <c r="V621" s="384"/>
      <c r="W621" s="384"/>
      <c r="X621" s="384"/>
      <c r="Y621" s="384"/>
      <c r="Z621" s="384"/>
      <c r="AA621" s="384"/>
    </row>
    <row r="622" spans="1:27" x14ac:dyDescent="0.2">
      <c r="A622" s="384"/>
      <c r="B622" s="384"/>
      <c r="C622" s="384"/>
      <c r="D622" s="384"/>
      <c r="E622" s="384"/>
      <c r="F622" s="384"/>
      <c r="G622" s="384"/>
      <c r="H622" s="384"/>
      <c r="I622" s="384"/>
      <c r="J622" s="384"/>
      <c r="K622" s="384"/>
      <c r="L622" s="384"/>
      <c r="M622" s="384"/>
      <c r="N622" s="384"/>
      <c r="O622" s="384"/>
      <c r="P622" s="384"/>
      <c r="Q622" s="384"/>
      <c r="R622" s="384"/>
      <c r="S622" s="384"/>
      <c r="T622" s="384"/>
      <c r="U622" s="384"/>
      <c r="V622" s="384"/>
      <c r="W622" s="384"/>
      <c r="X622" s="384"/>
      <c r="Y622" s="384"/>
      <c r="Z622" s="384"/>
      <c r="AA622" s="384"/>
    </row>
    <row r="623" spans="1:27" x14ac:dyDescent="0.2">
      <c r="A623" s="384"/>
      <c r="B623" s="384"/>
      <c r="C623" s="384"/>
      <c r="D623" s="384"/>
      <c r="E623" s="384"/>
      <c r="F623" s="384"/>
      <c r="G623" s="384"/>
      <c r="H623" s="384"/>
      <c r="I623" s="384"/>
      <c r="J623" s="384"/>
      <c r="K623" s="384"/>
      <c r="L623" s="384"/>
      <c r="M623" s="384"/>
      <c r="N623" s="384"/>
      <c r="O623" s="384"/>
      <c r="P623" s="384"/>
      <c r="Q623" s="384"/>
      <c r="R623" s="384"/>
      <c r="S623" s="384"/>
      <c r="T623" s="384"/>
      <c r="U623" s="384"/>
      <c r="V623" s="384"/>
      <c r="W623" s="384"/>
      <c r="X623" s="384"/>
      <c r="Y623" s="384"/>
      <c r="Z623" s="384"/>
      <c r="AA623" s="384"/>
    </row>
    <row r="624" spans="1:27" x14ac:dyDescent="0.2">
      <c r="A624" s="384"/>
      <c r="B624" s="384"/>
      <c r="C624" s="384"/>
      <c r="D624" s="384"/>
      <c r="E624" s="384"/>
      <c r="F624" s="384"/>
      <c r="G624" s="384"/>
      <c r="H624" s="384"/>
      <c r="I624" s="384"/>
      <c r="J624" s="384"/>
      <c r="K624" s="384"/>
      <c r="L624" s="384"/>
      <c r="M624" s="384"/>
      <c r="N624" s="384"/>
      <c r="O624" s="384"/>
      <c r="P624" s="384"/>
      <c r="Q624" s="384"/>
      <c r="R624" s="384"/>
      <c r="S624" s="384"/>
      <c r="T624" s="384"/>
      <c r="U624" s="384"/>
      <c r="V624" s="384"/>
      <c r="W624" s="384"/>
      <c r="X624" s="384"/>
      <c r="Y624" s="384"/>
      <c r="Z624" s="384"/>
      <c r="AA624" s="384"/>
    </row>
    <row r="625" spans="1:27" x14ac:dyDescent="0.2">
      <c r="A625" s="384"/>
      <c r="B625" s="384"/>
      <c r="C625" s="384"/>
      <c r="D625" s="384"/>
      <c r="E625" s="384"/>
      <c r="F625" s="384"/>
      <c r="G625" s="384"/>
      <c r="H625" s="384"/>
      <c r="I625" s="384"/>
      <c r="J625" s="384"/>
      <c r="K625" s="384"/>
      <c r="L625" s="384"/>
      <c r="M625" s="384"/>
      <c r="N625" s="384"/>
      <c r="O625" s="384"/>
      <c r="P625" s="384"/>
      <c r="Q625" s="384"/>
      <c r="R625" s="384"/>
      <c r="S625" s="384"/>
      <c r="T625" s="384"/>
      <c r="U625" s="384"/>
      <c r="V625" s="384"/>
      <c r="W625" s="384"/>
      <c r="X625" s="384"/>
      <c r="Y625" s="384"/>
      <c r="Z625" s="384"/>
      <c r="AA625" s="384"/>
    </row>
    <row r="626" spans="1:27" x14ac:dyDescent="0.2">
      <c r="A626" s="384"/>
      <c r="B626" s="384"/>
      <c r="C626" s="384"/>
      <c r="D626" s="384"/>
      <c r="E626" s="384"/>
      <c r="F626" s="384"/>
      <c r="G626" s="384"/>
      <c r="H626" s="384"/>
      <c r="I626" s="384"/>
      <c r="J626" s="384"/>
      <c r="K626" s="384"/>
      <c r="L626" s="384"/>
      <c r="M626" s="384"/>
      <c r="N626" s="384"/>
      <c r="O626" s="384"/>
      <c r="P626" s="384"/>
      <c r="Q626" s="384"/>
      <c r="R626" s="384"/>
      <c r="S626" s="384"/>
      <c r="T626" s="384"/>
      <c r="U626" s="384"/>
      <c r="V626" s="384"/>
      <c r="W626" s="384"/>
      <c r="X626" s="384"/>
      <c r="Y626" s="384"/>
      <c r="Z626" s="384"/>
      <c r="AA626" s="384"/>
    </row>
    <row r="627" spans="1:27" x14ac:dyDescent="0.2">
      <c r="A627" s="384"/>
      <c r="B627" s="384"/>
      <c r="C627" s="384"/>
      <c r="D627" s="384"/>
      <c r="E627" s="384"/>
      <c r="F627" s="384"/>
      <c r="G627" s="384"/>
      <c r="H627" s="384"/>
      <c r="I627" s="384"/>
      <c r="J627" s="384"/>
      <c r="K627" s="384"/>
      <c r="L627" s="384"/>
      <c r="M627" s="384"/>
      <c r="N627" s="384"/>
      <c r="O627" s="384"/>
      <c r="P627" s="384"/>
      <c r="Q627" s="384"/>
      <c r="R627" s="384"/>
      <c r="S627" s="384"/>
      <c r="T627" s="384"/>
      <c r="U627" s="384"/>
      <c r="V627" s="384"/>
      <c r="W627" s="384"/>
      <c r="X627" s="384"/>
      <c r="Y627" s="384"/>
      <c r="Z627" s="384"/>
      <c r="AA627" s="384"/>
    </row>
    <row r="628" spans="1:27" x14ac:dyDescent="0.2">
      <c r="A628" s="384"/>
      <c r="B628" s="384"/>
      <c r="C628" s="384"/>
      <c r="D628" s="384"/>
      <c r="E628" s="384"/>
      <c r="F628" s="384"/>
      <c r="G628" s="384"/>
      <c r="H628" s="384"/>
      <c r="I628" s="384"/>
      <c r="J628" s="384"/>
      <c r="K628" s="384"/>
      <c r="L628" s="384"/>
      <c r="M628" s="384"/>
      <c r="N628" s="384"/>
      <c r="O628" s="384"/>
      <c r="P628" s="384"/>
      <c r="Q628" s="384"/>
      <c r="R628" s="384"/>
      <c r="S628" s="384"/>
      <c r="T628" s="384"/>
      <c r="U628" s="384"/>
      <c r="V628" s="384"/>
      <c r="W628" s="384"/>
      <c r="X628" s="384"/>
      <c r="Y628" s="384"/>
      <c r="Z628" s="384"/>
      <c r="AA628" s="384"/>
    </row>
    <row r="629" spans="1:27" x14ac:dyDescent="0.2">
      <c r="A629" s="384"/>
      <c r="B629" s="384"/>
      <c r="C629" s="384"/>
      <c r="D629" s="384"/>
      <c r="E629" s="384"/>
      <c r="F629" s="384"/>
      <c r="G629" s="384"/>
      <c r="H629" s="384"/>
      <c r="I629" s="384"/>
      <c r="J629" s="384"/>
      <c r="K629" s="384"/>
      <c r="L629" s="384"/>
      <c r="M629" s="384"/>
      <c r="N629" s="384"/>
      <c r="O629" s="384"/>
      <c r="P629" s="384"/>
      <c r="Q629" s="384"/>
      <c r="R629" s="384"/>
      <c r="S629" s="384"/>
      <c r="T629" s="384"/>
      <c r="U629" s="384"/>
      <c r="V629" s="384"/>
      <c r="W629" s="384"/>
      <c r="X629" s="384"/>
      <c r="Y629" s="384"/>
      <c r="Z629" s="384"/>
      <c r="AA629" s="384"/>
    </row>
    <row r="630" spans="1:27" x14ac:dyDescent="0.2">
      <c r="A630" s="384"/>
      <c r="B630" s="384"/>
      <c r="C630" s="384"/>
      <c r="D630" s="384"/>
      <c r="E630" s="384"/>
      <c r="F630" s="384"/>
      <c r="G630" s="384"/>
      <c r="H630" s="384"/>
      <c r="I630" s="384"/>
      <c r="J630" s="384"/>
      <c r="K630" s="384"/>
      <c r="L630" s="384"/>
      <c r="M630" s="384"/>
      <c r="N630" s="384"/>
      <c r="O630" s="384"/>
      <c r="P630" s="384"/>
      <c r="Q630" s="384"/>
      <c r="R630" s="384"/>
      <c r="S630" s="384"/>
      <c r="T630" s="384"/>
      <c r="U630" s="384"/>
      <c r="V630" s="384"/>
      <c r="W630" s="384"/>
      <c r="X630" s="384"/>
      <c r="Y630" s="384"/>
      <c r="Z630" s="384"/>
      <c r="AA630" s="384"/>
    </row>
    <row r="631" spans="1:27" x14ac:dyDescent="0.2">
      <c r="A631" s="384"/>
      <c r="B631" s="384"/>
      <c r="C631" s="384"/>
      <c r="D631" s="384"/>
      <c r="E631" s="384"/>
      <c r="F631" s="384"/>
      <c r="G631" s="384"/>
      <c r="H631" s="384"/>
      <c r="I631" s="384"/>
      <c r="J631" s="384"/>
      <c r="K631" s="384"/>
      <c r="L631" s="384"/>
      <c r="M631" s="384"/>
      <c r="N631" s="384"/>
      <c r="O631" s="384"/>
      <c r="P631" s="384"/>
      <c r="Q631" s="384"/>
      <c r="R631" s="384"/>
      <c r="S631" s="384"/>
      <c r="T631" s="384"/>
      <c r="U631" s="384"/>
      <c r="V631" s="384"/>
      <c r="W631" s="384"/>
      <c r="X631" s="384"/>
      <c r="Y631" s="384"/>
      <c r="Z631" s="384"/>
      <c r="AA631" s="384"/>
    </row>
    <row r="632" spans="1:27" x14ac:dyDescent="0.2">
      <c r="A632" s="384"/>
      <c r="B632" s="384"/>
      <c r="C632" s="384"/>
      <c r="D632" s="384"/>
      <c r="E632" s="384"/>
      <c r="F632" s="384"/>
      <c r="G632" s="384"/>
      <c r="H632" s="384"/>
      <c r="I632" s="384"/>
      <c r="J632" s="384"/>
      <c r="K632" s="384"/>
      <c r="L632" s="384"/>
      <c r="M632" s="384"/>
      <c r="N632" s="384"/>
      <c r="O632" s="384"/>
      <c r="P632" s="384"/>
      <c r="Q632" s="384"/>
      <c r="R632" s="384"/>
      <c r="S632" s="384"/>
      <c r="T632" s="384"/>
      <c r="U632" s="384"/>
      <c r="V632" s="384"/>
      <c r="W632" s="384"/>
      <c r="X632" s="384"/>
      <c r="Y632" s="384"/>
      <c r="Z632" s="384"/>
      <c r="AA632" s="384"/>
    </row>
    <row r="633" spans="1:27" x14ac:dyDescent="0.2">
      <c r="A633" s="384"/>
      <c r="B633" s="384"/>
      <c r="C633" s="384"/>
      <c r="D633" s="384"/>
      <c r="E633" s="384"/>
      <c r="F633" s="384"/>
      <c r="G633" s="384"/>
      <c r="H633" s="384"/>
      <c r="I633" s="384"/>
      <c r="J633" s="384"/>
      <c r="K633" s="384"/>
      <c r="L633" s="384"/>
      <c r="M633" s="384"/>
      <c r="N633" s="384"/>
      <c r="O633" s="384"/>
      <c r="P633" s="384"/>
      <c r="Q633" s="384"/>
      <c r="R633" s="384"/>
      <c r="S633" s="384"/>
      <c r="T633" s="384"/>
      <c r="U633" s="384"/>
      <c r="V633" s="384"/>
      <c r="W633" s="384"/>
      <c r="X633" s="384"/>
      <c r="Y633" s="384"/>
      <c r="Z633" s="384"/>
      <c r="AA633" s="384"/>
    </row>
    <row r="634" spans="1:27" x14ac:dyDescent="0.2">
      <c r="A634" s="384"/>
      <c r="B634" s="384"/>
      <c r="C634" s="384"/>
      <c r="D634" s="384"/>
      <c r="E634" s="384"/>
      <c r="F634" s="384"/>
      <c r="G634" s="384"/>
      <c r="H634" s="384"/>
      <c r="I634" s="384"/>
      <c r="J634" s="384"/>
      <c r="K634" s="384"/>
      <c r="L634" s="384"/>
      <c r="M634" s="384"/>
      <c r="N634" s="384"/>
      <c r="O634" s="384"/>
      <c r="P634" s="384"/>
      <c r="Q634" s="384"/>
      <c r="R634" s="384"/>
      <c r="S634" s="384"/>
      <c r="T634" s="384"/>
      <c r="U634" s="384"/>
      <c r="V634" s="384"/>
      <c r="W634" s="384"/>
      <c r="X634" s="384"/>
      <c r="Y634" s="384"/>
      <c r="Z634" s="384"/>
      <c r="AA634" s="384"/>
    </row>
    <row r="635" spans="1:27" x14ac:dyDescent="0.2">
      <c r="A635" s="384"/>
      <c r="B635" s="384"/>
      <c r="C635" s="384"/>
      <c r="D635" s="384"/>
      <c r="E635" s="384"/>
      <c r="F635" s="384"/>
      <c r="G635" s="384"/>
      <c r="H635" s="384"/>
      <c r="I635" s="384"/>
      <c r="J635" s="384"/>
      <c r="K635" s="384"/>
      <c r="L635" s="384"/>
      <c r="M635" s="384"/>
      <c r="N635" s="384"/>
      <c r="O635" s="384"/>
      <c r="P635" s="384"/>
      <c r="Q635" s="384"/>
      <c r="R635" s="384"/>
      <c r="S635" s="384"/>
      <c r="T635" s="384"/>
      <c r="U635" s="384"/>
      <c r="V635" s="384"/>
      <c r="W635" s="384"/>
      <c r="X635" s="384"/>
      <c r="Y635" s="384"/>
      <c r="Z635" s="384"/>
      <c r="AA635" s="384"/>
    </row>
    <row r="636" spans="1:27" x14ac:dyDescent="0.2">
      <c r="A636" s="384"/>
      <c r="B636" s="384"/>
      <c r="C636" s="384"/>
      <c r="D636" s="384"/>
      <c r="E636" s="384"/>
      <c r="F636" s="384"/>
      <c r="G636" s="384"/>
      <c r="H636" s="384"/>
      <c r="I636" s="384"/>
      <c r="J636" s="384"/>
      <c r="K636" s="384"/>
      <c r="L636" s="384"/>
      <c r="M636" s="384"/>
      <c r="N636" s="384"/>
      <c r="O636" s="384"/>
      <c r="P636" s="384"/>
      <c r="Q636" s="384"/>
      <c r="R636" s="384"/>
      <c r="S636" s="384"/>
      <c r="T636" s="384"/>
      <c r="U636" s="384"/>
      <c r="V636" s="384"/>
      <c r="W636" s="384"/>
      <c r="X636" s="384"/>
      <c r="Y636" s="384"/>
      <c r="Z636" s="384"/>
      <c r="AA636" s="384"/>
    </row>
    <row r="637" spans="1:27" x14ac:dyDescent="0.2">
      <c r="A637" s="384"/>
      <c r="B637" s="384"/>
      <c r="C637" s="384"/>
      <c r="D637" s="384"/>
      <c r="E637" s="384"/>
      <c r="F637" s="384"/>
      <c r="G637" s="384"/>
      <c r="H637" s="384"/>
      <c r="I637" s="384"/>
      <c r="J637" s="384"/>
      <c r="K637" s="384"/>
      <c r="L637" s="384"/>
      <c r="M637" s="384"/>
      <c r="N637" s="384"/>
      <c r="O637" s="384"/>
      <c r="P637" s="384"/>
      <c r="Q637" s="384"/>
      <c r="R637" s="384"/>
      <c r="S637" s="384"/>
      <c r="T637" s="384"/>
      <c r="U637" s="384"/>
      <c r="V637" s="384"/>
      <c r="W637" s="384"/>
      <c r="X637" s="384"/>
      <c r="Y637" s="384"/>
      <c r="Z637" s="384"/>
      <c r="AA637" s="384"/>
    </row>
    <row r="638" spans="1:27" x14ac:dyDescent="0.2">
      <c r="A638" s="384"/>
      <c r="B638" s="384"/>
      <c r="C638" s="384"/>
      <c r="D638" s="384"/>
      <c r="E638" s="384"/>
      <c r="F638" s="384"/>
      <c r="G638" s="384"/>
      <c r="H638" s="384"/>
      <c r="I638" s="384"/>
      <c r="J638" s="384"/>
      <c r="K638" s="384"/>
      <c r="L638" s="384"/>
      <c r="M638" s="384"/>
      <c r="N638" s="384"/>
      <c r="O638" s="384"/>
      <c r="P638" s="384"/>
      <c r="Q638" s="384"/>
      <c r="R638" s="384"/>
      <c r="S638" s="384"/>
      <c r="T638" s="384"/>
      <c r="U638" s="384"/>
      <c r="V638" s="384"/>
      <c r="W638" s="384"/>
      <c r="X638" s="384"/>
      <c r="Y638" s="384"/>
      <c r="Z638" s="384"/>
      <c r="AA638" s="384"/>
    </row>
    <row r="639" spans="1:27" x14ac:dyDescent="0.2">
      <c r="A639" s="384"/>
      <c r="B639" s="384"/>
      <c r="C639" s="384"/>
      <c r="D639" s="384"/>
      <c r="E639" s="384"/>
      <c r="F639" s="384"/>
      <c r="G639" s="384"/>
      <c r="H639" s="384"/>
      <c r="I639" s="384"/>
      <c r="J639" s="384"/>
      <c r="K639" s="384"/>
      <c r="L639" s="384"/>
      <c r="M639" s="384"/>
      <c r="N639" s="384"/>
      <c r="O639" s="384"/>
      <c r="P639" s="384"/>
      <c r="Q639" s="384"/>
      <c r="R639" s="384"/>
      <c r="S639" s="384"/>
      <c r="T639" s="384"/>
      <c r="U639" s="384"/>
      <c r="V639" s="384"/>
      <c r="W639" s="384"/>
      <c r="X639" s="384"/>
      <c r="Y639" s="384"/>
      <c r="Z639" s="384"/>
      <c r="AA639" s="384"/>
    </row>
    <row r="640" spans="1:27" x14ac:dyDescent="0.2">
      <c r="A640" s="384"/>
      <c r="B640" s="384"/>
      <c r="C640" s="384"/>
      <c r="D640" s="384"/>
      <c r="E640" s="384"/>
      <c r="F640" s="384"/>
      <c r="G640" s="384"/>
      <c r="H640" s="384"/>
      <c r="I640" s="384"/>
      <c r="J640" s="384"/>
      <c r="K640" s="384"/>
      <c r="L640" s="384"/>
      <c r="M640" s="384"/>
      <c r="N640" s="384"/>
      <c r="O640" s="384"/>
      <c r="P640" s="384"/>
      <c r="Q640" s="384"/>
      <c r="R640" s="384"/>
      <c r="S640" s="384"/>
      <c r="T640" s="384"/>
      <c r="U640" s="384"/>
      <c r="V640" s="384"/>
      <c r="W640" s="384"/>
      <c r="X640" s="384"/>
      <c r="Y640" s="384"/>
      <c r="Z640" s="384"/>
      <c r="AA640" s="384"/>
    </row>
    <row r="641" spans="1:27" x14ac:dyDescent="0.2">
      <c r="A641" s="384"/>
      <c r="B641" s="384"/>
      <c r="C641" s="384"/>
      <c r="D641" s="384"/>
      <c r="E641" s="384"/>
      <c r="F641" s="384"/>
      <c r="G641" s="384"/>
      <c r="H641" s="384"/>
      <c r="I641" s="384"/>
      <c r="J641" s="384"/>
      <c r="K641" s="384"/>
      <c r="L641" s="384"/>
      <c r="M641" s="384"/>
      <c r="N641" s="384"/>
      <c r="O641" s="384"/>
      <c r="P641" s="384"/>
      <c r="Q641" s="384"/>
      <c r="R641" s="384"/>
      <c r="S641" s="384"/>
      <c r="T641" s="384"/>
      <c r="U641" s="384"/>
      <c r="V641" s="384"/>
      <c r="W641" s="384"/>
      <c r="X641" s="384"/>
      <c r="Y641" s="384"/>
      <c r="Z641" s="384"/>
      <c r="AA641" s="384"/>
    </row>
    <row r="642" spans="1:27" x14ac:dyDescent="0.2">
      <c r="A642" s="384"/>
      <c r="B642" s="384"/>
      <c r="C642" s="384"/>
      <c r="D642" s="384"/>
      <c r="E642" s="384"/>
      <c r="F642" s="384"/>
      <c r="G642" s="384"/>
      <c r="H642" s="384"/>
      <c r="I642" s="384"/>
      <c r="J642" s="384"/>
      <c r="K642" s="384"/>
      <c r="L642" s="384"/>
      <c r="M642" s="384"/>
      <c r="N642" s="384"/>
      <c r="O642" s="384"/>
      <c r="P642" s="384"/>
      <c r="Q642" s="384"/>
      <c r="R642" s="384"/>
      <c r="S642" s="384"/>
      <c r="T642" s="384"/>
      <c r="U642" s="384"/>
      <c r="V642" s="384"/>
      <c r="W642" s="384"/>
      <c r="X642" s="384"/>
      <c r="Y642" s="384"/>
      <c r="Z642" s="384"/>
      <c r="AA642" s="384"/>
    </row>
    <row r="643" spans="1:27" x14ac:dyDescent="0.2">
      <c r="A643" s="384"/>
      <c r="B643" s="384"/>
      <c r="C643" s="384"/>
      <c r="D643" s="384"/>
      <c r="E643" s="384"/>
      <c r="F643" s="384"/>
      <c r="G643" s="384"/>
      <c r="H643" s="384"/>
      <c r="I643" s="384"/>
      <c r="J643" s="384"/>
      <c r="K643" s="384"/>
      <c r="L643" s="384"/>
      <c r="M643" s="384"/>
      <c r="N643" s="384"/>
      <c r="O643" s="384"/>
      <c r="P643" s="384"/>
      <c r="Q643" s="384"/>
      <c r="R643" s="384"/>
      <c r="S643" s="384"/>
      <c r="T643" s="384"/>
      <c r="U643" s="384"/>
      <c r="V643" s="384"/>
      <c r="W643" s="384"/>
      <c r="X643" s="384"/>
      <c r="Y643" s="384"/>
      <c r="Z643" s="384"/>
      <c r="AA643" s="384"/>
    </row>
    <row r="644" spans="1:27" x14ac:dyDescent="0.2">
      <c r="A644" s="384"/>
      <c r="B644" s="384"/>
      <c r="C644" s="384"/>
      <c r="D644" s="384"/>
      <c r="E644" s="384"/>
      <c r="F644" s="384"/>
      <c r="G644" s="384"/>
      <c r="H644" s="384"/>
      <c r="I644" s="384"/>
      <c r="J644" s="384"/>
      <c r="K644" s="384"/>
      <c r="L644" s="384"/>
      <c r="M644" s="384"/>
      <c r="N644" s="384"/>
      <c r="O644" s="384"/>
      <c r="P644" s="384"/>
      <c r="Q644" s="384"/>
      <c r="R644" s="384"/>
      <c r="S644" s="384"/>
      <c r="T644" s="384"/>
      <c r="U644" s="384"/>
      <c r="V644" s="384"/>
      <c r="W644" s="384"/>
      <c r="X644" s="384"/>
      <c r="Y644" s="384"/>
      <c r="Z644" s="384"/>
      <c r="AA644" s="384"/>
    </row>
    <row r="645" spans="1:27" x14ac:dyDescent="0.2">
      <c r="A645" s="384"/>
      <c r="B645" s="384"/>
      <c r="C645" s="384"/>
      <c r="D645" s="384"/>
      <c r="E645" s="384"/>
      <c r="F645" s="384"/>
      <c r="G645" s="384"/>
      <c r="H645" s="384"/>
      <c r="I645" s="384"/>
      <c r="J645" s="384"/>
      <c r="K645" s="384"/>
      <c r="L645" s="384"/>
      <c r="M645" s="384"/>
      <c r="N645" s="384"/>
      <c r="O645" s="384"/>
      <c r="P645" s="384"/>
      <c r="Q645" s="384"/>
      <c r="R645" s="384"/>
      <c r="S645" s="384"/>
      <c r="T645" s="384"/>
      <c r="U645" s="384"/>
      <c r="V645" s="384"/>
      <c r="W645" s="384"/>
      <c r="X645" s="384"/>
      <c r="Y645" s="384"/>
      <c r="Z645" s="384"/>
      <c r="AA645" s="384"/>
    </row>
    <row r="646" spans="1:27" x14ac:dyDescent="0.2">
      <c r="A646" s="384"/>
      <c r="B646" s="384"/>
      <c r="C646" s="384"/>
      <c r="D646" s="384"/>
      <c r="E646" s="384"/>
      <c r="F646" s="384"/>
      <c r="G646" s="384"/>
      <c r="H646" s="384"/>
      <c r="I646" s="384"/>
      <c r="J646" s="384"/>
      <c r="K646" s="384"/>
      <c r="L646" s="384"/>
      <c r="M646" s="384"/>
      <c r="N646" s="384"/>
      <c r="O646" s="384"/>
      <c r="P646" s="384"/>
      <c r="Q646" s="384"/>
      <c r="R646" s="384"/>
      <c r="S646" s="384"/>
      <c r="T646" s="384"/>
      <c r="U646" s="384"/>
      <c r="V646" s="384"/>
      <c r="W646" s="384"/>
      <c r="X646" s="384"/>
      <c r="Y646" s="384"/>
      <c r="Z646" s="384"/>
      <c r="AA646" s="384"/>
    </row>
    <row r="647" spans="1:27" x14ac:dyDescent="0.2">
      <c r="A647" s="384"/>
      <c r="B647" s="384"/>
      <c r="C647" s="384"/>
      <c r="D647" s="384"/>
      <c r="E647" s="384"/>
      <c r="F647" s="384"/>
      <c r="G647" s="384"/>
      <c r="H647" s="384"/>
      <c r="I647" s="384"/>
      <c r="J647" s="384"/>
      <c r="K647" s="384"/>
      <c r="L647" s="384"/>
      <c r="M647" s="384"/>
      <c r="N647" s="384"/>
      <c r="O647" s="384"/>
      <c r="P647" s="384"/>
      <c r="Q647" s="384"/>
      <c r="R647" s="384"/>
      <c r="S647" s="384"/>
      <c r="T647" s="384"/>
      <c r="U647" s="384"/>
      <c r="V647" s="384"/>
      <c r="W647" s="384"/>
      <c r="X647" s="384"/>
      <c r="Y647" s="384"/>
      <c r="Z647" s="384"/>
      <c r="AA647" s="384"/>
    </row>
    <row r="648" spans="1:27" x14ac:dyDescent="0.2">
      <c r="A648" s="384"/>
      <c r="B648" s="384"/>
      <c r="C648" s="384"/>
      <c r="D648" s="384"/>
      <c r="E648" s="384"/>
      <c r="F648" s="384"/>
      <c r="G648" s="384"/>
      <c r="H648" s="384"/>
      <c r="I648" s="384"/>
      <c r="J648" s="384"/>
      <c r="K648" s="384"/>
      <c r="L648" s="384"/>
      <c r="M648" s="384"/>
      <c r="N648" s="384"/>
      <c r="O648" s="384"/>
      <c r="P648" s="384"/>
      <c r="Q648" s="384"/>
      <c r="R648" s="384"/>
      <c r="S648" s="384"/>
      <c r="T648" s="384"/>
      <c r="U648" s="384"/>
      <c r="V648" s="384"/>
      <c r="W648" s="384"/>
      <c r="X648" s="384"/>
      <c r="Y648" s="384"/>
      <c r="Z648" s="384"/>
      <c r="AA648" s="384"/>
    </row>
    <row r="649" spans="1:27" x14ac:dyDescent="0.2">
      <c r="A649" s="384"/>
      <c r="B649" s="384"/>
      <c r="C649" s="384"/>
      <c r="D649" s="384"/>
      <c r="E649" s="384"/>
      <c r="F649" s="384"/>
      <c r="G649" s="384"/>
      <c r="H649" s="384"/>
      <c r="I649" s="384"/>
      <c r="J649" s="384"/>
      <c r="K649" s="384"/>
      <c r="L649" s="384"/>
      <c r="M649" s="384"/>
      <c r="N649" s="384"/>
      <c r="O649" s="384"/>
      <c r="P649" s="384"/>
      <c r="Q649" s="384"/>
      <c r="R649" s="384"/>
      <c r="S649" s="384"/>
      <c r="T649" s="384"/>
      <c r="U649" s="384"/>
      <c r="V649" s="384"/>
      <c r="W649" s="384"/>
      <c r="X649" s="384"/>
      <c r="Y649" s="384"/>
      <c r="Z649" s="384"/>
      <c r="AA649" s="384"/>
    </row>
    <row r="650" spans="1:27" x14ac:dyDescent="0.2">
      <c r="A650" s="384"/>
      <c r="B650" s="384"/>
      <c r="C650" s="384"/>
      <c r="D650" s="384"/>
      <c r="E650" s="384"/>
      <c r="F650" s="384"/>
      <c r="G650" s="384"/>
      <c r="H650" s="384"/>
      <c r="I650" s="384"/>
      <c r="J650" s="384"/>
      <c r="K650" s="384"/>
      <c r="L650" s="384"/>
      <c r="M650" s="384"/>
      <c r="N650" s="384"/>
      <c r="O650" s="384"/>
      <c r="P650" s="384"/>
      <c r="Q650" s="384"/>
      <c r="R650" s="384"/>
      <c r="S650" s="384"/>
      <c r="T650" s="384"/>
      <c r="U650" s="384"/>
      <c r="V650" s="384"/>
      <c r="W650" s="384"/>
      <c r="X650" s="384"/>
      <c r="Y650" s="384"/>
      <c r="Z650" s="384"/>
      <c r="AA650" s="384"/>
    </row>
    <row r="651" spans="1:27" x14ac:dyDescent="0.2">
      <c r="A651" s="384"/>
      <c r="B651" s="384"/>
      <c r="C651" s="384"/>
      <c r="D651" s="384"/>
      <c r="E651" s="384"/>
      <c r="F651" s="384"/>
      <c r="G651" s="384"/>
      <c r="H651" s="384"/>
      <c r="I651" s="384"/>
      <c r="J651" s="384"/>
      <c r="K651" s="384"/>
      <c r="L651" s="384"/>
      <c r="M651" s="384"/>
      <c r="N651" s="384"/>
      <c r="O651" s="384"/>
      <c r="P651" s="384"/>
      <c r="Q651" s="384"/>
      <c r="R651" s="384"/>
      <c r="S651" s="384"/>
      <c r="T651" s="384"/>
      <c r="U651" s="384"/>
      <c r="V651" s="384"/>
      <c r="W651" s="384"/>
      <c r="X651" s="384"/>
      <c r="Y651" s="384"/>
      <c r="Z651" s="384"/>
      <c r="AA651" s="384"/>
    </row>
    <row r="652" spans="1:27" x14ac:dyDescent="0.2">
      <c r="A652" s="384"/>
      <c r="B652" s="384"/>
      <c r="C652" s="384"/>
      <c r="D652" s="384"/>
      <c r="E652" s="384"/>
      <c r="F652" s="384"/>
      <c r="G652" s="384"/>
      <c r="H652" s="384"/>
      <c r="I652" s="384"/>
      <c r="J652" s="384"/>
      <c r="K652" s="384"/>
      <c r="L652" s="384"/>
      <c r="M652" s="384"/>
      <c r="N652" s="384"/>
      <c r="O652" s="384"/>
      <c r="P652" s="384"/>
      <c r="Q652" s="384"/>
      <c r="R652" s="384"/>
      <c r="S652" s="384"/>
      <c r="T652" s="384"/>
      <c r="U652" s="384"/>
      <c r="V652" s="384"/>
      <c r="W652" s="384"/>
      <c r="X652" s="384"/>
      <c r="Y652" s="384"/>
      <c r="Z652" s="384"/>
      <c r="AA652" s="384"/>
    </row>
    <row r="653" spans="1:27" x14ac:dyDescent="0.2">
      <c r="A653" s="384"/>
      <c r="B653" s="384"/>
      <c r="C653" s="384"/>
      <c r="D653" s="384"/>
      <c r="E653" s="384"/>
      <c r="F653" s="384"/>
      <c r="G653" s="384"/>
      <c r="H653" s="384"/>
      <c r="I653" s="384"/>
      <c r="J653" s="384"/>
      <c r="K653" s="384"/>
      <c r="L653" s="384"/>
      <c r="M653" s="384"/>
      <c r="N653" s="384"/>
      <c r="O653" s="384"/>
      <c r="P653" s="384"/>
      <c r="Q653" s="384"/>
      <c r="R653" s="384"/>
      <c r="S653" s="384"/>
      <c r="T653" s="384"/>
      <c r="U653" s="384"/>
      <c r="V653" s="384"/>
      <c r="W653" s="384"/>
      <c r="X653" s="384"/>
      <c r="Y653" s="384"/>
      <c r="Z653" s="384"/>
      <c r="AA653" s="384"/>
    </row>
    <row r="654" spans="1:27" x14ac:dyDescent="0.2">
      <c r="A654" s="384"/>
      <c r="B654" s="384"/>
      <c r="C654" s="384"/>
      <c r="D654" s="384"/>
      <c r="E654" s="384"/>
      <c r="F654" s="384"/>
      <c r="G654" s="384"/>
      <c r="H654" s="384"/>
      <c r="I654" s="384"/>
      <c r="J654" s="384"/>
      <c r="K654" s="384"/>
      <c r="L654" s="384"/>
      <c r="M654" s="384"/>
      <c r="N654" s="384"/>
      <c r="O654" s="384"/>
      <c r="P654" s="384"/>
      <c r="Q654" s="384"/>
      <c r="R654" s="384"/>
      <c r="S654" s="384"/>
      <c r="T654" s="384"/>
      <c r="U654" s="384"/>
      <c r="V654" s="384"/>
      <c r="W654" s="384"/>
      <c r="X654" s="384"/>
      <c r="Y654" s="384"/>
      <c r="Z654" s="384"/>
      <c r="AA654" s="384"/>
    </row>
    <row r="655" spans="1:27" x14ac:dyDescent="0.2">
      <c r="A655" s="384"/>
      <c r="B655" s="384"/>
      <c r="C655" s="384"/>
      <c r="D655" s="384"/>
      <c r="E655" s="384"/>
      <c r="F655" s="384"/>
      <c r="G655" s="384"/>
      <c r="H655" s="384"/>
      <c r="I655" s="384"/>
      <c r="J655" s="384"/>
      <c r="K655" s="384"/>
      <c r="L655" s="384"/>
      <c r="M655" s="384"/>
      <c r="N655" s="384"/>
      <c r="O655" s="384"/>
      <c r="P655" s="384"/>
      <c r="Q655" s="384"/>
      <c r="R655" s="384"/>
      <c r="S655" s="384"/>
      <c r="T655" s="384"/>
      <c r="U655" s="384"/>
      <c r="V655" s="384"/>
      <c r="W655" s="384"/>
      <c r="X655" s="384"/>
      <c r="Y655" s="384"/>
      <c r="Z655" s="384"/>
      <c r="AA655" s="384"/>
    </row>
    <row r="656" spans="1:27" x14ac:dyDescent="0.2">
      <c r="A656" s="384"/>
      <c r="B656" s="384"/>
      <c r="C656" s="384"/>
      <c r="D656" s="384"/>
      <c r="E656" s="384"/>
      <c r="F656" s="384"/>
      <c r="G656" s="384"/>
      <c r="H656" s="384"/>
      <c r="I656" s="384"/>
      <c r="J656" s="384"/>
      <c r="K656" s="384"/>
      <c r="L656" s="384"/>
      <c r="M656" s="384"/>
      <c r="N656" s="384"/>
      <c r="O656" s="384"/>
      <c r="P656" s="384"/>
      <c r="Q656" s="384"/>
      <c r="R656" s="384"/>
      <c r="S656" s="384"/>
      <c r="T656" s="384"/>
      <c r="U656" s="384"/>
      <c r="V656" s="384"/>
      <c r="W656" s="384"/>
      <c r="X656" s="384"/>
      <c r="Y656" s="384"/>
      <c r="Z656" s="384"/>
      <c r="AA656" s="384"/>
    </row>
    <row r="657" spans="1:27" x14ac:dyDescent="0.2">
      <c r="A657" s="384"/>
      <c r="B657" s="384"/>
      <c r="C657" s="384"/>
      <c r="D657" s="384"/>
      <c r="E657" s="384"/>
      <c r="F657" s="384"/>
      <c r="G657" s="384"/>
      <c r="H657" s="384"/>
      <c r="I657" s="384"/>
      <c r="J657" s="384"/>
      <c r="K657" s="384"/>
      <c r="L657" s="384"/>
      <c r="M657" s="384"/>
      <c r="N657" s="384"/>
      <c r="O657" s="384"/>
      <c r="P657" s="384"/>
      <c r="Q657" s="384"/>
      <c r="R657" s="384"/>
      <c r="S657" s="384"/>
      <c r="T657" s="384"/>
      <c r="U657" s="384"/>
      <c r="V657" s="384"/>
      <c r="W657" s="384"/>
      <c r="X657" s="384"/>
      <c r="Y657" s="384"/>
      <c r="Z657" s="384"/>
      <c r="AA657" s="384"/>
    </row>
    <row r="658" spans="1:27" x14ac:dyDescent="0.2">
      <c r="A658" s="384"/>
      <c r="B658" s="384"/>
      <c r="C658" s="384"/>
      <c r="D658" s="384"/>
      <c r="E658" s="384"/>
      <c r="F658" s="384"/>
      <c r="G658" s="384"/>
      <c r="H658" s="384"/>
      <c r="I658" s="384"/>
      <c r="J658" s="384"/>
      <c r="K658" s="384"/>
      <c r="L658" s="384"/>
      <c r="M658" s="384"/>
      <c r="N658" s="384"/>
      <c r="O658" s="384"/>
      <c r="P658" s="384"/>
      <c r="Q658" s="384"/>
      <c r="R658" s="384"/>
      <c r="S658" s="384"/>
      <c r="T658" s="384"/>
      <c r="U658" s="384"/>
      <c r="V658" s="384"/>
      <c r="W658" s="384"/>
      <c r="X658" s="384"/>
      <c r="Y658" s="384"/>
      <c r="Z658" s="384"/>
      <c r="AA658" s="384"/>
    </row>
    <row r="659" spans="1:27" x14ac:dyDescent="0.2">
      <c r="A659" s="384"/>
      <c r="B659" s="384"/>
      <c r="C659" s="384"/>
      <c r="D659" s="384"/>
      <c r="E659" s="384"/>
      <c r="F659" s="384"/>
      <c r="G659" s="384"/>
      <c r="H659" s="384"/>
      <c r="I659" s="384"/>
      <c r="J659" s="384"/>
      <c r="K659" s="384"/>
      <c r="L659" s="384"/>
      <c r="M659" s="384"/>
      <c r="N659" s="384"/>
      <c r="O659" s="384"/>
      <c r="P659" s="384"/>
      <c r="Q659" s="384"/>
      <c r="R659" s="384"/>
      <c r="S659" s="384"/>
      <c r="T659" s="384"/>
      <c r="U659" s="384"/>
      <c r="V659" s="384"/>
      <c r="W659" s="384"/>
      <c r="X659" s="384"/>
      <c r="Y659" s="384"/>
      <c r="Z659" s="384"/>
      <c r="AA659" s="384"/>
    </row>
    <row r="660" spans="1:27" x14ac:dyDescent="0.2">
      <c r="A660" s="384"/>
      <c r="B660" s="384"/>
      <c r="C660" s="384"/>
      <c r="D660" s="384"/>
      <c r="E660" s="384"/>
      <c r="F660" s="384"/>
      <c r="G660" s="384"/>
      <c r="H660" s="384"/>
      <c r="I660" s="384"/>
      <c r="J660" s="384"/>
      <c r="K660" s="384"/>
      <c r="L660" s="384"/>
      <c r="M660" s="384"/>
      <c r="N660" s="384"/>
      <c r="O660" s="384"/>
      <c r="P660" s="384"/>
      <c r="Q660" s="384"/>
      <c r="R660" s="384"/>
      <c r="S660" s="384"/>
      <c r="T660" s="384"/>
      <c r="U660" s="384"/>
      <c r="V660" s="384"/>
      <c r="W660" s="384"/>
      <c r="X660" s="384"/>
      <c r="Y660" s="384"/>
      <c r="Z660" s="384"/>
      <c r="AA660" s="384"/>
    </row>
    <row r="661" spans="1:27" x14ac:dyDescent="0.2">
      <c r="A661" s="384"/>
      <c r="B661" s="384"/>
      <c r="C661" s="384"/>
      <c r="D661" s="384"/>
      <c r="E661" s="384"/>
      <c r="F661" s="384"/>
      <c r="G661" s="384"/>
      <c r="H661" s="384"/>
      <c r="I661" s="384"/>
      <c r="J661" s="384"/>
      <c r="K661" s="384"/>
      <c r="L661" s="384"/>
      <c r="M661" s="384"/>
      <c r="N661" s="384"/>
      <c r="O661" s="384"/>
      <c r="P661" s="384"/>
      <c r="Q661" s="384"/>
      <c r="R661" s="384"/>
      <c r="S661" s="384"/>
      <c r="T661" s="384"/>
      <c r="U661" s="384"/>
      <c r="V661" s="384"/>
      <c r="W661" s="384"/>
      <c r="X661" s="384"/>
      <c r="Y661" s="384"/>
      <c r="Z661" s="384"/>
      <c r="AA661" s="384"/>
    </row>
    <row r="662" spans="1:27" x14ac:dyDescent="0.2">
      <c r="A662" s="384"/>
      <c r="B662" s="384"/>
      <c r="C662" s="384"/>
      <c r="D662" s="384"/>
      <c r="E662" s="384"/>
      <c r="F662" s="384"/>
      <c r="G662" s="384"/>
      <c r="H662" s="384"/>
      <c r="I662" s="384"/>
      <c r="J662" s="384"/>
      <c r="K662" s="384"/>
      <c r="L662" s="384"/>
      <c r="M662" s="384"/>
      <c r="N662" s="384"/>
      <c r="O662" s="384"/>
      <c r="P662" s="384"/>
      <c r="Q662" s="384"/>
      <c r="R662" s="384"/>
      <c r="S662" s="384"/>
      <c r="T662" s="384"/>
      <c r="U662" s="384"/>
      <c r="V662" s="384"/>
      <c r="W662" s="384"/>
      <c r="X662" s="384"/>
      <c r="Y662" s="384"/>
      <c r="Z662" s="384"/>
      <c r="AA662" s="384"/>
    </row>
    <row r="663" spans="1:27" x14ac:dyDescent="0.2">
      <c r="A663" s="384"/>
      <c r="B663" s="384"/>
      <c r="C663" s="384"/>
      <c r="D663" s="384"/>
      <c r="E663" s="384"/>
      <c r="F663" s="384"/>
      <c r="G663" s="384"/>
      <c r="H663" s="384"/>
      <c r="I663" s="384"/>
      <c r="J663" s="384"/>
      <c r="K663" s="384"/>
      <c r="L663" s="384"/>
      <c r="M663" s="384"/>
      <c r="N663" s="384"/>
      <c r="O663" s="384"/>
      <c r="P663" s="384"/>
      <c r="Q663" s="384"/>
      <c r="R663" s="384"/>
      <c r="S663" s="384"/>
      <c r="T663" s="384"/>
      <c r="U663" s="384"/>
      <c r="V663" s="384"/>
      <c r="W663" s="384"/>
      <c r="X663" s="384"/>
      <c r="Y663" s="384"/>
      <c r="Z663" s="384"/>
      <c r="AA663" s="384"/>
    </row>
    <row r="664" spans="1:27" x14ac:dyDescent="0.2">
      <c r="A664" s="384"/>
      <c r="B664" s="384"/>
      <c r="C664" s="384"/>
      <c r="D664" s="384"/>
      <c r="E664" s="384"/>
      <c r="F664" s="384"/>
      <c r="G664" s="384"/>
      <c r="H664" s="384"/>
      <c r="I664" s="384"/>
      <c r="J664" s="384"/>
      <c r="K664" s="384"/>
      <c r="L664" s="384"/>
      <c r="M664" s="384"/>
      <c r="N664" s="384"/>
      <c r="O664" s="384"/>
      <c r="P664" s="384"/>
      <c r="Q664" s="384"/>
      <c r="R664" s="384"/>
      <c r="S664" s="384"/>
      <c r="T664" s="384"/>
      <c r="U664" s="384"/>
      <c r="V664" s="384"/>
      <c r="W664" s="384"/>
      <c r="X664" s="384"/>
      <c r="Y664" s="384"/>
      <c r="Z664" s="384"/>
      <c r="AA664" s="384"/>
    </row>
    <row r="665" spans="1:27" x14ac:dyDescent="0.2">
      <c r="A665" s="384"/>
      <c r="B665" s="384"/>
      <c r="C665" s="384"/>
      <c r="D665" s="384"/>
      <c r="E665" s="384"/>
      <c r="F665" s="384"/>
      <c r="G665" s="384"/>
      <c r="H665" s="384"/>
      <c r="I665" s="384"/>
      <c r="J665" s="384"/>
      <c r="K665" s="384"/>
      <c r="L665" s="384"/>
      <c r="M665" s="384"/>
      <c r="N665" s="384"/>
      <c r="O665" s="384"/>
      <c r="P665" s="384"/>
      <c r="Q665" s="384"/>
      <c r="R665" s="384"/>
      <c r="S665" s="384"/>
      <c r="T665" s="384"/>
      <c r="U665" s="384"/>
      <c r="V665" s="384"/>
      <c r="W665" s="384"/>
      <c r="X665" s="384"/>
      <c r="Y665" s="384"/>
      <c r="Z665" s="384"/>
      <c r="AA665" s="384"/>
    </row>
    <row r="666" spans="1:27" x14ac:dyDescent="0.2">
      <c r="A666" s="384"/>
      <c r="B666" s="384"/>
      <c r="C666" s="384"/>
      <c r="D666" s="384"/>
      <c r="E666" s="384"/>
      <c r="F666" s="384"/>
      <c r="G666" s="384"/>
      <c r="H666" s="384"/>
      <c r="I666" s="384"/>
      <c r="J666" s="384"/>
      <c r="K666" s="384"/>
      <c r="L666" s="384"/>
      <c r="M666" s="384"/>
      <c r="N666" s="384"/>
      <c r="O666" s="384"/>
      <c r="P666" s="384"/>
      <c r="Q666" s="384"/>
      <c r="R666" s="384"/>
      <c r="S666" s="384"/>
      <c r="T666" s="384"/>
      <c r="U666" s="384"/>
      <c r="V666" s="384"/>
      <c r="W666" s="384"/>
      <c r="X666" s="384"/>
      <c r="Y666" s="384"/>
      <c r="Z666" s="384"/>
      <c r="AA666" s="384"/>
    </row>
    <row r="667" spans="1:27" x14ac:dyDescent="0.2">
      <c r="A667" s="384"/>
      <c r="B667" s="384"/>
      <c r="C667" s="384"/>
      <c r="D667" s="384"/>
      <c r="E667" s="384"/>
      <c r="F667" s="384"/>
      <c r="G667" s="384"/>
      <c r="H667" s="384"/>
      <c r="I667" s="384"/>
      <c r="J667" s="384"/>
      <c r="K667" s="384"/>
      <c r="L667" s="384"/>
      <c r="M667" s="384"/>
      <c r="N667" s="384"/>
      <c r="O667" s="384"/>
      <c r="P667" s="384"/>
      <c r="Q667" s="384"/>
      <c r="R667" s="384"/>
      <c r="S667" s="384"/>
      <c r="T667" s="384"/>
      <c r="U667" s="384"/>
      <c r="V667" s="384"/>
      <c r="W667" s="384"/>
      <c r="X667" s="384"/>
      <c r="Y667" s="384"/>
      <c r="Z667" s="384"/>
      <c r="AA667" s="384"/>
    </row>
    <row r="668" spans="1:27" x14ac:dyDescent="0.2">
      <c r="A668" s="384"/>
      <c r="B668" s="384"/>
      <c r="C668" s="384"/>
      <c r="D668" s="384"/>
      <c r="E668" s="384"/>
      <c r="F668" s="384"/>
      <c r="G668" s="384"/>
      <c r="H668" s="384"/>
      <c r="I668" s="384"/>
      <c r="J668" s="384"/>
      <c r="K668" s="384"/>
      <c r="L668" s="384"/>
      <c r="M668" s="384"/>
      <c r="N668" s="384"/>
      <c r="O668" s="384"/>
      <c r="P668" s="384"/>
      <c r="Q668" s="384"/>
      <c r="R668" s="384"/>
      <c r="S668" s="384"/>
      <c r="T668" s="384"/>
      <c r="U668" s="384"/>
      <c r="V668" s="384"/>
      <c r="W668" s="384"/>
      <c r="X668" s="384"/>
      <c r="Y668" s="384"/>
      <c r="Z668" s="384"/>
      <c r="AA668" s="384"/>
    </row>
    <row r="669" spans="1:27" x14ac:dyDescent="0.2">
      <c r="A669" s="384"/>
      <c r="B669" s="384"/>
      <c r="C669" s="384"/>
      <c r="D669" s="384"/>
      <c r="E669" s="384"/>
      <c r="F669" s="384"/>
      <c r="G669" s="384"/>
      <c r="H669" s="384"/>
      <c r="I669" s="384"/>
      <c r="J669" s="384"/>
      <c r="K669" s="384"/>
      <c r="L669" s="384"/>
      <c r="M669" s="384"/>
      <c r="N669" s="384"/>
      <c r="O669" s="384"/>
      <c r="P669" s="384"/>
      <c r="Q669" s="384"/>
      <c r="R669" s="384"/>
      <c r="S669" s="384"/>
      <c r="T669" s="384"/>
      <c r="U669" s="384"/>
      <c r="V669" s="384"/>
      <c r="W669" s="384"/>
      <c r="X669" s="384"/>
      <c r="Y669" s="384"/>
      <c r="Z669" s="384"/>
      <c r="AA669" s="384"/>
    </row>
    <row r="670" spans="1:27" x14ac:dyDescent="0.2">
      <c r="A670" s="384"/>
      <c r="B670" s="384"/>
      <c r="C670" s="384"/>
      <c r="D670" s="384"/>
      <c r="E670" s="384"/>
      <c r="F670" s="384"/>
      <c r="G670" s="384"/>
      <c r="H670" s="384"/>
      <c r="I670" s="384"/>
      <c r="J670" s="384"/>
      <c r="K670" s="384"/>
      <c r="L670" s="384"/>
      <c r="M670" s="384"/>
      <c r="N670" s="384"/>
      <c r="O670" s="384"/>
      <c r="P670" s="384"/>
      <c r="Q670" s="384"/>
      <c r="R670" s="384"/>
      <c r="S670" s="384"/>
      <c r="T670" s="384"/>
      <c r="U670" s="384"/>
      <c r="V670" s="384"/>
      <c r="W670" s="384"/>
      <c r="X670" s="384"/>
      <c r="Y670" s="384"/>
      <c r="Z670" s="384"/>
      <c r="AA670" s="384"/>
    </row>
    <row r="671" spans="1:27" x14ac:dyDescent="0.2">
      <c r="A671" s="384"/>
      <c r="B671" s="384"/>
      <c r="C671" s="384"/>
      <c r="D671" s="384"/>
      <c r="E671" s="384"/>
      <c r="F671" s="384"/>
      <c r="G671" s="384"/>
      <c r="H671" s="384"/>
      <c r="I671" s="384"/>
      <c r="J671" s="384"/>
      <c r="K671" s="384"/>
      <c r="L671" s="384"/>
      <c r="M671" s="384"/>
      <c r="N671" s="384"/>
      <c r="O671" s="384"/>
      <c r="P671" s="384"/>
      <c r="Q671" s="384"/>
      <c r="R671" s="384"/>
      <c r="S671" s="384"/>
      <c r="T671" s="384"/>
      <c r="U671" s="384"/>
      <c r="V671" s="384"/>
      <c r="W671" s="384"/>
      <c r="X671" s="384"/>
      <c r="Y671" s="384"/>
      <c r="Z671" s="384"/>
      <c r="AA671" s="384"/>
    </row>
    <row r="672" spans="1:27" x14ac:dyDescent="0.2">
      <c r="A672" s="384"/>
      <c r="B672" s="384"/>
      <c r="C672" s="384"/>
      <c r="D672" s="384"/>
      <c r="E672" s="384"/>
      <c r="F672" s="384"/>
      <c r="G672" s="384"/>
      <c r="H672" s="384"/>
      <c r="I672" s="384"/>
      <c r="J672" s="384"/>
      <c r="K672" s="384"/>
      <c r="L672" s="384"/>
      <c r="M672" s="384"/>
      <c r="N672" s="384"/>
      <c r="O672" s="384"/>
      <c r="P672" s="384"/>
      <c r="Q672" s="384"/>
      <c r="R672" s="384"/>
      <c r="S672" s="384"/>
      <c r="T672" s="384"/>
      <c r="U672" s="384"/>
      <c r="V672" s="384"/>
      <c r="W672" s="384"/>
      <c r="X672" s="384"/>
      <c r="Y672" s="384"/>
      <c r="Z672" s="384"/>
      <c r="AA672" s="384"/>
    </row>
    <row r="673" spans="1:27" x14ac:dyDescent="0.2">
      <c r="A673" s="384"/>
      <c r="B673" s="384"/>
      <c r="C673" s="384"/>
      <c r="D673" s="384"/>
      <c r="E673" s="384"/>
      <c r="F673" s="384"/>
      <c r="G673" s="384"/>
      <c r="H673" s="384"/>
      <c r="I673" s="384"/>
      <c r="J673" s="384"/>
      <c r="K673" s="384"/>
      <c r="L673" s="384"/>
      <c r="M673" s="384"/>
      <c r="N673" s="384"/>
      <c r="O673" s="384"/>
      <c r="P673" s="384"/>
      <c r="Q673" s="384"/>
      <c r="R673" s="384"/>
      <c r="S673" s="384"/>
      <c r="T673" s="384"/>
      <c r="U673" s="384"/>
      <c r="V673" s="384"/>
      <c r="W673" s="384"/>
      <c r="X673" s="384"/>
      <c r="Y673" s="384"/>
      <c r="Z673" s="384"/>
      <c r="AA673" s="384"/>
    </row>
    <row r="674" spans="1:27" x14ac:dyDescent="0.2">
      <c r="A674" s="384"/>
      <c r="B674" s="384"/>
      <c r="C674" s="384"/>
      <c r="D674" s="384"/>
      <c r="E674" s="384"/>
      <c r="F674" s="384"/>
      <c r="G674" s="384"/>
      <c r="H674" s="384"/>
      <c r="I674" s="384"/>
      <c r="J674" s="384"/>
      <c r="K674" s="384"/>
      <c r="L674" s="384"/>
      <c r="M674" s="384"/>
      <c r="N674" s="384"/>
      <c r="O674" s="384"/>
      <c r="P674" s="384"/>
      <c r="Q674" s="384"/>
      <c r="R674" s="384"/>
      <c r="S674" s="384"/>
      <c r="T674" s="384"/>
      <c r="U674" s="384"/>
      <c r="V674" s="384"/>
      <c r="W674" s="384"/>
      <c r="X674" s="384"/>
      <c r="Y674" s="384"/>
      <c r="Z674" s="384"/>
      <c r="AA674" s="384"/>
    </row>
    <row r="675" spans="1:27" x14ac:dyDescent="0.2">
      <c r="A675" s="384"/>
      <c r="B675" s="384"/>
      <c r="C675" s="384"/>
      <c r="D675" s="384"/>
      <c r="E675" s="384"/>
      <c r="F675" s="384"/>
      <c r="G675" s="384"/>
      <c r="H675" s="384"/>
      <c r="I675" s="384"/>
      <c r="J675" s="384"/>
      <c r="K675" s="384"/>
      <c r="L675" s="384"/>
      <c r="M675" s="384"/>
      <c r="N675" s="384"/>
      <c r="O675" s="384"/>
      <c r="P675" s="384"/>
      <c r="Q675" s="384"/>
      <c r="R675" s="384"/>
      <c r="S675" s="384"/>
      <c r="T675" s="384"/>
      <c r="U675" s="384"/>
      <c r="V675" s="384"/>
      <c r="W675" s="384"/>
      <c r="X675" s="384"/>
      <c r="Y675" s="384"/>
      <c r="Z675" s="384"/>
      <c r="AA675" s="384"/>
    </row>
    <row r="676" spans="1:27" x14ac:dyDescent="0.2">
      <c r="A676" s="384"/>
      <c r="B676" s="384"/>
      <c r="C676" s="384"/>
      <c r="D676" s="384"/>
      <c r="E676" s="384"/>
      <c r="F676" s="384"/>
      <c r="G676" s="384"/>
      <c r="H676" s="384"/>
      <c r="I676" s="384"/>
      <c r="J676" s="384"/>
      <c r="K676" s="384"/>
      <c r="L676" s="384"/>
      <c r="M676" s="384"/>
      <c r="N676" s="384"/>
      <c r="O676" s="384"/>
      <c r="P676" s="384"/>
      <c r="Q676" s="384"/>
      <c r="R676" s="384"/>
      <c r="S676" s="384"/>
      <c r="T676" s="384"/>
      <c r="U676" s="384"/>
      <c r="V676" s="384"/>
      <c r="W676" s="384"/>
      <c r="X676" s="384"/>
      <c r="Y676" s="384"/>
      <c r="Z676" s="384"/>
      <c r="AA676" s="384"/>
    </row>
    <row r="677" spans="1:27" x14ac:dyDescent="0.2">
      <c r="A677" s="384"/>
      <c r="B677" s="384"/>
      <c r="C677" s="384"/>
      <c r="D677" s="384"/>
      <c r="E677" s="384"/>
      <c r="F677" s="384"/>
      <c r="G677" s="384"/>
      <c r="H677" s="384"/>
      <c r="I677" s="384"/>
      <c r="J677" s="384"/>
      <c r="K677" s="384"/>
      <c r="L677" s="384"/>
      <c r="M677" s="384"/>
      <c r="N677" s="384"/>
      <c r="O677" s="384"/>
      <c r="P677" s="384"/>
      <c r="Q677" s="384"/>
      <c r="R677" s="384"/>
      <c r="S677" s="384"/>
      <c r="T677" s="384"/>
      <c r="U677" s="384"/>
      <c r="V677" s="384"/>
      <c r="W677" s="384"/>
      <c r="X677" s="384"/>
      <c r="Y677" s="384"/>
      <c r="Z677" s="384"/>
      <c r="AA677" s="384"/>
    </row>
    <row r="678" spans="1:27" x14ac:dyDescent="0.2">
      <c r="A678" s="384"/>
      <c r="B678" s="384"/>
      <c r="C678" s="384"/>
      <c r="D678" s="384"/>
      <c r="E678" s="384"/>
      <c r="F678" s="384"/>
      <c r="G678" s="384"/>
      <c r="H678" s="384"/>
      <c r="I678" s="384"/>
      <c r="J678" s="384"/>
      <c r="K678" s="384"/>
      <c r="L678" s="384"/>
      <c r="M678" s="384"/>
      <c r="N678" s="384"/>
      <c r="O678" s="384"/>
      <c r="P678" s="384"/>
      <c r="Q678" s="384"/>
      <c r="R678" s="384"/>
      <c r="S678" s="384"/>
      <c r="T678" s="384"/>
      <c r="U678" s="384"/>
      <c r="V678" s="384"/>
      <c r="W678" s="384"/>
      <c r="X678" s="384"/>
      <c r="Y678" s="384"/>
      <c r="Z678" s="384"/>
      <c r="AA678" s="384"/>
    </row>
    <row r="679" spans="1:27" x14ac:dyDescent="0.2">
      <c r="A679" s="384"/>
      <c r="B679" s="384"/>
      <c r="C679" s="384"/>
      <c r="D679" s="384"/>
      <c r="E679" s="384"/>
      <c r="F679" s="384"/>
      <c r="G679" s="384"/>
      <c r="H679" s="384"/>
      <c r="I679" s="384"/>
      <c r="J679" s="384"/>
      <c r="K679" s="384"/>
      <c r="L679" s="384"/>
      <c r="M679" s="384"/>
      <c r="N679" s="384"/>
      <c r="O679" s="384"/>
      <c r="P679" s="384"/>
      <c r="Q679" s="384"/>
      <c r="R679" s="384"/>
      <c r="S679" s="384"/>
      <c r="T679" s="384"/>
      <c r="U679" s="384"/>
      <c r="V679" s="384"/>
      <c r="W679" s="384"/>
      <c r="X679" s="384"/>
      <c r="Y679" s="384"/>
      <c r="Z679" s="384"/>
      <c r="AA679" s="384"/>
    </row>
    <row r="680" spans="1:27" x14ac:dyDescent="0.2">
      <c r="A680" s="384"/>
      <c r="B680" s="384"/>
      <c r="C680" s="384"/>
      <c r="D680" s="384"/>
      <c r="E680" s="384"/>
      <c r="F680" s="384"/>
      <c r="G680" s="384"/>
      <c r="H680" s="384"/>
      <c r="I680" s="384"/>
      <c r="J680" s="384"/>
      <c r="K680" s="384"/>
      <c r="L680" s="384"/>
      <c r="M680" s="384"/>
      <c r="N680" s="384"/>
      <c r="O680" s="384"/>
      <c r="P680" s="384"/>
      <c r="Q680" s="384"/>
      <c r="R680" s="384"/>
      <c r="S680" s="384"/>
      <c r="T680" s="384"/>
      <c r="U680" s="384"/>
      <c r="V680" s="384"/>
      <c r="W680" s="384"/>
      <c r="X680" s="384"/>
      <c r="Y680" s="384"/>
      <c r="Z680" s="384"/>
      <c r="AA680" s="384"/>
    </row>
    <row r="681" spans="1:27" x14ac:dyDescent="0.2">
      <c r="A681" s="384"/>
      <c r="B681" s="384"/>
      <c r="C681" s="384"/>
      <c r="D681" s="384"/>
      <c r="E681" s="384"/>
      <c r="F681" s="384"/>
      <c r="G681" s="384"/>
      <c r="H681" s="384"/>
      <c r="I681" s="384"/>
      <c r="J681" s="384"/>
      <c r="K681" s="384"/>
      <c r="L681" s="384"/>
      <c r="M681" s="384"/>
      <c r="N681" s="384"/>
      <c r="O681" s="384"/>
      <c r="P681" s="384"/>
      <c r="Q681" s="384"/>
      <c r="R681" s="384"/>
      <c r="S681" s="384"/>
      <c r="T681" s="384"/>
      <c r="U681" s="384"/>
      <c r="V681" s="384"/>
      <c r="W681" s="384"/>
      <c r="X681" s="384"/>
      <c r="Y681" s="384"/>
      <c r="Z681" s="384"/>
      <c r="AA681" s="384"/>
    </row>
    <row r="682" spans="1:27" x14ac:dyDescent="0.2">
      <c r="A682" s="384"/>
      <c r="B682" s="384"/>
      <c r="C682" s="384"/>
      <c r="D682" s="384"/>
      <c r="E682" s="384"/>
      <c r="F682" s="384"/>
      <c r="G682" s="384"/>
      <c r="H682" s="384"/>
      <c r="I682" s="384"/>
      <c r="J682" s="384"/>
      <c r="K682" s="384"/>
      <c r="L682" s="384"/>
      <c r="M682" s="384"/>
      <c r="N682" s="384"/>
      <c r="O682" s="384"/>
      <c r="P682" s="384"/>
      <c r="Q682" s="384"/>
      <c r="R682" s="384"/>
      <c r="S682" s="384"/>
      <c r="T682" s="384"/>
      <c r="U682" s="384"/>
      <c r="V682" s="384"/>
      <c r="W682" s="384"/>
      <c r="X682" s="384"/>
      <c r="Y682" s="384"/>
      <c r="Z682" s="384"/>
      <c r="AA682" s="384"/>
    </row>
    <row r="683" spans="1:27" x14ac:dyDescent="0.2">
      <c r="A683" s="384"/>
      <c r="B683" s="384"/>
      <c r="C683" s="384"/>
      <c r="D683" s="384"/>
      <c r="E683" s="384"/>
      <c r="F683" s="384"/>
      <c r="G683" s="384"/>
      <c r="H683" s="384"/>
      <c r="I683" s="384"/>
      <c r="J683" s="384"/>
      <c r="K683" s="384"/>
      <c r="L683" s="384"/>
      <c r="M683" s="384"/>
      <c r="N683" s="384"/>
      <c r="O683" s="384"/>
      <c r="P683" s="384"/>
      <c r="Q683" s="384"/>
      <c r="R683" s="384"/>
      <c r="S683" s="384"/>
      <c r="T683" s="384"/>
      <c r="U683" s="384"/>
      <c r="V683" s="384"/>
      <c r="W683" s="384"/>
      <c r="X683" s="384"/>
      <c r="Y683" s="384"/>
      <c r="Z683" s="384"/>
      <c r="AA683" s="384"/>
    </row>
    <row r="684" spans="1:27" x14ac:dyDescent="0.2">
      <c r="A684" s="384"/>
      <c r="B684" s="384"/>
      <c r="C684" s="384"/>
      <c r="D684" s="384"/>
      <c r="E684" s="384"/>
      <c r="F684" s="384"/>
      <c r="G684" s="384"/>
      <c r="H684" s="384"/>
      <c r="I684" s="384"/>
      <c r="J684" s="384"/>
      <c r="K684" s="384"/>
      <c r="L684" s="384"/>
      <c r="M684" s="384"/>
      <c r="N684" s="384"/>
      <c r="O684" s="384"/>
      <c r="P684" s="384"/>
      <c r="Q684" s="384"/>
      <c r="R684" s="384"/>
      <c r="S684" s="384"/>
      <c r="T684" s="384"/>
      <c r="U684" s="384"/>
      <c r="V684" s="384"/>
      <c r="W684" s="384"/>
      <c r="X684" s="384"/>
      <c r="Y684" s="384"/>
      <c r="Z684" s="384"/>
      <c r="AA684" s="384"/>
    </row>
    <row r="685" spans="1:27" x14ac:dyDescent="0.2">
      <c r="A685" s="384"/>
      <c r="B685" s="384"/>
      <c r="C685" s="384"/>
      <c r="D685" s="384"/>
      <c r="E685" s="384"/>
      <c r="F685" s="384"/>
      <c r="G685" s="384"/>
      <c r="H685" s="384"/>
      <c r="I685" s="384"/>
      <c r="J685" s="384"/>
      <c r="K685" s="384"/>
      <c r="L685" s="384"/>
      <c r="M685" s="384"/>
      <c r="N685" s="384"/>
      <c r="O685" s="384"/>
      <c r="P685" s="384"/>
      <c r="Q685" s="384"/>
      <c r="R685" s="384"/>
      <c r="S685" s="384"/>
      <c r="T685" s="384"/>
      <c r="U685" s="384"/>
      <c r="V685" s="384"/>
      <c r="W685" s="384"/>
      <c r="X685" s="384"/>
      <c r="Y685" s="384"/>
      <c r="Z685" s="384"/>
      <c r="AA685" s="384"/>
    </row>
    <row r="686" spans="1:27" x14ac:dyDescent="0.2">
      <c r="A686" s="384"/>
      <c r="B686" s="384"/>
      <c r="C686" s="384"/>
      <c r="D686" s="384"/>
      <c r="E686" s="384"/>
      <c r="F686" s="384"/>
      <c r="G686" s="384"/>
      <c r="H686" s="384"/>
      <c r="I686" s="384"/>
      <c r="J686" s="384"/>
      <c r="K686" s="384"/>
      <c r="L686" s="384"/>
      <c r="M686" s="384"/>
      <c r="N686" s="384"/>
      <c r="O686" s="384"/>
      <c r="P686" s="384"/>
      <c r="Q686" s="384"/>
      <c r="R686" s="384"/>
      <c r="S686" s="384"/>
      <c r="T686" s="384"/>
      <c r="U686" s="384"/>
      <c r="V686" s="384"/>
      <c r="W686" s="384"/>
      <c r="X686" s="384"/>
      <c r="Y686" s="384"/>
      <c r="Z686" s="384"/>
      <c r="AA686" s="384"/>
    </row>
    <row r="687" spans="1:27" x14ac:dyDescent="0.2">
      <c r="A687" s="384"/>
      <c r="B687" s="384"/>
      <c r="C687" s="384"/>
      <c r="D687" s="384"/>
      <c r="E687" s="384"/>
      <c r="F687" s="384"/>
      <c r="G687" s="384"/>
      <c r="H687" s="384"/>
      <c r="I687" s="384"/>
      <c r="J687" s="384"/>
      <c r="K687" s="384"/>
      <c r="L687" s="384"/>
      <c r="M687" s="384"/>
      <c r="N687" s="384"/>
      <c r="O687" s="384"/>
      <c r="P687" s="384"/>
      <c r="Q687" s="384"/>
      <c r="R687" s="384"/>
      <c r="S687" s="384"/>
      <c r="T687" s="384"/>
      <c r="U687" s="384"/>
      <c r="V687" s="384"/>
      <c r="W687" s="384"/>
      <c r="X687" s="384"/>
      <c r="Y687" s="384"/>
      <c r="Z687" s="384"/>
      <c r="AA687" s="384"/>
    </row>
    <row r="688" spans="1:27" x14ac:dyDescent="0.2">
      <c r="A688" s="384"/>
      <c r="B688" s="384"/>
      <c r="C688" s="384"/>
      <c r="D688" s="384"/>
      <c r="E688" s="384"/>
      <c r="F688" s="384"/>
      <c r="G688" s="384"/>
      <c r="H688" s="384"/>
      <c r="I688" s="384"/>
      <c r="J688" s="384"/>
      <c r="K688" s="384"/>
      <c r="L688" s="384"/>
      <c r="M688" s="384"/>
      <c r="N688" s="384"/>
      <c r="O688" s="384"/>
      <c r="P688" s="384"/>
      <c r="Q688" s="384"/>
      <c r="R688" s="384"/>
      <c r="S688" s="384"/>
      <c r="T688" s="384"/>
      <c r="U688" s="384"/>
      <c r="V688" s="384"/>
      <c r="W688" s="384"/>
      <c r="X688" s="384"/>
      <c r="Y688" s="384"/>
      <c r="Z688" s="384"/>
      <c r="AA688" s="384"/>
    </row>
    <row r="689" spans="1:27" x14ac:dyDescent="0.2">
      <c r="A689" s="384"/>
      <c r="B689" s="384"/>
      <c r="C689" s="384"/>
      <c r="D689" s="384"/>
      <c r="E689" s="384"/>
      <c r="F689" s="384"/>
      <c r="G689" s="384"/>
      <c r="H689" s="384"/>
      <c r="I689" s="384"/>
      <c r="J689" s="384"/>
      <c r="K689" s="384"/>
      <c r="L689" s="384"/>
      <c r="M689" s="384"/>
      <c r="N689" s="384"/>
      <c r="O689" s="384"/>
      <c r="P689" s="384"/>
      <c r="Q689" s="384"/>
      <c r="R689" s="384"/>
      <c r="S689" s="384"/>
      <c r="T689" s="384"/>
      <c r="U689" s="384"/>
      <c r="V689" s="384"/>
      <c r="W689" s="384"/>
      <c r="X689" s="384"/>
      <c r="Y689" s="384"/>
      <c r="Z689" s="384"/>
      <c r="AA689" s="384"/>
    </row>
    <row r="690" spans="1:27" x14ac:dyDescent="0.2">
      <c r="A690" s="384"/>
      <c r="B690" s="384"/>
      <c r="C690" s="384"/>
      <c r="D690" s="384"/>
      <c r="E690" s="384"/>
      <c r="F690" s="384"/>
      <c r="G690" s="384"/>
      <c r="H690" s="384"/>
      <c r="I690" s="384"/>
      <c r="J690" s="384"/>
      <c r="K690" s="384"/>
      <c r="L690" s="384"/>
      <c r="M690" s="384"/>
      <c r="N690" s="384"/>
      <c r="O690" s="384"/>
      <c r="P690" s="384"/>
      <c r="Q690" s="384"/>
      <c r="R690" s="384"/>
      <c r="S690" s="384"/>
      <c r="T690" s="384"/>
      <c r="U690" s="384"/>
      <c r="V690" s="384"/>
      <c r="W690" s="384"/>
      <c r="X690" s="384"/>
      <c r="Y690" s="384"/>
      <c r="Z690" s="384"/>
      <c r="AA690" s="384"/>
    </row>
    <row r="691" spans="1:27" x14ac:dyDescent="0.2">
      <c r="A691" s="384"/>
      <c r="B691" s="384"/>
      <c r="C691" s="384"/>
      <c r="D691" s="384"/>
      <c r="E691" s="384"/>
      <c r="F691" s="384"/>
      <c r="G691" s="384"/>
      <c r="H691" s="384"/>
      <c r="I691" s="384"/>
      <c r="J691" s="384"/>
      <c r="K691" s="384"/>
      <c r="L691" s="384"/>
      <c r="M691" s="384"/>
      <c r="N691" s="384"/>
      <c r="O691" s="384"/>
      <c r="P691" s="384"/>
      <c r="Q691" s="384"/>
      <c r="R691" s="384"/>
      <c r="S691" s="384"/>
      <c r="T691" s="384"/>
      <c r="U691" s="384"/>
      <c r="V691" s="384"/>
      <c r="W691" s="384"/>
      <c r="X691" s="384"/>
      <c r="Y691" s="384"/>
      <c r="Z691" s="384"/>
      <c r="AA691" s="384"/>
    </row>
    <row r="692" spans="1:27" x14ac:dyDescent="0.2">
      <c r="A692" s="384"/>
      <c r="B692" s="384"/>
      <c r="C692" s="384"/>
      <c r="D692" s="384"/>
      <c r="E692" s="384"/>
      <c r="F692" s="384"/>
      <c r="G692" s="384"/>
      <c r="H692" s="384"/>
      <c r="I692" s="384"/>
      <c r="J692" s="384"/>
      <c r="K692" s="384"/>
      <c r="L692" s="384"/>
      <c r="M692" s="384"/>
      <c r="N692" s="384"/>
      <c r="O692" s="384"/>
      <c r="P692" s="384"/>
      <c r="Q692" s="384"/>
      <c r="R692" s="384"/>
      <c r="S692" s="384"/>
      <c r="T692" s="384"/>
      <c r="U692" s="384"/>
      <c r="V692" s="384"/>
      <c r="W692" s="384"/>
      <c r="X692" s="384"/>
      <c r="Y692" s="384"/>
      <c r="Z692" s="384"/>
      <c r="AA692" s="384"/>
    </row>
    <row r="693" spans="1:27" x14ac:dyDescent="0.2">
      <c r="A693" s="384"/>
      <c r="B693" s="384"/>
      <c r="C693" s="384"/>
      <c r="D693" s="384"/>
      <c r="E693" s="384"/>
      <c r="F693" s="384"/>
      <c r="G693" s="384"/>
      <c r="H693" s="384"/>
      <c r="I693" s="384"/>
      <c r="J693" s="384"/>
      <c r="K693" s="384"/>
      <c r="L693" s="384"/>
      <c r="M693" s="384"/>
      <c r="N693" s="384"/>
      <c r="O693" s="384"/>
      <c r="P693" s="384"/>
      <c r="Q693" s="384"/>
      <c r="R693" s="384"/>
      <c r="S693" s="384"/>
      <c r="T693" s="384"/>
      <c r="U693" s="384"/>
      <c r="V693" s="384"/>
      <c r="W693" s="384"/>
      <c r="X693" s="384"/>
      <c r="Y693" s="384"/>
      <c r="Z693" s="384"/>
      <c r="AA693" s="384"/>
    </row>
    <row r="694" spans="1:27" x14ac:dyDescent="0.2">
      <c r="A694" s="384"/>
      <c r="B694" s="384"/>
      <c r="C694" s="384"/>
      <c r="D694" s="384"/>
      <c r="E694" s="384"/>
      <c r="F694" s="384"/>
      <c r="G694" s="384"/>
      <c r="H694" s="384"/>
      <c r="I694" s="384"/>
      <c r="J694" s="384"/>
      <c r="K694" s="384"/>
      <c r="L694" s="384"/>
      <c r="M694" s="384"/>
      <c r="N694" s="384"/>
      <c r="O694" s="384"/>
      <c r="P694" s="384"/>
      <c r="Q694" s="384"/>
      <c r="R694" s="384"/>
      <c r="S694" s="384"/>
      <c r="T694" s="384"/>
      <c r="U694" s="384"/>
      <c r="V694" s="384"/>
      <c r="W694" s="384"/>
      <c r="X694" s="384"/>
      <c r="Y694" s="384"/>
      <c r="Z694" s="384"/>
      <c r="AA694" s="384"/>
    </row>
    <row r="695" spans="1:27" x14ac:dyDescent="0.2">
      <c r="A695" s="384"/>
      <c r="B695" s="384"/>
      <c r="C695" s="384"/>
      <c r="D695" s="384"/>
      <c r="E695" s="384"/>
      <c r="F695" s="384"/>
      <c r="G695" s="384"/>
      <c r="H695" s="384"/>
      <c r="I695" s="384"/>
      <c r="J695" s="384"/>
      <c r="K695" s="384"/>
      <c r="L695" s="384"/>
      <c r="M695" s="384"/>
      <c r="N695" s="384"/>
      <c r="O695" s="384"/>
      <c r="P695" s="384"/>
      <c r="Q695" s="384"/>
      <c r="R695" s="384"/>
      <c r="S695" s="384"/>
      <c r="T695" s="384"/>
      <c r="U695" s="384"/>
      <c r="V695" s="384"/>
      <c r="W695" s="384"/>
      <c r="X695" s="384"/>
      <c r="Y695" s="384"/>
      <c r="Z695" s="384"/>
      <c r="AA695" s="384"/>
    </row>
    <row r="696" spans="1:27" x14ac:dyDescent="0.2">
      <c r="A696" s="384"/>
      <c r="B696" s="384"/>
      <c r="C696" s="384"/>
      <c r="D696" s="384"/>
      <c r="E696" s="384"/>
      <c r="F696" s="384"/>
      <c r="G696" s="384"/>
      <c r="H696" s="384"/>
      <c r="I696" s="384"/>
      <c r="J696" s="384"/>
      <c r="K696" s="384"/>
      <c r="L696" s="384"/>
      <c r="M696" s="384"/>
      <c r="N696" s="384"/>
      <c r="O696" s="384"/>
      <c r="P696" s="384"/>
      <c r="Q696" s="384"/>
      <c r="R696" s="384"/>
      <c r="S696" s="384"/>
      <c r="T696" s="384"/>
      <c r="U696" s="384"/>
      <c r="V696" s="384"/>
      <c r="W696" s="384"/>
      <c r="X696" s="384"/>
      <c r="Y696" s="384"/>
      <c r="Z696" s="384"/>
      <c r="AA696" s="384"/>
    </row>
    <row r="697" spans="1:27" x14ac:dyDescent="0.2">
      <c r="A697" s="384"/>
      <c r="B697" s="384"/>
      <c r="C697" s="384"/>
      <c r="D697" s="384"/>
      <c r="E697" s="384"/>
      <c r="F697" s="384"/>
      <c r="G697" s="384"/>
      <c r="H697" s="384"/>
      <c r="I697" s="384"/>
      <c r="J697" s="384"/>
      <c r="K697" s="384"/>
      <c r="L697" s="384"/>
      <c r="M697" s="384"/>
      <c r="N697" s="384"/>
      <c r="O697" s="384"/>
      <c r="P697" s="384"/>
      <c r="Q697" s="384"/>
      <c r="R697" s="384"/>
      <c r="S697" s="384"/>
      <c r="T697" s="384"/>
      <c r="U697" s="384"/>
      <c r="V697" s="384"/>
      <c r="W697" s="384"/>
      <c r="X697" s="384"/>
      <c r="Y697" s="384"/>
      <c r="Z697" s="384"/>
      <c r="AA697" s="384"/>
    </row>
    <row r="698" spans="1:27" x14ac:dyDescent="0.2">
      <c r="A698" s="384"/>
      <c r="B698" s="384"/>
      <c r="C698" s="384"/>
      <c r="D698" s="384"/>
      <c r="E698" s="384"/>
      <c r="F698" s="384"/>
      <c r="G698" s="384"/>
      <c r="H698" s="384"/>
      <c r="I698" s="384"/>
      <c r="J698" s="384"/>
      <c r="K698" s="384"/>
      <c r="L698" s="384"/>
      <c r="M698" s="384"/>
      <c r="N698" s="384"/>
      <c r="O698" s="384"/>
      <c r="P698" s="384"/>
      <c r="Q698" s="384"/>
      <c r="R698" s="384"/>
      <c r="S698" s="384"/>
      <c r="T698" s="384"/>
      <c r="U698" s="384"/>
      <c r="V698" s="384"/>
      <c r="W698" s="384"/>
      <c r="X698" s="384"/>
      <c r="Y698" s="384"/>
      <c r="Z698" s="384"/>
      <c r="AA698" s="384"/>
    </row>
    <row r="699" spans="1:27" x14ac:dyDescent="0.2">
      <c r="A699" s="384"/>
      <c r="B699" s="384"/>
      <c r="C699" s="384"/>
      <c r="D699" s="384"/>
      <c r="E699" s="384"/>
      <c r="F699" s="384"/>
      <c r="G699" s="384"/>
      <c r="H699" s="384"/>
      <c r="I699" s="384"/>
      <c r="J699" s="384"/>
      <c r="K699" s="384"/>
      <c r="L699" s="384"/>
      <c r="M699" s="384"/>
      <c r="N699" s="384"/>
      <c r="O699" s="384"/>
      <c r="P699" s="384"/>
      <c r="Q699" s="384"/>
      <c r="R699" s="384"/>
      <c r="S699" s="384"/>
      <c r="T699" s="384"/>
      <c r="U699" s="384"/>
      <c r="V699" s="384"/>
      <c r="W699" s="384"/>
      <c r="X699" s="384"/>
      <c r="Y699" s="384"/>
      <c r="Z699" s="384"/>
      <c r="AA699" s="384"/>
    </row>
    <row r="700" spans="1:27" x14ac:dyDescent="0.2">
      <c r="A700" s="384"/>
      <c r="B700" s="384"/>
      <c r="C700" s="384"/>
      <c r="D700" s="384"/>
      <c r="E700" s="384"/>
      <c r="F700" s="384"/>
      <c r="G700" s="384"/>
      <c r="H700" s="384"/>
      <c r="I700" s="384"/>
      <c r="J700" s="384"/>
      <c r="K700" s="384"/>
      <c r="L700" s="384"/>
      <c r="M700" s="384"/>
      <c r="N700" s="384"/>
      <c r="O700" s="384"/>
      <c r="P700" s="384"/>
      <c r="Q700" s="384"/>
      <c r="R700" s="384"/>
      <c r="S700" s="384"/>
      <c r="T700" s="384"/>
      <c r="U700" s="384"/>
      <c r="V700" s="384"/>
      <c r="W700" s="384"/>
      <c r="X700" s="384"/>
      <c r="Y700" s="384"/>
      <c r="Z700" s="384"/>
      <c r="AA700" s="384"/>
    </row>
    <row r="701" spans="1:27" x14ac:dyDescent="0.2">
      <c r="A701" s="384"/>
      <c r="B701" s="384"/>
      <c r="C701" s="384"/>
      <c r="D701" s="384"/>
      <c r="E701" s="384"/>
      <c r="F701" s="384"/>
      <c r="G701" s="384"/>
      <c r="H701" s="384"/>
      <c r="I701" s="384"/>
      <c r="J701" s="384"/>
      <c r="K701" s="384"/>
      <c r="L701" s="384"/>
      <c r="M701" s="384"/>
      <c r="N701" s="384"/>
      <c r="O701" s="384"/>
      <c r="P701" s="384"/>
      <c r="Q701" s="384"/>
      <c r="R701" s="384"/>
      <c r="S701" s="384"/>
      <c r="T701" s="384"/>
      <c r="U701" s="384"/>
      <c r="V701" s="384"/>
      <c r="W701" s="384"/>
      <c r="X701" s="384"/>
      <c r="Y701" s="384"/>
      <c r="Z701" s="384"/>
      <c r="AA701" s="384"/>
    </row>
    <row r="702" spans="1:27" x14ac:dyDescent="0.2">
      <c r="A702" s="384"/>
      <c r="B702" s="384"/>
      <c r="C702" s="384"/>
      <c r="D702" s="384"/>
      <c r="E702" s="384"/>
      <c r="F702" s="384"/>
      <c r="G702" s="384"/>
      <c r="H702" s="384"/>
      <c r="I702" s="384"/>
      <c r="J702" s="384"/>
      <c r="K702" s="384"/>
      <c r="L702" s="384"/>
      <c r="M702" s="384"/>
      <c r="N702" s="384"/>
      <c r="O702" s="384"/>
      <c r="P702" s="384"/>
      <c r="Q702" s="384"/>
      <c r="R702" s="384"/>
      <c r="S702" s="384"/>
      <c r="T702" s="384"/>
      <c r="U702" s="384"/>
      <c r="V702" s="384"/>
      <c r="W702" s="384"/>
      <c r="X702" s="384"/>
      <c r="Y702" s="384"/>
      <c r="Z702" s="384"/>
      <c r="AA702" s="384"/>
    </row>
    <row r="703" spans="1:27" x14ac:dyDescent="0.2">
      <c r="A703" s="384"/>
      <c r="B703" s="384"/>
      <c r="C703" s="384"/>
      <c r="D703" s="384"/>
      <c r="E703" s="384"/>
      <c r="F703" s="384"/>
      <c r="G703" s="384"/>
      <c r="H703" s="384"/>
      <c r="I703" s="384"/>
      <c r="J703" s="384"/>
      <c r="K703" s="384"/>
      <c r="L703" s="384"/>
      <c r="M703" s="384"/>
      <c r="N703" s="384"/>
      <c r="O703" s="384"/>
      <c r="P703" s="384"/>
      <c r="Q703" s="384"/>
      <c r="R703" s="384"/>
      <c r="S703" s="384"/>
      <c r="T703" s="384"/>
      <c r="U703" s="384"/>
      <c r="V703" s="384"/>
      <c r="W703" s="384"/>
      <c r="X703" s="384"/>
      <c r="Y703" s="384"/>
      <c r="Z703" s="384"/>
      <c r="AA703" s="384"/>
    </row>
    <row r="704" spans="1:27" x14ac:dyDescent="0.2">
      <c r="A704" s="384"/>
      <c r="B704" s="384"/>
      <c r="C704" s="384"/>
      <c r="D704" s="384"/>
      <c r="E704" s="384"/>
      <c r="F704" s="384"/>
      <c r="G704" s="384"/>
      <c r="H704" s="384"/>
      <c r="I704" s="384"/>
      <c r="J704" s="384"/>
      <c r="K704" s="384"/>
      <c r="L704" s="384"/>
      <c r="M704" s="384"/>
      <c r="N704" s="384"/>
      <c r="O704" s="384"/>
      <c r="P704" s="384"/>
      <c r="Q704" s="384"/>
      <c r="R704" s="384"/>
      <c r="S704" s="384"/>
      <c r="T704" s="384"/>
      <c r="U704" s="384"/>
      <c r="V704" s="384"/>
      <c r="W704" s="384"/>
      <c r="X704" s="384"/>
      <c r="Y704" s="384"/>
      <c r="Z704" s="384"/>
      <c r="AA704" s="384"/>
    </row>
    <row r="705" spans="1:27" x14ac:dyDescent="0.2">
      <c r="A705" s="384"/>
      <c r="B705" s="384"/>
      <c r="C705" s="384"/>
      <c r="D705" s="384"/>
      <c r="E705" s="384"/>
      <c r="F705" s="384"/>
      <c r="G705" s="384"/>
      <c r="H705" s="384"/>
      <c r="I705" s="384"/>
      <c r="J705" s="384"/>
      <c r="K705" s="384"/>
      <c r="L705" s="384"/>
      <c r="M705" s="384"/>
      <c r="N705" s="384"/>
      <c r="O705" s="384"/>
      <c r="P705" s="384"/>
      <c r="Q705" s="384"/>
      <c r="R705" s="384"/>
      <c r="S705" s="384"/>
      <c r="T705" s="384"/>
      <c r="U705" s="384"/>
      <c r="V705" s="384"/>
      <c r="W705" s="384"/>
      <c r="X705" s="384"/>
      <c r="Y705" s="384"/>
      <c r="Z705" s="384"/>
      <c r="AA705" s="384"/>
    </row>
    <row r="706" spans="1:27" x14ac:dyDescent="0.2">
      <c r="A706" s="384"/>
      <c r="B706" s="384"/>
      <c r="C706" s="384"/>
      <c r="D706" s="384"/>
      <c r="E706" s="384"/>
      <c r="F706" s="384"/>
      <c r="G706" s="384"/>
      <c r="H706" s="384"/>
      <c r="I706" s="384"/>
      <c r="J706" s="384"/>
      <c r="K706" s="384"/>
      <c r="L706" s="384"/>
      <c r="M706" s="384"/>
      <c r="N706" s="384"/>
      <c r="O706" s="384"/>
      <c r="P706" s="384"/>
      <c r="Q706" s="384"/>
      <c r="R706" s="384"/>
      <c r="S706" s="384"/>
      <c r="T706" s="384"/>
      <c r="U706" s="384"/>
      <c r="V706" s="384"/>
      <c r="W706" s="384"/>
      <c r="X706" s="384"/>
      <c r="Y706" s="384"/>
      <c r="Z706" s="384"/>
      <c r="AA706" s="384"/>
    </row>
    <row r="707" spans="1:27" x14ac:dyDescent="0.2">
      <c r="A707" s="384"/>
      <c r="B707" s="384"/>
      <c r="C707" s="384"/>
      <c r="D707" s="384"/>
      <c r="E707" s="384"/>
      <c r="F707" s="384"/>
      <c r="G707" s="384"/>
      <c r="H707" s="384"/>
      <c r="I707" s="384"/>
      <c r="J707" s="384"/>
      <c r="K707" s="384"/>
      <c r="L707" s="384"/>
      <c r="M707" s="384"/>
      <c r="N707" s="384"/>
      <c r="O707" s="384"/>
      <c r="P707" s="384"/>
      <c r="Q707" s="384"/>
      <c r="R707" s="384"/>
      <c r="S707" s="384"/>
      <c r="T707" s="384"/>
      <c r="U707" s="384"/>
      <c r="V707" s="384"/>
      <c r="W707" s="384"/>
      <c r="X707" s="384"/>
      <c r="Y707" s="384"/>
      <c r="Z707" s="384"/>
      <c r="AA707" s="384"/>
    </row>
    <row r="708" spans="1:27" x14ac:dyDescent="0.2">
      <c r="A708" s="384"/>
      <c r="B708" s="384"/>
      <c r="C708" s="384"/>
      <c r="D708" s="384"/>
      <c r="E708" s="384"/>
      <c r="F708" s="384"/>
      <c r="G708" s="384"/>
      <c r="H708" s="384"/>
      <c r="I708" s="384"/>
      <c r="J708" s="384"/>
      <c r="K708" s="384"/>
      <c r="L708" s="384"/>
      <c r="M708" s="384"/>
      <c r="N708" s="384"/>
      <c r="O708" s="384"/>
      <c r="P708" s="384"/>
      <c r="Q708" s="384"/>
      <c r="R708" s="384"/>
      <c r="S708" s="384"/>
      <c r="T708" s="384"/>
      <c r="U708" s="384"/>
      <c r="V708" s="384"/>
      <c r="W708" s="384"/>
      <c r="X708" s="384"/>
      <c r="Y708" s="384"/>
      <c r="Z708" s="384"/>
      <c r="AA708" s="384"/>
    </row>
    <row r="709" spans="1:27" x14ac:dyDescent="0.2">
      <c r="A709" s="384"/>
      <c r="B709" s="384"/>
      <c r="C709" s="384"/>
      <c r="D709" s="384"/>
      <c r="E709" s="384"/>
      <c r="F709" s="384"/>
      <c r="G709" s="384"/>
      <c r="H709" s="384"/>
      <c r="I709" s="384"/>
      <c r="J709" s="384"/>
      <c r="K709" s="384"/>
      <c r="L709" s="384"/>
      <c r="M709" s="384"/>
      <c r="N709" s="384"/>
      <c r="O709" s="384"/>
      <c r="P709" s="384"/>
      <c r="Q709" s="384"/>
      <c r="R709" s="384"/>
      <c r="S709" s="384"/>
      <c r="T709" s="384"/>
      <c r="U709" s="384"/>
      <c r="V709" s="384"/>
      <c r="W709" s="384"/>
      <c r="X709" s="384"/>
      <c r="Y709" s="384"/>
      <c r="Z709" s="384"/>
      <c r="AA709" s="384"/>
    </row>
    <row r="710" spans="1:27" x14ac:dyDescent="0.2">
      <c r="A710" s="384"/>
      <c r="B710" s="384"/>
      <c r="C710" s="384"/>
      <c r="D710" s="384"/>
      <c r="E710" s="384"/>
      <c r="F710" s="384"/>
      <c r="G710" s="384"/>
      <c r="H710" s="384"/>
      <c r="I710" s="384"/>
      <c r="J710" s="384"/>
      <c r="K710" s="384"/>
      <c r="L710" s="384"/>
      <c r="M710" s="384"/>
      <c r="N710" s="384"/>
      <c r="O710" s="384"/>
      <c r="P710" s="384"/>
      <c r="Q710" s="384"/>
      <c r="R710" s="384"/>
      <c r="S710" s="384"/>
      <c r="T710" s="384"/>
      <c r="U710" s="384"/>
      <c r="V710" s="384"/>
      <c r="W710" s="384"/>
      <c r="X710" s="384"/>
      <c r="Y710" s="384"/>
      <c r="Z710" s="384"/>
      <c r="AA710" s="384"/>
    </row>
    <row r="711" spans="1:27" x14ac:dyDescent="0.2">
      <c r="A711" s="384"/>
      <c r="B711" s="384"/>
      <c r="C711" s="384"/>
      <c r="D711" s="384"/>
      <c r="E711" s="384"/>
      <c r="F711" s="384"/>
      <c r="G711" s="384"/>
      <c r="H711" s="384"/>
      <c r="I711" s="384"/>
      <c r="J711" s="384"/>
      <c r="K711" s="384"/>
      <c r="L711" s="384"/>
      <c r="M711" s="384"/>
      <c r="N711" s="384"/>
      <c r="O711" s="384"/>
      <c r="P711" s="384"/>
      <c r="Q711" s="384"/>
      <c r="R711" s="384"/>
      <c r="S711" s="384"/>
      <c r="T711" s="384"/>
      <c r="U711" s="384"/>
      <c r="V711" s="384"/>
      <c r="W711" s="384"/>
      <c r="X711" s="384"/>
      <c r="Y711" s="384"/>
      <c r="Z711" s="384"/>
      <c r="AA711" s="384"/>
    </row>
    <row r="712" spans="1:27" x14ac:dyDescent="0.2">
      <c r="A712" s="384"/>
      <c r="B712" s="384"/>
      <c r="C712" s="384"/>
      <c r="D712" s="384"/>
      <c r="E712" s="384"/>
      <c r="F712" s="384"/>
      <c r="G712" s="384"/>
      <c r="H712" s="384"/>
      <c r="I712" s="384"/>
      <c r="J712" s="384"/>
      <c r="K712" s="384"/>
      <c r="L712" s="384"/>
      <c r="M712" s="384"/>
      <c r="N712" s="384"/>
      <c r="O712" s="384"/>
      <c r="P712" s="384"/>
      <c r="Q712" s="384"/>
      <c r="R712" s="384"/>
      <c r="S712" s="384"/>
      <c r="T712" s="384"/>
      <c r="U712" s="384"/>
      <c r="V712" s="384"/>
      <c r="W712" s="384"/>
      <c r="X712" s="384"/>
      <c r="Y712" s="384"/>
      <c r="Z712" s="384"/>
      <c r="AA712" s="384"/>
    </row>
    <row r="713" spans="1:27" x14ac:dyDescent="0.2">
      <c r="A713" s="384"/>
      <c r="B713" s="384"/>
      <c r="C713" s="384"/>
      <c r="D713" s="384"/>
      <c r="E713" s="384"/>
      <c r="F713" s="384"/>
      <c r="G713" s="384"/>
      <c r="H713" s="384"/>
      <c r="I713" s="384"/>
      <c r="J713" s="384"/>
      <c r="K713" s="384"/>
      <c r="L713" s="384"/>
      <c r="M713" s="384"/>
      <c r="N713" s="384"/>
      <c r="O713" s="384"/>
      <c r="P713" s="384"/>
      <c r="Q713" s="384"/>
      <c r="R713" s="384"/>
      <c r="S713" s="384"/>
      <c r="T713" s="384"/>
      <c r="U713" s="384"/>
      <c r="V713" s="384"/>
      <c r="W713" s="384"/>
      <c r="X713" s="384"/>
      <c r="Y713" s="384"/>
      <c r="Z713" s="384"/>
      <c r="AA713" s="384"/>
    </row>
    <row r="714" spans="1:27" x14ac:dyDescent="0.2">
      <c r="A714" s="384"/>
      <c r="B714" s="384"/>
      <c r="C714" s="384"/>
      <c r="D714" s="384"/>
      <c r="E714" s="384"/>
      <c r="F714" s="384"/>
      <c r="G714" s="384"/>
      <c r="H714" s="384"/>
      <c r="I714" s="384"/>
      <c r="J714" s="384"/>
      <c r="K714" s="384"/>
      <c r="L714" s="384"/>
      <c r="M714" s="384"/>
      <c r="N714" s="384"/>
      <c r="O714" s="384"/>
      <c r="P714" s="384"/>
      <c r="Q714" s="384"/>
      <c r="R714" s="384"/>
      <c r="S714" s="384"/>
      <c r="T714" s="384"/>
      <c r="U714" s="384"/>
      <c r="V714" s="384"/>
      <c r="W714" s="384"/>
      <c r="X714" s="384"/>
      <c r="Y714" s="384"/>
      <c r="Z714" s="384"/>
      <c r="AA714" s="384"/>
    </row>
    <row r="715" spans="1:27" x14ac:dyDescent="0.2">
      <c r="A715" s="384"/>
      <c r="B715" s="384"/>
      <c r="C715" s="384"/>
      <c r="D715" s="384"/>
      <c r="E715" s="384"/>
      <c r="F715" s="384"/>
      <c r="G715" s="384"/>
      <c r="H715" s="384"/>
      <c r="I715" s="384"/>
      <c r="J715" s="384"/>
      <c r="K715" s="384"/>
      <c r="L715" s="384"/>
      <c r="M715" s="384"/>
      <c r="N715" s="384"/>
      <c r="O715" s="384"/>
      <c r="P715" s="384"/>
      <c r="Q715" s="384"/>
      <c r="R715" s="384"/>
      <c r="S715" s="384"/>
      <c r="T715" s="384"/>
      <c r="U715" s="384"/>
      <c r="V715" s="384"/>
      <c r="W715" s="384"/>
      <c r="X715" s="384"/>
      <c r="Y715" s="384"/>
      <c r="Z715" s="384"/>
      <c r="AA715" s="384"/>
    </row>
    <row r="716" spans="1:27" x14ac:dyDescent="0.2">
      <c r="A716" s="384"/>
      <c r="B716" s="384"/>
      <c r="C716" s="384"/>
      <c r="D716" s="384"/>
      <c r="E716" s="384"/>
      <c r="F716" s="384"/>
      <c r="G716" s="384"/>
      <c r="H716" s="384"/>
      <c r="I716" s="384"/>
      <c r="J716" s="384"/>
      <c r="K716" s="384"/>
      <c r="L716" s="384"/>
      <c r="M716" s="384"/>
      <c r="N716" s="384"/>
      <c r="O716" s="384"/>
      <c r="P716" s="384"/>
      <c r="Q716" s="384"/>
      <c r="R716" s="384"/>
      <c r="S716" s="384"/>
      <c r="T716" s="384"/>
      <c r="U716" s="384"/>
      <c r="V716" s="384"/>
      <c r="W716" s="384"/>
      <c r="X716" s="384"/>
      <c r="Y716" s="384"/>
      <c r="Z716" s="384"/>
      <c r="AA716" s="384"/>
    </row>
    <row r="717" spans="1:27" x14ac:dyDescent="0.2">
      <c r="A717" s="384"/>
      <c r="B717" s="384"/>
      <c r="C717" s="384"/>
      <c r="D717" s="384"/>
      <c r="E717" s="384"/>
      <c r="F717" s="384"/>
      <c r="G717" s="384"/>
      <c r="H717" s="384"/>
      <c r="I717" s="384"/>
      <c r="J717" s="384"/>
      <c r="K717" s="384"/>
      <c r="L717" s="384"/>
      <c r="M717" s="384"/>
      <c r="N717" s="384"/>
      <c r="O717" s="384"/>
      <c r="P717" s="384"/>
      <c r="Q717" s="384"/>
      <c r="R717" s="384"/>
      <c r="S717" s="384"/>
      <c r="T717" s="384"/>
      <c r="U717" s="384"/>
      <c r="V717" s="384"/>
      <c r="W717" s="384"/>
      <c r="X717" s="384"/>
      <c r="Y717" s="384"/>
      <c r="Z717" s="384"/>
      <c r="AA717" s="384"/>
    </row>
    <row r="718" spans="1:27" x14ac:dyDescent="0.2">
      <c r="A718" s="384"/>
      <c r="B718" s="384"/>
      <c r="C718" s="384"/>
      <c r="D718" s="384"/>
      <c r="E718" s="384"/>
      <c r="F718" s="384"/>
      <c r="G718" s="384"/>
      <c r="H718" s="384"/>
      <c r="I718" s="384"/>
      <c r="J718" s="384"/>
      <c r="K718" s="384"/>
      <c r="L718" s="384"/>
      <c r="M718" s="384"/>
      <c r="N718" s="384"/>
      <c r="O718" s="384"/>
      <c r="P718" s="384"/>
      <c r="Q718" s="384"/>
      <c r="R718" s="384"/>
      <c r="S718" s="384"/>
      <c r="T718" s="384"/>
      <c r="U718" s="384"/>
      <c r="V718" s="384"/>
      <c r="W718" s="384"/>
      <c r="X718" s="384"/>
      <c r="Y718" s="384"/>
      <c r="Z718" s="384"/>
      <c r="AA718" s="384"/>
    </row>
    <row r="719" spans="1:27" x14ac:dyDescent="0.2">
      <c r="A719" s="384"/>
      <c r="B719" s="384"/>
      <c r="C719" s="384"/>
      <c r="D719" s="384"/>
      <c r="E719" s="384"/>
      <c r="F719" s="384"/>
      <c r="G719" s="384"/>
      <c r="H719" s="384"/>
      <c r="I719" s="384"/>
      <c r="J719" s="384"/>
      <c r="K719" s="384"/>
      <c r="L719" s="384"/>
      <c r="M719" s="384"/>
      <c r="N719" s="384"/>
      <c r="O719" s="384"/>
      <c r="P719" s="384"/>
      <c r="Q719" s="384"/>
      <c r="R719" s="384"/>
      <c r="S719" s="384"/>
      <c r="T719" s="384"/>
      <c r="U719" s="384"/>
      <c r="V719" s="384"/>
      <c r="W719" s="384"/>
      <c r="X719" s="384"/>
      <c r="Y719" s="384"/>
      <c r="Z719" s="384"/>
      <c r="AA719" s="384"/>
    </row>
    <row r="720" spans="1:27" x14ac:dyDescent="0.2">
      <c r="A720" s="384"/>
      <c r="B720" s="384"/>
      <c r="C720" s="384"/>
      <c r="D720" s="384"/>
      <c r="E720" s="384"/>
      <c r="F720" s="384"/>
      <c r="G720" s="384"/>
      <c r="H720" s="384"/>
      <c r="I720" s="384"/>
      <c r="J720" s="384"/>
      <c r="K720" s="384"/>
      <c r="L720" s="384"/>
      <c r="M720" s="384"/>
      <c r="N720" s="384"/>
      <c r="O720" s="384"/>
      <c r="P720" s="384"/>
      <c r="Q720" s="384"/>
      <c r="R720" s="384"/>
      <c r="S720" s="384"/>
      <c r="T720" s="384"/>
      <c r="U720" s="384"/>
      <c r="V720" s="384"/>
      <c r="W720" s="384"/>
      <c r="X720" s="384"/>
      <c r="Y720" s="384"/>
      <c r="Z720" s="384"/>
      <c r="AA720" s="384"/>
    </row>
    <row r="721" spans="1:27" x14ac:dyDescent="0.2">
      <c r="A721" s="384"/>
      <c r="B721" s="384"/>
      <c r="C721" s="384"/>
      <c r="D721" s="384"/>
      <c r="E721" s="384"/>
      <c r="F721" s="384"/>
      <c r="G721" s="384"/>
      <c r="H721" s="384"/>
      <c r="I721" s="384"/>
      <c r="J721" s="384"/>
      <c r="K721" s="384"/>
      <c r="L721" s="384"/>
      <c r="M721" s="384"/>
      <c r="N721" s="384"/>
      <c r="O721" s="384"/>
      <c r="P721" s="384"/>
      <c r="Q721" s="384"/>
      <c r="R721" s="384"/>
      <c r="S721" s="384"/>
      <c r="T721" s="384"/>
      <c r="U721" s="384"/>
      <c r="V721" s="384"/>
      <c r="W721" s="384"/>
      <c r="X721" s="384"/>
      <c r="Y721" s="384"/>
      <c r="Z721" s="384"/>
      <c r="AA721" s="384"/>
    </row>
    <row r="722" spans="1:27" x14ac:dyDescent="0.2">
      <c r="A722" s="384"/>
      <c r="B722" s="384"/>
      <c r="C722" s="384"/>
      <c r="D722" s="384"/>
      <c r="E722" s="384"/>
      <c r="F722" s="384"/>
      <c r="G722" s="384"/>
      <c r="H722" s="384"/>
      <c r="I722" s="384"/>
      <c r="J722" s="384"/>
      <c r="K722" s="384"/>
      <c r="L722" s="384"/>
      <c r="M722" s="384"/>
      <c r="N722" s="384"/>
      <c r="O722" s="384"/>
      <c r="P722" s="384"/>
      <c r="Q722" s="384"/>
      <c r="R722" s="384"/>
      <c r="S722" s="384"/>
      <c r="T722" s="384"/>
      <c r="U722" s="384"/>
      <c r="V722" s="384"/>
      <c r="W722" s="384"/>
      <c r="X722" s="384"/>
      <c r="Y722" s="384"/>
      <c r="Z722" s="384"/>
      <c r="AA722" s="384"/>
    </row>
    <row r="723" spans="1:27" x14ac:dyDescent="0.2">
      <c r="A723" s="384"/>
      <c r="B723" s="384"/>
      <c r="C723" s="384"/>
      <c r="D723" s="384"/>
      <c r="E723" s="384"/>
      <c r="F723" s="384"/>
      <c r="G723" s="384"/>
      <c r="H723" s="384"/>
      <c r="I723" s="384"/>
      <c r="J723" s="384"/>
      <c r="K723" s="384"/>
      <c r="L723" s="384"/>
      <c r="M723" s="384"/>
      <c r="N723" s="384"/>
      <c r="O723" s="384"/>
      <c r="P723" s="384"/>
      <c r="Q723" s="384"/>
      <c r="R723" s="384"/>
      <c r="S723" s="384"/>
      <c r="T723" s="384"/>
      <c r="U723" s="384"/>
      <c r="V723" s="384"/>
      <c r="W723" s="384"/>
      <c r="X723" s="384"/>
      <c r="Y723" s="384"/>
      <c r="Z723" s="384"/>
      <c r="AA723" s="384"/>
    </row>
    <row r="724" spans="1:27" x14ac:dyDescent="0.2">
      <c r="A724" s="384"/>
      <c r="B724" s="384"/>
      <c r="C724" s="384"/>
      <c r="D724" s="384"/>
      <c r="E724" s="384"/>
      <c r="F724" s="384"/>
      <c r="G724" s="384"/>
      <c r="H724" s="384"/>
      <c r="I724" s="384"/>
      <c r="J724" s="384"/>
      <c r="K724" s="384"/>
      <c r="L724" s="384"/>
      <c r="M724" s="384"/>
      <c r="N724" s="384"/>
      <c r="O724" s="384"/>
      <c r="P724" s="384"/>
      <c r="Q724" s="384"/>
      <c r="R724" s="384"/>
      <c r="S724" s="384"/>
      <c r="T724" s="384"/>
      <c r="U724" s="384"/>
      <c r="V724" s="384"/>
      <c r="W724" s="384"/>
      <c r="X724" s="384"/>
      <c r="Y724" s="384"/>
      <c r="Z724" s="384"/>
      <c r="AA724" s="384"/>
    </row>
    <row r="725" spans="1:27" x14ac:dyDescent="0.2">
      <c r="A725" s="384"/>
      <c r="B725" s="384"/>
      <c r="C725" s="384"/>
      <c r="D725" s="384"/>
      <c r="E725" s="384"/>
      <c r="F725" s="384"/>
      <c r="G725" s="384"/>
      <c r="H725" s="384"/>
      <c r="I725" s="384"/>
      <c r="J725" s="384"/>
      <c r="K725" s="384"/>
      <c r="L725" s="384"/>
      <c r="M725" s="384"/>
      <c r="N725" s="384"/>
      <c r="O725" s="384"/>
      <c r="P725" s="384"/>
      <c r="Q725" s="384"/>
      <c r="R725" s="384"/>
      <c r="S725" s="384"/>
      <c r="T725" s="384"/>
      <c r="U725" s="384"/>
      <c r="V725" s="384"/>
      <c r="W725" s="384"/>
      <c r="X725" s="384"/>
      <c r="Y725" s="384"/>
      <c r="Z725" s="384"/>
      <c r="AA725" s="384"/>
    </row>
    <row r="726" spans="1:27" x14ac:dyDescent="0.2">
      <c r="A726" s="384"/>
      <c r="B726" s="384"/>
      <c r="C726" s="384"/>
      <c r="D726" s="384"/>
      <c r="E726" s="384"/>
      <c r="F726" s="384"/>
      <c r="G726" s="384"/>
      <c r="H726" s="384"/>
      <c r="I726" s="384"/>
      <c r="J726" s="384"/>
      <c r="K726" s="384"/>
      <c r="L726" s="384"/>
      <c r="M726" s="384"/>
      <c r="N726" s="384"/>
      <c r="O726" s="384"/>
      <c r="P726" s="384"/>
      <c r="Q726" s="384"/>
      <c r="R726" s="384"/>
      <c r="S726" s="384"/>
      <c r="T726" s="384"/>
      <c r="U726" s="384"/>
      <c r="V726" s="384"/>
      <c r="W726" s="384"/>
      <c r="X726" s="384"/>
      <c r="Y726" s="384"/>
      <c r="Z726" s="384"/>
      <c r="AA726" s="384"/>
    </row>
    <row r="727" spans="1:27" x14ac:dyDescent="0.2">
      <c r="A727" s="384"/>
      <c r="B727" s="384"/>
      <c r="C727" s="384"/>
      <c r="D727" s="384"/>
      <c r="E727" s="384"/>
      <c r="F727" s="384"/>
      <c r="G727" s="384"/>
      <c r="H727" s="384"/>
      <c r="I727" s="384"/>
      <c r="J727" s="384"/>
      <c r="K727" s="384"/>
      <c r="L727" s="384"/>
      <c r="M727" s="384"/>
      <c r="N727" s="384"/>
      <c r="O727" s="384"/>
      <c r="P727" s="384"/>
      <c r="Q727" s="384"/>
      <c r="R727" s="384"/>
      <c r="S727" s="384"/>
      <c r="T727" s="384"/>
      <c r="U727" s="384"/>
      <c r="V727" s="384"/>
      <c r="W727" s="384"/>
      <c r="X727" s="384"/>
      <c r="Y727" s="384"/>
      <c r="Z727" s="384"/>
      <c r="AA727" s="384"/>
    </row>
    <row r="728" spans="1:27" x14ac:dyDescent="0.2">
      <c r="A728" s="384"/>
      <c r="B728" s="384"/>
      <c r="C728" s="384"/>
      <c r="D728" s="384"/>
      <c r="E728" s="384"/>
      <c r="F728" s="384"/>
      <c r="G728" s="384"/>
      <c r="H728" s="384"/>
      <c r="I728" s="384"/>
      <c r="J728" s="384"/>
      <c r="K728" s="384"/>
      <c r="L728" s="384"/>
      <c r="M728" s="384"/>
      <c r="N728" s="384"/>
      <c r="O728" s="384"/>
      <c r="P728" s="384"/>
      <c r="Q728" s="384"/>
      <c r="R728" s="384"/>
      <c r="S728" s="384"/>
      <c r="T728" s="384"/>
      <c r="U728" s="384"/>
      <c r="V728" s="384"/>
      <c r="W728" s="384"/>
      <c r="X728" s="384"/>
      <c r="Y728" s="384"/>
      <c r="Z728" s="384"/>
      <c r="AA728" s="384"/>
    </row>
    <row r="729" spans="1:27" x14ac:dyDescent="0.2">
      <c r="A729" s="384"/>
      <c r="B729" s="384"/>
      <c r="C729" s="384"/>
      <c r="D729" s="384"/>
      <c r="E729" s="384"/>
      <c r="F729" s="384"/>
      <c r="G729" s="384"/>
      <c r="H729" s="384"/>
      <c r="I729" s="384"/>
      <c r="J729" s="384"/>
      <c r="K729" s="384"/>
      <c r="L729" s="384"/>
      <c r="M729" s="384"/>
      <c r="N729" s="384"/>
      <c r="O729" s="384"/>
      <c r="P729" s="384"/>
      <c r="Q729" s="384"/>
      <c r="R729" s="384"/>
      <c r="S729" s="384"/>
      <c r="T729" s="384"/>
      <c r="U729" s="384"/>
      <c r="V729" s="384"/>
      <c r="W729" s="384"/>
      <c r="X729" s="384"/>
      <c r="Y729" s="384"/>
      <c r="Z729" s="384"/>
      <c r="AA729" s="384"/>
    </row>
    <row r="730" spans="1:27" x14ac:dyDescent="0.2">
      <c r="A730" s="384"/>
      <c r="B730" s="384"/>
      <c r="C730" s="384"/>
      <c r="D730" s="384"/>
      <c r="E730" s="384"/>
      <c r="F730" s="384"/>
      <c r="G730" s="384"/>
      <c r="H730" s="384"/>
      <c r="I730" s="384"/>
      <c r="J730" s="384"/>
      <c r="K730" s="384"/>
      <c r="L730" s="384"/>
      <c r="M730" s="384"/>
      <c r="N730" s="384"/>
      <c r="O730" s="384"/>
      <c r="P730" s="384"/>
      <c r="Q730" s="384"/>
      <c r="R730" s="384"/>
      <c r="S730" s="384"/>
      <c r="T730" s="384"/>
      <c r="U730" s="384"/>
      <c r="V730" s="384"/>
      <c r="W730" s="384"/>
      <c r="X730" s="384"/>
      <c r="Y730" s="384"/>
      <c r="Z730" s="384"/>
      <c r="AA730" s="384"/>
    </row>
    <row r="731" spans="1:27" x14ac:dyDescent="0.2">
      <c r="A731" s="384"/>
      <c r="B731" s="384"/>
      <c r="C731" s="384"/>
      <c r="D731" s="384"/>
      <c r="E731" s="384"/>
      <c r="F731" s="384"/>
      <c r="G731" s="384"/>
      <c r="H731" s="384"/>
      <c r="I731" s="384"/>
      <c r="J731" s="384"/>
      <c r="K731" s="384"/>
      <c r="L731" s="384"/>
      <c r="M731" s="384"/>
      <c r="N731" s="384"/>
      <c r="O731" s="384"/>
      <c r="P731" s="384"/>
      <c r="Q731" s="384"/>
      <c r="R731" s="384"/>
      <c r="S731" s="384"/>
      <c r="T731" s="384"/>
      <c r="U731" s="384"/>
      <c r="V731" s="384"/>
      <c r="W731" s="384"/>
      <c r="X731" s="384"/>
      <c r="Y731" s="384"/>
      <c r="Z731" s="384"/>
      <c r="AA731" s="384"/>
    </row>
    <row r="732" spans="1:27" x14ac:dyDescent="0.2">
      <c r="A732" s="384"/>
      <c r="B732" s="384"/>
      <c r="C732" s="384"/>
      <c r="D732" s="384"/>
      <c r="E732" s="384"/>
      <c r="F732" s="384"/>
      <c r="G732" s="384"/>
      <c r="H732" s="384"/>
      <c r="I732" s="384"/>
      <c r="J732" s="384"/>
      <c r="K732" s="384"/>
      <c r="L732" s="384"/>
      <c r="M732" s="384"/>
      <c r="N732" s="384"/>
      <c r="O732" s="384"/>
      <c r="P732" s="384"/>
      <c r="Q732" s="384"/>
      <c r="R732" s="384"/>
      <c r="S732" s="384"/>
      <c r="T732" s="384"/>
      <c r="U732" s="384"/>
      <c r="V732" s="384"/>
      <c r="W732" s="384"/>
      <c r="X732" s="384"/>
      <c r="Y732" s="384"/>
      <c r="Z732" s="384"/>
      <c r="AA732" s="384"/>
    </row>
    <row r="733" spans="1:27" x14ac:dyDescent="0.2">
      <c r="A733" s="384"/>
      <c r="B733" s="384"/>
      <c r="C733" s="384"/>
      <c r="D733" s="384"/>
      <c r="E733" s="384"/>
      <c r="F733" s="384"/>
      <c r="G733" s="384"/>
      <c r="H733" s="384"/>
      <c r="I733" s="384"/>
      <c r="J733" s="384"/>
      <c r="K733" s="384"/>
      <c r="L733" s="384"/>
      <c r="M733" s="384"/>
      <c r="N733" s="384"/>
      <c r="O733" s="384"/>
      <c r="P733" s="384"/>
      <c r="Q733" s="384"/>
      <c r="R733" s="384"/>
      <c r="S733" s="384"/>
      <c r="T733" s="384"/>
      <c r="U733" s="384"/>
      <c r="V733" s="384"/>
      <c r="W733" s="384"/>
      <c r="X733" s="384"/>
      <c r="Y733" s="384"/>
      <c r="Z733" s="384"/>
      <c r="AA733" s="384"/>
    </row>
    <row r="734" spans="1:27" x14ac:dyDescent="0.2">
      <c r="A734" s="384"/>
      <c r="B734" s="384"/>
      <c r="C734" s="384"/>
      <c r="D734" s="384"/>
      <c r="E734" s="384"/>
      <c r="F734" s="384"/>
      <c r="G734" s="384"/>
      <c r="H734" s="384"/>
      <c r="I734" s="384"/>
      <c r="J734" s="384"/>
      <c r="K734" s="384"/>
      <c r="L734" s="384"/>
      <c r="M734" s="384"/>
      <c r="N734" s="384"/>
      <c r="O734" s="384"/>
      <c r="P734" s="384"/>
      <c r="Q734" s="384"/>
      <c r="R734" s="384"/>
      <c r="S734" s="384"/>
      <c r="T734" s="384"/>
      <c r="U734" s="384"/>
      <c r="V734" s="384"/>
      <c r="W734" s="384"/>
      <c r="X734" s="384"/>
      <c r="Y734" s="384"/>
      <c r="Z734" s="384"/>
      <c r="AA734" s="384"/>
    </row>
    <row r="735" spans="1:27" x14ac:dyDescent="0.2">
      <c r="A735" s="384"/>
      <c r="B735" s="384"/>
      <c r="C735" s="384"/>
      <c r="D735" s="384"/>
      <c r="E735" s="384"/>
      <c r="F735" s="384"/>
      <c r="G735" s="384"/>
      <c r="H735" s="384"/>
      <c r="I735" s="384"/>
      <c r="J735" s="384"/>
      <c r="K735" s="384"/>
      <c r="L735" s="384"/>
      <c r="M735" s="384"/>
      <c r="N735" s="384"/>
      <c r="O735" s="384"/>
      <c r="P735" s="384"/>
      <c r="Q735" s="384"/>
      <c r="R735" s="384"/>
      <c r="S735" s="384"/>
      <c r="T735" s="384"/>
      <c r="U735" s="384"/>
      <c r="V735" s="384"/>
      <c r="W735" s="384"/>
      <c r="X735" s="384"/>
      <c r="Y735" s="384"/>
      <c r="Z735" s="384"/>
      <c r="AA735" s="384"/>
    </row>
    <row r="736" spans="1:27" x14ac:dyDescent="0.2">
      <c r="A736" s="384"/>
      <c r="B736" s="384"/>
      <c r="C736" s="384"/>
      <c r="D736" s="384"/>
      <c r="E736" s="384"/>
      <c r="F736" s="384"/>
      <c r="G736" s="384"/>
      <c r="H736" s="384"/>
      <c r="I736" s="384"/>
      <c r="J736" s="384"/>
      <c r="K736" s="384"/>
      <c r="L736" s="384"/>
      <c r="M736" s="384"/>
      <c r="N736" s="384"/>
      <c r="O736" s="384"/>
      <c r="P736" s="384"/>
      <c r="Q736" s="384"/>
      <c r="R736" s="384"/>
      <c r="S736" s="384"/>
      <c r="T736" s="384"/>
      <c r="U736" s="384"/>
      <c r="V736" s="384"/>
      <c r="W736" s="384"/>
      <c r="X736" s="384"/>
      <c r="Y736" s="384"/>
      <c r="Z736" s="384"/>
      <c r="AA736" s="384"/>
    </row>
    <row r="737" spans="1:27" x14ac:dyDescent="0.2">
      <c r="A737" s="384"/>
      <c r="B737" s="384"/>
      <c r="C737" s="384"/>
      <c r="D737" s="384"/>
      <c r="E737" s="384"/>
      <c r="F737" s="384"/>
      <c r="G737" s="384"/>
      <c r="H737" s="384"/>
      <c r="I737" s="384"/>
      <c r="J737" s="384"/>
      <c r="K737" s="384"/>
      <c r="L737" s="384"/>
      <c r="M737" s="384"/>
      <c r="N737" s="384"/>
      <c r="O737" s="384"/>
      <c r="P737" s="384"/>
      <c r="Q737" s="384"/>
      <c r="R737" s="384"/>
      <c r="S737" s="384"/>
      <c r="T737" s="384"/>
      <c r="U737" s="384"/>
      <c r="V737" s="384"/>
      <c r="W737" s="384"/>
      <c r="X737" s="384"/>
      <c r="Y737" s="384"/>
      <c r="Z737" s="384"/>
      <c r="AA737" s="384"/>
    </row>
    <row r="738" spans="1:27" x14ac:dyDescent="0.2">
      <c r="A738" s="384"/>
      <c r="B738" s="384"/>
      <c r="C738" s="384"/>
      <c r="D738" s="384"/>
      <c r="E738" s="384"/>
      <c r="F738" s="384"/>
      <c r="G738" s="384"/>
      <c r="H738" s="384"/>
      <c r="I738" s="384"/>
      <c r="J738" s="384"/>
      <c r="K738" s="384"/>
      <c r="L738" s="384"/>
      <c r="M738" s="384"/>
      <c r="N738" s="384"/>
      <c r="O738" s="384"/>
      <c r="P738" s="384"/>
      <c r="Q738" s="384"/>
      <c r="R738" s="384"/>
      <c r="S738" s="384"/>
      <c r="T738" s="384"/>
      <c r="U738" s="384"/>
      <c r="V738" s="384"/>
      <c r="W738" s="384"/>
      <c r="X738" s="384"/>
      <c r="Y738" s="384"/>
      <c r="Z738" s="384"/>
      <c r="AA738" s="384"/>
    </row>
    <row r="739" spans="1:27" x14ac:dyDescent="0.2">
      <c r="A739" s="384"/>
      <c r="B739" s="384"/>
      <c r="C739" s="384"/>
      <c r="D739" s="384"/>
      <c r="E739" s="384"/>
      <c r="F739" s="384"/>
      <c r="G739" s="384"/>
      <c r="H739" s="384"/>
      <c r="I739" s="384"/>
      <c r="J739" s="384"/>
      <c r="K739" s="384"/>
      <c r="L739" s="384"/>
      <c r="M739" s="384"/>
      <c r="N739" s="384"/>
      <c r="O739" s="384"/>
      <c r="P739" s="384"/>
      <c r="Q739" s="384"/>
      <c r="R739" s="384"/>
      <c r="S739" s="384"/>
      <c r="T739" s="384"/>
      <c r="U739" s="384"/>
      <c r="V739" s="384"/>
      <c r="W739" s="384"/>
      <c r="X739" s="384"/>
      <c r="Y739" s="384"/>
      <c r="Z739" s="384"/>
      <c r="AA739" s="384"/>
    </row>
    <row r="740" spans="1:27" x14ac:dyDescent="0.2">
      <c r="A740" s="384"/>
      <c r="B740" s="384"/>
      <c r="C740" s="384"/>
      <c r="D740" s="384"/>
      <c r="E740" s="384"/>
      <c r="F740" s="384"/>
      <c r="G740" s="384"/>
      <c r="H740" s="384"/>
      <c r="I740" s="384"/>
      <c r="J740" s="384"/>
      <c r="K740" s="384"/>
      <c r="L740" s="384"/>
      <c r="M740" s="384"/>
      <c r="N740" s="384"/>
      <c r="O740" s="384"/>
      <c r="P740" s="384"/>
      <c r="Q740" s="384"/>
      <c r="R740" s="384"/>
      <c r="S740" s="384"/>
      <c r="T740" s="384"/>
      <c r="U740" s="384"/>
      <c r="V740" s="384"/>
      <c r="W740" s="384"/>
      <c r="X740" s="384"/>
      <c r="Y740" s="384"/>
      <c r="Z740" s="384"/>
      <c r="AA740" s="384"/>
    </row>
    <row r="741" spans="1:27" x14ac:dyDescent="0.2">
      <c r="A741" s="384"/>
      <c r="B741" s="384"/>
      <c r="C741" s="384"/>
      <c r="D741" s="384"/>
      <c r="E741" s="384"/>
      <c r="F741" s="384"/>
      <c r="G741" s="384"/>
      <c r="H741" s="384"/>
      <c r="I741" s="384"/>
      <c r="J741" s="384"/>
      <c r="K741" s="384"/>
      <c r="L741" s="384"/>
      <c r="M741" s="384"/>
      <c r="N741" s="384"/>
      <c r="O741" s="384"/>
      <c r="P741" s="384"/>
      <c r="Q741" s="384"/>
      <c r="R741" s="384"/>
      <c r="S741" s="384"/>
      <c r="T741" s="384"/>
      <c r="U741" s="384"/>
      <c r="V741" s="384"/>
      <c r="W741" s="384"/>
      <c r="X741" s="384"/>
      <c r="Y741" s="384"/>
      <c r="Z741" s="384"/>
      <c r="AA741" s="384"/>
    </row>
    <row r="742" spans="1:27" x14ac:dyDescent="0.2">
      <c r="A742" s="384"/>
      <c r="B742" s="384"/>
      <c r="C742" s="384"/>
      <c r="D742" s="384"/>
      <c r="E742" s="384"/>
      <c r="F742" s="384"/>
      <c r="G742" s="384"/>
      <c r="H742" s="384"/>
      <c r="I742" s="384"/>
      <c r="J742" s="384"/>
      <c r="K742" s="384"/>
      <c r="L742" s="384"/>
      <c r="M742" s="384"/>
      <c r="N742" s="384"/>
      <c r="O742" s="384"/>
      <c r="P742" s="384"/>
      <c r="Q742" s="384"/>
      <c r="R742" s="384"/>
      <c r="S742" s="384"/>
      <c r="T742" s="384"/>
      <c r="U742" s="384"/>
      <c r="V742" s="384"/>
      <c r="W742" s="384"/>
      <c r="X742" s="384"/>
      <c r="Y742" s="384"/>
      <c r="Z742" s="384"/>
      <c r="AA742" s="384"/>
    </row>
    <row r="743" spans="1:27" x14ac:dyDescent="0.2">
      <c r="A743" s="384"/>
      <c r="B743" s="384"/>
      <c r="C743" s="384"/>
      <c r="D743" s="384"/>
      <c r="E743" s="384"/>
      <c r="F743" s="384"/>
      <c r="G743" s="384"/>
      <c r="H743" s="384"/>
      <c r="I743" s="384"/>
      <c r="J743" s="384"/>
      <c r="K743" s="384"/>
      <c r="L743" s="384"/>
      <c r="M743" s="384"/>
      <c r="N743" s="384"/>
      <c r="O743" s="384"/>
      <c r="P743" s="384"/>
      <c r="Q743" s="384"/>
      <c r="R743" s="384"/>
      <c r="S743" s="384"/>
      <c r="T743" s="384"/>
      <c r="U743" s="384"/>
      <c r="V743" s="384"/>
      <c r="W743" s="384"/>
      <c r="X743" s="384"/>
      <c r="Y743" s="384"/>
      <c r="Z743" s="384"/>
      <c r="AA743" s="384"/>
    </row>
    <row r="744" spans="1:27" x14ac:dyDescent="0.2">
      <c r="A744" s="384"/>
      <c r="B744" s="384"/>
      <c r="C744" s="384"/>
      <c r="D744" s="384"/>
      <c r="E744" s="384"/>
      <c r="F744" s="384"/>
      <c r="G744" s="384"/>
      <c r="H744" s="384"/>
      <c r="I744" s="384"/>
      <c r="J744" s="384"/>
      <c r="K744" s="384"/>
      <c r="L744" s="384"/>
      <c r="M744" s="384"/>
      <c r="N744" s="384"/>
      <c r="O744" s="384"/>
      <c r="P744" s="384"/>
      <c r="Q744" s="384"/>
      <c r="R744" s="384"/>
      <c r="S744" s="384"/>
      <c r="T744" s="384"/>
      <c r="U744" s="384"/>
      <c r="V744" s="384"/>
      <c r="W744" s="384"/>
      <c r="X744" s="384"/>
      <c r="Y744" s="384"/>
      <c r="Z744" s="384"/>
      <c r="AA744" s="384"/>
    </row>
    <row r="745" spans="1:27" x14ac:dyDescent="0.2">
      <c r="A745" s="384"/>
      <c r="B745" s="384"/>
      <c r="C745" s="384"/>
      <c r="D745" s="384"/>
      <c r="E745" s="384"/>
      <c r="F745" s="384"/>
      <c r="G745" s="384"/>
      <c r="H745" s="384"/>
      <c r="I745" s="384"/>
      <c r="J745" s="384"/>
      <c r="K745" s="384"/>
      <c r="L745" s="384"/>
      <c r="M745" s="384"/>
      <c r="N745" s="384"/>
      <c r="O745" s="384"/>
      <c r="P745" s="384"/>
      <c r="Q745" s="384"/>
      <c r="R745" s="384"/>
      <c r="S745" s="384"/>
      <c r="T745" s="384"/>
      <c r="U745" s="384"/>
      <c r="V745" s="384"/>
      <c r="W745" s="384"/>
      <c r="X745" s="384"/>
      <c r="Y745" s="384"/>
      <c r="Z745" s="384"/>
      <c r="AA745" s="384"/>
    </row>
    <row r="746" spans="1:27" x14ac:dyDescent="0.2">
      <c r="A746" s="384"/>
      <c r="B746" s="384"/>
      <c r="C746" s="384"/>
      <c r="D746" s="384"/>
      <c r="E746" s="384"/>
      <c r="F746" s="384"/>
      <c r="G746" s="384"/>
      <c r="H746" s="384"/>
      <c r="I746" s="384"/>
      <c r="J746" s="384"/>
      <c r="K746" s="384"/>
      <c r="L746" s="384"/>
      <c r="M746" s="384"/>
      <c r="N746" s="384"/>
      <c r="O746" s="384"/>
      <c r="P746" s="384"/>
      <c r="Q746" s="384"/>
      <c r="R746" s="384"/>
      <c r="S746" s="384"/>
      <c r="T746" s="384"/>
      <c r="U746" s="384"/>
      <c r="V746" s="384"/>
      <c r="W746" s="384"/>
      <c r="X746" s="384"/>
      <c r="Y746" s="384"/>
      <c r="Z746" s="384"/>
      <c r="AA746" s="384"/>
    </row>
    <row r="747" spans="1:27" x14ac:dyDescent="0.2">
      <c r="A747" s="384"/>
      <c r="B747" s="384"/>
      <c r="C747" s="384"/>
      <c r="D747" s="384"/>
      <c r="E747" s="384"/>
      <c r="F747" s="384"/>
      <c r="G747" s="384"/>
      <c r="H747" s="384"/>
      <c r="I747" s="384"/>
      <c r="J747" s="384"/>
      <c r="K747" s="384"/>
      <c r="L747" s="384"/>
      <c r="M747" s="384"/>
      <c r="N747" s="384"/>
      <c r="O747" s="384"/>
      <c r="P747" s="384"/>
      <c r="Q747" s="384"/>
      <c r="R747" s="384"/>
      <c r="S747" s="384"/>
      <c r="T747" s="384"/>
      <c r="U747" s="384"/>
      <c r="V747" s="384"/>
      <c r="W747" s="384"/>
      <c r="X747" s="384"/>
      <c r="Y747" s="384"/>
      <c r="Z747" s="384"/>
      <c r="AA747" s="384"/>
    </row>
    <row r="748" spans="1:27" x14ac:dyDescent="0.2">
      <c r="A748" s="384"/>
      <c r="B748" s="384"/>
      <c r="C748" s="384"/>
      <c r="D748" s="384"/>
      <c r="E748" s="384"/>
      <c r="F748" s="384"/>
      <c r="G748" s="384"/>
      <c r="H748" s="384"/>
      <c r="I748" s="384"/>
      <c r="J748" s="384"/>
      <c r="K748" s="384"/>
      <c r="L748" s="384"/>
      <c r="M748" s="384"/>
      <c r="N748" s="384"/>
      <c r="O748" s="384"/>
      <c r="P748" s="384"/>
      <c r="Q748" s="384"/>
      <c r="R748" s="384"/>
      <c r="S748" s="384"/>
      <c r="T748" s="384"/>
      <c r="U748" s="384"/>
      <c r="V748" s="384"/>
      <c r="W748" s="384"/>
      <c r="X748" s="384"/>
      <c r="Y748" s="384"/>
      <c r="Z748" s="384"/>
      <c r="AA748" s="384"/>
    </row>
    <row r="749" spans="1:27" x14ac:dyDescent="0.2">
      <c r="A749" s="384"/>
      <c r="B749" s="384"/>
      <c r="C749" s="384"/>
      <c r="D749" s="384"/>
      <c r="E749" s="384"/>
      <c r="F749" s="384"/>
      <c r="G749" s="384"/>
      <c r="H749" s="384"/>
      <c r="I749" s="384"/>
      <c r="J749" s="384"/>
      <c r="K749" s="384"/>
      <c r="L749" s="384"/>
      <c r="M749" s="384"/>
      <c r="N749" s="384"/>
      <c r="O749" s="384"/>
      <c r="P749" s="384"/>
      <c r="Q749" s="384"/>
      <c r="R749" s="384"/>
      <c r="S749" s="384"/>
      <c r="T749" s="384"/>
      <c r="U749" s="384"/>
      <c r="V749" s="384"/>
      <c r="W749" s="384"/>
      <c r="X749" s="384"/>
      <c r="Y749" s="384"/>
      <c r="Z749" s="384"/>
      <c r="AA749" s="384"/>
    </row>
    <row r="750" spans="1:27" x14ac:dyDescent="0.2">
      <c r="A750" s="384"/>
      <c r="B750" s="384"/>
      <c r="C750" s="384"/>
      <c r="D750" s="384"/>
      <c r="E750" s="384"/>
      <c r="F750" s="384"/>
      <c r="G750" s="384"/>
      <c r="H750" s="384"/>
      <c r="I750" s="384"/>
      <c r="J750" s="384"/>
      <c r="K750" s="384"/>
      <c r="L750" s="384"/>
      <c r="M750" s="384"/>
      <c r="N750" s="384"/>
      <c r="O750" s="384"/>
      <c r="P750" s="384"/>
      <c r="Q750" s="384"/>
      <c r="R750" s="384"/>
      <c r="S750" s="384"/>
      <c r="T750" s="384"/>
      <c r="U750" s="384"/>
      <c r="V750" s="384"/>
      <c r="W750" s="384"/>
      <c r="X750" s="384"/>
      <c r="Y750" s="384"/>
      <c r="Z750" s="384"/>
      <c r="AA750" s="384"/>
    </row>
    <row r="751" spans="1:27" x14ac:dyDescent="0.2">
      <c r="A751" s="384"/>
      <c r="B751" s="384"/>
      <c r="C751" s="384"/>
      <c r="D751" s="384"/>
      <c r="E751" s="384"/>
      <c r="F751" s="384"/>
      <c r="G751" s="384"/>
      <c r="H751" s="384"/>
      <c r="I751" s="384"/>
      <c r="J751" s="384"/>
      <c r="K751" s="384"/>
      <c r="L751" s="384"/>
      <c r="M751" s="384"/>
      <c r="N751" s="384"/>
      <c r="O751" s="384"/>
      <c r="P751" s="384"/>
      <c r="Q751" s="384"/>
      <c r="R751" s="384"/>
      <c r="S751" s="384"/>
      <c r="T751" s="384"/>
      <c r="U751" s="384"/>
      <c r="V751" s="384"/>
      <c r="W751" s="384"/>
      <c r="X751" s="384"/>
      <c r="Y751" s="384"/>
      <c r="Z751" s="384"/>
      <c r="AA751" s="384"/>
    </row>
    <row r="752" spans="1:27" x14ac:dyDescent="0.2">
      <c r="A752" s="384"/>
      <c r="B752" s="384"/>
      <c r="C752" s="384"/>
      <c r="D752" s="384"/>
      <c r="E752" s="384"/>
      <c r="F752" s="384"/>
      <c r="G752" s="384"/>
      <c r="H752" s="384"/>
      <c r="I752" s="384"/>
      <c r="J752" s="384"/>
      <c r="K752" s="384"/>
      <c r="L752" s="384"/>
      <c r="M752" s="384"/>
      <c r="N752" s="384"/>
      <c r="O752" s="384"/>
      <c r="P752" s="384"/>
      <c r="Q752" s="384"/>
      <c r="R752" s="384"/>
      <c r="S752" s="384"/>
      <c r="T752" s="384"/>
      <c r="U752" s="384"/>
      <c r="V752" s="384"/>
      <c r="W752" s="384"/>
      <c r="X752" s="384"/>
      <c r="Y752" s="384"/>
      <c r="Z752" s="384"/>
      <c r="AA752" s="384"/>
    </row>
    <row r="753" spans="1:27" x14ac:dyDescent="0.2">
      <c r="A753" s="384"/>
      <c r="B753" s="384"/>
      <c r="C753" s="384"/>
      <c r="D753" s="384"/>
      <c r="E753" s="384"/>
      <c r="F753" s="384"/>
      <c r="G753" s="384"/>
      <c r="H753" s="384"/>
      <c r="I753" s="384"/>
      <c r="J753" s="384"/>
      <c r="K753" s="384"/>
      <c r="L753" s="384"/>
      <c r="M753" s="384"/>
      <c r="N753" s="384"/>
      <c r="O753" s="384"/>
      <c r="P753" s="384"/>
      <c r="Q753" s="384"/>
      <c r="R753" s="384"/>
      <c r="S753" s="384"/>
      <c r="T753" s="384"/>
      <c r="U753" s="384"/>
      <c r="V753" s="384"/>
      <c r="W753" s="384"/>
      <c r="X753" s="384"/>
      <c r="Y753" s="384"/>
      <c r="Z753" s="384"/>
      <c r="AA753" s="384"/>
    </row>
    <row r="754" spans="1:27" x14ac:dyDescent="0.2">
      <c r="A754" s="384"/>
      <c r="B754" s="384"/>
      <c r="C754" s="384"/>
      <c r="D754" s="384"/>
      <c r="E754" s="384"/>
      <c r="F754" s="384"/>
      <c r="G754" s="384"/>
      <c r="H754" s="384"/>
      <c r="I754" s="384"/>
      <c r="J754" s="384"/>
      <c r="K754" s="384"/>
      <c r="L754" s="384"/>
      <c r="M754" s="384"/>
      <c r="N754" s="384"/>
      <c r="O754" s="384"/>
      <c r="P754" s="384"/>
      <c r="Q754" s="384"/>
      <c r="R754" s="384"/>
      <c r="S754" s="384"/>
      <c r="T754" s="384"/>
      <c r="U754" s="384"/>
      <c r="V754" s="384"/>
      <c r="W754" s="384"/>
      <c r="X754" s="384"/>
      <c r="Y754" s="384"/>
      <c r="Z754" s="384"/>
      <c r="AA754" s="384"/>
    </row>
    <row r="755" spans="1:27" x14ac:dyDescent="0.2">
      <c r="A755" s="384"/>
      <c r="B755" s="384"/>
      <c r="C755" s="384"/>
      <c r="D755" s="384"/>
      <c r="E755" s="384"/>
      <c r="F755" s="384"/>
      <c r="G755" s="384"/>
      <c r="H755" s="384"/>
      <c r="I755" s="384"/>
      <c r="J755" s="384"/>
      <c r="K755" s="384"/>
      <c r="L755" s="384"/>
      <c r="M755" s="384"/>
      <c r="N755" s="384"/>
      <c r="O755" s="384"/>
      <c r="P755" s="384"/>
      <c r="Q755" s="384"/>
      <c r="R755" s="384"/>
      <c r="S755" s="384"/>
      <c r="T755" s="384"/>
      <c r="U755" s="384"/>
      <c r="V755" s="384"/>
      <c r="W755" s="384"/>
      <c r="X755" s="384"/>
      <c r="Y755" s="384"/>
      <c r="Z755" s="384"/>
      <c r="AA755" s="384"/>
    </row>
    <row r="756" spans="1:27" x14ac:dyDescent="0.2">
      <c r="A756" s="384"/>
      <c r="B756" s="384"/>
      <c r="C756" s="384"/>
      <c r="D756" s="384"/>
      <c r="E756" s="384"/>
      <c r="F756" s="384"/>
      <c r="G756" s="384"/>
      <c r="H756" s="384"/>
      <c r="I756" s="384"/>
      <c r="J756" s="384"/>
      <c r="K756" s="384"/>
      <c r="L756" s="384"/>
      <c r="M756" s="384"/>
      <c r="N756" s="384"/>
      <c r="O756" s="384"/>
      <c r="P756" s="384"/>
      <c r="Q756" s="384"/>
      <c r="R756" s="384"/>
      <c r="S756" s="384"/>
      <c r="T756" s="384"/>
      <c r="U756" s="384"/>
      <c r="V756" s="384"/>
      <c r="W756" s="384"/>
      <c r="X756" s="384"/>
      <c r="Y756" s="384"/>
      <c r="Z756" s="384"/>
      <c r="AA756" s="384"/>
    </row>
    <row r="757" spans="1:27" x14ac:dyDescent="0.2">
      <c r="A757" s="384"/>
      <c r="B757" s="384"/>
      <c r="C757" s="384"/>
      <c r="D757" s="384"/>
      <c r="E757" s="384"/>
      <c r="F757" s="384"/>
      <c r="G757" s="384"/>
      <c r="H757" s="384"/>
      <c r="I757" s="384"/>
      <c r="J757" s="384"/>
      <c r="K757" s="384"/>
      <c r="L757" s="384"/>
      <c r="M757" s="384"/>
      <c r="N757" s="384"/>
      <c r="O757" s="384"/>
      <c r="P757" s="384"/>
      <c r="Q757" s="384"/>
      <c r="R757" s="384"/>
      <c r="S757" s="384"/>
      <c r="T757" s="384"/>
      <c r="U757" s="384"/>
      <c r="V757" s="384"/>
      <c r="W757" s="384"/>
      <c r="X757" s="384"/>
      <c r="Y757" s="384"/>
      <c r="Z757" s="384"/>
      <c r="AA757" s="384"/>
    </row>
    <row r="758" spans="1:27" x14ac:dyDescent="0.2">
      <c r="A758" s="384"/>
      <c r="B758" s="384"/>
      <c r="C758" s="384"/>
      <c r="D758" s="384"/>
      <c r="E758" s="384"/>
      <c r="F758" s="384"/>
      <c r="G758" s="384"/>
      <c r="H758" s="384"/>
      <c r="I758" s="384"/>
      <c r="J758" s="384"/>
      <c r="K758" s="384"/>
      <c r="L758" s="384"/>
      <c r="M758" s="384"/>
      <c r="N758" s="384"/>
      <c r="O758" s="384"/>
      <c r="P758" s="384"/>
      <c r="Q758" s="384"/>
      <c r="R758" s="384"/>
      <c r="S758" s="384"/>
      <c r="T758" s="384"/>
      <c r="U758" s="384"/>
      <c r="V758" s="384"/>
      <c r="W758" s="384"/>
      <c r="X758" s="384"/>
      <c r="Y758" s="384"/>
      <c r="Z758" s="384"/>
      <c r="AA758" s="384"/>
    </row>
    <row r="759" spans="1:27" x14ac:dyDescent="0.2">
      <c r="A759" s="384"/>
      <c r="B759" s="384"/>
      <c r="C759" s="384"/>
      <c r="D759" s="384"/>
      <c r="E759" s="384"/>
      <c r="F759" s="384"/>
      <c r="G759" s="384"/>
      <c r="H759" s="384"/>
      <c r="I759" s="384"/>
      <c r="J759" s="384"/>
      <c r="K759" s="384"/>
      <c r="L759" s="384"/>
      <c r="M759" s="384"/>
      <c r="N759" s="384"/>
      <c r="O759" s="384"/>
      <c r="P759" s="384"/>
      <c r="Q759" s="384"/>
      <c r="R759" s="384"/>
      <c r="S759" s="384"/>
      <c r="T759" s="384"/>
      <c r="U759" s="384"/>
      <c r="V759" s="384"/>
      <c r="W759" s="384"/>
      <c r="X759" s="384"/>
      <c r="Y759" s="384"/>
      <c r="Z759" s="384"/>
      <c r="AA759" s="384"/>
    </row>
    <row r="760" spans="1:27" x14ac:dyDescent="0.2">
      <c r="A760" s="384"/>
      <c r="B760" s="384"/>
      <c r="C760" s="384"/>
      <c r="D760" s="384"/>
      <c r="E760" s="384"/>
      <c r="F760" s="384"/>
      <c r="G760" s="384"/>
      <c r="H760" s="384"/>
      <c r="I760" s="384"/>
      <c r="J760" s="384"/>
      <c r="K760" s="384"/>
      <c r="L760" s="384"/>
      <c r="M760" s="384"/>
      <c r="N760" s="384"/>
      <c r="O760" s="384"/>
      <c r="P760" s="384"/>
      <c r="Q760" s="384"/>
      <c r="R760" s="384"/>
      <c r="S760" s="384"/>
      <c r="T760" s="384"/>
      <c r="U760" s="384"/>
      <c r="V760" s="384"/>
      <c r="W760" s="384"/>
      <c r="X760" s="384"/>
      <c r="Y760" s="384"/>
      <c r="Z760" s="384"/>
      <c r="AA760" s="384"/>
    </row>
    <row r="761" spans="1:27" x14ac:dyDescent="0.2">
      <c r="A761" s="384"/>
      <c r="B761" s="384"/>
      <c r="C761" s="384"/>
      <c r="D761" s="384"/>
      <c r="E761" s="384"/>
      <c r="F761" s="384"/>
      <c r="G761" s="384"/>
      <c r="H761" s="384"/>
      <c r="I761" s="384"/>
      <c r="J761" s="384"/>
      <c r="K761" s="384"/>
      <c r="L761" s="384"/>
      <c r="M761" s="384"/>
      <c r="N761" s="384"/>
      <c r="O761" s="384"/>
      <c r="P761" s="384"/>
      <c r="Q761" s="384"/>
      <c r="R761" s="384"/>
      <c r="S761" s="384"/>
      <c r="T761" s="384"/>
      <c r="U761" s="384"/>
      <c r="V761" s="384"/>
      <c r="W761" s="384"/>
      <c r="X761" s="384"/>
      <c r="Y761" s="384"/>
      <c r="Z761" s="384"/>
      <c r="AA761" s="384"/>
    </row>
    <row r="762" spans="1:27" x14ac:dyDescent="0.2">
      <c r="A762" s="384"/>
      <c r="B762" s="384"/>
      <c r="C762" s="384"/>
      <c r="D762" s="384"/>
      <c r="E762" s="384"/>
      <c r="F762" s="384"/>
      <c r="G762" s="384"/>
      <c r="H762" s="384"/>
      <c r="I762" s="384"/>
      <c r="J762" s="384"/>
      <c r="K762" s="384"/>
      <c r="L762" s="384"/>
      <c r="M762" s="384"/>
      <c r="N762" s="384"/>
      <c r="O762" s="384"/>
      <c r="P762" s="384"/>
      <c r="Q762" s="384"/>
      <c r="R762" s="384"/>
      <c r="S762" s="384"/>
      <c r="T762" s="384"/>
      <c r="U762" s="384"/>
      <c r="V762" s="384"/>
      <c r="W762" s="384"/>
      <c r="X762" s="384"/>
      <c r="Y762" s="384"/>
      <c r="Z762" s="384"/>
      <c r="AA762" s="384"/>
    </row>
    <row r="763" spans="1:27" x14ac:dyDescent="0.2">
      <c r="A763" s="384"/>
      <c r="B763" s="384"/>
      <c r="C763" s="384"/>
      <c r="D763" s="384"/>
      <c r="E763" s="384"/>
      <c r="F763" s="384"/>
      <c r="G763" s="384"/>
      <c r="H763" s="384"/>
      <c r="I763" s="384"/>
      <c r="J763" s="384"/>
      <c r="K763" s="384"/>
      <c r="L763" s="384"/>
      <c r="M763" s="384"/>
      <c r="N763" s="384"/>
      <c r="O763" s="384"/>
      <c r="P763" s="384"/>
      <c r="Q763" s="384"/>
      <c r="R763" s="384"/>
      <c r="S763" s="384"/>
      <c r="T763" s="384"/>
      <c r="U763" s="384"/>
      <c r="V763" s="384"/>
      <c r="W763" s="384"/>
      <c r="X763" s="384"/>
      <c r="Y763" s="384"/>
      <c r="Z763" s="384"/>
      <c r="AA763" s="384"/>
    </row>
    <row r="764" spans="1:27" x14ac:dyDescent="0.2">
      <c r="A764" s="384"/>
      <c r="B764" s="384"/>
      <c r="C764" s="384"/>
      <c r="D764" s="384"/>
      <c r="E764" s="384"/>
      <c r="F764" s="384"/>
      <c r="G764" s="384"/>
      <c r="H764" s="384"/>
      <c r="I764" s="384"/>
      <c r="J764" s="384"/>
      <c r="K764" s="384"/>
      <c r="L764" s="384"/>
      <c r="M764" s="384"/>
      <c r="N764" s="384"/>
      <c r="O764" s="384"/>
      <c r="P764" s="384"/>
      <c r="Q764" s="384"/>
      <c r="R764" s="384"/>
      <c r="S764" s="384"/>
      <c r="T764" s="384"/>
      <c r="U764" s="384"/>
      <c r="V764" s="384"/>
      <c r="W764" s="384"/>
      <c r="X764" s="384"/>
      <c r="Y764" s="384"/>
      <c r="Z764" s="384"/>
      <c r="AA764" s="384"/>
    </row>
    <row r="765" spans="1:27" x14ac:dyDescent="0.2">
      <c r="A765" s="384"/>
      <c r="B765" s="384"/>
      <c r="C765" s="384"/>
      <c r="D765" s="384"/>
      <c r="E765" s="384"/>
      <c r="F765" s="384"/>
      <c r="G765" s="384"/>
      <c r="H765" s="384"/>
      <c r="I765" s="384"/>
      <c r="J765" s="384"/>
      <c r="K765" s="384"/>
      <c r="L765" s="384"/>
      <c r="M765" s="384"/>
      <c r="N765" s="384"/>
      <c r="O765" s="384"/>
      <c r="P765" s="384"/>
      <c r="Q765" s="384"/>
      <c r="R765" s="384"/>
      <c r="S765" s="384"/>
      <c r="T765" s="384"/>
      <c r="U765" s="384"/>
      <c r="V765" s="384"/>
      <c r="W765" s="384"/>
      <c r="X765" s="384"/>
      <c r="Y765" s="384"/>
      <c r="Z765" s="384"/>
      <c r="AA765" s="384"/>
    </row>
    <row r="766" spans="1:27" x14ac:dyDescent="0.2">
      <c r="A766" s="384"/>
      <c r="B766" s="384"/>
      <c r="C766" s="384"/>
      <c r="D766" s="384"/>
      <c r="E766" s="384"/>
      <c r="F766" s="384"/>
      <c r="G766" s="384"/>
      <c r="H766" s="384"/>
      <c r="I766" s="384"/>
      <c r="J766" s="384"/>
      <c r="K766" s="384"/>
      <c r="L766" s="384"/>
      <c r="M766" s="384"/>
      <c r="N766" s="384"/>
      <c r="O766" s="384"/>
      <c r="P766" s="384"/>
      <c r="Q766" s="384"/>
      <c r="R766" s="384"/>
      <c r="S766" s="384"/>
      <c r="T766" s="384"/>
      <c r="U766" s="384"/>
      <c r="V766" s="384"/>
      <c r="W766" s="384"/>
      <c r="X766" s="384"/>
      <c r="Y766" s="384"/>
      <c r="Z766" s="384"/>
      <c r="AA766" s="384"/>
    </row>
    <row r="767" spans="1:27" x14ac:dyDescent="0.2">
      <c r="A767" s="384"/>
      <c r="B767" s="384"/>
      <c r="C767" s="384"/>
      <c r="D767" s="384"/>
      <c r="E767" s="384"/>
      <c r="F767" s="384"/>
      <c r="G767" s="384"/>
      <c r="H767" s="384"/>
      <c r="I767" s="384"/>
      <c r="J767" s="384"/>
      <c r="K767" s="384"/>
      <c r="L767" s="384"/>
      <c r="M767" s="384"/>
      <c r="N767" s="384"/>
      <c r="O767" s="384"/>
      <c r="P767" s="384"/>
      <c r="Q767" s="384"/>
      <c r="R767" s="384"/>
      <c r="S767" s="384"/>
      <c r="T767" s="384"/>
      <c r="U767" s="384"/>
      <c r="V767" s="384"/>
      <c r="W767" s="384"/>
      <c r="X767" s="384"/>
      <c r="Y767" s="384"/>
      <c r="Z767" s="384"/>
      <c r="AA767" s="384"/>
    </row>
    <row r="768" spans="1:27" x14ac:dyDescent="0.2">
      <c r="A768" s="384"/>
      <c r="B768" s="384"/>
      <c r="C768" s="384"/>
      <c r="D768" s="384"/>
      <c r="E768" s="384"/>
      <c r="F768" s="384"/>
      <c r="G768" s="384"/>
      <c r="H768" s="384"/>
      <c r="I768" s="384"/>
      <c r="J768" s="384"/>
      <c r="K768" s="384"/>
      <c r="L768" s="384"/>
      <c r="M768" s="384"/>
      <c r="N768" s="384"/>
      <c r="O768" s="384"/>
      <c r="P768" s="384"/>
      <c r="Q768" s="384"/>
      <c r="R768" s="384"/>
      <c r="S768" s="384"/>
      <c r="T768" s="384"/>
      <c r="U768" s="384"/>
      <c r="V768" s="384"/>
      <c r="W768" s="384"/>
      <c r="X768" s="384"/>
      <c r="Y768" s="384"/>
      <c r="Z768" s="384"/>
      <c r="AA768" s="384"/>
    </row>
    <row r="769" spans="1:27" x14ac:dyDescent="0.2">
      <c r="A769" s="384"/>
      <c r="B769" s="384"/>
      <c r="C769" s="384"/>
      <c r="D769" s="384"/>
      <c r="E769" s="384"/>
      <c r="F769" s="384"/>
      <c r="G769" s="384"/>
      <c r="H769" s="384"/>
      <c r="I769" s="384"/>
      <c r="J769" s="384"/>
      <c r="K769" s="384"/>
      <c r="L769" s="384"/>
      <c r="M769" s="384"/>
      <c r="N769" s="384"/>
      <c r="O769" s="384"/>
      <c r="P769" s="384"/>
      <c r="Q769" s="384"/>
      <c r="R769" s="384"/>
      <c r="S769" s="384"/>
      <c r="T769" s="384"/>
      <c r="U769" s="384"/>
      <c r="V769" s="384"/>
      <c r="W769" s="384"/>
      <c r="X769" s="384"/>
      <c r="Y769" s="384"/>
      <c r="Z769" s="384"/>
      <c r="AA769" s="384"/>
    </row>
    <row r="770" spans="1:27" x14ac:dyDescent="0.2">
      <c r="A770" s="384"/>
      <c r="B770" s="384"/>
      <c r="C770" s="384"/>
      <c r="D770" s="384"/>
      <c r="E770" s="384"/>
      <c r="F770" s="384"/>
      <c r="G770" s="384"/>
      <c r="H770" s="384"/>
      <c r="I770" s="384"/>
      <c r="J770" s="384"/>
      <c r="K770" s="384"/>
      <c r="L770" s="384"/>
      <c r="M770" s="384"/>
      <c r="N770" s="384"/>
      <c r="O770" s="384"/>
      <c r="P770" s="384"/>
      <c r="Q770" s="384"/>
      <c r="R770" s="384"/>
      <c r="S770" s="384"/>
      <c r="T770" s="384"/>
      <c r="U770" s="384"/>
      <c r="V770" s="384"/>
      <c r="W770" s="384"/>
      <c r="X770" s="384"/>
      <c r="Y770" s="384"/>
      <c r="Z770" s="384"/>
      <c r="AA770" s="384"/>
    </row>
    <row r="771" spans="1:27" x14ac:dyDescent="0.2">
      <c r="A771" s="384"/>
      <c r="B771" s="384"/>
      <c r="C771" s="384"/>
      <c r="D771" s="384"/>
      <c r="E771" s="384"/>
      <c r="F771" s="384"/>
      <c r="G771" s="384"/>
      <c r="H771" s="384"/>
      <c r="I771" s="384"/>
      <c r="J771" s="384"/>
      <c r="K771" s="384"/>
      <c r="L771" s="384"/>
      <c r="M771" s="384"/>
      <c r="N771" s="384"/>
      <c r="O771" s="384"/>
      <c r="P771" s="384"/>
      <c r="Q771" s="384"/>
      <c r="R771" s="384"/>
      <c r="S771" s="384"/>
      <c r="T771" s="384"/>
      <c r="U771" s="384"/>
      <c r="V771" s="384"/>
      <c r="W771" s="384"/>
      <c r="X771" s="384"/>
      <c r="Y771" s="384"/>
      <c r="Z771" s="384"/>
      <c r="AA771" s="384"/>
    </row>
    <row r="772" spans="1:27" x14ac:dyDescent="0.2">
      <c r="A772" s="384"/>
      <c r="B772" s="384"/>
      <c r="C772" s="384"/>
      <c r="D772" s="384"/>
      <c r="E772" s="384"/>
      <c r="F772" s="384"/>
      <c r="G772" s="384"/>
      <c r="H772" s="384"/>
      <c r="I772" s="384"/>
      <c r="J772" s="384"/>
      <c r="K772" s="384"/>
      <c r="L772" s="384"/>
      <c r="M772" s="384"/>
      <c r="N772" s="384"/>
      <c r="O772" s="384"/>
      <c r="P772" s="384"/>
      <c r="Q772" s="384"/>
      <c r="R772" s="384"/>
      <c r="S772" s="384"/>
      <c r="T772" s="384"/>
      <c r="U772" s="384"/>
      <c r="V772" s="384"/>
      <c r="W772" s="384"/>
      <c r="X772" s="384"/>
      <c r="Y772" s="384"/>
      <c r="Z772" s="384"/>
      <c r="AA772" s="384"/>
    </row>
    <row r="773" spans="1:27" x14ac:dyDescent="0.2">
      <c r="A773" s="384"/>
      <c r="B773" s="384"/>
      <c r="C773" s="384"/>
      <c r="D773" s="384"/>
      <c r="E773" s="384"/>
      <c r="F773" s="384"/>
      <c r="G773" s="384"/>
      <c r="H773" s="384"/>
      <c r="I773" s="384"/>
      <c r="J773" s="384"/>
      <c r="K773" s="384"/>
      <c r="L773" s="384"/>
      <c r="M773" s="384"/>
      <c r="N773" s="384"/>
      <c r="O773" s="384"/>
      <c r="P773" s="384"/>
      <c r="Q773" s="384"/>
      <c r="R773" s="384"/>
      <c r="S773" s="384"/>
      <c r="T773" s="384"/>
      <c r="U773" s="384"/>
      <c r="V773" s="384"/>
      <c r="W773" s="384"/>
      <c r="X773" s="384"/>
      <c r="Y773" s="384"/>
      <c r="Z773" s="384"/>
      <c r="AA773" s="384"/>
    </row>
    <row r="774" spans="1:27" x14ac:dyDescent="0.2">
      <c r="A774" s="384"/>
      <c r="B774" s="384"/>
      <c r="C774" s="384"/>
      <c r="D774" s="384"/>
      <c r="E774" s="384"/>
      <c r="F774" s="384"/>
      <c r="G774" s="384"/>
      <c r="H774" s="384"/>
      <c r="I774" s="384"/>
      <c r="J774" s="384"/>
      <c r="K774" s="384"/>
      <c r="L774" s="384"/>
      <c r="M774" s="384"/>
      <c r="N774" s="384"/>
      <c r="O774" s="384"/>
      <c r="P774" s="384"/>
      <c r="Q774" s="384"/>
      <c r="R774" s="384"/>
      <c r="S774" s="384"/>
      <c r="T774" s="384"/>
      <c r="U774" s="384"/>
      <c r="V774" s="384"/>
      <c r="W774" s="384"/>
      <c r="X774" s="384"/>
      <c r="Y774" s="384"/>
      <c r="Z774" s="384"/>
      <c r="AA774" s="384"/>
    </row>
    <row r="775" spans="1:27" x14ac:dyDescent="0.2">
      <c r="A775" s="384"/>
      <c r="B775" s="384"/>
      <c r="C775" s="384"/>
      <c r="D775" s="384"/>
      <c r="E775" s="384"/>
      <c r="F775" s="384"/>
      <c r="G775" s="384"/>
      <c r="H775" s="384"/>
      <c r="I775" s="384"/>
      <c r="J775" s="384"/>
      <c r="K775" s="384"/>
      <c r="L775" s="384"/>
      <c r="M775" s="384"/>
      <c r="N775" s="384"/>
      <c r="O775" s="384"/>
      <c r="P775" s="384"/>
      <c r="Q775" s="384"/>
      <c r="R775" s="384"/>
      <c r="S775" s="384"/>
      <c r="T775" s="384"/>
      <c r="U775" s="384"/>
      <c r="V775" s="384"/>
      <c r="W775" s="384"/>
      <c r="X775" s="384"/>
      <c r="Y775" s="384"/>
      <c r="Z775" s="384"/>
      <c r="AA775" s="384"/>
    </row>
    <row r="776" spans="1:27" x14ac:dyDescent="0.2">
      <c r="A776" s="384"/>
      <c r="B776" s="384"/>
      <c r="C776" s="384"/>
      <c r="D776" s="384"/>
      <c r="E776" s="384"/>
      <c r="F776" s="384"/>
      <c r="G776" s="384"/>
      <c r="H776" s="384"/>
      <c r="I776" s="384"/>
      <c r="J776" s="384"/>
      <c r="K776" s="384"/>
      <c r="L776" s="384"/>
      <c r="M776" s="384"/>
      <c r="N776" s="384"/>
      <c r="O776" s="384"/>
      <c r="P776" s="384"/>
      <c r="Q776" s="384"/>
      <c r="R776" s="384"/>
      <c r="S776" s="384"/>
      <c r="T776" s="384"/>
      <c r="U776" s="384"/>
      <c r="V776" s="384"/>
      <c r="W776" s="384"/>
      <c r="X776" s="384"/>
      <c r="Y776" s="384"/>
      <c r="Z776" s="384"/>
      <c r="AA776" s="384"/>
    </row>
    <row r="777" spans="1:27" x14ac:dyDescent="0.2">
      <c r="A777" s="384"/>
      <c r="B777" s="384"/>
      <c r="C777" s="384"/>
      <c r="D777" s="384"/>
      <c r="E777" s="384"/>
      <c r="F777" s="384"/>
      <c r="G777" s="384"/>
      <c r="H777" s="384"/>
      <c r="I777" s="384"/>
      <c r="J777" s="384"/>
      <c r="K777" s="384"/>
      <c r="L777" s="384"/>
      <c r="M777" s="384"/>
      <c r="N777" s="384"/>
      <c r="O777" s="384"/>
      <c r="P777" s="384"/>
      <c r="Q777" s="384"/>
      <c r="R777" s="384"/>
      <c r="S777" s="384"/>
      <c r="T777" s="384"/>
      <c r="U777" s="384"/>
      <c r="V777" s="384"/>
      <c r="W777" s="384"/>
      <c r="X777" s="384"/>
      <c r="Y777" s="384"/>
      <c r="Z777" s="384"/>
      <c r="AA777" s="384"/>
    </row>
    <row r="778" spans="1:27" x14ac:dyDescent="0.2">
      <c r="A778" s="384"/>
      <c r="B778" s="384"/>
      <c r="C778" s="384"/>
      <c r="D778" s="384"/>
      <c r="E778" s="384"/>
      <c r="F778" s="384"/>
      <c r="G778" s="384"/>
      <c r="H778" s="384"/>
      <c r="I778" s="384"/>
      <c r="J778" s="384"/>
      <c r="K778" s="384"/>
      <c r="L778" s="384"/>
      <c r="M778" s="384"/>
      <c r="N778" s="384"/>
      <c r="O778" s="384"/>
      <c r="P778" s="384"/>
      <c r="Q778" s="384"/>
      <c r="R778" s="384"/>
      <c r="S778" s="384"/>
      <c r="T778" s="384"/>
      <c r="U778" s="384"/>
      <c r="V778" s="384"/>
      <c r="W778" s="384"/>
      <c r="X778" s="384"/>
      <c r="Y778" s="384"/>
      <c r="Z778" s="384"/>
      <c r="AA778" s="384"/>
    </row>
    <row r="779" spans="1:27" x14ac:dyDescent="0.2">
      <c r="A779" s="384"/>
      <c r="B779" s="384"/>
      <c r="C779" s="384"/>
      <c r="D779" s="384"/>
      <c r="E779" s="384"/>
      <c r="F779" s="384"/>
      <c r="G779" s="384"/>
      <c r="H779" s="384"/>
      <c r="I779" s="384"/>
      <c r="J779" s="384"/>
      <c r="K779" s="384"/>
      <c r="L779" s="384"/>
      <c r="M779" s="384"/>
      <c r="N779" s="384"/>
      <c r="O779" s="384"/>
      <c r="P779" s="384"/>
      <c r="Q779" s="384"/>
      <c r="R779" s="384"/>
      <c r="S779" s="384"/>
      <c r="T779" s="384"/>
      <c r="U779" s="384"/>
      <c r="V779" s="384"/>
      <c r="W779" s="384"/>
      <c r="X779" s="384"/>
      <c r="Y779" s="384"/>
      <c r="Z779" s="384"/>
      <c r="AA779" s="384"/>
    </row>
    <row r="780" spans="1:27" x14ac:dyDescent="0.2">
      <c r="A780" s="384"/>
      <c r="B780" s="384"/>
      <c r="C780" s="384"/>
      <c r="D780" s="384"/>
      <c r="E780" s="384"/>
      <c r="F780" s="384"/>
      <c r="G780" s="384"/>
      <c r="H780" s="384"/>
      <c r="I780" s="384"/>
      <c r="J780" s="384"/>
      <c r="K780" s="384"/>
      <c r="L780" s="384"/>
      <c r="M780" s="384"/>
      <c r="N780" s="384"/>
      <c r="O780" s="384"/>
      <c r="P780" s="384"/>
      <c r="Q780" s="384"/>
      <c r="R780" s="384"/>
      <c r="S780" s="384"/>
      <c r="T780" s="384"/>
      <c r="U780" s="384"/>
      <c r="V780" s="384"/>
      <c r="W780" s="384"/>
      <c r="X780" s="384"/>
      <c r="Y780" s="384"/>
      <c r="Z780" s="384"/>
      <c r="AA780" s="384"/>
    </row>
    <row r="781" spans="1:27" x14ac:dyDescent="0.2">
      <c r="A781" s="384"/>
      <c r="B781" s="384"/>
      <c r="C781" s="384"/>
      <c r="D781" s="384"/>
      <c r="E781" s="384"/>
      <c r="F781" s="384"/>
      <c r="G781" s="384"/>
      <c r="H781" s="384"/>
      <c r="I781" s="384"/>
      <c r="J781" s="384"/>
      <c r="K781" s="384"/>
      <c r="L781" s="384"/>
      <c r="M781" s="384"/>
      <c r="N781" s="384"/>
      <c r="O781" s="384"/>
      <c r="P781" s="384"/>
      <c r="Q781" s="384"/>
      <c r="R781" s="384"/>
      <c r="S781" s="384"/>
      <c r="T781" s="384"/>
      <c r="U781" s="384"/>
      <c r="V781" s="384"/>
      <c r="W781" s="384"/>
      <c r="X781" s="384"/>
      <c r="Y781" s="384"/>
      <c r="Z781" s="384"/>
      <c r="AA781" s="384"/>
    </row>
    <row r="782" spans="1:27" x14ac:dyDescent="0.2">
      <c r="A782" s="384"/>
      <c r="B782" s="384"/>
      <c r="C782" s="384"/>
      <c r="D782" s="384"/>
      <c r="E782" s="384"/>
      <c r="F782" s="384"/>
      <c r="G782" s="384"/>
      <c r="H782" s="384"/>
      <c r="I782" s="384"/>
      <c r="J782" s="384"/>
      <c r="K782" s="384"/>
      <c r="L782" s="384"/>
      <c r="M782" s="384"/>
      <c r="N782" s="384"/>
      <c r="O782" s="384"/>
      <c r="P782" s="384"/>
      <c r="Q782" s="384"/>
      <c r="R782" s="384"/>
      <c r="S782" s="384"/>
      <c r="T782" s="384"/>
      <c r="U782" s="384"/>
      <c r="V782" s="384"/>
      <c r="W782" s="384"/>
      <c r="X782" s="384"/>
      <c r="Y782" s="384"/>
      <c r="Z782" s="384"/>
      <c r="AA782" s="384"/>
    </row>
    <row r="783" spans="1:27" x14ac:dyDescent="0.2">
      <c r="A783" s="384"/>
      <c r="B783" s="384"/>
      <c r="C783" s="384"/>
      <c r="D783" s="384"/>
      <c r="E783" s="384"/>
      <c r="F783" s="384"/>
      <c r="G783" s="384"/>
      <c r="H783" s="384"/>
      <c r="I783" s="384"/>
      <c r="J783" s="384"/>
      <c r="K783" s="384"/>
      <c r="L783" s="384"/>
      <c r="M783" s="384"/>
      <c r="N783" s="384"/>
      <c r="O783" s="384"/>
      <c r="P783" s="384"/>
      <c r="Q783" s="384"/>
      <c r="R783" s="384"/>
      <c r="S783" s="384"/>
      <c r="T783" s="384"/>
      <c r="U783" s="384"/>
      <c r="V783" s="384"/>
      <c r="W783" s="384"/>
      <c r="X783" s="384"/>
      <c r="Y783" s="384"/>
      <c r="Z783" s="384"/>
      <c r="AA783" s="384"/>
    </row>
    <row r="784" spans="1:27" x14ac:dyDescent="0.2">
      <c r="A784" s="384"/>
      <c r="B784" s="384"/>
      <c r="C784" s="384"/>
      <c r="D784" s="384"/>
      <c r="E784" s="384"/>
      <c r="F784" s="384"/>
      <c r="G784" s="384"/>
      <c r="H784" s="384"/>
      <c r="I784" s="384"/>
      <c r="J784" s="384"/>
      <c r="K784" s="384"/>
      <c r="L784" s="384"/>
      <c r="M784" s="384"/>
      <c r="N784" s="384"/>
      <c r="O784" s="384"/>
      <c r="P784" s="384"/>
      <c r="Q784" s="384"/>
      <c r="R784" s="384"/>
      <c r="S784" s="384"/>
      <c r="T784" s="384"/>
      <c r="U784" s="384"/>
      <c r="V784" s="384"/>
      <c r="W784" s="384"/>
      <c r="X784" s="384"/>
      <c r="Y784" s="384"/>
      <c r="Z784" s="384"/>
      <c r="AA784" s="384"/>
    </row>
    <row r="785" spans="1:27" x14ac:dyDescent="0.2">
      <c r="A785" s="384"/>
      <c r="B785" s="384"/>
      <c r="C785" s="384"/>
      <c r="D785" s="384"/>
      <c r="E785" s="384"/>
      <c r="F785" s="384"/>
      <c r="G785" s="384"/>
      <c r="H785" s="384"/>
      <c r="I785" s="384"/>
      <c r="J785" s="384"/>
      <c r="K785" s="384"/>
      <c r="L785" s="384"/>
      <c r="M785" s="384"/>
      <c r="N785" s="384"/>
      <c r="O785" s="384"/>
      <c r="P785" s="384"/>
      <c r="Q785" s="384"/>
      <c r="R785" s="384"/>
      <c r="S785" s="384"/>
      <c r="T785" s="384"/>
      <c r="U785" s="384"/>
      <c r="V785" s="384"/>
      <c r="W785" s="384"/>
      <c r="X785" s="384"/>
      <c r="Y785" s="384"/>
      <c r="Z785" s="384"/>
      <c r="AA785" s="384"/>
    </row>
    <row r="786" spans="1:27" x14ac:dyDescent="0.2">
      <c r="A786" s="384"/>
      <c r="B786" s="384"/>
      <c r="C786" s="384"/>
      <c r="D786" s="384"/>
      <c r="E786" s="384"/>
      <c r="F786" s="384"/>
      <c r="G786" s="384"/>
      <c r="H786" s="384"/>
      <c r="I786" s="384"/>
      <c r="J786" s="384"/>
      <c r="K786" s="384"/>
      <c r="L786" s="384"/>
      <c r="M786" s="384"/>
      <c r="N786" s="384"/>
      <c r="O786" s="384"/>
      <c r="P786" s="384"/>
      <c r="Q786" s="384"/>
      <c r="R786" s="384"/>
      <c r="S786" s="384"/>
      <c r="T786" s="384"/>
      <c r="U786" s="384"/>
      <c r="V786" s="384"/>
      <c r="W786" s="384"/>
      <c r="X786" s="384"/>
      <c r="Y786" s="384"/>
      <c r="Z786" s="384"/>
      <c r="AA786" s="384"/>
    </row>
    <row r="787" spans="1:27" x14ac:dyDescent="0.2">
      <c r="A787" s="384"/>
      <c r="B787" s="384"/>
      <c r="C787" s="384"/>
      <c r="D787" s="384"/>
      <c r="E787" s="384"/>
      <c r="F787" s="384"/>
      <c r="G787" s="384"/>
      <c r="H787" s="384"/>
      <c r="I787" s="384"/>
      <c r="J787" s="384"/>
      <c r="K787" s="384"/>
      <c r="L787" s="384"/>
      <c r="M787" s="384"/>
      <c r="N787" s="384"/>
      <c r="O787" s="384"/>
      <c r="P787" s="384"/>
      <c r="Q787" s="384"/>
      <c r="R787" s="384"/>
      <c r="S787" s="384"/>
      <c r="T787" s="384"/>
      <c r="U787" s="384"/>
      <c r="V787" s="384"/>
      <c r="W787" s="384"/>
      <c r="X787" s="384"/>
      <c r="Y787" s="384"/>
      <c r="Z787" s="384"/>
      <c r="AA787" s="384"/>
    </row>
    <row r="788" spans="1:27" x14ac:dyDescent="0.2">
      <c r="A788" s="384"/>
      <c r="B788" s="384"/>
      <c r="C788" s="384"/>
      <c r="D788" s="384"/>
      <c r="E788" s="384"/>
      <c r="F788" s="384"/>
      <c r="G788" s="384"/>
      <c r="H788" s="384"/>
      <c r="I788" s="384"/>
      <c r="J788" s="384"/>
      <c r="K788" s="384"/>
      <c r="L788" s="384"/>
      <c r="M788" s="384"/>
      <c r="N788" s="384"/>
      <c r="O788" s="384"/>
      <c r="P788" s="384"/>
      <c r="Q788" s="384"/>
      <c r="R788" s="384"/>
      <c r="S788" s="384"/>
      <c r="T788" s="384"/>
      <c r="U788" s="384"/>
      <c r="V788" s="384"/>
      <c r="W788" s="384"/>
      <c r="X788" s="384"/>
      <c r="Y788" s="384"/>
      <c r="Z788" s="384"/>
      <c r="AA788" s="384"/>
    </row>
    <row r="789" spans="1:27" x14ac:dyDescent="0.2">
      <c r="A789" s="384"/>
      <c r="B789" s="384"/>
      <c r="C789" s="384"/>
      <c r="D789" s="384"/>
      <c r="E789" s="384"/>
      <c r="F789" s="384"/>
      <c r="G789" s="384"/>
      <c r="H789" s="384"/>
      <c r="I789" s="384"/>
      <c r="J789" s="384"/>
      <c r="K789" s="384"/>
      <c r="L789" s="384"/>
      <c r="M789" s="384"/>
      <c r="N789" s="384"/>
      <c r="O789" s="384"/>
      <c r="P789" s="384"/>
      <c r="Q789" s="384"/>
      <c r="R789" s="384"/>
      <c r="S789" s="384"/>
      <c r="T789" s="384"/>
      <c r="U789" s="384"/>
      <c r="V789" s="384"/>
      <c r="W789" s="384"/>
      <c r="X789" s="384"/>
      <c r="Y789" s="384"/>
      <c r="Z789" s="384"/>
      <c r="AA789" s="384"/>
    </row>
    <row r="790" spans="1:27" x14ac:dyDescent="0.2">
      <c r="A790" s="384"/>
      <c r="B790" s="384"/>
      <c r="C790" s="384"/>
      <c r="D790" s="384"/>
      <c r="E790" s="384"/>
      <c r="F790" s="384"/>
      <c r="G790" s="384"/>
      <c r="H790" s="384"/>
      <c r="I790" s="384"/>
      <c r="J790" s="384"/>
      <c r="K790" s="384"/>
      <c r="L790" s="384"/>
      <c r="M790" s="384"/>
      <c r="N790" s="384"/>
      <c r="O790" s="384"/>
      <c r="P790" s="384"/>
      <c r="Q790" s="384"/>
      <c r="R790" s="384"/>
      <c r="S790" s="384"/>
      <c r="T790" s="384"/>
      <c r="U790" s="384"/>
      <c r="V790" s="384"/>
      <c r="W790" s="384"/>
      <c r="X790" s="384"/>
      <c r="Y790" s="384"/>
      <c r="Z790" s="384"/>
      <c r="AA790" s="384"/>
    </row>
    <row r="791" spans="1:27" x14ac:dyDescent="0.2">
      <c r="A791" s="384"/>
      <c r="B791" s="384"/>
      <c r="C791" s="384"/>
      <c r="D791" s="384"/>
      <c r="E791" s="384"/>
      <c r="F791" s="384"/>
      <c r="G791" s="384"/>
      <c r="H791" s="384"/>
      <c r="I791" s="384"/>
      <c r="J791" s="384"/>
      <c r="K791" s="384"/>
      <c r="L791" s="384"/>
      <c r="M791" s="384"/>
      <c r="N791" s="384"/>
      <c r="O791" s="384"/>
      <c r="P791" s="384"/>
      <c r="Q791" s="384"/>
      <c r="R791" s="384"/>
      <c r="S791" s="384"/>
      <c r="T791" s="384"/>
      <c r="U791" s="384"/>
      <c r="V791" s="384"/>
      <c r="W791" s="384"/>
      <c r="X791" s="384"/>
      <c r="Y791" s="384"/>
      <c r="Z791" s="384"/>
      <c r="AA791" s="384"/>
    </row>
    <row r="792" spans="1:27" x14ac:dyDescent="0.2">
      <c r="A792" s="384"/>
      <c r="B792" s="384"/>
      <c r="C792" s="384"/>
      <c r="D792" s="384"/>
      <c r="E792" s="384"/>
      <c r="F792" s="384"/>
      <c r="G792" s="384"/>
      <c r="H792" s="384"/>
      <c r="I792" s="384"/>
      <c r="J792" s="384"/>
      <c r="K792" s="384"/>
      <c r="L792" s="384"/>
      <c r="M792" s="384"/>
      <c r="N792" s="384"/>
      <c r="O792" s="384"/>
      <c r="P792" s="384"/>
      <c r="Q792" s="384"/>
      <c r="R792" s="384"/>
      <c r="S792" s="384"/>
      <c r="T792" s="384"/>
      <c r="U792" s="384"/>
      <c r="V792" s="384"/>
      <c r="W792" s="384"/>
      <c r="X792" s="384"/>
      <c r="Y792" s="384"/>
      <c r="Z792" s="384"/>
      <c r="AA792" s="384"/>
    </row>
    <row r="793" spans="1:27" x14ac:dyDescent="0.2">
      <c r="A793" s="384"/>
      <c r="B793" s="384"/>
      <c r="C793" s="384"/>
      <c r="D793" s="384"/>
      <c r="E793" s="384"/>
      <c r="F793" s="384"/>
      <c r="G793" s="384"/>
      <c r="H793" s="384"/>
      <c r="I793" s="384"/>
      <c r="J793" s="384"/>
      <c r="K793" s="384"/>
      <c r="L793" s="384"/>
      <c r="M793" s="384"/>
      <c r="N793" s="384"/>
      <c r="O793" s="384"/>
      <c r="P793" s="384"/>
      <c r="Q793" s="384"/>
      <c r="R793" s="384"/>
      <c r="S793" s="384"/>
      <c r="T793" s="384"/>
      <c r="U793" s="384"/>
      <c r="V793" s="384"/>
      <c r="W793" s="384"/>
      <c r="X793" s="384"/>
      <c r="Y793" s="384"/>
      <c r="Z793" s="384"/>
      <c r="AA793" s="384"/>
    </row>
    <row r="794" spans="1:27" x14ac:dyDescent="0.2">
      <c r="A794" s="384"/>
      <c r="B794" s="384"/>
      <c r="C794" s="384"/>
      <c r="D794" s="384"/>
      <c r="E794" s="384"/>
      <c r="F794" s="384"/>
      <c r="G794" s="384"/>
      <c r="H794" s="384"/>
      <c r="I794" s="384"/>
      <c r="J794" s="384"/>
      <c r="K794" s="384"/>
      <c r="L794" s="384"/>
      <c r="M794" s="384"/>
      <c r="N794" s="384"/>
      <c r="O794" s="384"/>
      <c r="P794" s="384"/>
      <c r="Q794" s="384"/>
      <c r="R794" s="384"/>
      <c r="S794" s="384"/>
      <c r="T794" s="384"/>
      <c r="U794" s="384"/>
      <c r="V794" s="384"/>
      <c r="W794" s="384"/>
      <c r="X794" s="384"/>
      <c r="Y794" s="384"/>
      <c r="Z794" s="384"/>
      <c r="AA794" s="384"/>
    </row>
    <row r="795" spans="1:27" x14ac:dyDescent="0.2">
      <c r="A795" s="384"/>
      <c r="B795" s="384"/>
      <c r="C795" s="384"/>
      <c r="D795" s="384"/>
      <c r="E795" s="384"/>
      <c r="F795" s="384"/>
      <c r="G795" s="384"/>
      <c r="H795" s="384"/>
      <c r="I795" s="384"/>
      <c r="J795" s="384"/>
      <c r="K795" s="384"/>
      <c r="L795" s="384"/>
      <c r="M795" s="384"/>
      <c r="N795" s="384"/>
      <c r="O795" s="384"/>
      <c r="P795" s="384"/>
      <c r="Q795" s="384"/>
      <c r="R795" s="384"/>
      <c r="S795" s="384"/>
      <c r="T795" s="384"/>
      <c r="U795" s="384"/>
      <c r="V795" s="384"/>
      <c r="W795" s="384"/>
      <c r="X795" s="384"/>
      <c r="Y795" s="384"/>
      <c r="Z795" s="384"/>
      <c r="AA795" s="384"/>
    </row>
    <row r="796" spans="1:27" x14ac:dyDescent="0.2">
      <c r="A796" s="384"/>
      <c r="B796" s="384"/>
      <c r="C796" s="384"/>
      <c r="D796" s="384"/>
      <c r="E796" s="384"/>
      <c r="F796" s="384"/>
      <c r="G796" s="384"/>
      <c r="H796" s="384"/>
      <c r="I796" s="384"/>
      <c r="J796" s="384"/>
      <c r="K796" s="384"/>
      <c r="L796" s="384"/>
      <c r="M796" s="384"/>
      <c r="N796" s="384"/>
      <c r="O796" s="384"/>
      <c r="P796" s="384"/>
      <c r="Q796" s="384"/>
      <c r="R796" s="384"/>
      <c r="S796" s="384"/>
      <c r="T796" s="384"/>
      <c r="U796" s="384"/>
      <c r="V796" s="384"/>
      <c r="W796" s="384"/>
      <c r="X796" s="384"/>
      <c r="Y796" s="384"/>
      <c r="Z796" s="384"/>
      <c r="AA796" s="384"/>
    </row>
    <row r="797" spans="1:27" x14ac:dyDescent="0.2">
      <c r="A797" s="384"/>
      <c r="B797" s="384"/>
      <c r="C797" s="384"/>
      <c r="D797" s="384"/>
      <c r="E797" s="384"/>
      <c r="F797" s="384"/>
      <c r="G797" s="384"/>
      <c r="H797" s="384"/>
      <c r="I797" s="384"/>
      <c r="J797" s="384"/>
      <c r="K797" s="384"/>
      <c r="L797" s="384"/>
      <c r="M797" s="384"/>
      <c r="N797" s="384"/>
      <c r="O797" s="384"/>
      <c r="P797" s="384"/>
      <c r="Q797" s="384"/>
      <c r="R797" s="384"/>
      <c r="S797" s="384"/>
      <c r="T797" s="384"/>
      <c r="U797" s="384"/>
      <c r="V797" s="384"/>
      <c r="W797" s="384"/>
      <c r="X797" s="384"/>
      <c r="Y797" s="384"/>
      <c r="Z797" s="384"/>
      <c r="AA797" s="384"/>
    </row>
    <row r="798" spans="1:27" x14ac:dyDescent="0.2">
      <c r="A798" s="384"/>
      <c r="B798" s="384"/>
      <c r="C798" s="384"/>
      <c r="D798" s="384"/>
      <c r="E798" s="384"/>
      <c r="F798" s="384"/>
      <c r="G798" s="384"/>
      <c r="H798" s="384"/>
      <c r="I798" s="384"/>
      <c r="J798" s="384"/>
      <c r="K798" s="384"/>
      <c r="L798" s="384"/>
      <c r="M798" s="384"/>
      <c r="N798" s="384"/>
      <c r="O798" s="384"/>
      <c r="P798" s="384"/>
      <c r="Q798" s="384"/>
      <c r="R798" s="384"/>
      <c r="S798" s="384"/>
      <c r="T798" s="384"/>
      <c r="U798" s="384"/>
      <c r="V798" s="384"/>
      <c r="W798" s="384"/>
      <c r="X798" s="384"/>
      <c r="Y798" s="384"/>
      <c r="Z798" s="384"/>
      <c r="AA798" s="384"/>
    </row>
    <row r="799" spans="1:27" x14ac:dyDescent="0.2">
      <c r="A799" s="384"/>
      <c r="B799" s="384"/>
      <c r="C799" s="384"/>
      <c r="D799" s="384"/>
      <c r="E799" s="384"/>
      <c r="F799" s="384"/>
      <c r="G799" s="384"/>
      <c r="H799" s="384"/>
      <c r="I799" s="384"/>
      <c r="J799" s="384"/>
      <c r="K799" s="384"/>
      <c r="L799" s="384"/>
      <c r="M799" s="384"/>
      <c r="N799" s="384"/>
      <c r="O799" s="384"/>
      <c r="P799" s="384"/>
      <c r="Q799" s="384"/>
      <c r="R799" s="384"/>
      <c r="S799" s="384"/>
      <c r="T799" s="384"/>
      <c r="U799" s="384"/>
      <c r="V799" s="384"/>
      <c r="W799" s="384"/>
      <c r="X799" s="384"/>
      <c r="Y799" s="384"/>
      <c r="Z799" s="384"/>
      <c r="AA799" s="384"/>
    </row>
    <row r="800" spans="1:27" x14ac:dyDescent="0.2">
      <c r="A800" s="384"/>
      <c r="B800" s="384"/>
      <c r="C800" s="384"/>
      <c r="D800" s="384"/>
      <c r="E800" s="384"/>
      <c r="F800" s="384"/>
      <c r="G800" s="384"/>
      <c r="H800" s="384"/>
      <c r="I800" s="384"/>
      <c r="J800" s="384"/>
      <c r="K800" s="384"/>
      <c r="L800" s="384"/>
      <c r="M800" s="384"/>
      <c r="N800" s="384"/>
      <c r="O800" s="384"/>
      <c r="P800" s="384"/>
      <c r="Q800" s="384"/>
      <c r="R800" s="384"/>
      <c r="S800" s="384"/>
      <c r="T800" s="384"/>
      <c r="U800" s="384"/>
      <c r="V800" s="384"/>
      <c r="W800" s="384"/>
      <c r="X800" s="384"/>
      <c r="Y800" s="384"/>
      <c r="Z800" s="384"/>
      <c r="AA800" s="384"/>
    </row>
    <row r="801" spans="1:27" x14ac:dyDescent="0.2">
      <c r="A801" s="384"/>
      <c r="B801" s="384"/>
      <c r="C801" s="384"/>
      <c r="D801" s="384"/>
      <c r="E801" s="384"/>
      <c r="F801" s="384"/>
      <c r="G801" s="384"/>
      <c r="H801" s="384"/>
      <c r="I801" s="384"/>
      <c r="J801" s="384"/>
      <c r="K801" s="384"/>
      <c r="L801" s="384"/>
      <c r="M801" s="384"/>
      <c r="N801" s="384"/>
      <c r="O801" s="384"/>
      <c r="P801" s="384"/>
      <c r="Q801" s="384"/>
      <c r="R801" s="384"/>
      <c r="S801" s="384"/>
      <c r="T801" s="384"/>
      <c r="U801" s="384"/>
      <c r="V801" s="384"/>
      <c r="W801" s="384"/>
      <c r="X801" s="384"/>
      <c r="Y801" s="384"/>
      <c r="Z801" s="384"/>
      <c r="AA801" s="384"/>
    </row>
    <row r="802" spans="1:27" x14ac:dyDescent="0.2">
      <c r="A802" s="384"/>
      <c r="B802" s="384"/>
      <c r="C802" s="384"/>
      <c r="D802" s="384"/>
      <c r="E802" s="384"/>
      <c r="F802" s="384"/>
      <c r="G802" s="384"/>
      <c r="H802" s="384"/>
      <c r="I802" s="384"/>
      <c r="J802" s="384"/>
      <c r="K802" s="384"/>
      <c r="L802" s="384"/>
      <c r="M802" s="384"/>
      <c r="N802" s="384"/>
      <c r="O802" s="384"/>
      <c r="P802" s="384"/>
      <c r="Q802" s="384"/>
      <c r="R802" s="384"/>
      <c r="S802" s="384"/>
      <c r="T802" s="384"/>
      <c r="U802" s="384"/>
      <c r="V802" s="384"/>
      <c r="W802" s="384"/>
      <c r="X802" s="384"/>
      <c r="Y802" s="384"/>
      <c r="Z802" s="384"/>
      <c r="AA802" s="384"/>
    </row>
    <row r="803" spans="1:27" x14ac:dyDescent="0.2">
      <c r="A803" s="384"/>
      <c r="B803" s="384"/>
      <c r="C803" s="384"/>
      <c r="D803" s="384"/>
      <c r="E803" s="384"/>
      <c r="F803" s="384"/>
      <c r="G803" s="384"/>
      <c r="H803" s="384"/>
      <c r="I803" s="384"/>
      <c r="J803" s="384"/>
      <c r="K803" s="384"/>
      <c r="L803" s="384"/>
      <c r="M803" s="384"/>
      <c r="N803" s="384"/>
      <c r="O803" s="384"/>
      <c r="P803" s="384"/>
      <c r="Q803" s="384"/>
      <c r="R803" s="384"/>
      <c r="S803" s="384"/>
      <c r="T803" s="384"/>
      <c r="U803" s="384"/>
      <c r="V803" s="384"/>
      <c r="W803" s="384"/>
      <c r="X803" s="384"/>
      <c r="Y803" s="384"/>
      <c r="Z803" s="384"/>
      <c r="AA803" s="384"/>
    </row>
    <row r="804" spans="1:27" x14ac:dyDescent="0.2">
      <c r="A804" s="384"/>
      <c r="B804" s="384"/>
      <c r="C804" s="384"/>
      <c r="D804" s="384"/>
      <c r="E804" s="384"/>
      <c r="F804" s="384"/>
      <c r="G804" s="384"/>
      <c r="H804" s="384"/>
      <c r="I804" s="384"/>
      <c r="J804" s="384"/>
      <c r="K804" s="384"/>
      <c r="L804" s="384"/>
      <c r="M804" s="384"/>
      <c r="N804" s="384"/>
      <c r="O804" s="384"/>
      <c r="P804" s="384"/>
      <c r="Q804" s="384"/>
      <c r="R804" s="384"/>
      <c r="S804" s="384"/>
      <c r="T804" s="384"/>
      <c r="U804" s="384"/>
      <c r="V804" s="384"/>
      <c r="W804" s="384"/>
      <c r="X804" s="384"/>
      <c r="Y804" s="384"/>
      <c r="Z804" s="384"/>
      <c r="AA804" s="384"/>
    </row>
    <row r="805" spans="1:27" x14ac:dyDescent="0.2">
      <c r="A805" s="384"/>
      <c r="B805" s="384"/>
      <c r="C805" s="384"/>
      <c r="D805" s="384"/>
      <c r="E805" s="384"/>
      <c r="F805" s="384"/>
      <c r="G805" s="384"/>
      <c r="H805" s="384"/>
      <c r="I805" s="384"/>
      <c r="J805" s="384"/>
      <c r="K805" s="384"/>
      <c r="L805" s="384"/>
      <c r="M805" s="384"/>
      <c r="N805" s="384"/>
      <c r="O805" s="384"/>
      <c r="P805" s="384"/>
      <c r="Q805" s="384"/>
      <c r="R805" s="384"/>
      <c r="S805" s="384"/>
      <c r="T805" s="384"/>
      <c r="U805" s="384"/>
      <c r="V805" s="384"/>
      <c r="W805" s="384"/>
      <c r="X805" s="384"/>
      <c r="Y805" s="384"/>
      <c r="Z805" s="384"/>
      <c r="AA805" s="384"/>
    </row>
    <row r="806" spans="1:27" x14ac:dyDescent="0.2">
      <c r="A806" s="384"/>
      <c r="B806" s="384"/>
      <c r="C806" s="384"/>
      <c r="D806" s="384"/>
      <c r="E806" s="384"/>
      <c r="F806" s="384"/>
      <c r="G806" s="384"/>
      <c r="H806" s="384"/>
      <c r="I806" s="384"/>
      <c r="J806" s="384"/>
      <c r="K806" s="384"/>
      <c r="L806" s="384"/>
      <c r="M806" s="384"/>
      <c r="N806" s="384"/>
      <c r="O806" s="384"/>
      <c r="P806" s="384"/>
      <c r="Q806" s="384"/>
      <c r="R806" s="384"/>
      <c r="S806" s="384"/>
      <c r="T806" s="384"/>
      <c r="U806" s="384"/>
      <c r="V806" s="384"/>
      <c r="W806" s="384"/>
      <c r="X806" s="384"/>
      <c r="Y806" s="384"/>
      <c r="Z806" s="384"/>
      <c r="AA806" s="384"/>
    </row>
    <row r="807" spans="1:27" x14ac:dyDescent="0.2">
      <c r="A807" s="384"/>
      <c r="B807" s="384"/>
      <c r="C807" s="384"/>
      <c r="D807" s="384"/>
      <c r="E807" s="384"/>
      <c r="F807" s="384"/>
      <c r="G807" s="384"/>
      <c r="H807" s="384"/>
      <c r="I807" s="384"/>
      <c r="J807" s="384"/>
      <c r="K807" s="384"/>
      <c r="L807" s="384"/>
      <c r="M807" s="384"/>
      <c r="N807" s="384"/>
      <c r="O807" s="384"/>
      <c r="P807" s="384"/>
      <c r="Q807" s="384"/>
      <c r="R807" s="384"/>
      <c r="S807" s="384"/>
      <c r="T807" s="384"/>
      <c r="U807" s="384"/>
      <c r="V807" s="384"/>
      <c r="W807" s="384"/>
      <c r="X807" s="384"/>
      <c r="Y807" s="384"/>
      <c r="Z807" s="384"/>
      <c r="AA807" s="384"/>
    </row>
    <row r="808" spans="1:27" x14ac:dyDescent="0.2">
      <c r="A808" s="384"/>
      <c r="B808" s="384"/>
      <c r="C808" s="384"/>
      <c r="D808" s="384"/>
      <c r="E808" s="384"/>
      <c r="F808" s="384"/>
      <c r="G808" s="384"/>
      <c r="H808" s="384"/>
      <c r="I808" s="384"/>
      <c r="J808" s="384"/>
      <c r="K808" s="384"/>
      <c r="L808" s="384"/>
      <c r="M808" s="384"/>
      <c r="N808" s="384"/>
      <c r="O808" s="384"/>
      <c r="P808" s="384"/>
      <c r="Q808" s="384"/>
      <c r="R808" s="384"/>
      <c r="S808" s="384"/>
      <c r="T808" s="384"/>
      <c r="U808" s="384"/>
      <c r="V808" s="384"/>
      <c r="W808" s="384"/>
      <c r="X808" s="384"/>
      <c r="Y808" s="384"/>
      <c r="Z808" s="384"/>
      <c r="AA808" s="384"/>
    </row>
    <row r="809" spans="1:27" x14ac:dyDescent="0.2">
      <c r="A809" s="384"/>
      <c r="B809" s="384"/>
      <c r="C809" s="384"/>
      <c r="D809" s="384"/>
      <c r="E809" s="384"/>
      <c r="F809" s="384"/>
      <c r="G809" s="384"/>
      <c r="H809" s="384"/>
      <c r="I809" s="384"/>
      <c r="J809" s="384"/>
      <c r="K809" s="384"/>
      <c r="L809" s="384"/>
      <c r="M809" s="384"/>
      <c r="N809" s="384"/>
      <c r="O809" s="384"/>
      <c r="P809" s="384"/>
      <c r="Q809" s="384"/>
      <c r="R809" s="384"/>
      <c r="S809" s="384"/>
      <c r="T809" s="384"/>
      <c r="U809" s="384"/>
      <c r="V809" s="384"/>
      <c r="W809" s="384"/>
      <c r="X809" s="384"/>
      <c r="Y809" s="384"/>
      <c r="Z809" s="384"/>
      <c r="AA809" s="384"/>
    </row>
    <row r="810" spans="1:27" x14ac:dyDescent="0.2">
      <c r="A810" s="384"/>
      <c r="B810" s="384"/>
      <c r="C810" s="384"/>
      <c r="D810" s="384"/>
      <c r="E810" s="384"/>
      <c r="F810" s="384"/>
      <c r="G810" s="384"/>
      <c r="H810" s="384"/>
      <c r="I810" s="384"/>
      <c r="J810" s="384"/>
      <c r="K810" s="384"/>
      <c r="L810" s="384"/>
      <c r="M810" s="384"/>
      <c r="N810" s="384"/>
      <c r="O810" s="384"/>
      <c r="P810" s="384"/>
      <c r="Q810" s="384"/>
      <c r="R810" s="384"/>
      <c r="S810" s="384"/>
      <c r="T810" s="384"/>
      <c r="U810" s="384"/>
      <c r="V810" s="384"/>
      <c r="W810" s="384"/>
      <c r="X810" s="384"/>
      <c r="Y810" s="384"/>
      <c r="Z810" s="384"/>
      <c r="AA810" s="384"/>
    </row>
    <row r="811" spans="1:27" x14ac:dyDescent="0.2">
      <c r="A811" s="384"/>
      <c r="B811" s="384"/>
      <c r="C811" s="384"/>
      <c r="D811" s="384"/>
      <c r="E811" s="384"/>
      <c r="F811" s="384"/>
      <c r="G811" s="384"/>
      <c r="H811" s="384"/>
      <c r="I811" s="384"/>
      <c r="J811" s="384"/>
      <c r="K811" s="384"/>
      <c r="L811" s="384"/>
      <c r="M811" s="384"/>
      <c r="N811" s="384"/>
      <c r="O811" s="384"/>
      <c r="P811" s="384"/>
      <c r="Q811" s="384"/>
      <c r="R811" s="384"/>
      <c r="S811" s="384"/>
      <c r="T811" s="384"/>
      <c r="U811" s="384"/>
      <c r="V811" s="384"/>
      <c r="W811" s="384"/>
      <c r="X811" s="384"/>
      <c r="Y811" s="384"/>
      <c r="Z811" s="384"/>
      <c r="AA811" s="384"/>
    </row>
    <row r="812" spans="1:27" x14ac:dyDescent="0.2">
      <c r="A812" s="384"/>
      <c r="B812" s="384"/>
      <c r="C812" s="384"/>
      <c r="D812" s="384"/>
      <c r="E812" s="384"/>
      <c r="F812" s="384"/>
      <c r="G812" s="384"/>
      <c r="H812" s="384"/>
      <c r="I812" s="384"/>
      <c r="J812" s="384"/>
      <c r="K812" s="384"/>
      <c r="L812" s="384"/>
      <c r="M812" s="384"/>
      <c r="N812" s="384"/>
      <c r="O812" s="384"/>
      <c r="P812" s="384"/>
      <c r="Q812" s="384"/>
      <c r="R812" s="384"/>
      <c r="S812" s="384"/>
      <c r="T812" s="384"/>
      <c r="U812" s="384"/>
      <c r="V812" s="384"/>
      <c r="W812" s="384"/>
      <c r="X812" s="384"/>
      <c r="Y812" s="384"/>
      <c r="Z812" s="384"/>
      <c r="AA812" s="384"/>
    </row>
    <row r="813" spans="1:27" x14ac:dyDescent="0.2">
      <c r="A813" s="384"/>
      <c r="B813" s="384"/>
      <c r="C813" s="384"/>
      <c r="D813" s="384"/>
      <c r="E813" s="384"/>
      <c r="F813" s="384"/>
      <c r="G813" s="384"/>
      <c r="H813" s="384"/>
      <c r="I813" s="384"/>
      <c r="J813" s="384"/>
      <c r="K813" s="384"/>
      <c r="L813" s="384"/>
      <c r="M813" s="384"/>
      <c r="N813" s="384"/>
      <c r="O813" s="384"/>
      <c r="P813" s="384"/>
      <c r="Q813" s="384"/>
      <c r="R813" s="384"/>
      <c r="S813" s="384"/>
      <c r="T813" s="384"/>
      <c r="U813" s="384"/>
      <c r="V813" s="384"/>
      <c r="W813" s="384"/>
      <c r="X813" s="384"/>
      <c r="Y813" s="384"/>
      <c r="Z813" s="384"/>
      <c r="AA813" s="384"/>
    </row>
    <row r="814" spans="1:27" x14ac:dyDescent="0.2">
      <c r="A814" s="384"/>
      <c r="B814" s="384"/>
      <c r="C814" s="384"/>
      <c r="D814" s="384"/>
      <c r="E814" s="384"/>
      <c r="F814" s="384"/>
      <c r="G814" s="384"/>
      <c r="H814" s="384"/>
      <c r="I814" s="384"/>
      <c r="J814" s="384"/>
      <c r="K814" s="384"/>
      <c r="L814" s="384"/>
      <c r="M814" s="384"/>
      <c r="N814" s="384"/>
      <c r="O814" s="384"/>
      <c r="P814" s="384"/>
      <c r="Q814" s="384"/>
      <c r="R814" s="384"/>
      <c r="S814" s="384"/>
      <c r="T814" s="384"/>
      <c r="U814" s="384"/>
      <c r="V814" s="384"/>
      <c r="W814" s="384"/>
      <c r="X814" s="384"/>
      <c r="Y814" s="384"/>
      <c r="Z814" s="384"/>
      <c r="AA814" s="384"/>
    </row>
    <row r="815" spans="1:27" x14ac:dyDescent="0.2">
      <c r="A815" s="384"/>
      <c r="B815" s="384"/>
      <c r="C815" s="384"/>
      <c r="D815" s="384"/>
      <c r="E815" s="384"/>
      <c r="F815" s="384"/>
      <c r="G815" s="384"/>
      <c r="H815" s="384"/>
      <c r="I815" s="384"/>
      <c r="J815" s="384"/>
      <c r="K815" s="384"/>
      <c r="L815" s="384"/>
      <c r="M815" s="384"/>
      <c r="N815" s="384"/>
      <c r="O815" s="384"/>
      <c r="P815" s="384"/>
      <c r="Q815" s="384"/>
      <c r="R815" s="384"/>
      <c r="S815" s="384"/>
      <c r="T815" s="384"/>
      <c r="U815" s="384"/>
      <c r="V815" s="384"/>
      <c r="W815" s="384"/>
      <c r="X815" s="384"/>
      <c r="Y815" s="384"/>
      <c r="Z815" s="384"/>
      <c r="AA815" s="384"/>
    </row>
    <row r="816" spans="1:27" x14ac:dyDescent="0.2">
      <c r="A816" s="384"/>
      <c r="B816" s="384"/>
      <c r="C816" s="384"/>
      <c r="D816" s="384"/>
      <c r="E816" s="384"/>
      <c r="F816" s="384"/>
      <c r="G816" s="384"/>
      <c r="H816" s="384"/>
      <c r="I816" s="384"/>
      <c r="J816" s="384"/>
      <c r="K816" s="384"/>
      <c r="L816" s="384"/>
      <c r="M816" s="384"/>
      <c r="N816" s="384"/>
      <c r="O816" s="384"/>
      <c r="P816" s="384"/>
      <c r="Q816" s="384"/>
      <c r="R816" s="384"/>
      <c r="S816" s="384"/>
      <c r="T816" s="384"/>
      <c r="U816" s="384"/>
      <c r="V816" s="384"/>
      <c r="W816" s="384"/>
      <c r="X816" s="384"/>
      <c r="Y816" s="384"/>
      <c r="Z816" s="384"/>
      <c r="AA816" s="384"/>
    </row>
    <row r="817" spans="1:27" x14ac:dyDescent="0.2">
      <c r="A817" s="384"/>
      <c r="B817" s="384"/>
      <c r="C817" s="384"/>
      <c r="D817" s="384"/>
      <c r="E817" s="384"/>
      <c r="F817" s="384"/>
      <c r="G817" s="384"/>
      <c r="H817" s="384"/>
      <c r="I817" s="384"/>
      <c r="J817" s="384"/>
      <c r="K817" s="384"/>
      <c r="L817" s="384"/>
      <c r="M817" s="384"/>
      <c r="N817" s="384"/>
      <c r="O817" s="384"/>
      <c r="P817" s="384"/>
      <c r="Q817" s="384"/>
      <c r="R817" s="384"/>
      <c r="S817" s="384"/>
      <c r="T817" s="384"/>
      <c r="U817" s="384"/>
      <c r="V817" s="384"/>
      <c r="W817" s="384"/>
      <c r="X817" s="384"/>
      <c r="Y817" s="384"/>
      <c r="Z817" s="384"/>
      <c r="AA817" s="384"/>
    </row>
    <row r="818" spans="1:27" x14ac:dyDescent="0.2">
      <c r="A818" s="384"/>
      <c r="B818" s="384"/>
      <c r="C818" s="384"/>
      <c r="D818" s="384"/>
      <c r="E818" s="384"/>
      <c r="F818" s="384"/>
      <c r="G818" s="384"/>
      <c r="H818" s="384"/>
      <c r="I818" s="384"/>
      <c r="J818" s="384"/>
      <c r="K818" s="384"/>
      <c r="L818" s="384"/>
      <c r="M818" s="384"/>
      <c r="N818" s="384"/>
      <c r="O818" s="384"/>
      <c r="P818" s="384"/>
      <c r="Q818" s="384"/>
      <c r="R818" s="384"/>
      <c r="S818" s="384"/>
      <c r="T818" s="384"/>
      <c r="U818" s="384"/>
      <c r="V818" s="384"/>
      <c r="W818" s="384"/>
      <c r="X818" s="384"/>
      <c r="Y818" s="384"/>
      <c r="Z818" s="384"/>
      <c r="AA818" s="384"/>
    </row>
    <row r="819" spans="1:27" x14ac:dyDescent="0.2">
      <c r="A819" s="384"/>
      <c r="B819" s="384"/>
      <c r="C819" s="384"/>
      <c r="D819" s="384"/>
      <c r="E819" s="384"/>
      <c r="F819" s="384"/>
      <c r="G819" s="384"/>
      <c r="H819" s="384"/>
      <c r="I819" s="384"/>
      <c r="J819" s="384"/>
      <c r="K819" s="384"/>
      <c r="L819" s="384"/>
      <c r="M819" s="384"/>
      <c r="N819" s="384"/>
      <c r="O819" s="384"/>
      <c r="P819" s="384"/>
      <c r="Q819" s="384"/>
      <c r="R819" s="384"/>
      <c r="S819" s="384"/>
      <c r="T819" s="384"/>
      <c r="U819" s="384"/>
      <c r="V819" s="384"/>
      <c r="W819" s="384"/>
      <c r="X819" s="384"/>
      <c r="Y819" s="384"/>
      <c r="Z819" s="384"/>
      <c r="AA819" s="384"/>
    </row>
    <row r="820" spans="1:27" x14ac:dyDescent="0.2">
      <c r="A820" s="384"/>
      <c r="B820" s="384"/>
      <c r="C820" s="384"/>
      <c r="D820" s="384"/>
      <c r="E820" s="384"/>
      <c r="F820" s="384"/>
      <c r="G820" s="384"/>
      <c r="H820" s="384"/>
      <c r="I820" s="384"/>
      <c r="J820" s="384"/>
      <c r="K820" s="384"/>
      <c r="L820" s="384"/>
      <c r="M820" s="384"/>
      <c r="N820" s="384"/>
      <c r="O820" s="384"/>
      <c r="P820" s="384"/>
      <c r="Q820" s="384"/>
      <c r="R820" s="384"/>
      <c r="S820" s="384"/>
      <c r="T820" s="384"/>
      <c r="U820" s="384"/>
      <c r="V820" s="384"/>
      <c r="W820" s="384"/>
      <c r="X820" s="384"/>
      <c r="Y820" s="384"/>
      <c r="Z820" s="384"/>
      <c r="AA820" s="384"/>
    </row>
    <row r="821" spans="1:27" x14ac:dyDescent="0.2">
      <c r="A821" s="384"/>
      <c r="B821" s="384"/>
      <c r="C821" s="384"/>
      <c r="D821" s="384"/>
      <c r="E821" s="384"/>
      <c r="F821" s="384"/>
      <c r="G821" s="384"/>
      <c r="H821" s="384"/>
      <c r="I821" s="384"/>
      <c r="J821" s="384"/>
      <c r="K821" s="384"/>
      <c r="L821" s="384"/>
      <c r="M821" s="384"/>
      <c r="N821" s="384"/>
      <c r="O821" s="384"/>
      <c r="P821" s="384"/>
      <c r="Q821" s="384"/>
      <c r="R821" s="384"/>
      <c r="S821" s="384"/>
      <c r="T821" s="384"/>
      <c r="U821" s="384"/>
      <c r="V821" s="384"/>
      <c r="W821" s="384"/>
      <c r="X821" s="384"/>
      <c r="Y821" s="384"/>
      <c r="Z821" s="384"/>
      <c r="AA821" s="384"/>
    </row>
    <row r="822" spans="1:27" x14ac:dyDescent="0.2">
      <c r="A822" s="384"/>
      <c r="B822" s="384"/>
      <c r="C822" s="384"/>
      <c r="D822" s="384"/>
      <c r="E822" s="384"/>
      <c r="F822" s="384"/>
      <c r="G822" s="384"/>
      <c r="H822" s="384"/>
      <c r="I822" s="384"/>
      <c r="J822" s="384"/>
      <c r="K822" s="384"/>
      <c r="L822" s="384"/>
      <c r="M822" s="384"/>
      <c r="N822" s="384"/>
      <c r="O822" s="384"/>
      <c r="P822" s="384"/>
      <c r="Q822" s="384"/>
      <c r="R822" s="384"/>
      <c r="S822" s="384"/>
      <c r="T822" s="384"/>
      <c r="U822" s="384"/>
      <c r="V822" s="384"/>
      <c r="W822" s="384"/>
      <c r="X822" s="384"/>
      <c r="Y822" s="384"/>
      <c r="Z822" s="384"/>
      <c r="AA822" s="384"/>
    </row>
    <row r="823" spans="1:27" x14ac:dyDescent="0.2">
      <c r="A823" s="384"/>
      <c r="B823" s="384"/>
      <c r="C823" s="384"/>
      <c r="D823" s="384"/>
      <c r="E823" s="384"/>
      <c r="F823" s="384"/>
      <c r="G823" s="384"/>
      <c r="H823" s="384"/>
      <c r="I823" s="384"/>
      <c r="J823" s="384"/>
      <c r="K823" s="384"/>
      <c r="L823" s="384"/>
      <c r="M823" s="384"/>
      <c r="N823" s="384"/>
      <c r="O823" s="384"/>
      <c r="P823" s="384"/>
      <c r="Q823" s="384"/>
      <c r="R823" s="384"/>
      <c r="S823" s="384"/>
      <c r="T823" s="384"/>
      <c r="U823" s="384"/>
      <c r="V823" s="384"/>
      <c r="W823" s="384"/>
      <c r="X823" s="384"/>
      <c r="Y823" s="384"/>
      <c r="Z823" s="384"/>
      <c r="AA823" s="384"/>
    </row>
    <row r="824" spans="1:27" x14ac:dyDescent="0.2">
      <c r="A824" s="384"/>
      <c r="B824" s="384"/>
      <c r="C824" s="384"/>
      <c r="D824" s="384"/>
      <c r="E824" s="384"/>
      <c r="F824" s="384"/>
      <c r="G824" s="384"/>
      <c r="H824" s="384"/>
      <c r="I824" s="384"/>
      <c r="J824" s="384"/>
      <c r="K824" s="384"/>
      <c r="L824" s="384"/>
      <c r="M824" s="384"/>
      <c r="N824" s="384"/>
      <c r="O824" s="384"/>
      <c r="P824" s="384"/>
      <c r="Q824" s="384"/>
      <c r="R824" s="384"/>
      <c r="S824" s="384"/>
      <c r="T824" s="384"/>
      <c r="U824" s="384"/>
      <c r="V824" s="384"/>
      <c r="W824" s="384"/>
      <c r="X824" s="384"/>
      <c r="Y824" s="384"/>
      <c r="Z824" s="384"/>
      <c r="AA824" s="384"/>
    </row>
    <row r="825" spans="1:27" x14ac:dyDescent="0.2">
      <c r="A825" s="384"/>
      <c r="B825" s="384"/>
      <c r="C825" s="384"/>
      <c r="D825" s="384"/>
      <c r="E825" s="384"/>
      <c r="F825" s="384"/>
      <c r="G825" s="384"/>
      <c r="H825" s="384"/>
      <c r="I825" s="384"/>
      <c r="J825" s="384"/>
      <c r="K825" s="384"/>
      <c r="L825" s="384"/>
      <c r="M825" s="384"/>
      <c r="N825" s="384"/>
      <c r="O825" s="384"/>
      <c r="P825" s="384"/>
      <c r="Q825" s="384"/>
      <c r="R825" s="384"/>
      <c r="S825" s="384"/>
      <c r="T825" s="384"/>
      <c r="U825" s="384"/>
      <c r="V825" s="384"/>
      <c r="W825" s="384"/>
      <c r="X825" s="384"/>
      <c r="Y825" s="384"/>
      <c r="Z825" s="384"/>
      <c r="AA825" s="384"/>
    </row>
    <row r="826" spans="1:27" x14ac:dyDescent="0.2">
      <c r="A826" s="384"/>
      <c r="B826" s="384"/>
      <c r="C826" s="384"/>
      <c r="D826" s="384"/>
      <c r="E826" s="384"/>
      <c r="F826" s="384"/>
      <c r="G826" s="384"/>
      <c r="H826" s="384"/>
      <c r="I826" s="384"/>
      <c r="J826" s="384"/>
      <c r="K826" s="384"/>
      <c r="L826" s="384"/>
      <c r="M826" s="384"/>
      <c r="N826" s="384"/>
      <c r="O826" s="384"/>
      <c r="P826" s="384"/>
      <c r="Q826" s="384"/>
      <c r="R826" s="384"/>
      <c r="S826" s="384"/>
      <c r="T826" s="384"/>
      <c r="U826" s="384"/>
      <c r="V826" s="384"/>
      <c r="W826" s="384"/>
      <c r="X826" s="384"/>
      <c r="Y826" s="384"/>
      <c r="Z826" s="384"/>
      <c r="AA826" s="384"/>
    </row>
    <row r="827" spans="1:27" x14ac:dyDescent="0.2">
      <c r="A827" s="384"/>
      <c r="B827" s="384"/>
      <c r="C827" s="384"/>
      <c r="D827" s="384"/>
      <c r="E827" s="384"/>
      <c r="F827" s="384"/>
      <c r="G827" s="384"/>
      <c r="H827" s="384"/>
      <c r="I827" s="384"/>
      <c r="J827" s="384"/>
      <c r="K827" s="384"/>
      <c r="L827" s="384"/>
      <c r="M827" s="384"/>
      <c r="N827" s="384"/>
      <c r="O827" s="384"/>
      <c r="P827" s="384"/>
      <c r="Q827" s="384"/>
      <c r="R827" s="384"/>
      <c r="S827" s="384"/>
      <c r="T827" s="384"/>
      <c r="U827" s="384"/>
      <c r="V827" s="384"/>
      <c r="W827" s="384"/>
      <c r="X827" s="384"/>
      <c r="Y827" s="384"/>
      <c r="Z827" s="384"/>
      <c r="AA827" s="384"/>
    </row>
    <row r="828" spans="1:27" x14ac:dyDescent="0.2">
      <c r="A828" s="384"/>
      <c r="B828" s="384"/>
      <c r="C828" s="384"/>
      <c r="D828" s="384"/>
      <c r="E828" s="384"/>
      <c r="F828" s="384"/>
      <c r="G828" s="384"/>
      <c r="H828" s="384"/>
      <c r="I828" s="384"/>
      <c r="J828" s="384"/>
      <c r="K828" s="384"/>
      <c r="L828" s="384"/>
      <c r="M828" s="384"/>
      <c r="N828" s="384"/>
      <c r="O828" s="384"/>
      <c r="P828" s="384"/>
      <c r="Q828" s="384"/>
      <c r="R828" s="384"/>
      <c r="S828" s="384"/>
      <c r="T828" s="384"/>
      <c r="U828" s="384"/>
      <c r="V828" s="384"/>
      <c r="W828" s="384"/>
      <c r="X828" s="384"/>
      <c r="Y828" s="384"/>
      <c r="Z828" s="384"/>
      <c r="AA828" s="384"/>
    </row>
    <row r="829" spans="1:27" x14ac:dyDescent="0.2">
      <c r="A829" s="384"/>
      <c r="B829" s="384"/>
      <c r="C829" s="384"/>
      <c r="D829" s="384"/>
      <c r="E829" s="384"/>
      <c r="F829" s="384"/>
      <c r="G829" s="384"/>
      <c r="H829" s="384"/>
      <c r="I829" s="384"/>
      <c r="J829" s="384"/>
      <c r="K829" s="384"/>
      <c r="L829" s="384"/>
      <c r="M829" s="384"/>
      <c r="N829" s="384"/>
      <c r="O829" s="384"/>
      <c r="P829" s="384"/>
      <c r="Q829" s="384"/>
      <c r="R829" s="384"/>
      <c r="S829" s="384"/>
      <c r="T829" s="384"/>
      <c r="U829" s="384"/>
      <c r="V829" s="384"/>
      <c r="W829" s="384"/>
      <c r="X829" s="384"/>
      <c r="Y829" s="384"/>
      <c r="Z829" s="384"/>
      <c r="AA829" s="384"/>
    </row>
    <row r="830" spans="1:27" x14ac:dyDescent="0.2">
      <c r="A830" s="384"/>
      <c r="B830" s="384"/>
      <c r="C830" s="384"/>
      <c r="D830" s="384"/>
      <c r="E830" s="384"/>
      <c r="F830" s="384"/>
      <c r="G830" s="384"/>
      <c r="H830" s="384"/>
      <c r="I830" s="384"/>
      <c r="J830" s="384"/>
      <c r="K830" s="384"/>
      <c r="L830" s="384"/>
      <c r="M830" s="384"/>
      <c r="N830" s="384"/>
      <c r="O830" s="384"/>
      <c r="P830" s="384"/>
      <c r="Q830" s="384"/>
      <c r="R830" s="384"/>
      <c r="S830" s="384"/>
      <c r="T830" s="384"/>
      <c r="U830" s="384"/>
      <c r="V830" s="384"/>
      <c r="W830" s="384"/>
      <c r="X830" s="384"/>
      <c r="Y830" s="384"/>
      <c r="Z830" s="384"/>
      <c r="AA830" s="384"/>
    </row>
    <row r="831" spans="1:27" x14ac:dyDescent="0.2">
      <c r="A831" s="384"/>
      <c r="B831" s="384"/>
      <c r="C831" s="384"/>
      <c r="D831" s="384"/>
      <c r="E831" s="384"/>
      <c r="F831" s="384"/>
      <c r="G831" s="384"/>
      <c r="H831" s="384"/>
      <c r="I831" s="384"/>
      <c r="J831" s="384"/>
      <c r="K831" s="384"/>
      <c r="L831" s="384"/>
      <c r="M831" s="384"/>
      <c r="N831" s="384"/>
      <c r="O831" s="384"/>
      <c r="P831" s="384"/>
      <c r="Q831" s="384"/>
      <c r="R831" s="384"/>
      <c r="S831" s="384"/>
      <c r="T831" s="384"/>
      <c r="U831" s="384"/>
      <c r="V831" s="384"/>
      <c r="W831" s="384"/>
      <c r="X831" s="384"/>
      <c r="Y831" s="384"/>
      <c r="Z831" s="384"/>
      <c r="AA831" s="384"/>
    </row>
    <row r="832" spans="1:27" x14ac:dyDescent="0.2">
      <c r="A832" s="384"/>
      <c r="B832" s="384"/>
      <c r="C832" s="384"/>
      <c r="D832" s="384"/>
      <c r="E832" s="384"/>
      <c r="F832" s="384"/>
      <c r="G832" s="384"/>
      <c r="H832" s="384"/>
      <c r="I832" s="384"/>
      <c r="J832" s="384"/>
      <c r="K832" s="384"/>
      <c r="L832" s="384"/>
      <c r="M832" s="384"/>
      <c r="N832" s="384"/>
      <c r="O832" s="384"/>
      <c r="P832" s="384"/>
      <c r="Q832" s="384"/>
      <c r="R832" s="384"/>
      <c r="S832" s="384"/>
      <c r="T832" s="384"/>
      <c r="U832" s="384"/>
      <c r="V832" s="384"/>
      <c r="W832" s="384"/>
      <c r="X832" s="384"/>
      <c r="Y832" s="384"/>
      <c r="Z832" s="384"/>
      <c r="AA832" s="384"/>
    </row>
    <row r="833" spans="1:27" x14ac:dyDescent="0.2">
      <c r="A833" s="384"/>
      <c r="B833" s="384"/>
      <c r="C833" s="384"/>
      <c r="D833" s="384"/>
      <c r="E833" s="384"/>
      <c r="F833" s="384"/>
      <c r="G833" s="384"/>
      <c r="H833" s="384"/>
      <c r="I833" s="384"/>
      <c r="J833" s="384"/>
      <c r="K833" s="384"/>
      <c r="L833" s="384"/>
      <c r="M833" s="384"/>
      <c r="N833" s="384"/>
      <c r="O833" s="384"/>
      <c r="P833" s="384"/>
      <c r="Q833" s="384"/>
      <c r="R833" s="384"/>
      <c r="S833" s="384"/>
      <c r="T833" s="384"/>
      <c r="U833" s="384"/>
      <c r="V833" s="384"/>
      <c r="W833" s="384"/>
      <c r="X833" s="384"/>
      <c r="Y833" s="384"/>
      <c r="Z833" s="384"/>
      <c r="AA833" s="384"/>
    </row>
    <row r="834" spans="1:27" x14ac:dyDescent="0.2">
      <c r="A834" s="384"/>
      <c r="B834" s="384"/>
      <c r="C834" s="384"/>
      <c r="D834" s="384"/>
      <c r="E834" s="384"/>
      <c r="F834" s="384"/>
      <c r="G834" s="384"/>
      <c r="H834" s="384"/>
      <c r="I834" s="384"/>
      <c r="J834" s="384"/>
      <c r="K834" s="384"/>
      <c r="L834" s="384"/>
      <c r="M834" s="384"/>
      <c r="N834" s="384"/>
      <c r="O834" s="384"/>
      <c r="P834" s="384"/>
      <c r="Q834" s="384"/>
      <c r="R834" s="384"/>
      <c r="S834" s="384"/>
      <c r="T834" s="384"/>
      <c r="U834" s="384"/>
      <c r="V834" s="384"/>
      <c r="W834" s="384"/>
      <c r="X834" s="384"/>
      <c r="Y834" s="384"/>
      <c r="Z834" s="384"/>
      <c r="AA834" s="384"/>
    </row>
    <row r="835" spans="1:27" x14ac:dyDescent="0.2">
      <c r="A835" s="384"/>
      <c r="B835" s="384"/>
      <c r="C835" s="384"/>
      <c r="D835" s="384"/>
      <c r="E835" s="384"/>
      <c r="F835" s="384"/>
      <c r="G835" s="384"/>
      <c r="H835" s="384"/>
      <c r="I835" s="384"/>
      <c r="J835" s="384"/>
      <c r="K835" s="384"/>
      <c r="L835" s="384"/>
      <c r="M835" s="384"/>
      <c r="N835" s="384"/>
      <c r="O835" s="384"/>
      <c r="P835" s="384"/>
      <c r="Q835" s="384"/>
      <c r="R835" s="384"/>
      <c r="S835" s="384"/>
      <c r="T835" s="384"/>
      <c r="U835" s="384"/>
      <c r="V835" s="384"/>
      <c r="W835" s="384"/>
      <c r="X835" s="384"/>
      <c r="Y835" s="384"/>
      <c r="Z835" s="384"/>
      <c r="AA835" s="384"/>
    </row>
    <row r="836" spans="1:27" x14ac:dyDescent="0.2">
      <c r="A836" s="384"/>
      <c r="B836" s="384"/>
      <c r="C836" s="384"/>
      <c r="D836" s="384"/>
      <c r="E836" s="384"/>
      <c r="F836" s="384"/>
      <c r="G836" s="384"/>
      <c r="H836" s="384"/>
      <c r="I836" s="384"/>
      <c r="J836" s="384"/>
      <c r="K836" s="384"/>
      <c r="L836" s="384"/>
      <c r="M836" s="384"/>
      <c r="N836" s="384"/>
      <c r="O836" s="384"/>
      <c r="P836" s="384"/>
      <c r="Q836" s="384"/>
      <c r="R836" s="384"/>
      <c r="S836" s="384"/>
      <c r="T836" s="384"/>
      <c r="U836" s="384"/>
      <c r="V836" s="384"/>
      <c r="W836" s="384"/>
      <c r="X836" s="384"/>
      <c r="Y836" s="384"/>
      <c r="Z836" s="384"/>
      <c r="AA836" s="384"/>
    </row>
    <row r="837" spans="1:27" x14ac:dyDescent="0.2">
      <c r="A837" s="384"/>
      <c r="B837" s="384"/>
      <c r="C837" s="384"/>
      <c r="D837" s="384"/>
      <c r="E837" s="384"/>
      <c r="F837" s="384"/>
      <c r="G837" s="384"/>
      <c r="H837" s="384"/>
      <c r="I837" s="384"/>
      <c r="J837" s="384"/>
      <c r="K837" s="384"/>
      <c r="L837" s="384"/>
      <c r="M837" s="384"/>
      <c r="N837" s="384"/>
      <c r="O837" s="384"/>
      <c r="P837" s="384"/>
      <c r="Q837" s="384"/>
      <c r="R837" s="384"/>
      <c r="S837" s="384"/>
      <c r="T837" s="384"/>
      <c r="U837" s="384"/>
      <c r="V837" s="384"/>
      <c r="W837" s="384"/>
      <c r="X837" s="384"/>
      <c r="Y837" s="384"/>
      <c r="Z837" s="384"/>
      <c r="AA837" s="384"/>
    </row>
    <row r="838" spans="1:27" x14ac:dyDescent="0.2">
      <c r="A838" s="384"/>
      <c r="B838" s="384"/>
      <c r="C838" s="384"/>
      <c r="D838" s="384"/>
      <c r="E838" s="384"/>
      <c r="F838" s="384"/>
      <c r="G838" s="384"/>
      <c r="H838" s="384"/>
      <c r="I838" s="384"/>
      <c r="J838" s="384"/>
      <c r="K838" s="384"/>
      <c r="L838" s="384"/>
      <c r="M838" s="384"/>
      <c r="N838" s="384"/>
      <c r="O838" s="384"/>
      <c r="P838" s="384"/>
      <c r="Q838" s="384"/>
      <c r="R838" s="384"/>
      <c r="S838" s="384"/>
      <c r="T838" s="384"/>
      <c r="U838" s="384"/>
      <c r="V838" s="384"/>
      <c r="W838" s="384"/>
      <c r="X838" s="384"/>
      <c r="Y838" s="384"/>
      <c r="Z838" s="384"/>
      <c r="AA838" s="384"/>
    </row>
    <row r="839" spans="1:27" x14ac:dyDescent="0.2">
      <c r="A839" s="384"/>
      <c r="B839" s="384"/>
      <c r="C839" s="384"/>
      <c r="D839" s="384"/>
      <c r="E839" s="384"/>
      <c r="F839" s="384"/>
      <c r="G839" s="384"/>
      <c r="H839" s="384"/>
      <c r="I839" s="384"/>
      <c r="J839" s="384"/>
      <c r="K839" s="384"/>
      <c r="L839" s="384"/>
      <c r="M839" s="384"/>
      <c r="N839" s="384"/>
      <c r="O839" s="384"/>
      <c r="P839" s="384"/>
      <c r="Q839" s="384"/>
      <c r="R839" s="384"/>
      <c r="S839" s="384"/>
      <c r="T839" s="384"/>
      <c r="U839" s="384"/>
      <c r="V839" s="384"/>
      <c r="W839" s="384"/>
      <c r="X839" s="384"/>
      <c r="Y839" s="384"/>
      <c r="Z839" s="384"/>
      <c r="AA839" s="384"/>
    </row>
    <row r="840" spans="1:27" x14ac:dyDescent="0.2">
      <c r="A840" s="384"/>
      <c r="B840" s="384"/>
      <c r="C840" s="384"/>
      <c r="D840" s="384"/>
      <c r="E840" s="384"/>
      <c r="F840" s="384"/>
      <c r="G840" s="384"/>
      <c r="H840" s="384"/>
      <c r="I840" s="384"/>
      <c r="J840" s="384"/>
      <c r="K840" s="384"/>
      <c r="L840" s="384"/>
      <c r="M840" s="384"/>
      <c r="N840" s="384"/>
      <c r="O840" s="384"/>
      <c r="P840" s="384"/>
      <c r="Q840" s="384"/>
      <c r="R840" s="384"/>
      <c r="S840" s="384"/>
      <c r="T840" s="384"/>
      <c r="U840" s="384"/>
      <c r="V840" s="384"/>
      <c r="W840" s="384"/>
      <c r="X840" s="384"/>
      <c r="Y840" s="384"/>
      <c r="Z840" s="384"/>
      <c r="AA840" s="384"/>
    </row>
    <row r="841" spans="1:27" x14ac:dyDescent="0.2">
      <c r="A841" s="384"/>
      <c r="B841" s="384"/>
      <c r="C841" s="384"/>
      <c r="D841" s="384"/>
      <c r="E841" s="384"/>
      <c r="F841" s="384"/>
      <c r="G841" s="384"/>
      <c r="H841" s="384"/>
      <c r="I841" s="384"/>
      <c r="J841" s="384"/>
      <c r="K841" s="384"/>
      <c r="L841" s="384"/>
      <c r="M841" s="384"/>
      <c r="N841" s="384"/>
      <c r="O841" s="384"/>
      <c r="P841" s="384"/>
      <c r="Q841" s="384"/>
      <c r="R841" s="384"/>
      <c r="S841" s="384"/>
      <c r="T841" s="384"/>
      <c r="U841" s="384"/>
      <c r="V841" s="384"/>
      <c r="W841" s="384"/>
      <c r="X841" s="384"/>
      <c r="Y841" s="384"/>
      <c r="Z841" s="384"/>
      <c r="AA841" s="384"/>
    </row>
    <row r="842" spans="1:27" x14ac:dyDescent="0.2">
      <c r="A842" s="384"/>
      <c r="B842" s="384"/>
      <c r="C842" s="384"/>
      <c r="D842" s="384"/>
      <c r="E842" s="384"/>
      <c r="F842" s="384"/>
      <c r="G842" s="384"/>
      <c r="H842" s="384"/>
      <c r="I842" s="384"/>
      <c r="J842" s="384"/>
      <c r="K842" s="384"/>
      <c r="L842" s="384"/>
      <c r="M842" s="384"/>
      <c r="N842" s="384"/>
      <c r="O842" s="384"/>
      <c r="P842" s="384"/>
      <c r="Q842" s="384"/>
      <c r="R842" s="384"/>
      <c r="S842" s="384"/>
      <c r="T842" s="384"/>
      <c r="U842" s="384"/>
      <c r="V842" s="384"/>
      <c r="W842" s="384"/>
      <c r="X842" s="384"/>
      <c r="Y842" s="384"/>
      <c r="Z842" s="384"/>
      <c r="AA842" s="384"/>
    </row>
    <row r="843" spans="1:27" x14ac:dyDescent="0.2">
      <c r="A843" s="384"/>
      <c r="B843" s="384"/>
      <c r="C843" s="384"/>
      <c r="D843" s="384"/>
      <c r="E843" s="384"/>
      <c r="F843" s="384"/>
      <c r="G843" s="384"/>
      <c r="H843" s="384"/>
      <c r="I843" s="384"/>
      <c r="J843" s="384"/>
      <c r="K843" s="384"/>
      <c r="L843" s="384"/>
      <c r="M843" s="384"/>
      <c r="N843" s="384"/>
      <c r="O843" s="384"/>
      <c r="P843" s="384"/>
      <c r="Q843" s="384"/>
      <c r="R843" s="384"/>
      <c r="S843" s="384"/>
      <c r="T843" s="384"/>
      <c r="U843" s="384"/>
      <c r="V843" s="384"/>
      <c r="W843" s="384"/>
      <c r="X843" s="384"/>
      <c r="Y843" s="384"/>
      <c r="Z843" s="384"/>
      <c r="AA843" s="384"/>
    </row>
    <row r="844" spans="1:27" x14ac:dyDescent="0.2">
      <c r="A844" s="384"/>
      <c r="B844" s="384"/>
      <c r="C844" s="384"/>
      <c r="D844" s="384"/>
      <c r="E844" s="384"/>
      <c r="F844" s="384"/>
      <c r="G844" s="384"/>
      <c r="H844" s="384"/>
      <c r="I844" s="384"/>
      <c r="J844" s="384"/>
      <c r="K844" s="384"/>
      <c r="L844" s="384"/>
      <c r="M844" s="384"/>
      <c r="N844" s="384"/>
      <c r="O844" s="384"/>
      <c r="P844" s="384"/>
      <c r="Q844" s="384"/>
      <c r="R844" s="384"/>
      <c r="S844" s="384"/>
      <c r="T844" s="384"/>
      <c r="U844" s="384"/>
      <c r="V844" s="384"/>
      <c r="W844" s="384"/>
      <c r="X844" s="384"/>
      <c r="Y844" s="384"/>
      <c r="Z844" s="384"/>
      <c r="AA844" s="384"/>
    </row>
    <row r="845" spans="1:27" x14ac:dyDescent="0.2">
      <c r="A845" s="384"/>
      <c r="B845" s="384"/>
      <c r="C845" s="384"/>
      <c r="D845" s="384"/>
      <c r="E845" s="384"/>
      <c r="F845" s="384"/>
      <c r="G845" s="384"/>
      <c r="H845" s="384"/>
      <c r="I845" s="384"/>
      <c r="J845" s="384"/>
      <c r="K845" s="384"/>
      <c r="L845" s="384"/>
      <c r="M845" s="384"/>
      <c r="N845" s="384"/>
      <c r="O845" s="384"/>
      <c r="P845" s="384"/>
      <c r="Q845" s="384"/>
      <c r="R845" s="384"/>
      <c r="S845" s="384"/>
      <c r="T845" s="384"/>
      <c r="U845" s="384"/>
      <c r="V845" s="384"/>
      <c r="W845" s="384"/>
      <c r="X845" s="384"/>
      <c r="Y845" s="384"/>
      <c r="Z845" s="384"/>
      <c r="AA845" s="384"/>
    </row>
    <row r="846" spans="1:27" x14ac:dyDescent="0.2">
      <c r="A846" s="384"/>
      <c r="B846" s="384"/>
      <c r="C846" s="384"/>
      <c r="D846" s="384"/>
      <c r="E846" s="384"/>
      <c r="F846" s="384"/>
      <c r="G846" s="384"/>
      <c r="H846" s="384"/>
      <c r="I846" s="384"/>
      <c r="J846" s="384"/>
      <c r="K846" s="384"/>
      <c r="L846" s="384"/>
      <c r="M846" s="384"/>
      <c r="N846" s="384"/>
      <c r="O846" s="384"/>
      <c r="P846" s="384"/>
      <c r="Q846" s="384"/>
      <c r="R846" s="384"/>
      <c r="S846" s="384"/>
      <c r="T846" s="384"/>
      <c r="U846" s="384"/>
      <c r="V846" s="384"/>
      <c r="W846" s="384"/>
      <c r="X846" s="384"/>
      <c r="Y846" s="384"/>
      <c r="Z846" s="384"/>
      <c r="AA846" s="384"/>
    </row>
    <row r="847" spans="1:27" x14ac:dyDescent="0.2">
      <c r="A847" s="384"/>
      <c r="B847" s="384"/>
      <c r="C847" s="384"/>
      <c r="D847" s="384"/>
      <c r="E847" s="384"/>
      <c r="F847" s="384"/>
      <c r="G847" s="384"/>
      <c r="H847" s="384"/>
      <c r="I847" s="384"/>
      <c r="J847" s="384"/>
      <c r="K847" s="384"/>
      <c r="L847" s="384"/>
      <c r="M847" s="384"/>
      <c r="N847" s="384"/>
      <c r="O847" s="384"/>
      <c r="P847" s="384"/>
      <c r="Q847" s="384"/>
      <c r="R847" s="384"/>
      <c r="S847" s="384"/>
      <c r="T847" s="384"/>
      <c r="U847" s="384"/>
      <c r="V847" s="384"/>
      <c r="W847" s="384"/>
      <c r="X847" s="384"/>
      <c r="Y847" s="384"/>
      <c r="Z847" s="384"/>
      <c r="AA847" s="384"/>
    </row>
    <row r="848" spans="1:27" x14ac:dyDescent="0.2">
      <c r="A848" s="384"/>
      <c r="B848" s="384"/>
      <c r="C848" s="384"/>
      <c r="D848" s="384"/>
      <c r="E848" s="384"/>
      <c r="F848" s="384"/>
      <c r="G848" s="384"/>
      <c r="H848" s="384"/>
      <c r="I848" s="384"/>
      <c r="J848" s="384"/>
      <c r="K848" s="384"/>
      <c r="L848" s="384"/>
      <c r="M848" s="384"/>
      <c r="N848" s="384"/>
      <c r="O848" s="384"/>
      <c r="P848" s="384"/>
      <c r="Q848" s="384"/>
      <c r="R848" s="384"/>
      <c r="S848" s="384"/>
      <c r="T848" s="384"/>
      <c r="U848" s="384"/>
      <c r="V848" s="384"/>
      <c r="W848" s="384"/>
      <c r="X848" s="384"/>
      <c r="Y848" s="384"/>
      <c r="Z848" s="384"/>
      <c r="AA848" s="384"/>
    </row>
    <row r="849" spans="1:27" x14ac:dyDescent="0.2">
      <c r="A849" s="384"/>
      <c r="B849" s="384"/>
      <c r="C849" s="384"/>
      <c r="D849" s="384"/>
      <c r="E849" s="384"/>
      <c r="F849" s="384"/>
      <c r="G849" s="384"/>
      <c r="H849" s="384"/>
      <c r="I849" s="384"/>
      <c r="J849" s="384"/>
      <c r="K849" s="384"/>
      <c r="L849" s="384"/>
      <c r="M849" s="384"/>
      <c r="N849" s="384"/>
      <c r="O849" s="384"/>
      <c r="P849" s="384"/>
      <c r="Q849" s="384"/>
      <c r="R849" s="384"/>
      <c r="S849" s="384"/>
      <c r="T849" s="384"/>
      <c r="U849" s="384"/>
      <c r="V849" s="384"/>
      <c r="W849" s="384"/>
      <c r="X849" s="384"/>
      <c r="Y849" s="384"/>
      <c r="Z849" s="384"/>
      <c r="AA849" s="384"/>
    </row>
    <row r="850" spans="1:27" x14ac:dyDescent="0.2">
      <c r="A850" s="384"/>
      <c r="B850" s="384"/>
      <c r="C850" s="384"/>
      <c r="D850" s="384"/>
      <c r="E850" s="384"/>
      <c r="F850" s="384"/>
      <c r="G850" s="384"/>
      <c r="H850" s="384"/>
      <c r="I850" s="384"/>
      <c r="J850" s="384"/>
      <c r="K850" s="384"/>
      <c r="L850" s="384"/>
      <c r="M850" s="384"/>
      <c r="N850" s="384"/>
      <c r="O850" s="384"/>
      <c r="P850" s="384"/>
      <c r="Q850" s="384"/>
      <c r="R850" s="384"/>
      <c r="S850" s="384"/>
      <c r="T850" s="384"/>
      <c r="U850" s="384"/>
      <c r="V850" s="384"/>
      <c r="W850" s="384"/>
      <c r="X850" s="384"/>
      <c r="Y850" s="384"/>
      <c r="Z850" s="384"/>
      <c r="AA850" s="384"/>
    </row>
    <row r="851" spans="1:27" x14ac:dyDescent="0.2">
      <c r="A851" s="384"/>
      <c r="B851" s="384"/>
      <c r="C851" s="384"/>
      <c r="D851" s="384"/>
      <c r="E851" s="384"/>
      <c r="F851" s="384"/>
      <c r="G851" s="384"/>
      <c r="H851" s="384"/>
      <c r="I851" s="384"/>
      <c r="J851" s="384"/>
      <c r="K851" s="384"/>
      <c r="L851" s="384"/>
      <c r="M851" s="384"/>
      <c r="N851" s="384"/>
      <c r="O851" s="384"/>
      <c r="P851" s="384"/>
      <c r="Q851" s="384"/>
      <c r="R851" s="384"/>
      <c r="S851" s="384"/>
      <c r="T851" s="384"/>
      <c r="U851" s="384"/>
      <c r="V851" s="384"/>
      <c r="W851" s="384"/>
      <c r="X851" s="384"/>
      <c r="Y851" s="384"/>
      <c r="Z851" s="384"/>
      <c r="AA851" s="384"/>
    </row>
    <row r="852" spans="1:27" x14ac:dyDescent="0.2">
      <c r="A852" s="384"/>
      <c r="B852" s="384"/>
      <c r="C852" s="384"/>
      <c r="D852" s="384"/>
      <c r="E852" s="384"/>
      <c r="F852" s="384"/>
      <c r="G852" s="384"/>
      <c r="H852" s="384"/>
      <c r="I852" s="384"/>
      <c r="J852" s="384"/>
      <c r="K852" s="384"/>
      <c r="L852" s="384"/>
      <c r="M852" s="384"/>
      <c r="N852" s="384"/>
      <c r="O852" s="384"/>
      <c r="P852" s="384"/>
      <c r="Q852" s="384"/>
      <c r="R852" s="384"/>
      <c r="S852" s="384"/>
      <c r="T852" s="384"/>
      <c r="U852" s="384"/>
      <c r="V852" s="384"/>
      <c r="W852" s="384"/>
      <c r="X852" s="384"/>
      <c r="Y852" s="384"/>
      <c r="Z852" s="384"/>
      <c r="AA852" s="384"/>
    </row>
    <row r="853" spans="1:27" x14ac:dyDescent="0.2">
      <c r="A853" s="384"/>
      <c r="B853" s="384"/>
      <c r="C853" s="384"/>
      <c r="D853" s="384"/>
      <c r="E853" s="384"/>
      <c r="F853" s="384"/>
      <c r="G853" s="384"/>
      <c r="H853" s="384"/>
      <c r="I853" s="384"/>
      <c r="J853" s="384"/>
      <c r="K853" s="384"/>
      <c r="L853" s="384"/>
      <c r="M853" s="384"/>
      <c r="N853" s="384"/>
      <c r="O853" s="384"/>
      <c r="P853" s="384"/>
      <c r="Q853" s="384"/>
      <c r="R853" s="384"/>
      <c r="S853" s="384"/>
      <c r="T853" s="384"/>
      <c r="U853" s="384"/>
      <c r="V853" s="384"/>
      <c r="W853" s="384"/>
      <c r="X853" s="384"/>
      <c r="Y853" s="384"/>
      <c r="Z853" s="384"/>
      <c r="AA853" s="384"/>
    </row>
    <row r="854" spans="1:27" x14ac:dyDescent="0.2">
      <c r="A854" s="384"/>
      <c r="B854" s="384"/>
      <c r="C854" s="384"/>
      <c r="D854" s="384"/>
      <c r="E854" s="384"/>
      <c r="F854" s="384"/>
      <c r="G854" s="384"/>
      <c r="H854" s="384"/>
      <c r="I854" s="384"/>
      <c r="J854" s="384"/>
      <c r="K854" s="384"/>
      <c r="L854" s="384"/>
      <c r="M854" s="384"/>
      <c r="N854" s="384"/>
      <c r="O854" s="384"/>
      <c r="P854" s="384"/>
      <c r="Q854" s="384"/>
      <c r="R854" s="384"/>
      <c r="S854" s="384"/>
      <c r="T854" s="384"/>
      <c r="U854" s="384"/>
      <c r="V854" s="384"/>
      <c r="W854" s="384"/>
      <c r="X854" s="384"/>
      <c r="Y854" s="384"/>
      <c r="Z854" s="384"/>
      <c r="AA854" s="384"/>
    </row>
    <row r="855" spans="1:27" x14ac:dyDescent="0.2">
      <c r="A855" s="384"/>
      <c r="B855" s="384"/>
      <c r="C855" s="384"/>
      <c r="D855" s="384"/>
      <c r="E855" s="384"/>
      <c r="F855" s="384"/>
      <c r="G855" s="384"/>
      <c r="H855" s="384"/>
      <c r="I855" s="384"/>
      <c r="J855" s="384"/>
      <c r="K855" s="384"/>
      <c r="L855" s="384"/>
      <c r="M855" s="384"/>
      <c r="N855" s="384"/>
      <c r="O855" s="384"/>
      <c r="P855" s="384"/>
      <c r="Q855" s="384"/>
      <c r="R855" s="384"/>
      <c r="S855" s="384"/>
      <c r="T855" s="384"/>
      <c r="U855" s="384"/>
      <c r="V855" s="384"/>
      <c r="W855" s="384"/>
      <c r="X855" s="384"/>
      <c r="Y855" s="384"/>
      <c r="Z855" s="384"/>
      <c r="AA855" s="384"/>
    </row>
    <row r="856" spans="1:27" x14ac:dyDescent="0.2">
      <c r="A856" s="384"/>
      <c r="B856" s="384"/>
      <c r="C856" s="384"/>
      <c r="D856" s="384"/>
      <c r="E856" s="384"/>
      <c r="F856" s="384"/>
      <c r="G856" s="384"/>
      <c r="H856" s="384"/>
      <c r="I856" s="384"/>
      <c r="J856" s="384"/>
      <c r="K856" s="384"/>
      <c r="L856" s="384"/>
      <c r="M856" s="384"/>
      <c r="N856" s="384"/>
      <c r="O856" s="384"/>
      <c r="P856" s="384"/>
      <c r="Q856" s="384"/>
      <c r="R856" s="384"/>
      <c r="S856" s="384"/>
      <c r="T856" s="384"/>
      <c r="U856" s="384"/>
      <c r="V856" s="384"/>
      <c r="W856" s="384"/>
      <c r="X856" s="384"/>
      <c r="Y856" s="384"/>
      <c r="Z856" s="384"/>
      <c r="AA856" s="384"/>
    </row>
    <row r="857" spans="1:27" x14ac:dyDescent="0.2">
      <c r="A857" s="384"/>
      <c r="B857" s="384"/>
      <c r="C857" s="384"/>
      <c r="D857" s="384"/>
      <c r="E857" s="384"/>
      <c r="F857" s="384"/>
      <c r="G857" s="384"/>
      <c r="H857" s="384"/>
      <c r="I857" s="384"/>
      <c r="J857" s="384"/>
      <c r="K857" s="384"/>
      <c r="L857" s="384"/>
      <c r="M857" s="384"/>
      <c r="N857" s="384"/>
      <c r="O857" s="384"/>
      <c r="P857" s="384"/>
      <c r="Q857" s="384"/>
      <c r="R857" s="384"/>
      <c r="S857" s="384"/>
      <c r="T857" s="384"/>
      <c r="U857" s="384"/>
      <c r="V857" s="384"/>
      <c r="W857" s="384"/>
      <c r="X857" s="384"/>
      <c r="Y857" s="384"/>
      <c r="Z857" s="384"/>
      <c r="AA857" s="384"/>
    </row>
    <row r="858" spans="1:27" x14ac:dyDescent="0.2">
      <c r="A858" s="384"/>
      <c r="B858" s="384"/>
      <c r="C858" s="384"/>
      <c r="D858" s="384"/>
      <c r="E858" s="384"/>
      <c r="F858" s="384"/>
      <c r="G858" s="384"/>
      <c r="H858" s="384"/>
      <c r="I858" s="384"/>
      <c r="J858" s="384"/>
      <c r="K858" s="384"/>
      <c r="L858" s="384"/>
      <c r="M858" s="384"/>
      <c r="N858" s="384"/>
      <c r="O858" s="384"/>
      <c r="P858" s="384"/>
      <c r="Q858" s="384"/>
      <c r="R858" s="384"/>
      <c r="S858" s="384"/>
      <c r="T858" s="384"/>
      <c r="U858" s="384"/>
      <c r="V858" s="384"/>
      <c r="W858" s="384"/>
      <c r="X858" s="384"/>
      <c r="Y858" s="384"/>
      <c r="Z858" s="384"/>
      <c r="AA858" s="384"/>
    </row>
    <row r="859" spans="1:27" x14ac:dyDescent="0.2">
      <c r="A859" s="384"/>
      <c r="B859" s="384"/>
      <c r="C859" s="384"/>
      <c r="D859" s="384"/>
      <c r="E859" s="384"/>
      <c r="F859" s="384"/>
      <c r="G859" s="384"/>
      <c r="H859" s="384"/>
      <c r="I859" s="384"/>
      <c r="J859" s="384"/>
      <c r="K859" s="384"/>
      <c r="L859" s="384"/>
      <c r="M859" s="384"/>
      <c r="N859" s="384"/>
      <c r="O859" s="384"/>
      <c r="P859" s="384"/>
      <c r="Q859" s="384"/>
      <c r="R859" s="384"/>
      <c r="S859" s="384"/>
      <c r="T859" s="384"/>
      <c r="U859" s="384"/>
      <c r="V859" s="384"/>
      <c r="W859" s="384"/>
      <c r="X859" s="384"/>
      <c r="Y859" s="384"/>
      <c r="Z859" s="384"/>
      <c r="AA859" s="384"/>
    </row>
    <row r="860" spans="1:27" x14ac:dyDescent="0.2">
      <c r="A860" s="384"/>
      <c r="B860" s="384"/>
      <c r="C860" s="384"/>
      <c r="D860" s="384"/>
      <c r="E860" s="384"/>
      <c r="F860" s="384"/>
      <c r="G860" s="384"/>
      <c r="H860" s="384"/>
      <c r="I860" s="384"/>
      <c r="J860" s="384"/>
      <c r="K860" s="384"/>
      <c r="L860" s="384"/>
      <c r="M860" s="384"/>
      <c r="N860" s="384"/>
      <c r="O860" s="384"/>
      <c r="P860" s="384"/>
      <c r="Q860" s="384"/>
      <c r="R860" s="384"/>
      <c r="S860" s="384"/>
      <c r="T860" s="384"/>
      <c r="U860" s="384"/>
      <c r="V860" s="384"/>
      <c r="W860" s="384"/>
      <c r="X860" s="384"/>
      <c r="Y860" s="384"/>
      <c r="Z860" s="384"/>
      <c r="AA860" s="384"/>
    </row>
    <row r="861" spans="1:27" x14ac:dyDescent="0.2">
      <c r="A861" s="384"/>
      <c r="B861" s="384"/>
      <c r="C861" s="384"/>
      <c r="D861" s="384"/>
      <c r="E861" s="384"/>
      <c r="F861" s="384"/>
      <c r="G861" s="384"/>
      <c r="H861" s="384"/>
      <c r="I861" s="384"/>
      <c r="J861" s="384"/>
      <c r="K861" s="384"/>
      <c r="L861" s="384"/>
      <c r="M861" s="384"/>
      <c r="N861" s="384"/>
      <c r="O861" s="384"/>
      <c r="P861" s="384"/>
      <c r="Q861" s="384"/>
      <c r="R861" s="384"/>
      <c r="S861" s="384"/>
      <c r="T861" s="384"/>
      <c r="U861" s="384"/>
      <c r="V861" s="384"/>
      <c r="W861" s="384"/>
      <c r="X861" s="384"/>
      <c r="Y861" s="384"/>
      <c r="Z861" s="384"/>
      <c r="AA861" s="384"/>
    </row>
    <row r="862" spans="1:27" x14ac:dyDescent="0.2">
      <c r="A862" s="384"/>
      <c r="B862" s="384"/>
      <c r="C862" s="384"/>
      <c r="D862" s="384"/>
      <c r="E862" s="384"/>
      <c r="F862" s="384"/>
      <c r="G862" s="384"/>
      <c r="H862" s="384"/>
      <c r="I862" s="384"/>
      <c r="J862" s="384"/>
      <c r="K862" s="384"/>
      <c r="L862" s="384"/>
      <c r="M862" s="384"/>
      <c r="N862" s="384"/>
      <c r="O862" s="384"/>
      <c r="P862" s="384"/>
      <c r="Q862" s="384"/>
      <c r="R862" s="384"/>
      <c r="S862" s="384"/>
      <c r="T862" s="384"/>
      <c r="U862" s="384"/>
      <c r="V862" s="384"/>
      <c r="W862" s="384"/>
      <c r="X862" s="384"/>
      <c r="Y862" s="384"/>
      <c r="Z862" s="384"/>
      <c r="AA862" s="384"/>
    </row>
    <row r="863" spans="1:27" x14ac:dyDescent="0.2">
      <c r="A863" s="384"/>
      <c r="B863" s="384"/>
      <c r="C863" s="384"/>
      <c r="D863" s="384"/>
      <c r="E863" s="384"/>
      <c r="F863" s="384"/>
      <c r="G863" s="384"/>
      <c r="H863" s="384"/>
      <c r="I863" s="384"/>
      <c r="J863" s="384"/>
      <c r="K863" s="384"/>
      <c r="L863" s="384"/>
      <c r="M863" s="384"/>
      <c r="N863" s="384"/>
      <c r="O863" s="384"/>
      <c r="P863" s="384"/>
      <c r="Q863" s="384"/>
      <c r="R863" s="384"/>
      <c r="S863" s="384"/>
      <c r="T863" s="384"/>
      <c r="U863" s="384"/>
      <c r="V863" s="384"/>
      <c r="W863" s="384"/>
      <c r="X863" s="384"/>
      <c r="Y863" s="384"/>
      <c r="Z863" s="384"/>
      <c r="AA863" s="384"/>
    </row>
    <row r="864" spans="1:27" x14ac:dyDescent="0.2">
      <c r="A864" s="384"/>
      <c r="B864" s="384"/>
      <c r="C864" s="384"/>
      <c r="D864" s="384"/>
      <c r="E864" s="384"/>
      <c r="F864" s="384"/>
      <c r="G864" s="384"/>
      <c r="H864" s="384"/>
      <c r="I864" s="384"/>
      <c r="J864" s="384"/>
      <c r="K864" s="384"/>
      <c r="L864" s="384"/>
      <c r="M864" s="384"/>
      <c r="N864" s="384"/>
      <c r="O864" s="384"/>
      <c r="P864" s="384"/>
      <c r="Q864" s="384"/>
      <c r="R864" s="384"/>
      <c r="S864" s="384"/>
      <c r="T864" s="384"/>
      <c r="U864" s="384"/>
      <c r="V864" s="384"/>
      <c r="W864" s="384"/>
      <c r="X864" s="384"/>
      <c r="Y864" s="384"/>
      <c r="Z864" s="384"/>
      <c r="AA864" s="384"/>
    </row>
    <row r="865" spans="1:27" x14ac:dyDescent="0.2">
      <c r="A865" s="384"/>
      <c r="B865" s="384"/>
      <c r="C865" s="384"/>
      <c r="D865" s="384"/>
      <c r="E865" s="384"/>
      <c r="F865" s="384"/>
      <c r="G865" s="384"/>
      <c r="H865" s="384"/>
      <c r="I865" s="384"/>
      <c r="J865" s="384"/>
      <c r="K865" s="384"/>
      <c r="L865" s="384"/>
      <c r="M865" s="384"/>
      <c r="N865" s="384"/>
      <c r="O865" s="384"/>
      <c r="P865" s="384"/>
      <c r="Q865" s="384"/>
      <c r="R865" s="384"/>
      <c r="S865" s="384"/>
      <c r="T865" s="384"/>
      <c r="U865" s="384"/>
      <c r="V865" s="384"/>
      <c r="W865" s="384"/>
      <c r="X865" s="384"/>
      <c r="Y865" s="384"/>
      <c r="Z865" s="384"/>
      <c r="AA865" s="384"/>
    </row>
    <row r="866" spans="1:27" x14ac:dyDescent="0.2">
      <c r="A866" s="384"/>
      <c r="B866" s="384"/>
      <c r="C866" s="384"/>
      <c r="D866" s="384"/>
      <c r="E866" s="384"/>
      <c r="F866" s="384"/>
      <c r="G866" s="384"/>
      <c r="H866" s="384"/>
      <c r="I866" s="384"/>
      <c r="J866" s="384"/>
      <c r="K866" s="384"/>
      <c r="L866" s="384"/>
      <c r="M866" s="384"/>
      <c r="N866" s="384"/>
      <c r="O866" s="384"/>
      <c r="P866" s="384"/>
      <c r="Q866" s="384"/>
      <c r="R866" s="384"/>
      <c r="S866" s="384"/>
      <c r="T866" s="384"/>
      <c r="U866" s="384"/>
      <c r="V866" s="384"/>
      <c r="W866" s="384"/>
      <c r="X866" s="384"/>
      <c r="Y866" s="384"/>
      <c r="Z866" s="384"/>
      <c r="AA866" s="384"/>
    </row>
    <row r="867" spans="1:27" x14ac:dyDescent="0.2">
      <c r="A867" s="384"/>
      <c r="B867" s="384"/>
      <c r="C867" s="384"/>
      <c r="D867" s="384"/>
      <c r="E867" s="384"/>
      <c r="F867" s="384"/>
      <c r="G867" s="384"/>
      <c r="H867" s="384"/>
      <c r="I867" s="384"/>
      <c r="J867" s="384"/>
      <c r="K867" s="384"/>
      <c r="L867" s="384"/>
      <c r="M867" s="384"/>
      <c r="N867" s="384"/>
      <c r="O867" s="384"/>
      <c r="P867" s="384"/>
      <c r="Q867" s="384"/>
      <c r="R867" s="384"/>
      <c r="S867" s="384"/>
      <c r="T867" s="384"/>
      <c r="U867" s="384"/>
      <c r="V867" s="384"/>
      <c r="W867" s="384"/>
      <c r="X867" s="384"/>
      <c r="Y867" s="384"/>
      <c r="Z867" s="384"/>
      <c r="AA867" s="384"/>
    </row>
    <row r="868" spans="1:27" x14ac:dyDescent="0.2">
      <c r="A868" s="384"/>
      <c r="B868" s="384"/>
      <c r="C868" s="384"/>
      <c r="D868" s="384"/>
      <c r="E868" s="384"/>
      <c r="F868" s="384"/>
      <c r="G868" s="384"/>
      <c r="H868" s="384"/>
      <c r="I868" s="384"/>
      <c r="J868" s="384"/>
      <c r="K868" s="384"/>
      <c r="L868" s="384"/>
      <c r="M868" s="384"/>
      <c r="N868" s="384"/>
      <c r="O868" s="384"/>
      <c r="P868" s="384"/>
      <c r="Q868" s="384"/>
      <c r="R868" s="384"/>
      <c r="S868" s="384"/>
      <c r="T868" s="384"/>
      <c r="U868" s="384"/>
      <c r="V868" s="384"/>
      <c r="W868" s="384"/>
      <c r="X868" s="384"/>
      <c r="Y868" s="384"/>
      <c r="Z868" s="384"/>
      <c r="AA868" s="384"/>
    </row>
    <row r="869" spans="1:27" x14ac:dyDescent="0.2">
      <c r="A869" s="384"/>
      <c r="B869" s="384"/>
      <c r="C869" s="384"/>
      <c r="D869" s="384"/>
      <c r="E869" s="384"/>
      <c r="F869" s="384"/>
      <c r="G869" s="384"/>
      <c r="H869" s="384"/>
      <c r="I869" s="384"/>
      <c r="J869" s="384"/>
      <c r="K869" s="384"/>
      <c r="L869" s="384"/>
      <c r="M869" s="384"/>
      <c r="N869" s="384"/>
      <c r="O869" s="384"/>
      <c r="P869" s="384"/>
      <c r="Q869" s="384"/>
      <c r="R869" s="384"/>
      <c r="S869" s="384"/>
      <c r="T869" s="384"/>
      <c r="U869" s="384"/>
      <c r="V869" s="384"/>
      <c r="W869" s="384"/>
      <c r="X869" s="384"/>
      <c r="Y869" s="384"/>
      <c r="Z869" s="384"/>
      <c r="AA869" s="384"/>
    </row>
    <row r="870" spans="1:27" x14ac:dyDescent="0.2">
      <c r="A870" s="384"/>
      <c r="B870" s="384"/>
      <c r="C870" s="384"/>
      <c r="D870" s="384"/>
      <c r="E870" s="384"/>
      <c r="F870" s="384"/>
      <c r="G870" s="384"/>
      <c r="H870" s="384"/>
      <c r="I870" s="384"/>
      <c r="J870" s="384"/>
      <c r="K870" s="384"/>
      <c r="L870" s="384"/>
      <c r="M870" s="384"/>
      <c r="N870" s="384"/>
      <c r="O870" s="384"/>
      <c r="P870" s="384"/>
      <c r="Q870" s="384"/>
      <c r="R870" s="384"/>
      <c r="S870" s="384"/>
      <c r="T870" s="384"/>
      <c r="U870" s="384"/>
      <c r="V870" s="384"/>
      <c r="W870" s="384"/>
      <c r="X870" s="384"/>
      <c r="Y870" s="384"/>
      <c r="Z870" s="384"/>
      <c r="AA870" s="384"/>
    </row>
    <row r="871" spans="1:27" x14ac:dyDescent="0.2">
      <c r="A871" s="384"/>
      <c r="B871" s="384"/>
      <c r="C871" s="384"/>
      <c r="D871" s="384"/>
      <c r="E871" s="384"/>
      <c r="F871" s="384"/>
      <c r="G871" s="384"/>
      <c r="H871" s="384"/>
      <c r="I871" s="384"/>
      <c r="J871" s="384"/>
      <c r="K871" s="384"/>
      <c r="L871" s="384"/>
      <c r="M871" s="384"/>
      <c r="N871" s="384"/>
      <c r="O871" s="384"/>
      <c r="P871" s="384"/>
      <c r="Q871" s="384"/>
      <c r="R871" s="384"/>
      <c r="S871" s="384"/>
      <c r="T871" s="384"/>
      <c r="U871" s="384"/>
      <c r="V871" s="384"/>
      <c r="W871" s="384"/>
      <c r="X871" s="384"/>
      <c r="Y871" s="384"/>
      <c r="Z871" s="384"/>
      <c r="AA871" s="384"/>
    </row>
    <row r="872" spans="1:27" x14ac:dyDescent="0.2">
      <c r="A872" s="384"/>
      <c r="B872" s="384"/>
      <c r="C872" s="384"/>
      <c r="D872" s="384"/>
      <c r="E872" s="384"/>
      <c r="F872" s="384"/>
      <c r="G872" s="384"/>
      <c r="H872" s="384"/>
      <c r="I872" s="384"/>
      <c r="J872" s="384"/>
      <c r="K872" s="384"/>
      <c r="L872" s="384"/>
      <c r="M872" s="384"/>
      <c r="N872" s="384"/>
      <c r="O872" s="384"/>
      <c r="P872" s="384"/>
      <c r="Q872" s="384"/>
      <c r="R872" s="384"/>
      <c r="S872" s="384"/>
      <c r="T872" s="384"/>
      <c r="U872" s="384"/>
      <c r="V872" s="384"/>
      <c r="W872" s="384"/>
      <c r="X872" s="384"/>
      <c r="Y872" s="384"/>
      <c r="Z872" s="384"/>
      <c r="AA872" s="384"/>
    </row>
    <row r="873" spans="1:27" x14ac:dyDescent="0.2">
      <c r="A873" s="384"/>
      <c r="B873" s="384"/>
      <c r="C873" s="384"/>
      <c r="D873" s="384"/>
      <c r="E873" s="384"/>
      <c r="F873" s="384"/>
      <c r="G873" s="384"/>
      <c r="H873" s="384"/>
      <c r="I873" s="384"/>
      <c r="J873" s="384"/>
      <c r="K873" s="384"/>
      <c r="L873" s="384"/>
      <c r="M873" s="384"/>
      <c r="N873" s="384"/>
      <c r="O873" s="384"/>
      <c r="P873" s="384"/>
      <c r="Q873" s="384"/>
      <c r="R873" s="384"/>
      <c r="S873" s="384"/>
      <c r="T873" s="384"/>
      <c r="U873" s="384"/>
      <c r="V873" s="384"/>
      <c r="W873" s="384"/>
      <c r="X873" s="384"/>
      <c r="Y873" s="384"/>
      <c r="Z873" s="384"/>
      <c r="AA873" s="384"/>
    </row>
    <row r="874" spans="1:27" x14ac:dyDescent="0.2">
      <c r="A874" s="384"/>
      <c r="B874" s="384"/>
      <c r="C874" s="384"/>
      <c r="D874" s="384"/>
      <c r="E874" s="384"/>
      <c r="F874" s="384"/>
      <c r="G874" s="384"/>
      <c r="H874" s="384"/>
      <c r="I874" s="384"/>
      <c r="J874" s="384"/>
      <c r="K874" s="384"/>
      <c r="L874" s="384"/>
      <c r="M874" s="384"/>
      <c r="N874" s="384"/>
      <c r="O874" s="384"/>
      <c r="P874" s="384"/>
      <c r="Q874" s="384"/>
      <c r="R874" s="384"/>
      <c r="S874" s="384"/>
      <c r="T874" s="384"/>
      <c r="U874" s="384"/>
      <c r="V874" s="384"/>
      <c r="W874" s="384"/>
      <c r="X874" s="384"/>
      <c r="Y874" s="384"/>
      <c r="Z874" s="384"/>
      <c r="AA874" s="384"/>
    </row>
    <row r="875" spans="1:27" x14ac:dyDescent="0.2">
      <c r="A875" s="384"/>
      <c r="B875" s="384"/>
      <c r="C875" s="384"/>
      <c r="D875" s="384"/>
      <c r="E875" s="384"/>
      <c r="F875" s="384"/>
      <c r="G875" s="384"/>
      <c r="H875" s="384"/>
      <c r="I875" s="384"/>
      <c r="J875" s="384"/>
      <c r="K875" s="384"/>
      <c r="L875" s="384"/>
      <c r="M875" s="384"/>
      <c r="N875" s="384"/>
      <c r="O875" s="384"/>
      <c r="P875" s="384"/>
      <c r="Q875" s="384"/>
      <c r="R875" s="384"/>
      <c r="S875" s="384"/>
      <c r="T875" s="384"/>
      <c r="U875" s="384"/>
      <c r="V875" s="384"/>
      <c r="W875" s="384"/>
      <c r="X875" s="384"/>
      <c r="Y875" s="384"/>
      <c r="Z875" s="384"/>
      <c r="AA875" s="384"/>
    </row>
    <row r="876" spans="1:27" x14ac:dyDescent="0.2">
      <c r="A876" s="384"/>
      <c r="B876" s="384"/>
      <c r="C876" s="384"/>
      <c r="D876" s="384"/>
      <c r="E876" s="384"/>
      <c r="F876" s="384"/>
      <c r="G876" s="384"/>
      <c r="H876" s="384"/>
      <c r="I876" s="384"/>
      <c r="J876" s="384"/>
      <c r="K876" s="384"/>
      <c r="L876" s="384"/>
      <c r="M876" s="384"/>
      <c r="N876" s="384"/>
      <c r="O876" s="384"/>
      <c r="P876" s="384"/>
      <c r="Q876" s="384"/>
      <c r="R876" s="384"/>
      <c r="S876" s="384"/>
      <c r="T876" s="384"/>
      <c r="U876" s="384"/>
      <c r="V876" s="384"/>
      <c r="W876" s="384"/>
      <c r="X876" s="384"/>
      <c r="Y876" s="384"/>
      <c r="Z876" s="384"/>
      <c r="AA876" s="384"/>
    </row>
    <row r="877" spans="1:27" x14ac:dyDescent="0.2">
      <c r="A877" s="384"/>
      <c r="B877" s="384"/>
      <c r="C877" s="384"/>
      <c r="D877" s="384"/>
      <c r="E877" s="384"/>
      <c r="F877" s="384"/>
      <c r="G877" s="384"/>
      <c r="H877" s="384"/>
      <c r="I877" s="384"/>
      <c r="J877" s="384"/>
      <c r="K877" s="384"/>
      <c r="L877" s="384"/>
      <c r="M877" s="384"/>
      <c r="N877" s="384"/>
      <c r="O877" s="384"/>
      <c r="P877" s="384"/>
      <c r="Q877" s="384"/>
      <c r="R877" s="384"/>
      <c r="S877" s="384"/>
      <c r="T877" s="384"/>
      <c r="U877" s="384"/>
      <c r="V877" s="384"/>
      <c r="W877" s="384"/>
      <c r="X877" s="384"/>
      <c r="Y877" s="384"/>
      <c r="Z877" s="384"/>
      <c r="AA877" s="384"/>
    </row>
    <row r="878" spans="1:27" x14ac:dyDescent="0.2">
      <c r="A878" s="384"/>
      <c r="B878" s="384"/>
      <c r="C878" s="384"/>
      <c r="D878" s="384"/>
      <c r="E878" s="384"/>
      <c r="F878" s="384"/>
      <c r="G878" s="384"/>
      <c r="H878" s="384"/>
      <c r="I878" s="384"/>
      <c r="J878" s="384"/>
      <c r="K878" s="384"/>
      <c r="L878" s="384"/>
      <c r="M878" s="384"/>
      <c r="N878" s="384"/>
      <c r="O878" s="384"/>
      <c r="P878" s="384"/>
      <c r="Q878" s="384"/>
      <c r="R878" s="384"/>
      <c r="S878" s="384"/>
      <c r="T878" s="384"/>
      <c r="U878" s="384"/>
      <c r="V878" s="384"/>
      <c r="W878" s="384"/>
      <c r="X878" s="384"/>
      <c r="Y878" s="384"/>
      <c r="Z878" s="384"/>
      <c r="AA878" s="384"/>
    </row>
    <row r="879" spans="1:27" x14ac:dyDescent="0.2">
      <c r="A879" s="384"/>
      <c r="B879" s="384"/>
      <c r="C879" s="384"/>
      <c r="D879" s="384"/>
      <c r="E879" s="384"/>
      <c r="F879" s="384"/>
      <c r="G879" s="384"/>
      <c r="H879" s="384"/>
      <c r="I879" s="384"/>
      <c r="J879" s="384"/>
      <c r="K879" s="384"/>
      <c r="L879" s="384"/>
      <c r="M879" s="384"/>
      <c r="N879" s="384"/>
      <c r="O879" s="384"/>
      <c r="P879" s="384"/>
      <c r="Q879" s="384"/>
      <c r="R879" s="384"/>
      <c r="S879" s="384"/>
      <c r="T879" s="384"/>
      <c r="U879" s="384"/>
      <c r="V879" s="384"/>
      <c r="W879" s="384"/>
      <c r="X879" s="384"/>
      <c r="Y879" s="384"/>
      <c r="Z879" s="384"/>
      <c r="AA879" s="384"/>
    </row>
    <row r="880" spans="1:27" x14ac:dyDescent="0.2">
      <c r="A880" s="384"/>
      <c r="B880" s="384"/>
      <c r="C880" s="384"/>
      <c r="D880" s="384"/>
      <c r="E880" s="384"/>
      <c r="F880" s="384"/>
      <c r="G880" s="384"/>
      <c r="H880" s="384"/>
      <c r="I880" s="384"/>
      <c r="J880" s="384"/>
      <c r="K880" s="384"/>
      <c r="L880" s="384"/>
      <c r="M880" s="384"/>
      <c r="N880" s="384"/>
      <c r="O880" s="384"/>
      <c r="P880" s="384"/>
      <c r="Q880" s="384"/>
      <c r="R880" s="384"/>
      <c r="S880" s="384"/>
      <c r="T880" s="384"/>
      <c r="U880" s="384"/>
      <c r="V880" s="384"/>
      <c r="W880" s="384"/>
      <c r="X880" s="384"/>
      <c r="Y880" s="384"/>
      <c r="Z880" s="384"/>
      <c r="AA880" s="384"/>
    </row>
    <row r="881" spans="1:27" x14ac:dyDescent="0.2">
      <c r="A881" s="384"/>
      <c r="B881" s="384"/>
      <c r="C881" s="384"/>
      <c r="D881" s="384"/>
      <c r="E881" s="384"/>
      <c r="F881" s="384"/>
      <c r="G881" s="384"/>
      <c r="H881" s="384"/>
      <c r="I881" s="384"/>
      <c r="J881" s="384"/>
      <c r="K881" s="384"/>
      <c r="L881" s="384"/>
      <c r="M881" s="384"/>
      <c r="N881" s="384"/>
      <c r="O881" s="384"/>
      <c r="P881" s="384"/>
      <c r="Q881" s="384"/>
      <c r="R881" s="384"/>
      <c r="S881" s="384"/>
      <c r="T881" s="384"/>
      <c r="U881" s="384"/>
      <c r="V881" s="384"/>
      <c r="W881" s="384"/>
      <c r="X881" s="384"/>
      <c r="Y881" s="384"/>
      <c r="Z881" s="384"/>
      <c r="AA881" s="384"/>
    </row>
    <row r="882" spans="1:27" x14ac:dyDescent="0.2">
      <c r="A882" s="384"/>
      <c r="B882" s="384"/>
      <c r="C882" s="384"/>
      <c r="D882" s="384"/>
      <c r="E882" s="384"/>
      <c r="F882" s="384"/>
      <c r="G882" s="384"/>
      <c r="H882" s="384"/>
      <c r="I882" s="384"/>
      <c r="J882" s="384"/>
      <c r="K882" s="384"/>
      <c r="L882" s="384"/>
      <c r="M882" s="384"/>
      <c r="N882" s="384"/>
      <c r="O882" s="384"/>
      <c r="P882" s="384"/>
      <c r="Q882" s="384"/>
      <c r="R882" s="384"/>
      <c r="S882" s="384"/>
      <c r="T882" s="384"/>
      <c r="U882" s="384"/>
      <c r="V882" s="384"/>
      <c r="W882" s="384"/>
      <c r="X882" s="384"/>
      <c r="Y882" s="384"/>
      <c r="Z882" s="384"/>
      <c r="AA882" s="384"/>
    </row>
    <row r="883" spans="1:27" x14ac:dyDescent="0.2">
      <c r="A883" s="384"/>
      <c r="B883" s="384"/>
      <c r="C883" s="384"/>
      <c r="D883" s="384"/>
      <c r="E883" s="384"/>
      <c r="F883" s="384"/>
      <c r="G883" s="384"/>
      <c r="H883" s="384"/>
      <c r="I883" s="384"/>
      <c r="J883" s="384"/>
      <c r="K883" s="384"/>
      <c r="L883" s="384"/>
      <c r="M883" s="384"/>
      <c r="N883" s="384"/>
      <c r="O883" s="384"/>
      <c r="P883" s="384"/>
      <c r="Q883" s="384"/>
      <c r="R883" s="384"/>
      <c r="S883" s="384"/>
      <c r="T883" s="384"/>
      <c r="U883" s="384"/>
      <c r="V883" s="384"/>
      <c r="W883" s="384"/>
      <c r="X883" s="384"/>
      <c r="Y883" s="384"/>
      <c r="Z883" s="384"/>
      <c r="AA883" s="384"/>
    </row>
    <row r="884" spans="1:27" x14ac:dyDescent="0.2">
      <c r="A884" s="384"/>
      <c r="B884" s="384"/>
      <c r="C884" s="384"/>
      <c r="D884" s="384"/>
      <c r="E884" s="384"/>
      <c r="F884" s="384"/>
      <c r="G884" s="384"/>
      <c r="H884" s="384"/>
      <c r="I884" s="384"/>
      <c r="J884" s="384"/>
      <c r="K884" s="384"/>
      <c r="L884" s="384"/>
      <c r="M884" s="384"/>
      <c r="N884" s="384"/>
      <c r="O884" s="384"/>
      <c r="P884" s="384"/>
      <c r="Q884" s="384"/>
      <c r="R884" s="384"/>
      <c r="S884" s="384"/>
      <c r="T884" s="384"/>
      <c r="U884" s="384"/>
      <c r="V884" s="384"/>
      <c r="W884" s="384"/>
      <c r="X884" s="384"/>
      <c r="Y884" s="384"/>
      <c r="Z884" s="384"/>
      <c r="AA884" s="384"/>
    </row>
    <row r="885" spans="1:27" x14ac:dyDescent="0.2">
      <c r="A885" s="384"/>
      <c r="B885" s="384"/>
      <c r="C885" s="384"/>
      <c r="D885" s="384"/>
      <c r="E885" s="384"/>
      <c r="F885" s="384"/>
      <c r="G885" s="384"/>
      <c r="H885" s="384"/>
      <c r="I885" s="384"/>
      <c r="J885" s="384"/>
      <c r="K885" s="384"/>
      <c r="L885" s="384"/>
      <c r="M885" s="384"/>
      <c r="N885" s="384"/>
      <c r="O885" s="384"/>
      <c r="P885" s="384"/>
      <c r="Q885" s="384"/>
      <c r="R885" s="384"/>
      <c r="S885" s="384"/>
      <c r="T885" s="384"/>
      <c r="U885" s="384"/>
      <c r="V885" s="384"/>
      <c r="W885" s="384"/>
      <c r="X885" s="384"/>
      <c r="Y885" s="384"/>
      <c r="Z885" s="384"/>
      <c r="AA885" s="384"/>
    </row>
    <row r="886" spans="1:27" x14ac:dyDescent="0.2">
      <c r="A886" s="384"/>
      <c r="B886" s="384"/>
      <c r="C886" s="384"/>
      <c r="D886" s="384"/>
      <c r="E886" s="384"/>
      <c r="F886" s="384"/>
      <c r="G886" s="384"/>
      <c r="H886" s="384"/>
      <c r="I886" s="384"/>
      <c r="J886" s="384"/>
      <c r="K886" s="384"/>
      <c r="L886" s="384"/>
      <c r="M886" s="384"/>
      <c r="N886" s="384"/>
      <c r="O886" s="384"/>
      <c r="P886" s="384"/>
      <c r="Q886" s="384"/>
      <c r="R886" s="384"/>
      <c r="S886" s="384"/>
      <c r="T886" s="384"/>
      <c r="U886" s="384"/>
      <c r="V886" s="384"/>
      <c r="W886" s="384"/>
      <c r="X886" s="384"/>
      <c r="Y886" s="384"/>
      <c r="Z886" s="384"/>
      <c r="AA886" s="384"/>
    </row>
    <row r="887" spans="1:27" x14ac:dyDescent="0.2">
      <c r="A887" s="384"/>
      <c r="B887" s="384"/>
      <c r="C887" s="384"/>
      <c r="D887" s="384"/>
      <c r="E887" s="384"/>
      <c r="F887" s="384"/>
      <c r="G887" s="384"/>
      <c r="H887" s="384"/>
      <c r="I887" s="384"/>
      <c r="J887" s="384"/>
      <c r="K887" s="384"/>
      <c r="L887" s="384"/>
      <c r="M887" s="384"/>
      <c r="N887" s="384"/>
      <c r="O887" s="384"/>
      <c r="P887" s="384"/>
      <c r="Q887" s="384"/>
      <c r="R887" s="384"/>
      <c r="S887" s="384"/>
      <c r="T887" s="384"/>
      <c r="U887" s="384"/>
      <c r="V887" s="384"/>
      <c r="W887" s="384"/>
      <c r="X887" s="384"/>
      <c r="Y887" s="384"/>
      <c r="Z887" s="384"/>
      <c r="AA887" s="384"/>
    </row>
    <row r="888" spans="1:27" x14ac:dyDescent="0.2">
      <c r="A888" s="384"/>
      <c r="B888" s="384"/>
      <c r="C888" s="384"/>
      <c r="D888" s="384"/>
      <c r="E888" s="384"/>
      <c r="F888" s="384"/>
      <c r="G888" s="384"/>
      <c r="H888" s="384"/>
      <c r="I888" s="384"/>
      <c r="J888" s="384"/>
      <c r="K888" s="384"/>
      <c r="L888" s="384"/>
      <c r="M888" s="384"/>
      <c r="N888" s="384"/>
      <c r="O888" s="384"/>
      <c r="P888" s="384"/>
      <c r="Q888" s="384"/>
      <c r="R888" s="384"/>
      <c r="S888" s="384"/>
      <c r="T888" s="384"/>
      <c r="U888" s="384"/>
      <c r="V888" s="384"/>
      <c r="W888" s="384"/>
      <c r="X888" s="384"/>
      <c r="Y888" s="384"/>
      <c r="Z888" s="384"/>
      <c r="AA888" s="384"/>
    </row>
    <row r="889" spans="1:27" x14ac:dyDescent="0.2">
      <c r="A889" s="384"/>
      <c r="B889" s="384"/>
      <c r="C889" s="384"/>
      <c r="D889" s="384"/>
      <c r="E889" s="384"/>
      <c r="F889" s="384"/>
      <c r="G889" s="384"/>
      <c r="H889" s="384"/>
      <c r="I889" s="384"/>
      <c r="J889" s="384"/>
      <c r="K889" s="384"/>
      <c r="L889" s="384"/>
      <c r="M889" s="384"/>
      <c r="N889" s="384"/>
      <c r="O889" s="384"/>
      <c r="P889" s="384"/>
      <c r="Q889" s="384"/>
      <c r="R889" s="384"/>
      <c r="S889" s="384"/>
      <c r="T889" s="384"/>
      <c r="U889" s="384"/>
      <c r="V889" s="384"/>
      <c r="W889" s="384"/>
      <c r="X889" s="384"/>
      <c r="Y889" s="384"/>
      <c r="Z889" s="384"/>
      <c r="AA889" s="384"/>
    </row>
    <row r="890" spans="1:27" x14ac:dyDescent="0.2">
      <c r="A890" s="384"/>
      <c r="B890" s="384"/>
      <c r="C890" s="384"/>
      <c r="D890" s="384"/>
      <c r="E890" s="384"/>
      <c r="F890" s="384"/>
      <c r="G890" s="384"/>
      <c r="H890" s="384"/>
      <c r="I890" s="384"/>
      <c r="J890" s="384"/>
      <c r="K890" s="384"/>
      <c r="L890" s="384"/>
      <c r="M890" s="384"/>
      <c r="N890" s="384"/>
      <c r="O890" s="384"/>
      <c r="P890" s="384"/>
      <c r="Q890" s="384"/>
      <c r="R890" s="384"/>
      <c r="S890" s="384"/>
      <c r="T890" s="384"/>
      <c r="U890" s="384"/>
      <c r="V890" s="384"/>
      <c r="W890" s="384"/>
      <c r="X890" s="384"/>
      <c r="Y890" s="384"/>
      <c r="Z890" s="384"/>
      <c r="AA890" s="384"/>
    </row>
    <row r="891" spans="1:27" x14ac:dyDescent="0.2">
      <c r="A891" s="384"/>
      <c r="B891" s="384"/>
      <c r="C891" s="384"/>
      <c r="D891" s="384"/>
      <c r="E891" s="384"/>
      <c r="F891" s="384"/>
      <c r="G891" s="384"/>
      <c r="H891" s="384"/>
      <c r="I891" s="384"/>
      <c r="J891" s="384"/>
      <c r="K891" s="384"/>
      <c r="L891" s="384"/>
      <c r="M891" s="384"/>
      <c r="N891" s="384"/>
      <c r="O891" s="384"/>
      <c r="P891" s="384"/>
      <c r="Q891" s="384"/>
      <c r="R891" s="384"/>
      <c r="S891" s="384"/>
      <c r="T891" s="384"/>
      <c r="U891" s="384"/>
      <c r="V891" s="384"/>
      <c r="W891" s="384"/>
      <c r="X891" s="384"/>
      <c r="Y891" s="384"/>
      <c r="Z891" s="384"/>
      <c r="AA891" s="384"/>
    </row>
    <row r="892" spans="1:27" x14ac:dyDescent="0.2">
      <c r="A892" s="384"/>
      <c r="B892" s="384"/>
      <c r="C892" s="384"/>
      <c r="D892" s="384"/>
      <c r="E892" s="384"/>
      <c r="F892" s="384"/>
      <c r="G892" s="384"/>
      <c r="H892" s="384"/>
      <c r="I892" s="384"/>
      <c r="J892" s="384"/>
      <c r="K892" s="384"/>
      <c r="L892" s="384"/>
      <c r="M892" s="384"/>
      <c r="N892" s="384"/>
      <c r="O892" s="384"/>
      <c r="P892" s="384"/>
      <c r="Q892" s="384"/>
      <c r="R892" s="384"/>
      <c r="S892" s="384"/>
      <c r="T892" s="384"/>
      <c r="U892" s="384"/>
      <c r="V892" s="384"/>
      <c r="W892" s="384"/>
      <c r="X892" s="384"/>
      <c r="Y892" s="384"/>
      <c r="Z892" s="384"/>
      <c r="AA892" s="384"/>
    </row>
    <row r="893" spans="1:27" x14ac:dyDescent="0.2">
      <c r="A893" s="384"/>
      <c r="B893" s="384"/>
      <c r="C893" s="384"/>
      <c r="D893" s="384"/>
      <c r="E893" s="384"/>
      <c r="F893" s="384"/>
      <c r="G893" s="384"/>
      <c r="H893" s="384"/>
      <c r="I893" s="384"/>
      <c r="J893" s="384"/>
      <c r="K893" s="384"/>
      <c r="L893" s="384"/>
      <c r="M893" s="384"/>
      <c r="N893" s="384"/>
      <c r="O893" s="384"/>
      <c r="P893" s="384"/>
      <c r="Q893" s="384"/>
      <c r="R893" s="384"/>
      <c r="S893" s="384"/>
      <c r="T893" s="384"/>
      <c r="U893" s="384"/>
      <c r="V893" s="384"/>
      <c r="W893" s="384"/>
      <c r="X893" s="384"/>
      <c r="Y893" s="384"/>
      <c r="Z893" s="384"/>
      <c r="AA893" s="384"/>
    </row>
    <row r="894" spans="1:27" x14ac:dyDescent="0.2">
      <c r="A894" s="384"/>
      <c r="B894" s="384"/>
      <c r="C894" s="384"/>
      <c r="D894" s="384"/>
      <c r="E894" s="384"/>
      <c r="F894" s="384"/>
      <c r="G894" s="384"/>
      <c r="H894" s="384"/>
      <c r="I894" s="384"/>
      <c r="J894" s="384"/>
      <c r="K894" s="384"/>
      <c r="L894" s="384"/>
      <c r="M894" s="384"/>
      <c r="N894" s="384"/>
      <c r="O894" s="384"/>
      <c r="P894" s="384"/>
      <c r="Q894" s="384"/>
      <c r="R894" s="384"/>
      <c r="S894" s="384"/>
      <c r="T894" s="384"/>
      <c r="U894" s="384"/>
      <c r="V894" s="384"/>
      <c r="W894" s="384"/>
      <c r="X894" s="384"/>
      <c r="Y894" s="384"/>
      <c r="Z894" s="384"/>
      <c r="AA894" s="384"/>
    </row>
    <row r="895" spans="1:27" x14ac:dyDescent="0.2">
      <c r="A895" s="384"/>
      <c r="B895" s="384"/>
      <c r="C895" s="384"/>
      <c r="D895" s="384"/>
      <c r="E895" s="384"/>
      <c r="F895" s="384"/>
      <c r="G895" s="384"/>
      <c r="H895" s="384"/>
      <c r="I895" s="384"/>
      <c r="J895" s="384"/>
      <c r="K895" s="384"/>
      <c r="L895" s="384"/>
      <c r="M895" s="384"/>
      <c r="N895" s="384"/>
      <c r="O895" s="384"/>
      <c r="P895" s="384"/>
      <c r="Q895" s="384"/>
      <c r="R895" s="384"/>
      <c r="S895" s="384"/>
      <c r="T895" s="384"/>
      <c r="U895" s="384"/>
      <c r="V895" s="384"/>
      <c r="W895" s="384"/>
      <c r="X895" s="384"/>
      <c r="Y895" s="384"/>
      <c r="Z895" s="384"/>
      <c r="AA895" s="384"/>
    </row>
    <row r="896" spans="1:27" x14ac:dyDescent="0.2">
      <c r="A896" s="384"/>
      <c r="B896" s="384"/>
      <c r="C896" s="384"/>
      <c r="D896" s="384"/>
      <c r="E896" s="384"/>
      <c r="F896" s="384"/>
      <c r="G896" s="384"/>
      <c r="H896" s="384"/>
      <c r="I896" s="384"/>
      <c r="J896" s="384"/>
      <c r="K896" s="384"/>
      <c r="L896" s="384"/>
      <c r="M896" s="384"/>
      <c r="N896" s="384"/>
      <c r="O896" s="384"/>
      <c r="P896" s="384"/>
      <c r="Q896" s="384"/>
      <c r="R896" s="384"/>
      <c r="S896" s="384"/>
      <c r="T896" s="384"/>
      <c r="U896" s="384"/>
      <c r="V896" s="384"/>
      <c r="W896" s="384"/>
      <c r="X896" s="384"/>
      <c r="Y896" s="384"/>
      <c r="Z896" s="384"/>
      <c r="AA896" s="384"/>
    </row>
    <row r="897" spans="1:27" x14ac:dyDescent="0.2">
      <c r="A897" s="384"/>
      <c r="B897" s="384"/>
      <c r="C897" s="384"/>
      <c r="D897" s="384"/>
      <c r="E897" s="384"/>
      <c r="F897" s="384"/>
      <c r="G897" s="384"/>
      <c r="H897" s="384"/>
      <c r="I897" s="384"/>
      <c r="J897" s="384"/>
      <c r="K897" s="384"/>
      <c r="L897" s="384"/>
      <c r="M897" s="384"/>
      <c r="N897" s="384"/>
      <c r="O897" s="384"/>
      <c r="P897" s="384"/>
      <c r="Q897" s="384"/>
      <c r="R897" s="384"/>
      <c r="S897" s="384"/>
      <c r="T897" s="384"/>
      <c r="U897" s="384"/>
      <c r="V897" s="384"/>
      <c r="W897" s="384"/>
      <c r="X897" s="384"/>
      <c r="Y897" s="384"/>
      <c r="Z897" s="384"/>
      <c r="AA897" s="384"/>
    </row>
    <row r="898" spans="1:27" x14ac:dyDescent="0.2">
      <c r="A898" s="384"/>
      <c r="B898" s="384"/>
      <c r="C898" s="384"/>
      <c r="D898" s="384"/>
      <c r="E898" s="384"/>
      <c r="F898" s="384"/>
      <c r="G898" s="384"/>
      <c r="H898" s="384"/>
      <c r="I898" s="384"/>
      <c r="J898" s="384"/>
      <c r="K898" s="384"/>
      <c r="L898" s="384"/>
      <c r="M898" s="384"/>
      <c r="N898" s="384"/>
      <c r="O898" s="384"/>
      <c r="P898" s="384"/>
      <c r="Q898" s="384"/>
      <c r="R898" s="384"/>
      <c r="S898" s="384"/>
      <c r="T898" s="384"/>
      <c r="U898" s="384"/>
      <c r="V898" s="384"/>
      <c r="W898" s="384"/>
      <c r="X898" s="384"/>
      <c r="Y898" s="384"/>
      <c r="Z898" s="384"/>
      <c r="AA898" s="384"/>
    </row>
    <row r="899" spans="1:27" x14ac:dyDescent="0.2">
      <c r="A899" s="384"/>
      <c r="B899" s="384"/>
      <c r="C899" s="384"/>
      <c r="D899" s="384"/>
      <c r="E899" s="384"/>
      <c r="F899" s="384"/>
      <c r="G899" s="384"/>
      <c r="H899" s="384"/>
      <c r="I899" s="384"/>
      <c r="J899" s="384"/>
      <c r="K899" s="384"/>
      <c r="L899" s="384"/>
      <c r="M899" s="384"/>
      <c r="N899" s="384"/>
      <c r="O899" s="384"/>
      <c r="P899" s="384"/>
      <c r="Q899" s="384"/>
      <c r="R899" s="384"/>
      <c r="S899" s="384"/>
      <c r="T899" s="384"/>
      <c r="U899" s="384"/>
      <c r="V899" s="384"/>
      <c r="W899" s="384"/>
      <c r="X899" s="384"/>
      <c r="Y899" s="384"/>
      <c r="Z899" s="384"/>
      <c r="AA899" s="384"/>
    </row>
    <row r="900" spans="1:27" x14ac:dyDescent="0.2">
      <c r="A900" s="384"/>
      <c r="B900" s="384"/>
      <c r="C900" s="384"/>
      <c r="D900" s="384"/>
      <c r="E900" s="384"/>
      <c r="F900" s="384"/>
      <c r="G900" s="384"/>
      <c r="H900" s="384"/>
      <c r="I900" s="384"/>
      <c r="J900" s="384"/>
      <c r="K900" s="384"/>
      <c r="L900" s="384"/>
      <c r="M900" s="384"/>
      <c r="N900" s="384"/>
      <c r="O900" s="384"/>
      <c r="P900" s="384"/>
      <c r="Q900" s="384"/>
      <c r="R900" s="384"/>
      <c r="S900" s="384"/>
      <c r="T900" s="384"/>
      <c r="U900" s="384"/>
      <c r="V900" s="384"/>
      <c r="W900" s="384"/>
      <c r="X900" s="384"/>
      <c r="Y900" s="384"/>
      <c r="Z900" s="384"/>
      <c r="AA900" s="384"/>
    </row>
    <row r="901" spans="1:27" x14ac:dyDescent="0.2">
      <c r="A901" s="384"/>
      <c r="B901" s="384"/>
      <c r="C901" s="384"/>
      <c r="D901" s="384"/>
      <c r="E901" s="384"/>
      <c r="F901" s="384"/>
      <c r="G901" s="384"/>
      <c r="H901" s="384"/>
      <c r="I901" s="384"/>
      <c r="J901" s="384"/>
      <c r="K901" s="384"/>
      <c r="L901" s="384"/>
      <c r="M901" s="384"/>
      <c r="N901" s="384"/>
      <c r="O901" s="384"/>
      <c r="P901" s="384"/>
      <c r="Q901" s="384"/>
      <c r="R901" s="384"/>
      <c r="S901" s="384"/>
      <c r="T901" s="384"/>
      <c r="U901" s="384"/>
      <c r="V901" s="384"/>
      <c r="W901" s="384"/>
      <c r="X901" s="384"/>
      <c r="Y901" s="384"/>
      <c r="Z901" s="384"/>
      <c r="AA901" s="384"/>
    </row>
    <row r="902" spans="1:27" x14ac:dyDescent="0.2">
      <c r="A902" s="384"/>
      <c r="B902" s="384"/>
      <c r="C902" s="384"/>
      <c r="D902" s="384"/>
      <c r="E902" s="384"/>
      <c r="F902" s="384"/>
      <c r="G902" s="384"/>
      <c r="H902" s="384"/>
      <c r="I902" s="384"/>
      <c r="J902" s="384"/>
      <c r="K902" s="384"/>
      <c r="L902" s="384"/>
      <c r="M902" s="384"/>
      <c r="N902" s="384"/>
      <c r="O902" s="384"/>
      <c r="P902" s="384"/>
      <c r="Q902" s="384"/>
      <c r="R902" s="384"/>
      <c r="S902" s="384"/>
      <c r="T902" s="384"/>
      <c r="U902" s="384"/>
      <c r="V902" s="384"/>
      <c r="W902" s="384"/>
      <c r="X902" s="384"/>
      <c r="Y902" s="384"/>
      <c r="Z902" s="384"/>
      <c r="AA902" s="384"/>
    </row>
    <row r="903" spans="1:27" x14ac:dyDescent="0.2">
      <c r="A903" s="384"/>
      <c r="B903" s="384"/>
      <c r="C903" s="384"/>
      <c r="D903" s="384"/>
      <c r="E903" s="384"/>
      <c r="F903" s="384"/>
      <c r="G903" s="384"/>
      <c r="H903" s="384"/>
      <c r="I903" s="384"/>
      <c r="J903" s="384"/>
      <c r="K903" s="384"/>
      <c r="L903" s="384"/>
      <c r="M903" s="384"/>
      <c r="N903" s="384"/>
      <c r="O903" s="384"/>
      <c r="P903" s="384"/>
      <c r="Q903" s="384"/>
      <c r="R903" s="384"/>
      <c r="S903" s="384"/>
      <c r="T903" s="384"/>
      <c r="U903" s="384"/>
      <c r="V903" s="384"/>
      <c r="W903" s="384"/>
      <c r="X903" s="384"/>
      <c r="Y903" s="384"/>
      <c r="Z903" s="384"/>
      <c r="AA903" s="384"/>
    </row>
    <row r="904" spans="1:27" x14ac:dyDescent="0.2">
      <c r="A904" s="384"/>
      <c r="B904" s="384"/>
      <c r="C904" s="384"/>
      <c r="D904" s="384"/>
      <c r="E904" s="384"/>
      <c r="F904" s="384"/>
      <c r="G904" s="384"/>
      <c r="H904" s="384"/>
      <c r="I904" s="384"/>
      <c r="J904" s="384"/>
      <c r="K904" s="384"/>
      <c r="L904" s="384"/>
      <c r="M904" s="384"/>
      <c r="N904" s="384"/>
      <c r="O904" s="384"/>
      <c r="P904" s="384"/>
      <c r="Q904" s="384"/>
      <c r="R904" s="384"/>
      <c r="S904" s="384"/>
      <c r="T904" s="384"/>
      <c r="U904" s="384"/>
      <c r="V904" s="384"/>
      <c r="W904" s="384"/>
      <c r="X904" s="384"/>
      <c r="Y904" s="384"/>
      <c r="Z904" s="384"/>
      <c r="AA904" s="384"/>
    </row>
    <row r="905" spans="1:27" x14ac:dyDescent="0.2">
      <c r="A905" s="384"/>
      <c r="B905" s="384"/>
      <c r="C905" s="384"/>
      <c r="D905" s="384"/>
      <c r="E905" s="384"/>
      <c r="F905" s="384"/>
      <c r="G905" s="384"/>
      <c r="H905" s="384"/>
      <c r="I905" s="384"/>
      <c r="J905" s="384"/>
      <c r="K905" s="384"/>
      <c r="L905" s="384"/>
      <c r="M905" s="384"/>
      <c r="N905" s="384"/>
      <c r="O905" s="384"/>
      <c r="P905" s="384"/>
      <c r="Q905" s="384"/>
      <c r="R905" s="384"/>
      <c r="S905" s="384"/>
      <c r="T905" s="384"/>
      <c r="U905" s="384"/>
      <c r="V905" s="384"/>
      <c r="W905" s="384"/>
      <c r="X905" s="384"/>
      <c r="Y905" s="384"/>
      <c r="Z905" s="384"/>
      <c r="AA905" s="384"/>
    </row>
    <row r="906" spans="1:27" x14ac:dyDescent="0.2">
      <c r="A906" s="384"/>
      <c r="B906" s="384"/>
      <c r="C906" s="384"/>
      <c r="D906" s="384"/>
      <c r="E906" s="384"/>
      <c r="F906" s="384"/>
      <c r="G906" s="384"/>
      <c r="H906" s="384"/>
      <c r="I906" s="384"/>
      <c r="J906" s="384"/>
      <c r="K906" s="384"/>
      <c r="L906" s="384"/>
      <c r="M906" s="384"/>
      <c r="N906" s="384"/>
      <c r="O906" s="384"/>
      <c r="P906" s="384"/>
      <c r="Q906" s="384"/>
      <c r="R906" s="384"/>
      <c r="S906" s="384"/>
      <c r="T906" s="384"/>
      <c r="U906" s="384"/>
      <c r="V906" s="384"/>
      <c r="W906" s="384"/>
      <c r="X906" s="384"/>
      <c r="Y906" s="384"/>
      <c r="Z906" s="384"/>
      <c r="AA906" s="384"/>
    </row>
    <row r="907" spans="1:27" x14ac:dyDescent="0.2">
      <c r="A907" s="384"/>
      <c r="B907" s="384"/>
      <c r="C907" s="384"/>
      <c r="D907" s="384"/>
      <c r="E907" s="384"/>
      <c r="F907" s="384"/>
      <c r="G907" s="384"/>
      <c r="H907" s="384"/>
      <c r="I907" s="384"/>
      <c r="J907" s="384"/>
      <c r="K907" s="384"/>
      <c r="L907" s="384"/>
      <c r="M907" s="384"/>
      <c r="N907" s="384"/>
      <c r="O907" s="384"/>
      <c r="P907" s="384"/>
      <c r="Q907" s="384"/>
      <c r="R907" s="384"/>
      <c r="S907" s="384"/>
      <c r="T907" s="384"/>
      <c r="U907" s="384"/>
      <c r="V907" s="384"/>
      <c r="W907" s="384"/>
      <c r="X907" s="384"/>
      <c r="Y907" s="384"/>
      <c r="Z907" s="384"/>
      <c r="AA907" s="384"/>
    </row>
    <row r="908" spans="1:27" x14ac:dyDescent="0.2">
      <c r="A908" s="384"/>
      <c r="B908" s="384"/>
      <c r="C908" s="384"/>
      <c r="D908" s="384"/>
      <c r="E908" s="384"/>
      <c r="F908" s="384"/>
      <c r="G908" s="384"/>
      <c r="H908" s="384"/>
      <c r="I908" s="384"/>
      <c r="J908" s="384"/>
      <c r="K908" s="384"/>
      <c r="L908" s="384"/>
      <c r="M908" s="384"/>
      <c r="N908" s="384"/>
      <c r="O908" s="384"/>
      <c r="P908" s="384"/>
      <c r="Q908" s="384"/>
      <c r="R908" s="384"/>
      <c r="S908" s="384"/>
      <c r="T908" s="384"/>
      <c r="U908" s="384"/>
      <c r="V908" s="384"/>
      <c r="W908" s="384"/>
      <c r="X908" s="384"/>
      <c r="Y908" s="384"/>
      <c r="Z908" s="384"/>
      <c r="AA908" s="384"/>
    </row>
    <row r="909" spans="1:27" x14ac:dyDescent="0.2">
      <c r="A909" s="384"/>
      <c r="B909" s="384"/>
      <c r="C909" s="384"/>
      <c r="D909" s="384"/>
      <c r="E909" s="384"/>
      <c r="F909" s="384"/>
      <c r="G909" s="384"/>
      <c r="H909" s="384"/>
      <c r="I909" s="384"/>
      <c r="J909" s="384"/>
      <c r="K909" s="384"/>
      <c r="L909" s="384"/>
      <c r="M909" s="384"/>
      <c r="N909" s="384"/>
      <c r="O909" s="384"/>
      <c r="P909" s="384"/>
      <c r="Q909" s="384"/>
      <c r="R909" s="384"/>
      <c r="S909" s="384"/>
      <c r="T909" s="384"/>
      <c r="U909" s="384"/>
      <c r="V909" s="384"/>
      <c r="W909" s="384"/>
      <c r="X909" s="384"/>
      <c r="Y909" s="384"/>
      <c r="Z909" s="384"/>
      <c r="AA909" s="384"/>
    </row>
    <row r="910" spans="1:27" x14ac:dyDescent="0.2">
      <c r="A910" s="384"/>
      <c r="B910" s="384"/>
      <c r="C910" s="384"/>
      <c r="D910" s="384"/>
      <c r="E910" s="384"/>
      <c r="F910" s="384"/>
      <c r="G910" s="384"/>
      <c r="H910" s="384"/>
      <c r="I910" s="384"/>
      <c r="J910" s="384"/>
      <c r="K910" s="384"/>
      <c r="L910" s="384"/>
      <c r="M910" s="384"/>
      <c r="N910" s="384"/>
      <c r="O910" s="384"/>
      <c r="P910" s="384"/>
      <c r="Q910" s="384"/>
      <c r="R910" s="384"/>
      <c r="S910" s="384"/>
      <c r="T910" s="384"/>
      <c r="U910" s="384"/>
      <c r="V910" s="384"/>
      <c r="W910" s="384"/>
      <c r="X910" s="384"/>
      <c r="Y910" s="384"/>
      <c r="Z910" s="384"/>
      <c r="AA910" s="384"/>
    </row>
    <row r="911" spans="1:27" x14ac:dyDescent="0.2">
      <c r="A911" s="384"/>
      <c r="B911" s="384"/>
      <c r="C911" s="384"/>
      <c r="D911" s="384"/>
      <c r="E911" s="384"/>
      <c r="F911" s="384"/>
      <c r="G911" s="384"/>
      <c r="H911" s="384"/>
      <c r="I911" s="384"/>
      <c r="J911" s="384"/>
      <c r="K911" s="384"/>
      <c r="L911" s="384"/>
      <c r="M911" s="384"/>
      <c r="N911" s="384"/>
      <c r="O911" s="384"/>
      <c r="P911" s="384"/>
      <c r="Q911" s="384"/>
      <c r="R911" s="384"/>
      <c r="S911" s="384"/>
      <c r="T911" s="384"/>
      <c r="U911" s="384"/>
      <c r="V911" s="384"/>
      <c r="W911" s="384"/>
      <c r="X911" s="384"/>
      <c r="Y911" s="384"/>
      <c r="Z911" s="384"/>
      <c r="AA911" s="384"/>
    </row>
    <row r="912" spans="1:27" x14ac:dyDescent="0.2">
      <c r="A912" s="384"/>
      <c r="B912" s="384"/>
      <c r="C912" s="384"/>
      <c r="D912" s="384"/>
      <c r="E912" s="384"/>
      <c r="F912" s="384"/>
      <c r="G912" s="384"/>
      <c r="H912" s="384"/>
      <c r="I912" s="384"/>
      <c r="J912" s="384"/>
      <c r="K912" s="384"/>
      <c r="L912" s="384"/>
      <c r="M912" s="384"/>
      <c r="N912" s="384"/>
      <c r="O912" s="384"/>
      <c r="P912" s="384"/>
      <c r="Q912" s="384"/>
      <c r="R912" s="384"/>
      <c r="S912" s="384"/>
      <c r="T912" s="384"/>
      <c r="U912" s="384"/>
      <c r="V912" s="384"/>
      <c r="W912" s="384"/>
      <c r="X912" s="384"/>
      <c r="Y912" s="384"/>
      <c r="Z912" s="384"/>
      <c r="AA912" s="384"/>
    </row>
    <row r="913" spans="1:27" x14ac:dyDescent="0.2">
      <c r="A913" s="384"/>
      <c r="B913" s="384"/>
      <c r="C913" s="384"/>
      <c r="D913" s="384"/>
      <c r="E913" s="384"/>
      <c r="F913" s="384"/>
      <c r="G913" s="384"/>
      <c r="H913" s="384"/>
      <c r="I913" s="384"/>
      <c r="J913" s="384"/>
      <c r="K913" s="384"/>
      <c r="L913" s="384"/>
      <c r="M913" s="384"/>
      <c r="N913" s="384"/>
      <c r="O913" s="384"/>
      <c r="P913" s="384"/>
      <c r="Q913" s="384"/>
      <c r="R913" s="384"/>
      <c r="S913" s="384"/>
      <c r="T913" s="384"/>
      <c r="U913" s="384"/>
      <c r="V913" s="384"/>
      <c r="W913" s="384"/>
      <c r="X913" s="384"/>
      <c r="Y913" s="384"/>
      <c r="Z913" s="384"/>
      <c r="AA913" s="384"/>
    </row>
    <row r="914" spans="1:27" x14ac:dyDescent="0.2">
      <c r="A914" s="384"/>
      <c r="B914" s="384"/>
      <c r="C914" s="384"/>
      <c r="D914" s="384"/>
      <c r="E914" s="384"/>
      <c r="F914" s="384"/>
      <c r="G914" s="384"/>
      <c r="H914" s="384"/>
      <c r="I914" s="384"/>
      <c r="J914" s="384"/>
      <c r="K914" s="384"/>
      <c r="L914" s="384"/>
      <c r="M914" s="384"/>
      <c r="N914" s="384"/>
      <c r="O914" s="384"/>
      <c r="P914" s="384"/>
      <c r="Q914" s="384"/>
      <c r="R914" s="384"/>
      <c r="S914" s="384"/>
      <c r="T914" s="384"/>
      <c r="U914" s="384"/>
      <c r="V914" s="384"/>
      <c r="W914" s="384"/>
      <c r="X914" s="384"/>
      <c r="Y914" s="384"/>
      <c r="Z914" s="384"/>
      <c r="AA914" s="384"/>
    </row>
    <row r="915" spans="1:27" x14ac:dyDescent="0.2">
      <c r="A915" s="384"/>
      <c r="B915" s="384"/>
      <c r="C915" s="384"/>
      <c r="D915" s="384"/>
      <c r="E915" s="384"/>
      <c r="F915" s="384"/>
      <c r="G915" s="384"/>
      <c r="H915" s="384"/>
      <c r="I915" s="384"/>
      <c r="J915" s="384"/>
      <c r="K915" s="384"/>
      <c r="L915" s="384"/>
      <c r="M915" s="384"/>
      <c r="N915" s="384"/>
      <c r="O915" s="384"/>
      <c r="P915" s="384"/>
      <c r="Q915" s="384"/>
      <c r="R915" s="384"/>
      <c r="S915" s="384"/>
      <c r="T915" s="384"/>
      <c r="U915" s="384"/>
      <c r="V915" s="384"/>
      <c r="W915" s="384"/>
      <c r="X915" s="384"/>
      <c r="Y915" s="384"/>
      <c r="Z915" s="384"/>
      <c r="AA915" s="384"/>
    </row>
    <row r="916" spans="1:27" x14ac:dyDescent="0.2">
      <c r="A916" s="384"/>
      <c r="B916" s="384"/>
      <c r="C916" s="384"/>
      <c r="D916" s="384"/>
      <c r="E916" s="384"/>
      <c r="F916" s="384"/>
      <c r="G916" s="384"/>
      <c r="H916" s="384"/>
      <c r="I916" s="384"/>
      <c r="J916" s="384"/>
      <c r="K916" s="384"/>
      <c r="L916" s="384"/>
      <c r="M916" s="384"/>
      <c r="N916" s="384"/>
      <c r="O916" s="384"/>
      <c r="P916" s="384"/>
      <c r="Q916" s="384"/>
      <c r="R916" s="384"/>
      <c r="S916" s="384"/>
      <c r="T916" s="384"/>
      <c r="U916" s="384"/>
      <c r="V916" s="384"/>
      <c r="W916" s="384"/>
      <c r="X916" s="384"/>
      <c r="Y916" s="384"/>
      <c r="Z916" s="384"/>
      <c r="AA916" s="384"/>
    </row>
    <row r="917" spans="1:27" x14ac:dyDescent="0.2">
      <c r="A917" s="384"/>
      <c r="B917" s="384"/>
      <c r="C917" s="384"/>
      <c r="D917" s="384"/>
      <c r="E917" s="384"/>
      <c r="F917" s="384"/>
      <c r="G917" s="384"/>
      <c r="H917" s="384"/>
      <c r="I917" s="384"/>
      <c r="J917" s="384"/>
      <c r="K917" s="384"/>
      <c r="L917" s="384"/>
      <c r="M917" s="384"/>
      <c r="N917" s="384"/>
      <c r="O917" s="384"/>
      <c r="P917" s="384"/>
      <c r="Q917" s="384"/>
      <c r="R917" s="384"/>
      <c r="S917" s="384"/>
      <c r="T917" s="384"/>
      <c r="U917" s="384"/>
      <c r="V917" s="384"/>
      <c r="W917" s="384"/>
      <c r="X917" s="384"/>
      <c r="Y917" s="384"/>
      <c r="Z917" s="384"/>
      <c r="AA917" s="384"/>
    </row>
    <row r="918" spans="1:27" x14ac:dyDescent="0.2">
      <c r="A918" s="384"/>
      <c r="B918" s="384"/>
      <c r="C918" s="384"/>
      <c r="D918" s="384"/>
      <c r="E918" s="384"/>
      <c r="F918" s="384"/>
      <c r="G918" s="384"/>
      <c r="H918" s="384"/>
      <c r="I918" s="384"/>
      <c r="J918" s="384"/>
      <c r="K918" s="384"/>
      <c r="L918" s="384"/>
      <c r="M918" s="384"/>
      <c r="N918" s="384"/>
      <c r="O918" s="384"/>
      <c r="P918" s="384"/>
      <c r="Q918" s="384"/>
      <c r="R918" s="384"/>
      <c r="S918" s="384"/>
      <c r="T918" s="384"/>
      <c r="U918" s="384"/>
      <c r="V918" s="384"/>
      <c r="W918" s="384"/>
      <c r="X918" s="384"/>
      <c r="Y918" s="384"/>
      <c r="Z918" s="384"/>
      <c r="AA918" s="384"/>
    </row>
    <row r="919" spans="1:27" x14ac:dyDescent="0.2">
      <c r="A919" s="384"/>
      <c r="B919" s="384"/>
      <c r="C919" s="384"/>
      <c r="D919" s="384"/>
      <c r="E919" s="384"/>
      <c r="F919" s="384"/>
      <c r="G919" s="384"/>
      <c r="H919" s="384"/>
      <c r="I919" s="384"/>
      <c r="J919" s="384"/>
      <c r="K919" s="384"/>
      <c r="L919" s="384"/>
      <c r="M919" s="384"/>
      <c r="N919" s="384"/>
      <c r="O919" s="384"/>
      <c r="P919" s="384"/>
      <c r="Q919" s="384"/>
      <c r="R919" s="384"/>
      <c r="S919" s="384"/>
      <c r="T919" s="384"/>
      <c r="U919" s="384"/>
      <c r="V919" s="384"/>
      <c r="W919" s="384"/>
      <c r="X919" s="384"/>
      <c r="Y919" s="384"/>
      <c r="Z919" s="384"/>
      <c r="AA919" s="384"/>
    </row>
    <row r="920" spans="1:27" x14ac:dyDescent="0.2">
      <c r="A920" s="384"/>
      <c r="B920" s="384"/>
      <c r="C920" s="384"/>
      <c r="D920" s="384"/>
      <c r="E920" s="384"/>
      <c r="F920" s="384"/>
      <c r="G920" s="384"/>
      <c r="H920" s="384"/>
      <c r="I920" s="384"/>
      <c r="J920" s="384"/>
      <c r="K920" s="384"/>
      <c r="L920" s="384"/>
      <c r="M920" s="384"/>
      <c r="N920" s="384"/>
      <c r="O920" s="384"/>
      <c r="P920" s="384"/>
      <c r="Q920" s="384"/>
      <c r="R920" s="384"/>
      <c r="S920" s="384"/>
      <c r="T920" s="384"/>
      <c r="U920" s="384"/>
      <c r="V920" s="384"/>
      <c r="W920" s="384"/>
      <c r="X920" s="384"/>
      <c r="Y920" s="384"/>
      <c r="Z920" s="384"/>
      <c r="AA920" s="384"/>
    </row>
    <row r="921" spans="1:27" x14ac:dyDescent="0.2">
      <c r="A921" s="384"/>
      <c r="B921" s="384"/>
      <c r="C921" s="384"/>
      <c r="D921" s="384"/>
      <c r="E921" s="384"/>
      <c r="F921" s="384"/>
      <c r="G921" s="384"/>
      <c r="H921" s="384"/>
      <c r="I921" s="384"/>
      <c r="J921" s="384"/>
      <c r="K921" s="384"/>
      <c r="L921" s="384"/>
      <c r="M921" s="384"/>
      <c r="N921" s="384"/>
      <c r="O921" s="384"/>
      <c r="P921" s="384"/>
      <c r="Q921" s="384"/>
      <c r="R921" s="384"/>
      <c r="S921" s="384"/>
      <c r="T921" s="384"/>
      <c r="U921" s="384"/>
      <c r="V921" s="384"/>
      <c r="W921" s="384"/>
      <c r="X921" s="384"/>
      <c r="Y921" s="384"/>
      <c r="Z921" s="384"/>
      <c r="AA921" s="384"/>
    </row>
    <row r="922" spans="1:27" x14ac:dyDescent="0.2">
      <c r="A922" s="384"/>
      <c r="B922" s="384"/>
      <c r="C922" s="384"/>
      <c r="D922" s="384"/>
      <c r="E922" s="384"/>
      <c r="F922" s="384"/>
      <c r="G922" s="384"/>
      <c r="H922" s="384"/>
      <c r="I922" s="384"/>
      <c r="J922" s="384"/>
      <c r="K922" s="384"/>
      <c r="L922" s="384"/>
      <c r="M922" s="384"/>
      <c r="N922" s="384"/>
      <c r="O922" s="384"/>
      <c r="P922" s="384"/>
      <c r="Q922" s="384"/>
      <c r="R922" s="384"/>
      <c r="S922" s="384"/>
      <c r="T922" s="384"/>
      <c r="U922" s="384"/>
      <c r="V922" s="384"/>
      <c r="W922" s="384"/>
      <c r="X922" s="384"/>
      <c r="Y922" s="384"/>
      <c r="Z922" s="384"/>
      <c r="AA922" s="384"/>
    </row>
    <row r="923" spans="1:27" x14ac:dyDescent="0.2">
      <c r="A923" s="384"/>
      <c r="B923" s="384"/>
      <c r="C923" s="384"/>
      <c r="D923" s="384"/>
      <c r="E923" s="384"/>
      <c r="F923" s="384"/>
      <c r="G923" s="384"/>
      <c r="H923" s="384"/>
      <c r="I923" s="384"/>
      <c r="J923" s="384"/>
      <c r="K923" s="384"/>
      <c r="L923" s="384"/>
      <c r="M923" s="384"/>
      <c r="N923" s="384"/>
      <c r="O923" s="384"/>
      <c r="P923" s="384"/>
      <c r="Q923" s="384"/>
      <c r="R923" s="384"/>
      <c r="S923" s="384"/>
      <c r="T923" s="384"/>
      <c r="U923" s="384"/>
      <c r="V923" s="384"/>
      <c r="W923" s="384"/>
      <c r="X923" s="384"/>
      <c r="Y923" s="384"/>
      <c r="Z923" s="384"/>
      <c r="AA923" s="384"/>
    </row>
    <row r="924" spans="1:27" x14ac:dyDescent="0.2">
      <c r="A924" s="384"/>
      <c r="B924" s="384"/>
      <c r="C924" s="384"/>
      <c r="D924" s="384"/>
      <c r="E924" s="384"/>
      <c r="F924" s="384"/>
      <c r="G924" s="384"/>
      <c r="H924" s="384"/>
      <c r="I924" s="384"/>
      <c r="J924" s="384"/>
      <c r="K924" s="384"/>
      <c r="L924" s="384"/>
      <c r="M924" s="384"/>
      <c r="N924" s="384"/>
      <c r="O924" s="384"/>
      <c r="P924" s="384"/>
      <c r="Q924" s="384"/>
      <c r="R924" s="384"/>
      <c r="S924" s="384"/>
      <c r="T924" s="384"/>
      <c r="U924" s="384"/>
      <c r="V924" s="384"/>
      <c r="W924" s="384"/>
      <c r="X924" s="384"/>
      <c r="Y924" s="384"/>
      <c r="Z924" s="384"/>
      <c r="AA924" s="384"/>
    </row>
    <row r="925" spans="1:27" x14ac:dyDescent="0.2">
      <c r="A925" s="384"/>
      <c r="B925" s="384"/>
      <c r="C925" s="384"/>
      <c r="D925" s="384"/>
      <c r="E925" s="384"/>
      <c r="F925" s="384"/>
      <c r="G925" s="384"/>
      <c r="H925" s="384"/>
      <c r="I925" s="384"/>
      <c r="J925" s="384"/>
      <c r="K925" s="384"/>
      <c r="L925" s="384"/>
      <c r="M925" s="384"/>
      <c r="N925" s="384"/>
      <c r="O925" s="384"/>
      <c r="P925" s="384"/>
      <c r="Q925" s="384"/>
      <c r="R925" s="384"/>
      <c r="S925" s="384"/>
      <c r="T925" s="384"/>
      <c r="U925" s="384"/>
      <c r="V925" s="384"/>
      <c r="W925" s="384"/>
      <c r="X925" s="384"/>
      <c r="Y925" s="384"/>
      <c r="Z925" s="384"/>
      <c r="AA925" s="384"/>
    </row>
    <row r="926" spans="1:27" x14ac:dyDescent="0.2">
      <c r="A926" s="384"/>
      <c r="B926" s="384"/>
      <c r="C926" s="384"/>
      <c r="D926" s="384"/>
      <c r="E926" s="384"/>
      <c r="F926" s="384"/>
      <c r="G926" s="384"/>
      <c r="H926" s="384"/>
      <c r="I926" s="384"/>
      <c r="J926" s="384"/>
      <c r="K926" s="384"/>
      <c r="L926" s="384"/>
      <c r="M926" s="384"/>
      <c r="N926" s="384"/>
      <c r="O926" s="384"/>
      <c r="P926" s="384"/>
      <c r="Q926" s="384"/>
      <c r="R926" s="384"/>
      <c r="S926" s="384"/>
      <c r="T926" s="384"/>
      <c r="U926" s="384"/>
      <c r="V926" s="384"/>
      <c r="W926" s="384"/>
      <c r="X926" s="384"/>
      <c r="Y926" s="384"/>
      <c r="Z926" s="384"/>
      <c r="AA926" s="384"/>
    </row>
    <row r="927" spans="1:27" x14ac:dyDescent="0.2">
      <c r="A927" s="384"/>
      <c r="B927" s="384"/>
      <c r="C927" s="384"/>
      <c r="D927" s="384"/>
      <c r="E927" s="384"/>
      <c r="F927" s="384"/>
      <c r="G927" s="384"/>
      <c r="H927" s="384"/>
      <c r="I927" s="384"/>
      <c r="J927" s="384"/>
      <c r="K927" s="384"/>
      <c r="L927" s="384"/>
      <c r="M927" s="384"/>
      <c r="N927" s="384"/>
      <c r="O927" s="384"/>
      <c r="P927" s="384"/>
      <c r="Q927" s="384"/>
      <c r="R927" s="384"/>
      <c r="S927" s="384"/>
      <c r="T927" s="384"/>
      <c r="U927" s="384"/>
      <c r="V927" s="384"/>
      <c r="W927" s="384"/>
      <c r="X927" s="384"/>
      <c r="Y927" s="384"/>
      <c r="Z927" s="384"/>
      <c r="AA927" s="384"/>
    </row>
    <row r="928" spans="1:27" x14ac:dyDescent="0.2">
      <c r="A928" s="384"/>
      <c r="B928" s="384"/>
      <c r="C928" s="384"/>
      <c r="D928" s="384"/>
      <c r="E928" s="384"/>
      <c r="F928" s="384"/>
      <c r="G928" s="384"/>
      <c r="H928" s="384"/>
      <c r="I928" s="384"/>
      <c r="J928" s="384"/>
      <c r="K928" s="384"/>
      <c r="L928" s="384"/>
      <c r="M928" s="384"/>
      <c r="N928" s="384"/>
      <c r="O928" s="384"/>
      <c r="P928" s="384"/>
      <c r="Q928" s="384"/>
      <c r="R928" s="384"/>
      <c r="S928" s="384"/>
      <c r="T928" s="384"/>
      <c r="U928" s="384"/>
      <c r="V928" s="384"/>
      <c r="W928" s="384"/>
      <c r="X928" s="384"/>
      <c r="Y928" s="384"/>
      <c r="Z928" s="384"/>
      <c r="AA928" s="384"/>
    </row>
    <row r="929" spans="1:27" x14ac:dyDescent="0.2">
      <c r="A929" s="384"/>
      <c r="B929" s="384"/>
      <c r="C929" s="384"/>
      <c r="D929" s="384"/>
      <c r="E929" s="384"/>
      <c r="F929" s="384"/>
      <c r="G929" s="384"/>
      <c r="H929" s="384"/>
      <c r="I929" s="384"/>
      <c r="J929" s="384"/>
      <c r="K929" s="384"/>
      <c r="L929" s="384"/>
      <c r="M929" s="384"/>
      <c r="N929" s="384"/>
      <c r="O929" s="384"/>
      <c r="P929" s="384"/>
      <c r="Q929" s="384"/>
      <c r="R929" s="384"/>
      <c r="S929" s="384"/>
      <c r="T929" s="384"/>
      <c r="U929" s="384"/>
      <c r="V929" s="384"/>
      <c r="W929" s="384"/>
      <c r="X929" s="384"/>
      <c r="Y929" s="384"/>
      <c r="Z929" s="384"/>
      <c r="AA929" s="384"/>
    </row>
    <row r="930" spans="1:27" x14ac:dyDescent="0.2">
      <c r="A930" s="384"/>
      <c r="B930" s="384"/>
      <c r="C930" s="384"/>
      <c r="D930" s="384"/>
      <c r="E930" s="384"/>
      <c r="F930" s="384"/>
      <c r="G930" s="384"/>
      <c r="H930" s="384"/>
      <c r="I930" s="384"/>
      <c r="J930" s="384"/>
      <c r="K930" s="384"/>
      <c r="L930" s="384"/>
      <c r="M930" s="384"/>
      <c r="N930" s="384"/>
      <c r="O930" s="384"/>
      <c r="P930" s="384"/>
      <c r="Q930" s="384"/>
      <c r="R930" s="384"/>
      <c r="S930" s="384"/>
      <c r="T930" s="384"/>
      <c r="U930" s="384"/>
      <c r="V930" s="384"/>
      <c r="W930" s="384"/>
      <c r="X930" s="384"/>
      <c r="Y930" s="384"/>
      <c r="Z930" s="384"/>
      <c r="AA930" s="384"/>
    </row>
    <row r="931" spans="1:27" x14ac:dyDescent="0.2">
      <c r="A931" s="384"/>
      <c r="B931" s="384"/>
      <c r="C931" s="384"/>
      <c r="D931" s="384"/>
      <c r="E931" s="384"/>
      <c r="F931" s="384"/>
      <c r="G931" s="384"/>
      <c r="H931" s="384"/>
      <c r="I931" s="384"/>
      <c r="J931" s="384"/>
      <c r="K931" s="384"/>
      <c r="L931" s="384"/>
      <c r="M931" s="384"/>
      <c r="N931" s="384"/>
      <c r="O931" s="384"/>
      <c r="P931" s="384"/>
      <c r="Q931" s="384"/>
      <c r="R931" s="384"/>
      <c r="S931" s="384"/>
      <c r="T931" s="384"/>
      <c r="U931" s="384"/>
      <c r="V931" s="384"/>
      <c r="W931" s="384"/>
      <c r="X931" s="384"/>
      <c r="Y931" s="384"/>
      <c r="Z931" s="384"/>
      <c r="AA931" s="384"/>
    </row>
    <row r="932" spans="1:27" x14ac:dyDescent="0.2">
      <c r="A932" s="384"/>
      <c r="B932" s="384"/>
      <c r="C932" s="384"/>
      <c r="D932" s="384"/>
      <c r="E932" s="384"/>
      <c r="F932" s="384"/>
      <c r="G932" s="384"/>
      <c r="H932" s="384"/>
      <c r="I932" s="384"/>
      <c r="J932" s="384"/>
      <c r="K932" s="384"/>
      <c r="L932" s="384"/>
      <c r="M932" s="384"/>
      <c r="N932" s="384"/>
      <c r="O932" s="384"/>
      <c r="P932" s="384"/>
      <c r="Q932" s="384"/>
      <c r="R932" s="384"/>
      <c r="S932" s="384"/>
      <c r="T932" s="384"/>
      <c r="U932" s="384"/>
      <c r="V932" s="384"/>
      <c r="W932" s="384"/>
      <c r="X932" s="384"/>
      <c r="Y932" s="384"/>
      <c r="Z932" s="384"/>
      <c r="AA932" s="384"/>
    </row>
    <row r="933" spans="1:27" x14ac:dyDescent="0.2">
      <c r="A933" s="384"/>
      <c r="B933" s="384"/>
      <c r="C933" s="384"/>
      <c r="D933" s="384"/>
      <c r="E933" s="384"/>
      <c r="F933" s="384"/>
      <c r="G933" s="384"/>
      <c r="H933" s="384"/>
      <c r="I933" s="384"/>
      <c r="J933" s="384"/>
      <c r="K933" s="384"/>
      <c r="L933" s="384"/>
      <c r="M933" s="384"/>
      <c r="N933" s="384"/>
      <c r="O933" s="384"/>
      <c r="P933" s="384"/>
      <c r="Q933" s="384"/>
      <c r="R933" s="384"/>
      <c r="S933" s="384"/>
      <c r="T933" s="384"/>
      <c r="U933" s="384"/>
      <c r="V933" s="384"/>
      <c r="W933" s="384"/>
      <c r="X933" s="384"/>
      <c r="Y933" s="384"/>
      <c r="Z933" s="384"/>
      <c r="AA933" s="384"/>
    </row>
    <row r="934" spans="1:27" x14ac:dyDescent="0.2">
      <c r="A934" s="384"/>
      <c r="B934" s="384"/>
      <c r="C934" s="384"/>
      <c r="D934" s="384"/>
      <c r="E934" s="384"/>
      <c r="F934" s="384"/>
      <c r="G934" s="384"/>
      <c r="H934" s="384"/>
      <c r="I934" s="384"/>
      <c r="J934" s="384"/>
      <c r="K934" s="384"/>
      <c r="L934" s="384"/>
      <c r="M934" s="384"/>
      <c r="N934" s="384"/>
      <c r="O934" s="384"/>
      <c r="P934" s="384"/>
      <c r="Q934" s="384"/>
      <c r="R934" s="384"/>
      <c r="S934" s="384"/>
      <c r="T934" s="384"/>
      <c r="U934" s="384"/>
      <c r="V934" s="384"/>
      <c r="W934" s="384"/>
      <c r="X934" s="384"/>
      <c r="Y934" s="384"/>
      <c r="Z934" s="384"/>
      <c r="AA934" s="384"/>
    </row>
    <row r="935" spans="1:27" x14ac:dyDescent="0.2">
      <c r="A935" s="384"/>
      <c r="B935" s="384"/>
      <c r="C935" s="384"/>
      <c r="D935" s="384"/>
      <c r="E935" s="384"/>
      <c r="F935" s="384"/>
      <c r="G935" s="384"/>
      <c r="H935" s="384"/>
      <c r="I935" s="384"/>
      <c r="J935" s="384"/>
      <c r="K935" s="384"/>
      <c r="L935" s="384"/>
      <c r="M935" s="384"/>
      <c r="N935" s="384"/>
      <c r="O935" s="384"/>
      <c r="P935" s="384"/>
      <c r="Q935" s="384"/>
      <c r="R935" s="384"/>
      <c r="S935" s="384"/>
      <c r="T935" s="384"/>
      <c r="U935" s="384"/>
      <c r="V935" s="384"/>
      <c r="W935" s="384"/>
      <c r="X935" s="384"/>
      <c r="Y935" s="384"/>
      <c r="Z935" s="384"/>
      <c r="AA935" s="384"/>
    </row>
    <row r="936" spans="1:27" x14ac:dyDescent="0.2">
      <c r="A936" s="384"/>
      <c r="B936" s="384"/>
      <c r="C936" s="384"/>
      <c r="D936" s="384"/>
      <c r="E936" s="384"/>
      <c r="F936" s="384"/>
      <c r="G936" s="384"/>
      <c r="H936" s="384"/>
      <c r="I936" s="384"/>
      <c r="J936" s="384"/>
      <c r="K936" s="384"/>
      <c r="L936" s="384"/>
      <c r="M936" s="384"/>
      <c r="N936" s="384"/>
      <c r="O936" s="384"/>
      <c r="P936" s="384"/>
      <c r="Q936" s="384"/>
      <c r="R936" s="384"/>
      <c r="S936" s="384"/>
      <c r="T936" s="384"/>
      <c r="U936" s="384"/>
      <c r="V936" s="384"/>
      <c r="W936" s="384"/>
      <c r="X936" s="384"/>
      <c r="Y936" s="384"/>
      <c r="Z936" s="384"/>
      <c r="AA936" s="384"/>
    </row>
    <row r="937" spans="1:27" x14ac:dyDescent="0.2">
      <c r="A937" s="384"/>
      <c r="B937" s="384"/>
      <c r="C937" s="384"/>
      <c r="D937" s="384"/>
      <c r="E937" s="384"/>
      <c r="F937" s="384"/>
      <c r="G937" s="384"/>
      <c r="H937" s="384"/>
      <c r="I937" s="384"/>
      <c r="J937" s="384"/>
      <c r="K937" s="384"/>
      <c r="L937" s="384"/>
      <c r="M937" s="384"/>
      <c r="N937" s="384"/>
      <c r="O937" s="384"/>
      <c r="P937" s="384"/>
      <c r="Q937" s="384"/>
      <c r="R937" s="384"/>
      <c r="S937" s="384"/>
      <c r="T937" s="384"/>
      <c r="U937" s="384"/>
      <c r="V937" s="384"/>
      <c r="W937" s="384"/>
      <c r="X937" s="384"/>
      <c r="Y937" s="384"/>
      <c r="Z937" s="384"/>
      <c r="AA937" s="384"/>
    </row>
    <row r="938" spans="1:27" x14ac:dyDescent="0.2">
      <c r="A938" s="384"/>
      <c r="B938" s="384"/>
      <c r="C938" s="384"/>
      <c r="D938" s="384"/>
      <c r="E938" s="384"/>
      <c r="F938" s="384"/>
      <c r="G938" s="384"/>
      <c r="H938" s="384"/>
      <c r="I938" s="384"/>
      <c r="J938" s="384"/>
      <c r="K938" s="384"/>
      <c r="L938" s="384"/>
      <c r="M938" s="384"/>
      <c r="N938" s="384"/>
      <c r="O938" s="384"/>
      <c r="P938" s="384"/>
      <c r="Q938" s="384"/>
      <c r="R938" s="384"/>
      <c r="S938" s="384"/>
      <c r="T938" s="384"/>
      <c r="U938" s="384"/>
      <c r="V938" s="384"/>
      <c r="W938" s="384"/>
      <c r="X938" s="384"/>
      <c r="Y938" s="384"/>
      <c r="Z938" s="384"/>
      <c r="AA938" s="384"/>
    </row>
    <row r="939" spans="1:27" x14ac:dyDescent="0.2">
      <c r="A939" s="384"/>
      <c r="B939" s="384"/>
      <c r="C939" s="384"/>
      <c r="D939" s="384"/>
      <c r="E939" s="384"/>
      <c r="F939" s="384"/>
      <c r="G939" s="384"/>
      <c r="H939" s="384"/>
      <c r="I939" s="384"/>
      <c r="J939" s="384"/>
      <c r="K939" s="384"/>
      <c r="L939" s="384"/>
      <c r="M939" s="384"/>
      <c r="N939" s="384"/>
      <c r="O939" s="384"/>
      <c r="P939" s="384"/>
      <c r="Q939" s="384"/>
      <c r="R939" s="384"/>
      <c r="S939" s="384"/>
      <c r="T939" s="384"/>
      <c r="U939" s="384"/>
      <c r="V939" s="384"/>
      <c r="W939" s="384"/>
      <c r="X939" s="384"/>
      <c r="Y939" s="384"/>
      <c r="Z939" s="384"/>
      <c r="AA939" s="384"/>
    </row>
    <row r="940" spans="1:27" x14ac:dyDescent="0.2">
      <c r="A940" s="384"/>
      <c r="B940" s="384"/>
      <c r="C940" s="384"/>
      <c r="D940" s="384"/>
      <c r="E940" s="384"/>
      <c r="F940" s="384"/>
      <c r="G940" s="384"/>
      <c r="H940" s="384"/>
      <c r="I940" s="384"/>
      <c r="J940" s="384"/>
      <c r="K940" s="384"/>
      <c r="L940" s="384"/>
      <c r="M940" s="384"/>
      <c r="N940" s="384"/>
      <c r="O940" s="384"/>
      <c r="P940" s="384"/>
      <c r="Q940" s="384"/>
      <c r="R940" s="384"/>
      <c r="S940" s="384"/>
      <c r="T940" s="384"/>
      <c r="U940" s="384"/>
      <c r="V940" s="384"/>
      <c r="W940" s="384"/>
      <c r="X940" s="384"/>
      <c r="Y940" s="384"/>
      <c r="Z940" s="384"/>
      <c r="AA940" s="384"/>
    </row>
    <row r="941" spans="1:27" x14ac:dyDescent="0.2">
      <c r="A941" s="384"/>
      <c r="B941" s="384"/>
      <c r="C941" s="384"/>
      <c r="D941" s="384"/>
      <c r="E941" s="384"/>
      <c r="F941" s="384"/>
      <c r="G941" s="384"/>
      <c r="H941" s="384"/>
      <c r="I941" s="384"/>
      <c r="J941" s="384"/>
      <c r="K941" s="384"/>
      <c r="L941" s="384"/>
      <c r="M941" s="384"/>
      <c r="N941" s="384"/>
      <c r="O941" s="384"/>
      <c r="P941" s="384"/>
      <c r="Q941" s="384"/>
      <c r="R941" s="384"/>
      <c r="S941" s="384"/>
      <c r="T941" s="384"/>
      <c r="U941" s="384"/>
      <c r="V941" s="384"/>
      <c r="W941" s="384"/>
      <c r="X941" s="384"/>
      <c r="Y941" s="384"/>
      <c r="Z941" s="384"/>
      <c r="AA941" s="384"/>
    </row>
    <row r="942" spans="1:27" x14ac:dyDescent="0.2">
      <c r="A942" s="384"/>
      <c r="B942" s="384"/>
      <c r="C942" s="384"/>
      <c r="D942" s="384"/>
      <c r="E942" s="384"/>
      <c r="F942" s="384"/>
      <c r="G942" s="384"/>
      <c r="H942" s="384"/>
      <c r="I942" s="384"/>
      <c r="J942" s="384"/>
      <c r="K942" s="384"/>
      <c r="L942" s="384"/>
      <c r="M942" s="384"/>
      <c r="N942" s="384"/>
      <c r="O942" s="384"/>
      <c r="P942" s="384"/>
      <c r="Q942" s="384"/>
      <c r="R942" s="384"/>
      <c r="S942" s="384"/>
      <c r="T942" s="384"/>
      <c r="U942" s="384"/>
      <c r="V942" s="384"/>
      <c r="W942" s="384"/>
      <c r="X942" s="384"/>
      <c r="Y942" s="384"/>
      <c r="Z942" s="384"/>
      <c r="AA942" s="384"/>
    </row>
    <row r="943" spans="1:27" x14ac:dyDescent="0.2">
      <c r="A943" s="384"/>
      <c r="B943" s="384"/>
      <c r="C943" s="384"/>
      <c r="D943" s="384"/>
      <c r="E943" s="384"/>
      <c r="F943" s="384"/>
      <c r="G943" s="384"/>
      <c r="H943" s="384"/>
      <c r="I943" s="384"/>
      <c r="J943" s="384"/>
      <c r="K943" s="384"/>
      <c r="L943" s="384"/>
      <c r="M943" s="384"/>
      <c r="N943" s="384"/>
      <c r="O943" s="384"/>
      <c r="P943" s="384"/>
      <c r="Q943" s="384"/>
      <c r="R943" s="384"/>
      <c r="S943" s="384"/>
      <c r="T943" s="384"/>
      <c r="U943" s="384"/>
      <c r="V943" s="384"/>
      <c r="W943" s="384"/>
      <c r="X943" s="384"/>
      <c r="Y943" s="384"/>
      <c r="Z943" s="384"/>
      <c r="AA943" s="384"/>
    </row>
    <row r="944" spans="1:27" x14ac:dyDescent="0.2">
      <c r="A944" s="384"/>
      <c r="B944" s="384"/>
      <c r="C944" s="384"/>
      <c r="D944" s="384"/>
      <c r="E944" s="384"/>
      <c r="F944" s="384"/>
      <c r="G944" s="384"/>
      <c r="H944" s="384"/>
      <c r="I944" s="384"/>
      <c r="J944" s="384"/>
      <c r="K944" s="384"/>
      <c r="L944" s="384"/>
      <c r="M944" s="384"/>
      <c r="N944" s="384"/>
      <c r="O944" s="384"/>
      <c r="P944" s="384"/>
      <c r="Q944" s="384"/>
      <c r="R944" s="384"/>
      <c r="S944" s="384"/>
      <c r="T944" s="384"/>
      <c r="U944" s="384"/>
      <c r="V944" s="384"/>
      <c r="W944" s="384"/>
      <c r="X944" s="384"/>
      <c r="Y944" s="384"/>
      <c r="Z944" s="384"/>
      <c r="AA944" s="384"/>
    </row>
    <row r="945" spans="1:27" x14ac:dyDescent="0.2">
      <c r="A945" s="384"/>
      <c r="B945" s="384"/>
      <c r="C945" s="384"/>
      <c r="D945" s="384"/>
      <c r="E945" s="384"/>
      <c r="F945" s="384"/>
      <c r="G945" s="384"/>
      <c r="H945" s="384"/>
      <c r="I945" s="384"/>
      <c r="J945" s="384"/>
      <c r="K945" s="384"/>
      <c r="L945" s="384"/>
      <c r="M945" s="384"/>
      <c r="N945" s="384"/>
      <c r="O945" s="384"/>
      <c r="P945" s="384"/>
      <c r="Q945" s="384"/>
      <c r="R945" s="384"/>
      <c r="S945" s="384"/>
      <c r="T945" s="384"/>
      <c r="U945" s="384"/>
      <c r="V945" s="384"/>
      <c r="W945" s="384"/>
      <c r="X945" s="384"/>
      <c r="Y945" s="384"/>
      <c r="Z945" s="384"/>
      <c r="AA945" s="384"/>
    </row>
    <row r="946" spans="1:27" x14ac:dyDescent="0.2">
      <c r="A946" s="384"/>
      <c r="B946" s="384"/>
      <c r="C946" s="384"/>
      <c r="D946" s="384"/>
      <c r="E946" s="384"/>
      <c r="F946" s="384"/>
      <c r="G946" s="384"/>
      <c r="H946" s="384"/>
      <c r="I946" s="384"/>
      <c r="J946" s="384"/>
      <c r="K946" s="384"/>
      <c r="L946" s="384"/>
      <c r="M946" s="384"/>
      <c r="N946" s="384"/>
      <c r="O946" s="384"/>
      <c r="P946" s="384"/>
      <c r="Q946" s="384"/>
      <c r="R946" s="384"/>
      <c r="S946" s="384"/>
      <c r="T946" s="384"/>
      <c r="U946" s="384"/>
      <c r="V946" s="384"/>
      <c r="W946" s="384"/>
      <c r="X946" s="384"/>
      <c r="Y946" s="384"/>
      <c r="Z946" s="384"/>
      <c r="AA946" s="384"/>
    </row>
    <row r="947" spans="1:27" x14ac:dyDescent="0.2">
      <c r="A947" s="384"/>
      <c r="B947" s="384"/>
      <c r="C947" s="384"/>
      <c r="D947" s="384"/>
      <c r="E947" s="384"/>
      <c r="F947" s="384"/>
      <c r="G947" s="384"/>
      <c r="H947" s="384"/>
      <c r="I947" s="384"/>
      <c r="J947" s="384"/>
      <c r="K947" s="384"/>
      <c r="L947" s="384"/>
      <c r="M947" s="384"/>
      <c r="N947" s="384"/>
      <c r="O947" s="384"/>
      <c r="P947" s="384"/>
      <c r="Q947" s="384"/>
      <c r="R947" s="384"/>
      <c r="S947" s="384"/>
      <c r="T947" s="384"/>
      <c r="U947" s="384"/>
      <c r="V947" s="384"/>
      <c r="W947" s="384"/>
      <c r="X947" s="384"/>
      <c r="Y947" s="384"/>
      <c r="Z947" s="384"/>
      <c r="AA947" s="384"/>
    </row>
    <row r="948" spans="1:27" x14ac:dyDescent="0.2">
      <c r="A948" s="384"/>
      <c r="B948" s="384"/>
      <c r="C948" s="384"/>
      <c r="D948" s="384"/>
      <c r="E948" s="384"/>
      <c r="F948" s="384"/>
      <c r="G948" s="384"/>
      <c r="H948" s="384"/>
      <c r="I948" s="384"/>
      <c r="J948" s="384"/>
      <c r="K948" s="384"/>
      <c r="L948" s="384"/>
      <c r="M948" s="384"/>
      <c r="N948" s="384"/>
      <c r="O948" s="384"/>
      <c r="P948" s="384"/>
      <c r="Q948" s="384"/>
      <c r="R948" s="384"/>
      <c r="S948" s="384"/>
      <c r="T948" s="384"/>
      <c r="U948" s="384"/>
      <c r="V948" s="384"/>
      <c r="W948" s="384"/>
      <c r="X948" s="384"/>
      <c r="Y948" s="384"/>
      <c r="Z948" s="384"/>
      <c r="AA948" s="384"/>
    </row>
    <row r="949" spans="1:27" x14ac:dyDescent="0.2">
      <c r="A949" s="384"/>
      <c r="B949" s="384"/>
      <c r="C949" s="384"/>
      <c r="D949" s="384"/>
      <c r="E949" s="384"/>
      <c r="F949" s="384"/>
      <c r="G949" s="384"/>
      <c r="H949" s="384"/>
      <c r="I949" s="384"/>
      <c r="J949" s="384"/>
      <c r="K949" s="384"/>
      <c r="L949" s="384"/>
      <c r="M949" s="384"/>
      <c r="N949" s="384"/>
      <c r="O949" s="384"/>
      <c r="P949" s="384"/>
      <c r="Q949" s="384"/>
      <c r="R949" s="384"/>
      <c r="S949" s="384"/>
      <c r="T949" s="384"/>
      <c r="U949" s="384"/>
      <c r="V949" s="384"/>
      <c r="W949" s="384"/>
      <c r="X949" s="384"/>
      <c r="Y949" s="384"/>
      <c r="Z949" s="384"/>
      <c r="AA949" s="384"/>
    </row>
    <row r="950" spans="1:27" x14ac:dyDescent="0.2">
      <c r="A950" s="384"/>
      <c r="B950" s="384"/>
      <c r="C950" s="384"/>
      <c r="D950" s="384"/>
      <c r="E950" s="384"/>
      <c r="F950" s="384"/>
      <c r="G950" s="384"/>
      <c r="H950" s="384"/>
      <c r="I950" s="384"/>
      <c r="J950" s="384"/>
      <c r="K950" s="384"/>
      <c r="L950" s="384"/>
      <c r="M950" s="384"/>
      <c r="N950" s="384"/>
      <c r="O950" s="384"/>
      <c r="P950" s="384"/>
      <c r="Q950" s="384"/>
      <c r="R950" s="384"/>
      <c r="S950" s="384"/>
      <c r="T950" s="384"/>
      <c r="U950" s="384"/>
      <c r="V950" s="384"/>
      <c r="W950" s="384"/>
      <c r="X950" s="384"/>
      <c r="Y950" s="384"/>
      <c r="Z950" s="384"/>
      <c r="AA950" s="384"/>
    </row>
    <row r="951" spans="1:27" x14ac:dyDescent="0.2">
      <c r="A951" s="384"/>
      <c r="B951" s="384"/>
      <c r="C951" s="384"/>
      <c r="D951" s="384"/>
      <c r="E951" s="384"/>
      <c r="F951" s="384"/>
      <c r="G951" s="384"/>
      <c r="H951" s="384"/>
      <c r="I951" s="384"/>
      <c r="J951" s="384"/>
      <c r="K951" s="384"/>
      <c r="L951" s="384"/>
      <c r="M951" s="384"/>
      <c r="N951" s="384"/>
      <c r="O951" s="384"/>
      <c r="P951" s="384"/>
      <c r="Q951" s="384"/>
      <c r="R951" s="384"/>
      <c r="S951" s="384"/>
      <c r="T951" s="384"/>
      <c r="U951" s="384"/>
      <c r="V951" s="384"/>
      <c r="W951" s="384"/>
      <c r="X951" s="384"/>
      <c r="Y951" s="384"/>
      <c r="Z951" s="384"/>
      <c r="AA951" s="384"/>
    </row>
    <row r="952" spans="1:27" x14ac:dyDescent="0.2">
      <c r="A952" s="384"/>
      <c r="B952" s="384"/>
      <c r="C952" s="384"/>
      <c r="D952" s="384"/>
      <c r="E952" s="384"/>
      <c r="F952" s="384"/>
      <c r="G952" s="384"/>
      <c r="H952" s="384"/>
      <c r="I952" s="384"/>
      <c r="J952" s="384"/>
      <c r="K952" s="384"/>
      <c r="L952" s="384"/>
      <c r="M952" s="384"/>
      <c r="N952" s="384"/>
      <c r="O952" s="384"/>
      <c r="P952" s="384"/>
      <c r="Q952" s="384"/>
      <c r="R952" s="384"/>
      <c r="S952" s="384"/>
      <c r="T952" s="384"/>
      <c r="U952" s="384"/>
      <c r="V952" s="384"/>
      <c r="W952" s="384"/>
      <c r="X952" s="384"/>
      <c r="Y952" s="384"/>
      <c r="Z952" s="384"/>
      <c r="AA952" s="384"/>
    </row>
    <row r="953" spans="1:27" x14ac:dyDescent="0.2">
      <c r="A953" s="384"/>
      <c r="B953" s="384"/>
      <c r="C953" s="384"/>
      <c r="D953" s="384"/>
      <c r="E953" s="384"/>
      <c r="F953" s="384"/>
      <c r="G953" s="384"/>
      <c r="H953" s="384"/>
      <c r="I953" s="384"/>
      <c r="J953" s="384"/>
      <c r="K953" s="384"/>
      <c r="L953" s="384"/>
      <c r="M953" s="384"/>
      <c r="N953" s="384"/>
      <c r="O953" s="384"/>
      <c r="P953" s="384"/>
      <c r="Q953" s="384"/>
      <c r="R953" s="384"/>
      <c r="S953" s="384"/>
      <c r="T953" s="384"/>
      <c r="U953" s="384"/>
      <c r="V953" s="384"/>
      <c r="W953" s="384"/>
      <c r="X953" s="384"/>
      <c r="Y953" s="384"/>
      <c r="Z953" s="384"/>
      <c r="AA953" s="384"/>
    </row>
    <row r="954" spans="1:27" x14ac:dyDescent="0.2">
      <c r="A954" s="384"/>
      <c r="B954" s="384"/>
      <c r="C954" s="384"/>
      <c r="D954" s="384"/>
      <c r="E954" s="384"/>
      <c r="F954" s="384"/>
      <c r="G954" s="384"/>
      <c r="H954" s="384"/>
      <c r="I954" s="384"/>
      <c r="J954" s="384"/>
      <c r="K954" s="384"/>
      <c r="L954" s="384"/>
      <c r="M954" s="384"/>
      <c r="N954" s="384"/>
      <c r="O954" s="384"/>
      <c r="P954" s="384"/>
      <c r="Q954" s="384"/>
      <c r="R954" s="384"/>
      <c r="S954" s="384"/>
      <c r="T954" s="384"/>
      <c r="U954" s="384"/>
      <c r="V954" s="384"/>
      <c r="W954" s="384"/>
      <c r="X954" s="384"/>
      <c r="Y954" s="384"/>
      <c r="Z954" s="384"/>
      <c r="AA954" s="384"/>
    </row>
    <row r="955" spans="1:27" x14ac:dyDescent="0.2">
      <c r="A955" s="384"/>
      <c r="B955" s="384"/>
      <c r="C955" s="384"/>
      <c r="D955" s="384"/>
      <c r="E955" s="384"/>
      <c r="F955" s="384"/>
      <c r="G955" s="384"/>
      <c r="H955" s="384"/>
      <c r="I955" s="384"/>
      <c r="J955" s="384"/>
      <c r="K955" s="384"/>
      <c r="L955" s="384"/>
      <c r="M955" s="384"/>
      <c r="N955" s="384"/>
      <c r="O955" s="384"/>
      <c r="P955" s="384"/>
      <c r="Q955" s="384"/>
      <c r="R955" s="384"/>
      <c r="S955" s="384"/>
      <c r="T955" s="384"/>
      <c r="U955" s="384"/>
      <c r="V955" s="384"/>
      <c r="W955" s="384"/>
      <c r="X955" s="384"/>
      <c r="Y955" s="384"/>
      <c r="Z955" s="384"/>
      <c r="AA955" s="384"/>
    </row>
    <row r="956" spans="1:27" x14ac:dyDescent="0.2">
      <c r="A956" s="384"/>
      <c r="B956" s="384"/>
      <c r="C956" s="384"/>
      <c r="D956" s="384"/>
      <c r="E956" s="384"/>
      <c r="F956" s="384"/>
      <c r="G956" s="384"/>
      <c r="H956" s="384"/>
      <c r="I956" s="384"/>
      <c r="J956" s="384"/>
      <c r="K956" s="384"/>
      <c r="L956" s="384"/>
      <c r="M956" s="384"/>
      <c r="N956" s="384"/>
      <c r="O956" s="384"/>
      <c r="P956" s="384"/>
      <c r="Q956" s="384"/>
      <c r="R956" s="384"/>
      <c r="S956" s="384"/>
      <c r="T956" s="384"/>
      <c r="U956" s="384"/>
      <c r="V956" s="384"/>
      <c r="W956" s="384"/>
      <c r="X956" s="384"/>
      <c r="Y956" s="384"/>
      <c r="Z956" s="384"/>
      <c r="AA956" s="384"/>
    </row>
    <row r="957" spans="1:27" x14ac:dyDescent="0.2">
      <c r="A957" s="384"/>
      <c r="B957" s="384"/>
      <c r="C957" s="384"/>
      <c r="D957" s="384"/>
      <c r="E957" s="384"/>
      <c r="F957" s="384"/>
      <c r="G957" s="384"/>
      <c r="H957" s="384"/>
      <c r="I957" s="384"/>
      <c r="J957" s="384"/>
      <c r="K957" s="384"/>
      <c r="L957" s="384"/>
      <c r="M957" s="384"/>
      <c r="N957" s="384"/>
      <c r="O957" s="384"/>
      <c r="P957" s="384"/>
      <c r="Q957" s="384"/>
      <c r="R957" s="384"/>
      <c r="S957" s="384"/>
      <c r="T957" s="384"/>
      <c r="U957" s="384"/>
      <c r="V957" s="384"/>
      <c r="W957" s="384"/>
      <c r="X957" s="384"/>
      <c r="Y957" s="384"/>
      <c r="Z957" s="384"/>
      <c r="AA957" s="384"/>
    </row>
    <row r="958" spans="1:27" x14ac:dyDescent="0.2">
      <c r="A958" s="384"/>
      <c r="B958" s="384"/>
      <c r="C958" s="384"/>
      <c r="D958" s="384"/>
      <c r="E958" s="384"/>
      <c r="F958" s="384"/>
      <c r="G958" s="384"/>
      <c r="H958" s="384"/>
      <c r="I958" s="384"/>
      <c r="J958" s="384"/>
      <c r="K958" s="384"/>
      <c r="L958" s="384"/>
      <c r="M958" s="384"/>
      <c r="N958" s="384"/>
      <c r="O958" s="384"/>
      <c r="P958" s="384"/>
      <c r="Q958" s="384"/>
      <c r="R958" s="384"/>
      <c r="S958" s="384"/>
      <c r="T958" s="384"/>
      <c r="U958" s="384"/>
      <c r="V958" s="384"/>
      <c r="W958" s="384"/>
      <c r="X958" s="384"/>
      <c r="Y958" s="384"/>
      <c r="Z958" s="384"/>
      <c r="AA958" s="384"/>
    </row>
    <row r="959" spans="1:27" x14ac:dyDescent="0.2">
      <c r="A959" s="384"/>
      <c r="B959" s="384"/>
      <c r="C959" s="384"/>
      <c r="D959" s="384"/>
      <c r="E959" s="384"/>
      <c r="F959" s="384"/>
      <c r="G959" s="384"/>
      <c r="H959" s="384"/>
      <c r="I959" s="384"/>
      <c r="J959" s="384"/>
      <c r="K959" s="384"/>
      <c r="L959" s="384"/>
      <c r="M959" s="384"/>
      <c r="N959" s="384"/>
      <c r="O959" s="384"/>
      <c r="P959" s="384"/>
      <c r="Q959" s="384"/>
      <c r="R959" s="384"/>
      <c r="S959" s="384"/>
      <c r="T959" s="384"/>
      <c r="U959" s="384"/>
      <c r="V959" s="384"/>
      <c r="W959" s="384"/>
      <c r="X959" s="384"/>
      <c r="Y959" s="384"/>
      <c r="Z959" s="384"/>
      <c r="AA959" s="384"/>
    </row>
    <row r="960" spans="1:27" x14ac:dyDescent="0.2">
      <c r="A960" s="384"/>
      <c r="B960" s="384"/>
      <c r="C960" s="384"/>
      <c r="D960" s="384"/>
      <c r="E960" s="384"/>
      <c r="F960" s="384"/>
      <c r="G960" s="384"/>
      <c r="H960" s="384"/>
      <c r="I960" s="384"/>
      <c r="J960" s="384"/>
      <c r="K960" s="384"/>
      <c r="L960" s="384"/>
      <c r="M960" s="384"/>
      <c r="N960" s="384"/>
      <c r="O960" s="384"/>
      <c r="P960" s="384"/>
      <c r="Q960" s="384"/>
      <c r="R960" s="384"/>
      <c r="S960" s="384"/>
      <c r="T960" s="384"/>
      <c r="U960" s="384"/>
      <c r="V960" s="384"/>
      <c r="W960" s="384"/>
      <c r="X960" s="384"/>
      <c r="Y960" s="384"/>
      <c r="Z960" s="384"/>
      <c r="AA960" s="384"/>
    </row>
    <row r="961" spans="1:27" x14ac:dyDescent="0.2">
      <c r="A961" s="384"/>
      <c r="B961" s="384"/>
      <c r="C961" s="384"/>
      <c r="D961" s="384"/>
      <c r="E961" s="384"/>
      <c r="F961" s="384"/>
      <c r="G961" s="384"/>
      <c r="H961" s="384"/>
      <c r="I961" s="384"/>
      <c r="J961" s="384"/>
      <c r="K961" s="384"/>
      <c r="L961" s="384"/>
      <c r="M961" s="384"/>
      <c r="N961" s="384"/>
      <c r="O961" s="384"/>
      <c r="P961" s="384"/>
      <c r="Q961" s="384"/>
      <c r="R961" s="384"/>
      <c r="S961" s="384"/>
      <c r="T961" s="384"/>
      <c r="U961" s="384"/>
      <c r="V961" s="384"/>
      <c r="W961" s="384"/>
      <c r="X961" s="384"/>
      <c r="Y961" s="384"/>
      <c r="Z961" s="384"/>
      <c r="AA961" s="384"/>
    </row>
    <row r="962" spans="1:27" x14ac:dyDescent="0.2">
      <c r="A962" s="384"/>
      <c r="B962" s="384"/>
      <c r="C962" s="384"/>
      <c r="D962" s="384"/>
      <c r="E962" s="384"/>
      <c r="F962" s="384"/>
      <c r="G962" s="384"/>
      <c r="H962" s="384"/>
      <c r="I962" s="384"/>
      <c r="J962" s="384"/>
      <c r="K962" s="384"/>
      <c r="L962" s="384"/>
      <c r="M962" s="384"/>
      <c r="N962" s="384"/>
      <c r="O962" s="384"/>
      <c r="P962" s="384"/>
      <c r="Q962" s="384"/>
      <c r="R962" s="384"/>
      <c r="S962" s="384"/>
      <c r="T962" s="384"/>
      <c r="U962" s="384"/>
      <c r="V962" s="384"/>
      <c r="W962" s="384"/>
      <c r="X962" s="384"/>
      <c r="Y962" s="384"/>
      <c r="Z962" s="384"/>
      <c r="AA962" s="384"/>
    </row>
    <row r="963" spans="1:27" x14ac:dyDescent="0.2">
      <c r="A963" s="384"/>
      <c r="B963" s="384"/>
      <c r="C963" s="384"/>
      <c r="D963" s="384"/>
      <c r="E963" s="384"/>
      <c r="F963" s="384"/>
      <c r="G963" s="384"/>
      <c r="H963" s="384"/>
      <c r="I963" s="384"/>
      <c r="J963" s="384"/>
      <c r="K963" s="384"/>
      <c r="L963" s="384"/>
      <c r="M963" s="384"/>
      <c r="N963" s="384"/>
      <c r="O963" s="384"/>
      <c r="P963" s="384"/>
      <c r="Q963" s="384"/>
      <c r="R963" s="384"/>
      <c r="S963" s="384"/>
      <c r="T963" s="384"/>
      <c r="U963" s="384"/>
      <c r="V963" s="384"/>
      <c r="W963" s="384"/>
      <c r="X963" s="384"/>
      <c r="Y963" s="384"/>
      <c r="Z963" s="384"/>
      <c r="AA963" s="384"/>
    </row>
    <row r="964" spans="1:27" x14ac:dyDescent="0.2">
      <c r="A964" s="384"/>
      <c r="B964" s="384"/>
      <c r="C964" s="384"/>
      <c r="D964" s="384"/>
      <c r="E964" s="384"/>
      <c r="F964" s="384"/>
      <c r="G964" s="384"/>
      <c r="H964" s="384"/>
      <c r="I964" s="384"/>
      <c r="J964" s="384"/>
      <c r="K964" s="384"/>
      <c r="L964" s="384"/>
      <c r="M964" s="384"/>
      <c r="N964" s="384"/>
      <c r="O964" s="384"/>
      <c r="P964" s="384"/>
      <c r="Q964" s="384"/>
      <c r="R964" s="384"/>
      <c r="S964" s="384"/>
      <c r="T964" s="384"/>
      <c r="U964" s="384"/>
      <c r="V964" s="384"/>
      <c r="W964" s="384"/>
      <c r="X964" s="384"/>
      <c r="Y964" s="384"/>
      <c r="Z964" s="384"/>
      <c r="AA964" s="384"/>
    </row>
    <row r="965" spans="1:27" x14ac:dyDescent="0.2">
      <c r="A965" s="384"/>
      <c r="B965" s="384"/>
      <c r="C965" s="384"/>
      <c r="D965" s="384"/>
      <c r="E965" s="384"/>
      <c r="F965" s="384"/>
      <c r="G965" s="384"/>
      <c r="H965" s="384"/>
      <c r="I965" s="384"/>
      <c r="J965" s="384"/>
      <c r="K965" s="384"/>
      <c r="L965" s="384"/>
      <c r="M965" s="384"/>
      <c r="N965" s="384"/>
      <c r="O965" s="384"/>
      <c r="P965" s="384"/>
      <c r="Q965" s="384"/>
      <c r="R965" s="384"/>
      <c r="S965" s="384"/>
      <c r="T965" s="384"/>
      <c r="U965" s="384"/>
      <c r="V965" s="384"/>
      <c r="W965" s="384"/>
      <c r="X965" s="384"/>
      <c r="Y965" s="384"/>
      <c r="Z965" s="384"/>
      <c r="AA965" s="384"/>
    </row>
    <row r="966" spans="1:27" x14ac:dyDescent="0.2">
      <c r="A966" s="384"/>
      <c r="B966" s="384"/>
      <c r="C966" s="384"/>
      <c r="D966" s="384"/>
      <c r="E966" s="384"/>
      <c r="F966" s="384"/>
      <c r="G966" s="384"/>
      <c r="H966" s="384"/>
      <c r="I966" s="384"/>
      <c r="J966" s="384"/>
      <c r="K966" s="384"/>
      <c r="L966" s="384"/>
      <c r="M966" s="384"/>
      <c r="N966" s="384"/>
      <c r="O966" s="384"/>
      <c r="P966" s="384"/>
      <c r="Q966" s="384"/>
      <c r="R966" s="384"/>
      <c r="S966" s="384"/>
      <c r="T966" s="384"/>
      <c r="U966" s="384"/>
      <c r="V966" s="384"/>
      <c r="W966" s="384"/>
      <c r="X966" s="384"/>
      <c r="Y966" s="384"/>
      <c r="Z966" s="384"/>
      <c r="AA966" s="384"/>
    </row>
    <row r="967" spans="1:27" x14ac:dyDescent="0.2">
      <c r="A967" s="384"/>
      <c r="B967" s="384"/>
      <c r="C967" s="384"/>
      <c r="D967" s="384"/>
      <c r="E967" s="384"/>
      <c r="F967" s="384"/>
      <c r="G967" s="384"/>
      <c r="H967" s="384"/>
      <c r="I967" s="384"/>
      <c r="J967" s="384"/>
      <c r="K967" s="384"/>
      <c r="L967" s="384"/>
      <c r="M967" s="384"/>
      <c r="N967" s="384"/>
      <c r="O967" s="384"/>
      <c r="P967" s="384"/>
      <c r="Q967" s="384"/>
      <c r="R967" s="384"/>
      <c r="S967" s="384"/>
      <c r="T967" s="384"/>
      <c r="U967" s="384"/>
      <c r="V967" s="384"/>
      <c r="W967" s="384"/>
      <c r="X967" s="384"/>
      <c r="Y967" s="384"/>
      <c r="Z967" s="384"/>
      <c r="AA967" s="384"/>
    </row>
    <row r="968" spans="1:27" x14ac:dyDescent="0.2">
      <c r="A968" s="384"/>
      <c r="B968" s="384"/>
      <c r="C968" s="384"/>
      <c r="D968" s="384"/>
      <c r="E968" s="384"/>
      <c r="F968" s="384"/>
      <c r="G968" s="384"/>
      <c r="H968" s="384"/>
      <c r="I968" s="384"/>
      <c r="J968" s="384"/>
      <c r="K968" s="384"/>
      <c r="L968" s="384"/>
      <c r="M968" s="384"/>
      <c r="N968" s="384"/>
      <c r="O968" s="384"/>
      <c r="P968" s="384"/>
      <c r="Q968" s="384"/>
      <c r="R968" s="384"/>
      <c r="S968" s="384"/>
      <c r="T968" s="384"/>
      <c r="U968" s="384"/>
      <c r="V968" s="384"/>
      <c r="W968" s="384"/>
      <c r="X968" s="384"/>
      <c r="Y968" s="384"/>
      <c r="Z968" s="384"/>
      <c r="AA968" s="384"/>
    </row>
    <row r="969" spans="1:27" x14ac:dyDescent="0.2">
      <c r="A969" s="384"/>
      <c r="B969" s="384"/>
      <c r="C969" s="384"/>
      <c r="D969" s="384"/>
      <c r="E969" s="384"/>
      <c r="F969" s="384"/>
      <c r="G969" s="384"/>
      <c r="H969" s="384"/>
      <c r="I969" s="384"/>
      <c r="J969" s="384"/>
      <c r="K969" s="384"/>
      <c r="L969" s="384"/>
      <c r="M969" s="384"/>
      <c r="N969" s="384"/>
      <c r="O969" s="384"/>
      <c r="P969" s="384"/>
      <c r="Q969" s="384"/>
      <c r="R969" s="384"/>
      <c r="S969" s="384"/>
      <c r="T969" s="384"/>
      <c r="U969" s="384"/>
      <c r="V969" s="384"/>
      <c r="W969" s="384"/>
      <c r="X969" s="384"/>
      <c r="Y969" s="384"/>
      <c r="Z969" s="384"/>
      <c r="AA969" s="384"/>
    </row>
    <row r="970" spans="1:27" x14ac:dyDescent="0.2">
      <c r="A970" s="384"/>
      <c r="B970" s="384"/>
      <c r="C970" s="384"/>
      <c r="D970" s="384"/>
      <c r="E970" s="384"/>
      <c r="F970" s="384"/>
      <c r="G970" s="384"/>
      <c r="H970" s="384"/>
      <c r="I970" s="384"/>
      <c r="J970" s="384"/>
      <c r="K970" s="384"/>
      <c r="L970" s="384"/>
      <c r="M970" s="384"/>
      <c r="N970" s="384"/>
      <c r="O970" s="384"/>
      <c r="P970" s="384"/>
      <c r="Q970" s="384"/>
      <c r="R970" s="384"/>
      <c r="S970" s="384"/>
      <c r="T970" s="384"/>
      <c r="U970" s="384"/>
      <c r="V970" s="384"/>
      <c r="W970" s="384"/>
      <c r="X970" s="384"/>
      <c r="Y970" s="384"/>
      <c r="Z970" s="384"/>
      <c r="AA970" s="384"/>
    </row>
    <row r="971" spans="1:27" x14ac:dyDescent="0.2">
      <c r="A971" s="384"/>
      <c r="B971" s="384"/>
      <c r="C971" s="384"/>
      <c r="D971" s="384"/>
      <c r="E971" s="384"/>
      <c r="F971" s="384"/>
      <c r="G971" s="384"/>
      <c r="H971" s="384"/>
      <c r="I971" s="384"/>
      <c r="J971" s="384"/>
      <c r="K971" s="384"/>
      <c r="L971" s="384"/>
      <c r="M971" s="384"/>
      <c r="N971" s="384"/>
      <c r="O971" s="384"/>
      <c r="P971" s="384"/>
      <c r="Q971" s="384"/>
      <c r="R971" s="384"/>
      <c r="S971" s="384"/>
      <c r="T971" s="384"/>
      <c r="U971" s="384"/>
      <c r="V971" s="384"/>
      <c r="W971" s="384"/>
      <c r="X971" s="384"/>
      <c r="Y971" s="384"/>
      <c r="Z971" s="384"/>
      <c r="AA971" s="384"/>
    </row>
    <row r="972" spans="1:27" x14ac:dyDescent="0.2">
      <c r="A972" s="384"/>
      <c r="B972" s="384"/>
      <c r="C972" s="384"/>
      <c r="D972" s="384"/>
      <c r="E972" s="384"/>
      <c r="F972" s="384"/>
      <c r="G972" s="384"/>
      <c r="H972" s="384"/>
      <c r="I972" s="384"/>
      <c r="J972" s="384"/>
      <c r="K972" s="384"/>
      <c r="L972" s="384"/>
      <c r="M972" s="384"/>
      <c r="N972" s="384"/>
      <c r="O972" s="384"/>
      <c r="P972" s="384"/>
      <c r="Q972" s="384"/>
      <c r="R972" s="384"/>
      <c r="S972" s="384"/>
      <c r="T972" s="384"/>
      <c r="U972" s="384"/>
      <c r="V972" s="384"/>
      <c r="W972" s="384"/>
      <c r="X972" s="384"/>
      <c r="Y972" s="384"/>
      <c r="Z972" s="384"/>
      <c r="AA972" s="384"/>
    </row>
    <row r="973" spans="1:27" x14ac:dyDescent="0.2">
      <c r="A973" s="384"/>
      <c r="B973" s="384"/>
      <c r="C973" s="384"/>
      <c r="D973" s="384"/>
      <c r="E973" s="384"/>
      <c r="F973" s="384"/>
      <c r="G973" s="384"/>
      <c r="H973" s="384"/>
      <c r="I973" s="384"/>
      <c r="J973" s="384"/>
      <c r="K973" s="384"/>
      <c r="L973" s="384"/>
      <c r="M973" s="384"/>
      <c r="N973" s="384"/>
      <c r="O973" s="384"/>
      <c r="P973" s="384"/>
      <c r="Q973" s="384"/>
      <c r="R973" s="384"/>
      <c r="S973" s="384"/>
      <c r="T973" s="384"/>
      <c r="U973" s="384"/>
      <c r="V973" s="384"/>
      <c r="W973" s="384"/>
      <c r="X973" s="384"/>
      <c r="Y973" s="384"/>
      <c r="Z973" s="384"/>
      <c r="AA973" s="384"/>
    </row>
    <row r="974" spans="1:27" x14ac:dyDescent="0.2">
      <c r="A974" s="384"/>
      <c r="B974" s="384"/>
      <c r="C974" s="384"/>
      <c r="D974" s="384"/>
      <c r="E974" s="384"/>
      <c r="F974" s="384"/>
      <c r="G974" s="384"/>
      <c r="H974" s="384"/>
      <c r="I974" s="384"/>
      <c r="J974" s="384"/>
      <c r="K974" s="384"/>
      <c r="L974" s="384"/>
      <c r="M974" s="384"/>
      <c r="N974" s="384"/>
      <c r="O974" s="384"/>
      <c r="P974" s="384"/>
      <c r="Q974" s="384"/>
      <c r="R974" s="384"/>
      <c r="S974" s="384"/>
      <c r="T974" s="384"/>
      <c r="U974" s="384"/>
      <c r="V974" s="384"/>
      <c r="W974" s="384"/>
      <c r="X974" s="384"/>
      <c r="Y974" s="384"/>
      <c r="Z974" s="384"/>
      <c r="AA974" s="384"/>
    </row>
    <row r="975" spans="1:27" x14ac:dyDescent="0.2">
      <c r="A975" s="384"/>
      <c r="B975" s="384"/>
      <c r="C975" s="384"/>
      <c r="D975" s="384"/>
      <c r="E975" s="384"/>
      <c r="F975" s="384"/>
      <c r="G975" s="384"/>
      <c r="H975" s="384"/>
      <c r="I975" s="384"/>
      <c r="J975" s="384"/>
      <c r="K975" s="384"/>
      <c r="L975" s="384"/>
      <c r="M975" s="384"/>
      <c r="N975" s="384"/>
      <c r="O975" s="384"/>
      <c r="P975" s="384"/>
      <c r="Q975" s="384"/>
      <c r="R975" s="384"/>
      <c r="S975" s="384"/>
      <c r="T975" s="384"/>
      <c r="U975" s="384"/>
      <c r="V975" s="384"/>
      <c r="W975" s="384"/>
      <c r="X975" s="384"/>
      <c r="Y975" s="384"/>
      <c r="Z975" s="384"/>
      <c r="AA975" s="384"/>
    </row>
    <row r="976" spans="1:27" x14ac:dyDescent="0.2">
      <c r="A976" s="384"/>
      <c r="B976" s="384"/>
      <c r="C976" s="384"/>
      <c r="D976" s="384"/>
      <c r="E976" s="384"/>
      <c r="F976" s="384"/>
      <c r="G976" s="384"/>
      <c r="H976" s="384"/>
      <c r="I976" s="384"/>
      <c r="J976" s="384"/>
      <c r="K976" s="384"/>
      <c r="L976" s="384"/>
      <c r="M976" s="384"/>
      <c r="N976" s="384"/>
      <c r="O976" s="384"/>
      <c r="P976" s="384"/>
      <c r="Q976" s="384"/>
      <c r="R976" s="384"/>
      <c r="S976" s="384"/>
      <c r="T976" s="384"/>
      <c r="U976" s="384"/>
      <c r="V976" s="384"/>
      <c r="W976" s="384"/>
      <c r="X976" s="384"/>
      <c r="Y976" s="384"/>
      <c r="Z976" s="384"/>
      <c r="AA976" s="384"/>
    </row>
    <row r="977" spans="1:27" x14ac:dyDescent="0.2">
      <c r="A977" s="384"/>
      <c r="B977" s="384"/>
      <c r="C977" s="384"/>
      <c r="D977" s="384"/>
      <c r="E977" s="384"/>
      <c r="F977" s="384"/>
      <c r="G977" s="384"/>
      <c r="H977" s="384"/>
      <c r="I977" s="384"/>
      <c r="J977" s="384"/>
      <c r="K977" s="384"/>
      <c r="L977" s="384"/>
      <c r="M977" s="384"/>
      <c r="N977" s="384"/>
      <c r="O977" s="384"/>
      <c r="P977" s="384"/>
      <c r="Q977" s="384"/>
      <c r="R977" s="384"/>
      <c r="S977" s="384"/>
      <c r="T977" s="384"/>
      <c r="U977" s="384"/>
      <c r="V977" s="384"/>
      <c r="W977" s="384"/>
      <c r="X977" s="384"/>
      <c r="Y977" s="384"/>
      <c r="Z977" s="384"/>
      <c r="AA977" s="384"/>
    </row>
    <row r="978" spans="1:27" x14ac:dyDescent="0.2">
      <c r="A978" s="384"/>
      <c r="B978" s="384"/>
      <c r="C978" s="384"/>
      <c r="D978" s="384"/>
      <c r="E978" s="384"/>
      <c r="F978" s="384"/>
      <c r="G978" s="384"/>
      <c r="H978" s="384"/>
      <c r="I978" s="384"/>
      <c r="J978" s="384"/>
      <c r="K978" s="384"/>
      <c r="L978" s="384"/>
      <c r="M978" s="384"/>
      <c r="N978" s="384"/>
      <c r="O978" s="384"/>
      <c r="P978" s="384"/>
      <c r="Q978" s="384"/>
      <c r="R978" s="384"/>
      <c r="S978" s="384"/>
      <c r="T978" s="384"/>
      <c r="U978" s="384"/>
      <c r="V978" s="384"/>
      <c r="W978" s="384"/>
      <c r="X978" s="384"/>
      <c r="Y978" s="384"/>
      <c r="Z978" s="384"/>
      <c r="AA978" s="384"/>
    </row>
    <row r="979" spans="1:27" x14ac:dyDescent="0.2">
      <c r="A979" s="384"/>
      <c r="B979" s="384"/>
      <c r="C979" s="384"/>
      <c r="D979" s="384"/>
      <c r="E979" s="384"/>
      <c r="F979" s="384"/>
      <c r="G979" s="384"/>
      <c r="H979" s="384"/>
      <c r="I979" s="384"/>
      <c r="J979" s="384"/>
      <c r="K979" s="384"/>
      <c r="L979" s="384"/>
      <c r="M979" s="384"/>
      <c r="N979" s="384"/>
      <c r="O979" s="384"/>
      <c r="P979" s="384"/>
      <c r="Q979" s="384"/>
      <c r="R979" s="384"/>
      <c r="S979" s="384"/>
      <c r="T979" s="384"/>
      <c r="U979" s="384"/>
      <c r="V979" s="384"/>
      <c r="W979" s="384"/>
      <c r="X979" s="384"/>
      <c r="Y979" s="384"/>
      <c r="Z979" s="384"/>
      <c r="AA979" s="384"/>
    </row>
    <row r="980" spans="1:27" x14ac:dyDescent="0.2">
      <c r="A980" s="384"/>
      <c r="B980" s="384"/>
      <c r="C980" s="384"/>
      <c r="D980" s="384"/>
      <c r="E980" s="384"/>
      <c r="F980" s="384"/>
      <c r="G980" s="384"/>
      <c r="H980" s="384"/>
      <c r="I980" s="384"/>
      <c r="J980" s="384"/>
      <c r="K980" s="384"/>
      <c r="L980" s="384"/>
      <c r="M980" s="384"/>
      <c r="N980" s="384"/>
      <c r="O980" s="384"/>
      <c r="P980" s="384"/>
      <c r="Q980" s="384"/>
      <c r="R980" s="384"/>
      <c r="S980" s="384"/>
      <c r="T980" s="384"/>
      <c r="U980" s="384"/>
      <c r="V980" s="384"/>
      <c r="W980" s="384"/>
      <c r="X980" s="384"/>
      <c r="Y980" s="384"/>
      <c r="Z980" s="384"/>
      <c r="AA980" s="384"/>
    </row>
    <row r="981" spans="1:27" x14ac:dyDescent="0.2">
      <c r="A981" s="384"/>
      <c r="B981" s="384"/>
      <c r="C981" s="384"/>
      <c r="D981" s="384"/>
      <c r="E981" s="384"/>
      <c r="F981" s="384"/>
      <c r="G981" s="384"/>
      <c r="H981" s="384"/>
      <c r="I981" s="384"/>
      <c r="J981" s="384"/>
      <c r="K981" s="384"/>
      <c r="L981" s="384"/>
      <c r="M981" s="384"/>
      <c r="N981" s="384"/>
      <c r="O981" s="384"/>
      <c r="P981" s="384"/>
      <c r="Q981" s="384"/>
      <c r="R981" s="384"/>
      <c r="S981" s="384"/>
      <c r="T981" s="384"/>
      <c r="U981" s="384"/>
      <c r="V981" s="384"/>
      <c r="W981" s="384"/>
      <c r="X981" s="384"/>
      <c r="Y981" s="384"/>
      <c r="Z981" s="384"/>
      <c r="AA981" s="384"/>
    </row>
    <row r="982" spans="1:27" x14ac:dyDescent="0.2">
      <c r="A982" s="384"/>
      <c r="B982" s="384"/>
      <c r="C982" s="384"/>
      <c r="D982" s="384"/>
      <c r="E982" s="384"/>
      <c r="F982" s="384"/>
      <c r="G982" s="384"/>
      <c r="H982" s="384"/>
      <c r="I982" s="384"/>
      <c r="J982" s="384"/>
      <c r="K982" s="384"/>
      <c r="L982" s="384"/>
      <c r="M982" s="384"/>
      <c r="N982" s="384"/>
      <c r="O982" s="384"/>
      <c r="P982" s="384"/>
      <c r="Q982" s="384"/>
      <c r="R982" s="384"/>
      <c r="S982" s="384"/>
      <c r="T982" s="384"/>
      <c r="U982" s="384"/>
      <c r="V982" s="384"/>
      <c r="W982" s="384"/>
      <c r="X982" s="384"/>
      <c r="Y982" s="384"/>
      <c r="Z982" s="384"/>
      <c r="AA982" s="384"/>
    </row>
    <row r="983" spans="1:27" x14ac:dyDescent="0.2">
      <c r="A983" s="384"/>
      <c r="B983" s="384"/>
      <c r="C983" s="384"/>
      <c r="D983" s="384"/>
      <c r="E983" s="384"/>
      <c r="F983" s="384"/>
      <c r="G983" s="384"/>
      <c r="H983" s="384"/>
      <c r="I983" s="384"/>
      <c r="J983" s="384"/>
      <c r="K983" s="384"/>
      <c r="L983" s="384"/>
      <c r="M983" s="384"/>
      <c r="N983" s="384"/>
      <c r="O983" s="384"/>
      <c r="P983" s="384"/>
      <c r="Q983" s="384"/>
      <c r="R983" s="384"/>
      <c r="S983" s="384"/>
      <c r="T983" s="384"/>
      <c r="U983" s="384"/>
      <c r="V983" s="384"/>
      <c r="W983" s="384"/>
      <c r="X983" s="384"/>
      <c r="Y983" s="384"/>
      <c r="Z983" s="384"/>
      <c r="AA983" s="384"/>
    </row>
    <row r="984" spans="1:27" x14ac:dyDescent="0.2">
      <c r="A984" s="384"/>
      <c r="B984" s="384"/>
      <c r="C984" s="384"/>
      <c r="D984" s="384"/>
      <c r="E984" s="384"/>
      <c r="F984" s="384"/>
      <c r="G984" s="384"/>
      <c r="H984" s="384"/>
      <c r="I984" s="384"/>
      <c r="J984" s="384"/>
      <c r="K984" s="384"/>
      <c r="L984" s="384"/>
      <c r="M984" s="384"/>
      <c r="N984" s="384"/>
      <c r="O984" s="384"/>
      <c r="P984" s="384"/>
      <c r="Q984" s="384"/>
      <c r="R984" s="384"/>
      <c r="S984" s="384"/>
      <c r="T984" s="384"/>
      <c r="U984" s="384"/>
      <c r="V984" s="384"/>
      <c r="W984" s="384"/>
      <c r="X984" s="384"/>
      <c r="Y984" s="384"/>
      <c r="Z984" s="384"/>
      <c r="AA984" s="384"/>
    </row>
    <row r="985" spans="1:27" x14ac:dyDescent="0.2">
      <c r="A985" s="384"/>
      <c r="B985" s="384"/>
      <c r="C985" s="384"/>
      <c r="D985" s="384"/>
      <c r="E985" s="384"/>
      <c r="F985" s="384"/>
      <c r="G985" s="384"/>
      <c r="H985" s="384"/>
      <c r="I985" s="384"/>
      <c r="J985" s="384"/>
      <c r="K985" s="384"/>
      <c r="L985" s="384"/>
      <c r="M985" s="384"/>
      <c r="N985" s="384"/>
      <c r="O985" s="384"/>
      <c r="P985" s="384"/>
      <c r="Q985" s="384"/>
      <c r="R985" s="384"/>
      <c r="S985" s="384"/>
      <c r="T985" s="384"/>
      <c r="U985" s="384"/>
      <c r="V985" s="384"/>
      <c r="W985" s="384"/>
      <c r="X985" s="384"/>
      <c r="Y985" s="384"/>
      <c r="Z985" s="384"/>
      <c r="AA985" s="384"/>
    </row>
    <row r="986" spans="1:27" x14ac:dyDescent="0.2">
      <c r="A986" s="384"/>
      <c r="B986" s="384"/>
      <c r="C986" s="384"/>
      <c r="D986" s="384"/>
      <c r="E986" s="384"/>
      <c r="F986" s="384"/>
      <c r="G986" s="384"/>
      <c r="H986" s="384"/>
      <c r="I986" s="384"/>
      <c r="J986" s="384"/>
      <c r="K986" s="384"/>
      <c r="L986" s="384"/>
      <c r="M986" s="384"/>
      <c r="N986" s="384"/>
      <c r="O986" s="384"/>
      <c r="P986" s="384"/>
      <c r="Q986" s="384"/>
      <c r="R986" s="384"/>
      <c r="S986" s="384"/>
      <c r="T986" s="384"/>
      <c r="U986" s="384"/>
      <c r="V986" s="384"/>
      <c r="W986" s="384"/>
      <c r="X986" s="384"/>
      <c r="Y986" s="384"/>
      <c r="Z986" s="384"/>
      <c r="AA986" s="384"/>
    </row>
    <row r="987" spans="1:27" x14ac:dyDescent="0.2">
      <c r="A987" s="384"/>
      <c r="B987" s="384"/>
      <c r="C987" s="384"/>
      <c r="D987" s="384"/>
      <c r="E987" s="384"/>
      <c r="F987" s="384"/>
      <c r="G987" s="384"/>
      <c r="H987" s="384"/>
      <c r="I987" s="384"/>
      <c r="J987" s="384"/>
      <c r="K987" s="384"/>
      <c r="L987" s="384"/>
      <c r="M987" s="384"/>
      <c r="N987" s="384"/>
      <c r="O987" s="384"/>
      <c r="P987" s="384"/>
      <c r="Q987" s="384"/>
      <c r="R987" s="384"/>
      <c r="S987" s="384"/>
      <c r="T987" s="384"/>
      <c r="U987" s="384"/>
      <c r="V987" s="384"/>
      <c r="W987" s="384"/>
      <c r="X987" s="384"/>
      <c r="Y987" s="384"/>
      <c r="Z987" s="384"/>
      <c r="AA987" s="384"/>
    </row>
    <row r="988" spans="1:27" x14ac:dyDescent="0.2">
      <c r="A988" s="384"/>
      <c r="B988" s="384"/>
      <c r="C988" s="384"/>
      <c r="D988" s="384"/>
      <c r="E988" s="384"/>
      <c r="F988" s="384"/>
      <c r="G988" s="384"/>
      <c r="H988" s="384"/>
      <c r="I988" s="384"/>
      <c r="J988" s="384"/>
      <c r="K988" s="384"/>
      <c r="L988" s="384"/>
      <c r="M988" s="384"/>
      <c r="N988" s="384"/>
      <c r="O988" s="384"/>
      <c r="P988" s="384"/>
      <c r="Q988" s="384"/>
      <c r="R988" s="384"/>
      <c r="S988" s="384"/>
      <c r="T988" s="384"/>
      <c r="U988" s="384"/>
      <c r="V988" s="384"/>
      <c r="W988" s="384"/>
      <c r="X988" s="384"/>
      <c r="Y988" s="384"/>
      <c r="Z988" s="384"/>
      <c r="AA988" s="384"/>
    </row>
    <row r="989" spans="1:27" x14ac:dyDescent="0.2">
      <c r="A989" s="384"/>
      <c r="B989" s="384"/>
      <c r="C989" s="384"/>
      <c r="D989" s="384"/>
      <c r="E989" s="384"/>
      <c r="F989" s="384"/>
      <c r="G989" s="384"/>
      <c r="H989" s="384"/>
      <c r="I989" s="384"/>
      <c r="J989" s="384"/>
      <c r="K989" s="384"/>
      <c r="L989" s="384"/>
      <c r="M989" s="384"/>
      <c r="N989" s="384"/>
      <c r="O989" s="384"/>
      <c r="P989" s="384"/>
      <c r="Q989" s="384"/>
      <c r="R989" s="384"/>
      <c r="S989" s="384"/>
      <c r="T989" s="384"/>
      <c r="U989" s="384"/>
      <c r="V989" s="384"/>
      <c r="W989" s="384"/>
      <c r="X989" s="384"/>
      <c r="Y989" s="384"/>
      <c r="Z989" s="384"/>
      <c r="AA989" s="384"/>
    </row>
    <row r="990" spans="1:27" x14ac:dyDescent="0.2">
      <c r="A990" s="384"/>
      <c r="B990" s="384"/>
      <c r="C990" s="384"/>
      <c r="D990" s="384"/>
      <c r="E990" s="384"/>
      <c r="F990" s="384"/>
      <c r="G990" s="384"/>
      <c r="H990" s="384"/>
      <c r="I990" s="384"/>
      <c r="J990" s="384"/>
      <c r="K990" s="384"/>
      <c r="L990" s="384"/>
      <c r="M990" s="384"/>
      <c r="N990" s="384"/>
      <c r="O990" s="384"/>
      <c r="P990" s="384"/>
      <c r="Q990" s="384"/>
      <c r="R990" s="384"/>
      <c r="S990" s="384"/>
      <c r="T990" s="384"/>
      <c r="U990" s="384"/>
      <c r="V990" s="384"/>
      <c r="W990" s="384"/>
      <c r="X990" s="384"/>
      <c r="Y990" s="384"/>
      <c r="Z990" s="384"/>
      <c r="AA990" s="384"/>
    </row>
    <row r="991" spans="1:27" x14ac:dyDescent="0.2">
      <c r="A991" s="384"/>
      <c r="B991" s="384"/>
      <c r="C991" s="384"/>
      <c r="D991" s="384"/>
      <c r="E991" s="384"/>
      <c r="F991" s="384"/>
      <c r="G991" s="384"/>
      <c r="H991" s="384"/>
      <c r="I991" s="384"/>
      <c r="J991" s="384"/>
      <c r="K991" s="384"/>
      <c r="L991" s="384"/>
      <c r="M991" s="384"/>
      <c r="N991" s="384"/>
      <c r="O991" s="384"/>
      <c r="P991" s="384"/>
      <c r="Q991" s="384"/>
      <c r="R991" s="384"/>
      <c r="S991" s="384"/>
      <c r="T991" s="384"/>
      <c r="U991" s="384"/>
      <c r="V991" s="384"/>
      <c r="W991" s="384"/>
      <c r="X991" s="384"/>
      <c r="Y991" s="384"/>
      <c r="Z991" s="384"/>
      <c r="AA991" s="384"/>
    </row>
    <row r="992" spans="1:27" x14ac:dyDescent="0.2">
      <c r="A992" s="384"/>
      <c r="B992" s="384"/>
      <c r="C992" s="384"/>
      <c r="D992" s="384"/>
      <c r="E992" s="384"/>
      <c r="F992" s="384"/>
      <c r="G992" s="384"/>
      <c r="H992" s="384"/>
      <c r="I992" s="384"/>
      <c r="J992" s="384"/>
      <c r="K992" s="384"/>
      <c r="L992" s="384"/>
      <c r="M992" s="384"/>
      <c r="N992" s="384"/>
      <c r="O992" s="384"/>
      <c r="P992" s="384"/>
      <c r="Q992" s="384"/>
      <c r="R992" s="384"/>
      <c r="S992" s="384"/>
      <c r="T992" s="384"/>
      <c r="U992" s="384"/>
      <c r="V992" s="384"/>
      <c r="W992" s="384"/>
      <c r="X992" s="384"/>
      <c r="Y992" s="384"/>
      <c r="Z992" s="384"/>
      <c r="AA992" s="384"/>
    </row>
    <row r="993" spans="1:27" x14ac:dyDescent="0.2">
      <c r="A993" s="384"/>
      <c r="B993" s="384"/>
      <c r="C993" s="384"/>
      <c r="D993" s="384"/>
      <c r="E993" s="384"/>
      <c r="F993" s="384"/>
      <c r="G993" s="384"/>
      <c r="H993" s="384"/>
      <c r="I993" s="384"/>
      <c r="J993" s="384"/>
      <c r="K993" s="384"/>
      <c r="L993" s="384"/>
      <c r="M993" s="384"/>
      <c r="N993" s="384"/>
      <c r="O993" s="384"/>
      <c r="P993" s="384"/>
      <c r="Q993" s="384"/>
      <c r="R993" s="384"/>
      <c r="S993" s="384"/>
      <c r="T993" s="384"/>
      <c r="U993" s="384"/>
      <c r="V993" s="384"/>
      <c r="W993" s="384"/>
      <c r="X993" s="384"/>
      <c r="Y993" s="384"/>
      <c r="Z993" s="384"/>
      <c r="AA993" s="384"/>
    </row>
    <row r="994" spans="1:27" x14ac:dyDescent="0.2">
      <c r="A994" s="384"/>
      <c r="B994" s="384"/>
      <c r="C994" s="384"/>
      <c r="D994" s="384"/>
      <c r="E994" s="384"/>
      <c r="F994" s="384"/>
      <c r="G994" s="384"/>
      <c r="H994" s="384"/>
      <c r="I994" s="384"/>
      <c r="J994" s="384"/>
      <c r="K994" s="384"/>
      <c r="L994" s="384"/>
      <c r="M994" s="384"/>
      <c r="N994" s="384"/>
      <c r="O994" s="384"/>
      <c r="P994" s="384"/>
      <c r="Q994" s="384"/>
      <c r="R994" s="384"/>
      <c r="S994" s="384"/>
      <c r="T994" s="384"/>
      <c r="U994" s="384"/>
      <c r="V994" s="384"/>
      <c r="W994" s="384"/>
      <c r="X994" s="384"/>
      <c r="Y994" s="384"/>
      <c r="Z994" s="384"/>
      <c r="AA994" s="384"/>
    </row>
    <row r="995" spans="1:27" x14ac:dyDescent="0.2">
      <c r="A995" s="384"/>
      <c r="B995" s="384"/>
      <c r="C995" s="384"/>
      <c r="D995" s="384"/>
      <c r="E995" s="384"/>
      <c r="F995" s="384"/>
      <c r="G995" s="384"/>
      <c r="H995" s="384"/>
      <c r="I995" s="384"/>
      <c r="J995" s="384"/>
      <c r="K995" s="384"/>
      <c r="L995" s="384"/>
      <c r="M995" s="384"/>
      <c r="N995" s="384"/>
      <c r="O995" s="384"/>
      <c r="P995" s="384"/>
      <c r="Q995" s="384"/>
      <c r="R995" s="384"/>
      <c r="S995" s="384"/>
      <c r="T995" s="384"/>
      <c r="U995" s="384"/>
      <c r="V995" s="384"/>
      <c r="W995" s="384"/>
      <c r="X995" s="384"/>
      <c r="Y995" s="384"/>
      <c r="Z995" s="384"/>
      <c r="AA995" s="384"/>
    </row>
    <row r="996" spans="1:27" x14ac:dyDescent="0.2">
      <c r="A996" s="384"/>
      <c r="B996" s="384"/>
      <c r="C996" s="384"/>
      <c r="D996" s="384"/>
      <c r="E996" s="384"/>
      <c r="F996" s="384"/>
      <c r="G996" s="384"/>
      <c r="H996" s="384"/>
      <c r="I996" s="384"/>
      <c r="J996" s="384"/>
      <c r="K996" s="384"/>
      <c r="L996" s="384"/>
      <c r="M996" s="384"/>
      <c r="N996" s="384"/>
      <c r="O996" s="384"/>
      <c r="P996" s="384"/>
      <c r="Q996" s="384"/>
      <c r="R996" s="384"/>
      <c r="S996" s="384"/>
      <c r="T996" s="384"/>
      <c r="U996" s="384"/>
      <c r="V996" s="384"/>
      <c r="W996" s="384"/>
      <c r="X996" s="384"/>
      <c r="Y996" s="384"/>
      <c r="Z996" s="384"/>
      <c r="AA996" s="384"/>
    </row>
    <row r="997" spans="1:27" x14ac:dyDescent="0.2">
      <c r="A997" s="384"/>
      <c r="B997" s="384"/>
      <c r="C997" s="384"/>
      <c r="D997" s="384"/>
      <c r="E997" s="384"/>
      <c r="F997" s="384"/>
      <c r="G997" s="384"/>
      <c r="H997" s="384"/>
      <c r="I997" s="384"/>
      <c r="J997" s="384"/>
      <c r="K997" s="384"/>
      <c r="L997" s="384"/>
      <c r="M997" s="384"/>
      <c r="N997" s="384"/>
      <c r="O997" s="384"/>
      <c r="P997" s="384"/>
      <c r="Q997" s="384"/>
      <c r="R997" s="384"/>
      <c r="S997" s="384"/>
      <c r="T997" s="384"/>
      <c r="U997" s="384"/>
      <c r="V997" s="384"/>
      <c r="W997" s="384"/>
      <c r="X997" s="384"/>
      <c r="Y997" s="384"/>
      <c r="Z997" s="384"/>
      <c r="AA997" s="384"/>
    </row>
    <row r="998" spans="1:27" x14ac:dyDescent="0.2">
      <c r="A998" s="384"/>
      <c r="B998" s="384"/>
      <c r="C998" s="384"/>
      <c r="D998" s="384"/>
      <c r="E998" s="384"/>
      <c r="F998" s="384"/>
      <c r="G998" s="384"/>
      <c r="H998" s="384"/>
      <c r="I998" s="384"/>
      <c r="J998" s="384"/>
      <c r="K998" s="384"/>
      <c r="L998" s="384"/>
      <c r="M998" s="384"/>
      <c r="N998" s="384"/>
      <c r="O998" s="384"/>
      <c r="P998" s="384"/>
      <c r="Q998" s="384"/>
      <c r="R998" s="384"/>
      <c r="S998" s="384"/>
      <c r="T998" s="384"/>
      <c r="U998" s="384"/>
      <c r="V998" s="384"/>
      <c r="W998" s="384"/>
      <c r="X998" s="384"/>
      <c r="Y998" s="384"/>
      <c r="Z998" s="384"/>
      <c r="AA998" s="384"/>
    </row>
    <row r="999" spans="1:27" x14ac:dyDescent="0.2">
      <c r="A999" s="384"/>
      <c r="B999" s="384"/>
      <c r="C999" s="384"/>
      <c r="D999" s="384"/>
      <c r="E999" s="384"/>
      <c r="F999" s="384"/>
      <c r="G999" s="384"/>
      <c r="H999" s="384"/>
      <c r="I999" s="384"/>
      <c r="J999" s="384"/>
      <c r="K999" s="384"/>
      <c r="L999" s="384"/>
      <c r="M999" s="384"/>
      <c r="N999" s="384"/>
      <c r="O999" s="384"/>
      <c r="P999" s="384"/>
      <c r="Q999" s="384"/>
      <c r="R999" s="384"/>
      <c r="S999" s="384"/>
      <c r="T999" s="384"/>
      <c r="U999" s="384"/>
      <c r="V999" s="384"/>
      <c r="W999" s="384"/>
      <c r="X999" s="384"/>
      <c r="Y999" s="384"/>
      <c r="Z999" s="384"/>
      <c r="AA999" s="384"/>
    </row>
    <row r="1000" spans="1:27" x14ac:dyDescent="0.2">
      <c r="A1000" s="384"/>
      <c r="B1000" s="384"/>
      <c r="C1000" s="384"/>
      <c r="D1000" s="384"/>
      <c r="E1000" s="384"/>
      <c r="F1000" s="384"/>
      <c r="G1000" s="384"/>
      <c r="H1000" s="384"/>
      <c r="I1000" s="384"/>
      <c r="J1000" s="384"/>
      <c r="K1000" s="384"/>
      <c r="L1000" s="384"/>
      <c r="M1000" s="384"/>
      <c r="N1000" s="384"/>
      <c r="O1000" s="384"/>
      <c r="P1000" s="384"/>
      <c r="Q1000" s="384"/>
      <c r="R1000" s="384"/>
      <c r="S1000" s="384"/>
      <c r="T1000" s="384"/>
      <c r="U1000" s="384"/>
      <c r="V1000" s="384"/>
      <c r="W1000" s="384"/>
      <c r="X1000" s="384"/>
      <c r="Y1000" s="384"/>
      <c r="Z1000" s="384"/>
      <c r="AA1000" s="384"/>
    </row>
    <row r="1001" spans="1:27" x14ac:dyDescent="0.2">
      <c r="A1001" s="384"/>
      <c r="B1001" s="384"/>
      <c r="C1001" s="384"/>
      <c r="D1001" s="384"/>
      <c r="E1001" s="384"/>
      <c r="F1001" s="384"/>
      <c r="G1001" s="384"/>
      <c r="H1001" s="384"/>
      <c r="I1001" s="384"/>
      <c r="J1001" s="384"/>
      <c r="K1001" s="384"/>
      <c r="L1001" s="384"/>
      <c r="M1001" s="384"/>
      <c r="N1001" s="384"/>
      <c r="O1001" s="384"/>
      <c r="P1001" s="384"/>
      <c r="Q1001" s="384"/>
      <c r="R1001" s="384"/>
      <c r="S1001" s="384"/>
      <c r="T1001" s="384"/>
      <c r="U1001" s="384"/>
      <c r="V1001" s="384"/>
      <c r="W1001" s="384"/>
      <c r="X1001" s="384"/>
      <c r="Y1001" s="384"/>
      <c r="Z1001" s="384"/>
      <c r="AA1001" s="384"/>
    </row>
    <row r="1002" spans="1:27" x14ac:dyDescent="0.2">
      <c r="A1002" s="384"/>
      <c r="B1002" s="384"/>
      <c r="C1002" s="384"/>
      <c r="D1002" s="384"/>
      <c r="E1002" s="384"/>
      <c r="F1002" s="384"/>
      <c r="G1002" s="384"/>
      <c r="H1002" s="384"/>
      <c r="I1002" s="384"/>
      <c r="J1002" s="384"/>
      <c r="K1002" s="384"/>
      <c r="L1002" s="384"/>
      <c r="M1002" s="384"/>
      <c r="N1002" s="384"/>
      <c r="O1002" s="384"/>
      <c r="P1002" s="384"/>
      <c r="Q1002" s="384"/>
      <c r="R1002" s="384"/>
      <c r="S1002" s="384"/>
      <c r="T1002" s="384"/>
      <c r="U1002" s="384"/>
      <c r="V1002" s="384"/>
      <c r="W1002" s="384"/>
      <c r="X1002" s="384"/>
      <c r="Y1002" s="384"/>
      <c r="Z1002" s="384"/>
      <c r="AA1002" s="384"/>
    </row>
  </sheetData>
  <mergeCells count="2">
    <mergeCell ref="B2:F2"/>
    <mergeCell ref="B22:F2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46"/>
  <sheetViews>
    <sheetView workbookViewId="0"/>
  </sheetViews>
  <sheetFormatPr defaultColWidth="11.21875" defaultRowHeight="15" customHeight="1" x14ac:dyDescent="0.2"/>
  <sheetData>
    <row r="1" spans="1:26" ht="15" customHeight="1" x14ac:dyDescent="0.4">
      <c r="A1" s="599" t="s">
        <v>1005</v>
      </c>
      <c r="B1" s="533"/>
      <c r="C1" s="533"/>
      <c r="D1" s="533"/>
      <c r="E1" s="533"/>
      <c r="F1" s="533"/>
      <c r="G1" s="533"/>
      <c r="H1" s="533"/>
      <c r="I1" s="533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</row>
    <row r="2" spans="1:26" x14ac:dyDescent="0.2">
      <c r="A2" s="391" t="s">
        <v>1006</v>
      </c>
      <c r="B2" s="391" t="s">
        <v>1007</v>
      </c>
      <c r="C2" s="391" t="s">
        <v>111</v>
      </c>
      <c r="D2" s="391" t="s">
        <v>1008</v>
      </c>
      <c r="E2" s="391" t="s">
        <v>1009</v>
      </c>
      <c r="F2" s="391" t="s">
        <v>1010</v>
      </c>
      <c r="G2" s="391" t="s">
        <v>1011</v>
      </c>
      <c r="H2" s="391" t="s">
        <v>1012</v>
      </c>
      <c r="I2" s="391" t="s">
        <v>153</v>
      </c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390"/>
      <c r="Y2" s="390"/>
      <c r="Z2" s="390"/>
    </row>
    <row r="3" spans="1:26" x14ac:dyDescent="0.2">
      <c r="A3" s="22" t="s">
        <v>1013</v>
      </c>
      <c r="B3" s="392">
        <v>45653</v>
      </c>
      <c r="C3" s="106" t="s">
        <v>130</v>
      </c>
      <c r="D3" s="22" t="s">
        <v>97</v>
      </c>
      <c r="E3" s="195">
        <v>300</v>
      </c>
      <c r="F3" s="195">
        <v>200</v>
      </c>
      <c r="G3" s="195">
        <v>300</v>
      </c>
      <c r="H3" s="195">
        <v>430</v>
      </c>
      <c r="I3" s="199">
        <f t="shared" ref="I3:I29" si="0">SUM(E3:H3)</f>
        <v>1230</v>
      </c>
    </row>
    <row r="4" spans="1:26" x14ac:dyDescent="0.2">
      <c r="A4" s="23"/>
      <c r="B4" s="393"/>
      <c r="C4" s="106" t="s">
        <v>223</v>
      </c>
      <c r="D4" s="22" t="s">
        <v>97</v>
      </c>
      <c r="E4" s="195">
        <v>700</v>
      </c>
      <c r="F4" s="195">
        <v>1000</v>
      </c>
      <c r="G4" s="195">
        <v>400</v>
      </c>
      <c r="H4" s="195">
        <v>1620</v>
      </c>
      <c r="I4" s="199">
        <f t="shared" si="0"/>
        <v>3720</v>
      </c>
    </row>
    <row r="5" spans="1:26" x14ac:dyDescent="0.2">
      <c r="A5" s="23"/>
      <c r="B5" s="393"/>
      <c r="C5" s="106" t="s">
        <v>143</v>
      </c>
      <c r="D5" s="22" t="s">
        <v>97</v>
      </c>
      <c r="E5" s="195">
        <v>400</v>
      </c>
      <c r="F5" s="195">
        <v>400</v>
      </c>
      <c r="G5" s="195">
        <v>500</v>
      </c>
      <c r="H5" s="195">
        <v>420</v>
      </c>
      <c r="I5" s="199">
        <f t="shared" si="0"/>
        <v>1720</v>
      </c>
    </row>
    <row r="6" spans="1:26" x14ac:dyDescent="0.2">
      <c r="A6" s="23"/>
      <c r="B6" s="393"/>
      <c r="C6" s="106" t="s">
        <v>44</v>
      </c>
      <c r="D6" s="22" t="s">
        <v>97</v>
      </c>
      <c r="E6" s="195">
        <v>150</v>
      </c>
      <c r="F6" s="195">
        <v>400</v>
      </c>
      <c r="G6" s="195">
        <v>110</v>
      </c>
      <c r="H6" s="199"/>
      <c r="I6" s="199">
        <f t="shared" si="0"/>
        <v>660</v>
      </c>
    </row>
    <row r="7" spans="1:26" x14ac:dyDescent="0.2">
      <c r="A7" s="23"/>
      <c r="B7" s="393"/>
      <c r="C7" s="106" t="s">
        <v>128</v>
      </c>
      <c r="D7" s="22" t="s">
        <v>97</v>
      </c>
      <c r="E7" s="195">
        <v>700</v>
      </c>
      <c r="F7" s="195">
        <v>710</v>
      </c>
      <c r="G7" s="195">
        <v>290</v>
      </c>
      <c r="H7" s="199"/>
      <c r="I7" s="199">
        <f t="shared" si="0"/>
        <v>1700</v>
      </c>
    </row>
    <row r="8" spans="1:26" x14ac:dyDescent="0.2">
      <c r="A8" s="23"/>
      <c r="B8" s="393"/>
      <c r="C8" s="106" t="s">
        <v>215</v>
      </c>
      <c r="D8" s="22" t="s">
        <v>97</v>
      </c>
      <c r="E8" s="195">
        <v>450</v>
      </c>
      <c r="F8" s="195">
        <v>350</v>
      </c>
      <c r="G8" s="195">
        <v>760</v>
      </c>
      <c r="H8" s="199"/>
      <c r="I8" s="199">
        <f t="shared" si="0"/>
        <v>1560</v>
      </c>
    </row>
    <row r="9" spans="1:26" x14ac:dyDescent="0.2">
      <c r="A9" s="23"/>
      <c r="B9" s="393"/>
      <c r="C9" s="106" t="s">
        <v>1014</v>
      </c>
      <c r="D9" s="22" t="s">
        <v>97</v>
      </c>
      <c r="E9" s="195">
        <v>450</v>
      </c>
      <c r="F9" s="195">
        <v>820</v>
      </c>
      <c r="G9" s="199"/>
      <c r="H9" s="199"/>
      <c r="I9" s="199">
        <f t="shared" si="0"/>
        <v>1270</v>
      </c>
    </row>
    <row r="10" spans="1:26" x14ac:dyDescent="0.2">
      <c r="A10" s="23"/>
      <c r="B10" s="393"/>
      <c r="C10" s="106" t="s">
        <v>1015</v>
      </c>
      <c r="D10" s="22" t="s">
        <v>97</v>
      </c>
      <c r="E10" s="195">
        <v>450</v>
      </c>
      <c r="F10" s="195">
        <v>150</v>
      </c>
      <c r="G10" s="195">
        <v>360</v>
      </c>
      <c r="H10" s="199"/>
      <c r="I10" s="199">
        <f t="shared" si="0"/>
        <v>960</v>
      </c>
    </row>
    <row r="11" spans="1:26" x14ac:dyDescent="0.2">
      <c r="A11" s="23"/>
      <c r="B11" s="393"/>
      <c r="C11" s="106" t="s">
        <v>1016</v>
      </c>
      <c r="D11" s="22" t="s">
        <v>97</v>
      </c>
      <c r="E11" s="195">
        <v>150</v>
      </c>
      <c r="F11" s="195">
        <v>130</v>
      </c>
      <c r="G11" s="199"/>
      <c r="H11" s="199"/>
      <c r="I11" s="199">
        <f t="shared" si="0"/>
        <v>280</v>
      </c>
    </row>
    <row r="12" spans="1:26" x14ac:dyDescent="0.2">
      <c r="A12" s="22" t="s">
        <v>1013</v>
      </c>
      <c r="B12" s="392">
        <v>45654</v>
      </c>
      <c r="C12" s="106" t="s">
        <v>130</v>
      </c>
      <c r="D12" s="22" t="s">
        <v>97</v>
      </c>
      <c r="E12" s="195">
        <v>535</v>
      </c>
      <c r="F12" s="195">
        <v>210</v>
      </c>
      <c r="G12" s="195">
        <v>275</v>
      </c>
      <c r="H12" s="199"/>
      <c r="I12" s="199">
        <f t="shared" si="0"/>
        <v>1020</v>
      </c>
    </row>
    <row r="13" spans="1:26" x14ac:dyDescent="0.2">
      <c r="A13" s="23"/>
      <c r="B13" s="393"/>
      <c r="C13" s="106" t="s">
        <v>223</v>
      </c>
      <c r="D13" s="22" t="s">
        <v>97</v>
      </c>
      <c r="E13" s="195">
        <v>910</v>
      </c>
      <c r="F13" s="195">
        <v>910</v>
      </c>
      <c r="G13" s="195">
        <v>460</v>
      </c>
      <c r="H13" s="195">
        <v>570</v>
      </c>
      <c r="I13" s="199">
        <f t="shared" si="0"/>
        <v>2850</v>
      </c>
    </row>
    <row r="14" spans="1:26" x14ac:dyDescent="0.2">
      <c r="A14" s="23"/>
      <c r="B14" s="393"/>
      <c r="C14" s="106" t="s">
        <v>143</v>
      </c>
      <c r="D14" s="22" t="s">
        <v>97</v>
      </c>
      <c r="E14" s="195">
        <v>800</v>
      </c>
      <c r="F14" s="195">
        <v>560</v>
      </c>
      <c r="G14" s="199"/>
      <c r="H14" s="199"/>
      <c r="I14" s="199">
        <f t="shared" si="0"/>
        <v>1360</v>
      </c>
    </row>
    <row r="15" spans="1:26" x14ac:dyDescent="0.2">
      <c r="A15" s="23"/>
      <c r="B15" s="393"/>
      <c r="C15" s="106" t="s">
        <v>44</v>
      </c>
      <c r="D15" s="22" t="s">
        <v>97</v>
      </c>
      <c r="E15" s="195">
        <v>150</v>
      </c>
      <c r="F15" s="195">
        <v>700</v>
      </c>
      <c r="G15" s="199"/>
      <c r="H15" s="199"/>
      <c r="I15" s="199">
        <f t="shared" si="0"/>
        <v>850</v>
      </c>
    </row>
    <row r="16" spans="1:26" x14ac:dyDescent="0.2">
      <c r="A16" s="23"/>
      <c r="B16" s="393"/>
      <c r="C16" s="106" t="s">
        <v>128</v>
      </c>
      <c r="D16" s="22" t="s">
        <v>97</v>
      </c>
      <c r="E16" s="195">
        <v>580</v>
      </c>
      <c r="F16" s="195">
        <v>550</v>
      </c>
      <c r="G16" s="199"/>
      <c r="H16" s="199"/>
      <c r="I16" s="199">
        <f t="shared" si="0"/>
        <v>1130</v>
      </c>
    </row>
    <row r="17" spans="1:9" x14ac:dyDescent="0.2">
      <c r="A17" s="23"/>
      <c r="B17" s="393"/>
      <c r="C17" s="106" t="s">
        <v>215</v>
      </c>
      <c r="D17" s="22" t="s">
        <v>97</v>
      </c>
      <c r="E17" s="195">
        <v>655</v>
      </c>
      <c r="F17" s="195"/>
      <c r="G17" s="199"/>
      <c r="H17" s="199"/>
      <c r="I17" s="199">
        <f t="shared" si="0"/>
        <v>655</v>
      </c>
    </row>
    <row r="18" spans="1:9" x14ac:dyDescent="0.2">
      <c r="A18" s="23"/>
      <c r="B18" s="393"/>
      <c r="C18" s="106" t="s">
        <v>1014</v>
      </c>
      <c r="D18" s="22" t="s">
        <v>97</v>
      </c>
      <c r="E18" s="195"/>
      <c r="F18" s="195"/>
      <c r="G18" s="199"/>
      <c r="H18" s="199"/>
      <c r="I18" s="199">
        <f t="shared" si="0"/>
        <v>0</v>
      </c>
    </row>
    <row r="19" spans="1:9" x14ac:dyDescent="0.2">
      <c r="A19" s="23"/>
      <c r="B19" s="393"/>
      <c r="C19" s="106" t="s">
        <v>1015</v>
      </c>
      <c r="D19" s="22" t="s">
        <v>97</v>
      </c>
      <c r="E19" s="195">
        <v>535</v>
      </c>
      <c r="F19" s="195"/>
      <c r="G19" s="199"/>
      <c r="H19" s="199"/>
      <c r="I19" s="199">
        <f t="shared" si="0"/>
        <v>535</v>
      </c>
    </row>
    <row r="20" spans="1:9" x14ac:dyDescent="0.2">
      <c r="A20" s="23"/>
      <c r="B20" s="393"/>
      <c r="C20" s="106" t="s">
        <v>1016</v>
      </c>
      <c r="D20" s="22" t="s">
        <v>97</v>
      </c>
      <c r="E20" s="195">
        <v>530</v>
      </c>
      <c r="F20" s="195"/>
      <c r="G20" s="199"/>
      <c r="H20" s="199"/>
      <c r="I20" s="199">
        <f t="shared" si="0"/>
        <v>530</v>
      </c>
    </row>
    <row r="21" spans="1:9" x14ac:dyDescent="0.2">
      <c r="A21" s="22" t="s">
        <v>1013</v>
      </c>
      <c r="B21" s="392">
        <v>45655</v>
      </c>
      <c r="C21" s="106" t="s">
        <v>130</v>
      </c>
      <c r="D21" s="22" t="s">
        <v>97</v>
      </c>
      <c r="E21" s="195">
        <v>250</v>
      </c>
      <c r="F21" s="195"/>
      <c r="G21" s="199"/>
      <c r="H21" s="199"/>
      <c r="I21" s="199">
        <f t="shared" si="0"/>
        <v>250</v>
      </c>
    </row>
    <row r="22" spans="1:9" x14ac:dyDescent="0.2">
      <c r="A22" s="23"/>
      <c r="B22" s="393"/>
      <c r="C22" s="106" t="s">
        <v>223</v>
      </c>
      <c r="D22" s="22" t="s">
        <v>97</v>
      </c>
      <c r="E22" s="195">
        <v>500</v>
      </c>
      <c r="F22" s="195">
        <v>600</v>
      </c>
      <c r="G22" s="199"/>
      <c r="H22" s="199"/>
      <c r="I22" s="199">
        <f t="shared" si="0"/>
        <v>1100</v>
      </c>
    </row>
    <row r="23" spans="1:9" x14ac:dyDescent="0.2">
      <c r="A23" s="23"/>
      <c r="B23" s="393"/>
      <c r="C23" s="106" t="s">
        <v>143</v>
      </c>
      <c r="D23" s="22" t="s">
        <v>97</v>
      </c>
      <c r="E23" s="195">
        <v>200</v>
      </c>
      <c r="F23" s="195"/>
      <c r="G23" s="199"/>
      <c r="H23" s="199"/>
      <c r="I23" s="199">
        <f t="shared" si="0"/>
        <v>200</v>
      </c>
    </row>
    <row r="24" spans="1:9" x14ac:dyDescent="0.2">
      <c r="A24" s="23"/>
      <c r="B24" s="393"/>
      <c r="C24" s="106" t="s">
        <v>44</v>
      </c>
      <c r="D24" s="22" t="s">
        <v>97</v>
      </c>
      <c r="E24" s="195">
        <v>50</v>
      </c>
      <c r="F24" s="195"/>
      <c r="G24" s="199"/>
      <c r="H24" s="199"/>
      <c r="I24" s="199">
        <f t="shared" si="0"/>
        <v>50</v>
      </c>
    </row>
    <row r="25" spans="1:9" x14ac:dyDescent="0.2">
      <c r="A25" s="23"/>
      <c r="B25" s="393"/>
      <c r="C25" s="106" t="s">
        <v>128</v>
      </c>
      <c r="D25" s="22" t="s">
        <v>97</v>
      </c>
      <c r="E25" s="195">
        <v>250</v>
      </c>
      <c r="F25" s="195"/>
      <c r="G25" s="199"/>
      <c r="H25" s="199"/>
      <c r="I25" s="199">
        <f t="shared" si="0"/>
        <v>250</v>
      </c>
    </row>
    <row r="26" spans="1:9" x14ac:dyDescent="0.2">
      <c r="A26" s="23"/>
      <c r="B26" s="393"/>
      <c r="C26" s="106" t="s">
        <v>215</v>
      </c>
      <c r="D26" s="22" t="s">
        <v>97</v>
      </c>
      <c r="E26" s="195">
        <v>300</v>
      </c>
      <c r="F26" s="195"/>
      <c r="G26" s="199"/>
      <c r="H26" s="199"/>
      <c r="I26" s="199">
        <f t="shared" si="0"/>
        <v>300</v>
      </c>
    </row>
    <row r="27" spans="1:9" x14ac:dyDescent="0.2">
      <c r="A27" s="23"/>
      <c r="B27" s="393"/>
      <c r="C27" s="106" t="s">
        <v>1014</v>
      </c>
      <c r="D27" s="22" t="s">
        <v>97</v>
      </c>
      <c r="E27" s="195">
        <v>300</v>
      </c>
      <c r="F27" s="195"/>
      <c r="G27" s="199"/>
      <c r="H27" s="199"/>
      <c r="I27" s="199">
        <f t="shared" si="0"/>
        <v>300</v>
      </c>
    </row>
    <row r="28" spans="1:9" x14ac:dyDescent="0.2">
      <c r="A28" s="23"/>
      <c r="B28" s="393"/>
      <c r="C28" s="106" t="s">
        <v>1015</v>
      </c>
      <c r="D28" s="22" t="s">
        <v>97</v>
      </c>
      <c r="E28" s="195">
        <v>200</v>
      </c>
      <c r="F28" s="195"/>
      <c r="G28" s="199"/>
      <c r="H28" s="199"/>
      <c r="I28" s="199">
        <f t="shared" si="0"/>
        <v>200</v>
      </c>
    </row>
    <row r="29" spans="1:9" x14ac:dyDescent="0.2">
      <c r="A29" s="23"/>
      <c r="B29" s="393"/>
      <c r="C29" s="106" t="s">
        <v>1016</v>
      </c>
      <c r="D29" s="22" t="s">
        <v>97</v>
      </c>
      <c r="E29" s="195"/>
      <c r="F29" s="195"/>
      <c r="G29" s="199"/>
      <c r="H29" s="199"/>
      <c r="I29" s="199">
        <f t="shared" si="0"/>
        <v>0</v>
      </c>
    </row>
    <row r="30" spans="1:9" x14ac:dyDescent="0.2">
      <c r="I30" s="394">
        <f>SUM(I3:I11)</f>
        <v>13100</v>
      </c>
    </row>
    <row r="34" spans="1:9" x14ac:dyDescent="0.2">
      <c r="A34" s="600" t="s">
        <v>1017</v>
      </c>
      <c r="B34" s="545"/>
      <c r="C34" s="545"/>
      <c r="D34" s="545"/>
      <c r="E34" s="546"/>
      <c r="H34" s="93" t="s">
        <v>7</v>
      </c>
      <c r="I34" s="145"/>
    </row>
    <row r="35" spans="1:9" x14ac:dyDescent="0.2">
      <c r="A35" s="547"/>
      <c r="B35" s="548"/>
      <c r="C35" s="548"/>
      <c r="D35" s="548"/>
      <c r="E35" s="549"/>
    </row>
    <row r="36" spans="1:9" x14ac:dyDescent="0.2">
      <c r="A36" s="391" t="s">
        <v>1006</v>
      </c>
      <c r="B36" s="391" t="s">
        <v>1007</v>
      </c>
      <c r="C36" s="391" t="s">
        <v>111</v>
      </c>
      <c r="D36" s="391" t="s">
        <v>1008</v>
      </c>
      <c r="E36" s="391" t="s">
        <v>1017</v>
      </c>
    </row>
    <row r="37" spans="1:9" x14ac:dyDescent="0.2">
      <c r="A37" s="22" t="s">
        <v>1013</v>
      </c>
      <c r="B37" s="392">
        <v>45653</v>
      </c>
      <c r="C37" s="106" t="s">
        <v>130</v>
      </c>
      <c r="D37" s="22" t="s">
        <v>97</v>
      </c>
      <c r="E37" s="195">
        <v>175</v>
      </c>
    </row>
    <row r="38" spans="1:9" x14ac:dyDescent="0.2">
      <c r="A38" s="23"/>
      <c r="B38" s="393"/>
      <c r="C38" s="106" t="s">
        <v>223</v>
      </c>
      <c r="D38" s="22" t="s">
        <v>97</v>
      </c>
      <c r="E38" s="195">
        <v>175</v>
      </c>
    </row>
    <row r="39" spans="1:9" x14ac:dyDescent="0.2">
      <c r="A39" s="23"/>
      <c r="B39" s="393"/>
      <c r="C39" s="106" t="s">
        <v>143</v>
      </c>
      <c r="D39" s="22" t="s">
        <v>97</v>
      </c>
      <c r="E39" s="195">
        <v>175</v>
      </c>
    </row>
    <row r="40" spans="1:9" x14ac:dyDescent="0.2">
      <c r="A40" s="23"/>
      <c r="B40" s="393"/>
      <c r="C40" s="106" t="s">
        <v>44</v>
      </c>
      <c r="D40" s="22" t="s">
        <v>97</v>
      </c>
      <c r="E40" s="195">
        <v>175</v>
      </c>
    </row>
    <row r="41" spans="1:9" x14ac:dyDescent="0.2">
      <c r="A41" s="23"/>
      <c r="B41" s="393"/>
      <c r="C41" s="106" t="s">
        <v>128</v>
      </c>
      <c r="D41" s="22" t="s">
        <v>97</v>
      </c>
      <c r="E41" s="195">
        <v>150</v>
      </c>
    </row>
    <row r="42" spans="1:9" x14ac:dyDescent="0.2">
      <c r="A42" s="23"/>
      <c r="B42" s="393"/>
      <c r="C42" s="106" t="s">
        <v>215</v>
      </c>
      <c r="D42" s="22" t="s">
        <v>97</v>
      </c>
      <c r="E42" s="195">
        <v>175</v>
      </c>
    </row>
    <row r="43" spans="1:9" x14ac:dyDescent="0.2">
      <c r="A43" s="23"/>
      <c r="B43" s="393"/>
      <c r="C43" s="106" t="s">
        <v>1014</v>
      </c>
      <c r="D43" s="22" t="s">
        <v>97</v>
      </c>
      <c r="E43" s="195">
        <v>175</v>
      </c>
    </row>
    <row r="44" spans="1:9" x14ac:dyDescent="0.2">
      <c r="A44" s="23"/>
      <c r="B44" s="393"/>
      <c r="C44" s="106" t="s">
        <v>1015</v>
      </c>
      <c r="D44" s="22" t="s">
        <v>97</v>
      </c>
      <c r="E44" s="195">
        <v>175</v>
      </c>
    </row>
    <row r="45" spans="1:9" x14ac:dyDescent="0.2">
      <c r="A45" s="23"/>
      <c r="B45" s="393"/>
      <c r="C45" s="106" t="s">
        <v>1016</v>
      </c>
      <c r="D45" s="22" t="s">
        <v>97</v>
      </c>
      <c r="E45" s="195">
        <v>175</v>
      </c>
    </row>
    <row r="46" spans="1:9" x14ac:dyDescent="0.2">
      <c r="E46" s="394">
        <f>SUM(E37:E45)</f>
        <v>1550</v>
      </c>
    </row>
  </sheetData>
  <mergeCells count="2">
    <mergeCell ref="A1:I1"/>
    <mergeCell ref="A34:E35"/>
  </mergeCells>
  <dataValidations count="1">
    <dataValidation type="list" allowBlank="1" showErrorMessage="1" sqref="D3:D29 D37:D45" xr:uid="{00000000-0002-0000-0F00-000000000000}">
      <formula1>"Leopardstown,Fairyhouse,Aviva,Curragh"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  <pageSetUpPr fitToPage="1"/>
  </sheetPr>
  <dimension ref="A1:N146"/>
  <sheetViews>
    <sheetView workbookViewId="0"/>
  </sheetViews>
  <sheetFormatPr defaultColWidth="11.21875" defaultRowHeight="15" customHeight="1" x14ac:dyDescent="0.2"/>
  <cols>
    <col min="1" max="1" width="17.015625" customWidth="1"/>
    <col min="3" max="3" width="13.6875" customWidth="1"/>
    <col min="4" max="4" width="16.02734375" customWidth="1"/>
    <col min="7" max="8" width="22.8125" customWidth="1"/>
    <col min="9" max="9" width="17.26171875" customWidth="1"/>
    <col min="11" max="11" width="13.6875" customWidth="1"/>
    <col min="12" max="12" width="12.453125" customWidth="1"/>
    <col min="13" max="13" width="12.328125" customWidth="1"/>
  </cols>
  <sheetData>
    <row r="1" spans="1:14" x14ac:dyDescent="0.2">
      <c r="A1" s="601" t="s">
        <v>1018</v>
      </c>
      <c r="B1" s="537"/>
      <c r="C1" s="537"/>
      <c r="D1" s="537"/>
      <c r="E1" s="537"/>
      <c r="F1" s="531"/>
      <c r="I1" s="601" t="s">
        <v>1018</v>
      </c>
      <c r="J1" s="537"/>
      <c r="K1" s="537"/>
      <c r="L1" s="537"/>
      <c r="M1" s="537"/>
      <c r="N1" s="531"/>
    </row>
    <row r="2" spans="1:14" x14ac:dyDescent="0.2">
      <c r="A2" s="84" t="s">
        <v>1006</v>
      </c>
      <c r="B2" s="84" t="s">
        <v>1019</v>
      </c>
      <c r="C2" s="84" t="s">
        <v>1020</v>
      </c>
      <c r="D2" s="84" t="s">
        <v>1008</v>
      </c>
      <c r="E2" s="84" t="s">
        <v>1021</v>
      </c>
      <c r="F2" s="84" t="s">
        <v>1022</v>
      </c>
      <c r="I2" s="84" t="s">
        <v>1006</v>
      </c>
      <c r="J2" s="84" t="s">
        <v>1019</v>
      </c>
      <c r="K2" s="84" t="s">
        <v>1020</v>
      </c>
      <c r="L2" s="84" t="s">
        <v>1008</v>
      </c>
      <c r="M2" s="84" t="s">
        <v>1021</v>
      </c>
      <c r="N2" s="84" t="s">
        <v>1022</v>
      </c>
    </row>
    <row r="3" spans="1:14" x14ac:dyDescent="0.2">
      <c r="A3" s="22" t="s">
        <v>1023</v>
      </c>
      <c r="B3" s="392">
        <v>45178</v>
      </c>
      <c r="C3" s="22" t="s">
        <v>1024</v>
      </c>
      <c r="D3" s="22" t="s">
        <v>97</v>
      </c>
      <c r="E3" s="193">
        <v>1205</v>
      </c>
      <c r="F3" s="23"/>
      <c r="I3" s="22" t="s">
        <v>1025</v>
      </c>
      <c r="J3" s="392">
        <v>45164</v>
      </c>
      <c r="K3" s="22" t="s">
        <v>296</v>
      </c>
      <c r="L3" s="22" t="s">
        <v>1026</v>
      </c>
      <c r="M3" s="193">
        <v>230</v>
      </c>
      <c r="N3" s="22" t="s">
        <v>92</v>
      </c>
    </row>
    <row r="4" spans="1:14" x14ac:dyDescent="0.2">
      <c r="A4" s="23"/>
      <c r="B4" s="392"/>
      <c r="C4" s="22" t="s">
        <v>478</v>
      </c>
      <c r="D4" s="22" t="s">
        <v>97</v>
      </c>
      <c r="E4" s="193">
        <v>700</v>
      </c>
      <c r="F4" s="23"/>
      <c r="I4" s="23"/>
      <c r="J4" s="393"/>
      <c r="K4" s="22" t="s">
        <v>295</v>
      </c>
      <c r="L4" s="22" t="s">
        <v>1026</v>
      </c>
      <c r="M4" s="193">
        <v>2379</v>
      </c>
      <c r="N4" s="22" t="s">
        <v>92</v>
      </c>
    </row>
    <row r="5" spans="1:14" x14ac:dyDescent="0.2">
      <c r="A5" s="23"/>
      <c r="B5" s="392"/>
      <c r="C5" s="22" t="s">
        <v>47</v>
      </c>
      <c r="D5" s="22" t="s">
        <v>97</v>
      </c>
      <c r="E5" s="193">
        <v>1000</v>
      </c>
      <c r="F5" s="23"/>
      <c r="I5" s="23"/>
      <c r="J5" s="393"/>
      <c r="K5" s="22" t="s">
        <v>134</v>
      </c>
      <c r="L5" s="22" t="s">
        <v>1026</v>
      </c>
      <c r="M5" s="193">
        <v>44</v>
      </c>
      <c r="N5" s="22" t="s">
        <v>92</v>
      </c>
    </row>
    <row r="6" spans="1:14" x14ac:dyDescent="0.2">
      <c r="A6" s="23"/>
      <c r="B6" s="392"/>
      <c r="C6" s="22" t="s">
        <v>161</v>
      </c>
      <c r="D6" s="22" t="s">
        <v>97</v>
      </c>
      <c r="E6" s="193">
        <v>1800</v>
      </c>
      <c r="F6" s="23"/>
      <c r="I6" s="23"/>
      <c r="J6" s="393"/>
      <c r="K6" s="22" t="s">
        <v>218</v>
      </c>
      <c r="L6" s="22" t="s">
        <v>1026</v>
      </c>
      <c r="M6" s="193">
        <v>2535</v>
      </c>
      <c r="N6" s="22" t="s">
        <v>92</v>
      </c>
    </row>
    <row r="7" spans="1:14" x14ac:dyDescent="0.2">
      <c r="A7" s="23"/>
      <c r="B7" s="392"/>
      <c r="C7" s="22" t="s">
        <v>143</v>
      </c>
      <c r="D7" s="22" t="s">
        <v>97</v>
      </c>
      <c r="E7" s="193">
        <v>1920</v>
      </c>
      <c r="F7" s="23"/>
      <c r="I7" s="23"/>
      <c r="J7" s="393"/>
      <c r="K7" s="22" t="s">
        <v>161</v>
      </c>
      <c r="L7" s="22" t="s">
        <v>1026</v>
      </c>
      <c r="M7" s="193">
        <v>1155.9000000000001</v>
      </c>
      <c r="N7" s="22" t="s">
        <v>92</v>
      </c>
    </row>
    <row r="8" spans="1:14" x14ac:dyDescent="0.2">
      <c r="A8" s="23"/>
      <c r="B8" s="393"/>
      <c r="C8" s="22" t="s">
        <v>1027</v>
      </c>
      <c r="D8" s="22" t="s">
        <v>97</v>
      </c>
      <c r="E8" s="193">
        <v>1200</v>
      </c>
      <c r="F8" s="23"/>
      <c r="I8" s="22" t="s">
        <v>1028</v>
      </c>
      <c r="J8" s="392">
        <v>45192</v>
      </c>
      <c r="K8" s="22" t="s">
        <v>218</v>
      </c>
      <c r="L8" s="22" t="s">
        <v>1026</v>
      </c>
      <c r="M8" s="193">
        <v>1577</v>
      </c>
      <c r="N8" s="22" t="s">
        <v>92</v>
      </c>
    </row>
    <row r="9" spans="1:14" x14ac:dyDescent="0.2">
      <c r="A9" s="23"/>
      <c r="B9" s="393"/>
      <c r="C9" s="22" t="s">
        <v>478</v>
      </c>
      <c r="D9" s="22" t="s">
        <v>97</v>
      </c>
      <c r="E9" s="193">
        <v>1100</v>
      </c>
      <c r="F9" s="23"/>
      <c r="I9" s="22" t="s">
        <v>1029</v>
      </c>
      <c r="J9" s="392">
        <v>45242</v>
      </c>
      <c r="K9" s="22" t="s">
        <v>218</v>
      </c>
      <c r="L9" s="22" t="s">
        <v>1026</v>
      </c>
      <c r="M9" s="395" t="s">
        <v>92</v>
      </c>
      <c r="N9" s="22" t="s">
        <v>92</v>
      </c>
    </row>
    <row r="10" spans="1:14" x14ac:dyDescent="0.2">
      <c r="A10" s="23"/>
      <c r="B10" s="393"/>
      <c r="C10" s="23"/>
      <c r="D10" s="23"/>
      <c r="E10" s="396"/>
      <c r="F10" s="23"/>
      <c r="I10" s="23"/>
      <c r="J10" s="393"/>
      <c r="K10" s="22" t="s">
        <v>296</v>
      </c>
      <c r="L10" s="22" t="s">
        <v>1026</v>
      </c>
      <c r="M10" s="395" t="s">
        <v>92</v>
      </c>
      <c r="N10" s="22" t="s">
        <v>92</v>
      </c>
    </row>
    <row r="11" spans="1:14" x14ac:dyDescent="0.2">
      <c r="A11" s="22" t="s">
        <v>1030</v>
      </c>
      <c r="B11" s="392">
        <v>45262</v>
      </c>
      <c r="C11" s="22" t="s">
        <v>47</v>
      </c>
      <c r="D11" s="22" t="s">
        <v>1031</v>
      </c>
      <c r="E11" s="193">
        <v>1260</v>
      </c>
      <c r="F11" s="23"/>
      <c r="I11" s="397"/>
      <c r="J11" s="393"/>
      <c r="K11" s="22" t="s">
        <v>295</v>
      </c>
      <c r="L11" s="22" t="s">
        <v>1026</v>
      </c>
      <c r="M11" s="395" t="s">
        <v>92</v>
      </c>
      <c r="N11" s="22" t="s">
        <v>92</v>
      </c>
    </row>
    <row r="12" spans="1:14" x14ac:dyDescent="0.2">
      <c r="A12" s="23"/>
      <c r="B12" s="393"/>
      <c r="C12" s="22" t="s">
        <v>210</v>
      </c>
      <c r="D12" s="22" t="s">
        <v>1031</v>
      </c>
      <c r="E12" s="193">
        <v>710</v>
      </c>
      <c r="F12" s="23"/>
      <c r="I12" s="22" t="s">
        <v>1032</v>
      </c>
      <c r="J12" s="392">
        <v>45333</v>
      </c>
      <c r="K12" s="22" t="s">
        <v>218</v>
      </c>
      <c r="L12" s="22" t="s">
        <v>1026</v>
      </c>
      <c r="M12" s="395" t="s">
        <v>92</v>
      </c>
      <c r="N12" s="22" t="s">
        <v>92</v>
      </c>
    </row>
    <row r="13" spans="1:14" x14ac:dyDescent="0.2">
      <c r="A13" s="23"/>
      <c r="B13" s="393"/>
      <c r="C13" s="22" t="s">
        <v>1027</v>
      </c>
      <c r="D13" s="22" t="s">
        <v>1031</v>
      </c>
      <c r="E13" s="193">
        <v>590</v>
      </c>
      <c r="F13" s="23"/>
      <c r="I13" s="22" t="s">
        <v>1033</v>
      </c>
      <c r="J13" s="392">
        <v>45471</v>
      </c>
      <c r="K13" s="22" t="s">
        <v>128</v>
      </c>
      <c r="L13" s="22" t="s">
        <v>1026</v>
      </c>
      <c r="M13" s="193">
        <v>4450</v>
      </c>
      <c r="N13" s="22" t="s">
        <v>92</v>
      </c>
    </row>
    <row r="14" spans="1:14" x14ac:dyDescent="0.2">
      <c r="A14" s="23"/>
      <c r="B14" s="393"/>
      <c r="C14" s="23"/>
      <c r="D14" s="23"/>
      <c r="E14" s="396"/>
      <c r="F14" s="23"/>
      <c r="I14" s="23"/>
      <c r="J14" s="393"/>
      <c r="K14" s="22" t="s">
        <v>1034</v>
      </c>
      <c r="L14" s="22" t="s">
        <v>1026</v>
      </c>
      <c r="M14" s="193">
        <v>8035</v>
      </c>
      <c r="N14" s="22" t="s">
        <v>92</v>
      </c>
    </row>
    <row r="15" spans="1:14" x14ac:dyDescent="0.2">
      <c r="A15" s="23"/>
      <c r="B15" s="392">
        <v>45263</v>
      </c>
      <c r="C15" s="22" t="s">
        <v>130</v>
      </c>
      <c r="D15" s="22" t="s">
        <v>1031</v>
      </c>
      <c r="E15" s="193">
        <v>2920</v>
      </c>
      <c r="F15" s="23"/>
      <c r="I15" s="23"/>
      <c r="J15" s="393"/>
      <c r="K15" s="22" t="s">
        <v>134</v>
      </c>
      <c r="L15" s="22" t="s">
        <v>1026</v>
      </c>
      <c r="M15" s="193">
        <v>1586</v>
      </c>
      <c r="N15" s="22" t="s">
        <v>92</v>
      </c>
    </row>
    <row r="16" spans="1:14" x14ac:dyDescent="0.2">
      <c r="A16" s="23"/>
      <c r="B16" s="393"/>
      <c r="C16" s="22" t="s">
        <v>210</v>
      </c>
      <c r="D16" s="22" t="s">
        <v>1031</v>
      </c>
      <c r="E16" s="193">
        <v>1530</v>
      </c>
      <c r="F16" s="23"/>
      <c r="I16" s="23"/>
      <c r="J16" s="393"/>
      <c r="K16" s="22" t="s">
        <v>218</v>
      </c>
      <c r="L16" s="22" t="s">
        <v>1026</v>
      </c>
      <c r="M16" s="193">
        <v>2260.3000000000002</v>
      </c>
      <c r="N16" s="22" t="s">
        <v>92</v>
      </c>
    </row>
    <row r="17" spans="1:14" x14ac:dyDescent="0.2">
      <c r="A17" s="23"/>
      <c r="B17" s="393"/>
      <c r="C17" s="22" t="s">
        <v>1027</v>
      </c>
      <c r="D17" s="22" t="s">
        <v>1031</v>
      </c>
      <c r="E17" s="193">
        <v>1470</v>
      </c>
      <c r="F17" s="23"/>
      <c r="I17" s="22" t="s">
        <v>1033</v>
      </c>
      <c r="J17" s="392">
        <v>45472</v>
      </c>
      <c r="K17" s="22" t="s">
        <v>128</v>
      </c>
      <c r="L17" s="22" t="s">
        <v>1026</v>
      </c>
      <c r="M17" s="193">
        <v>2659</v>
      </c>
      <c r="N17" s="22" t="s">
        <v>92</v>
      </c>
    </row>
    <row r="18" spans="1:14" x14ac:dyDescent="0.2">
      <c r="A18" s="22"/>
      <c r="B18" s="392"/>
      <c r="C18" s="23"/>
      <c r="D18" s="23"/>
      <c r="E18" s="396"/>
      <c r="F18" s="23"/>
      <c r="I18" s="397"/>
      <c r="J18" s="393"/>
      <c r="K18" s="22" t="s">
        <v>1034</v>
      </c>
      <c r="L18" s="22" t="s">
        <v>1026</v>
      </c>
      <c r="M18" s="193">
        <v>8749.5</v>
      </c>
      <c r="N18" s="22" t="s">
        <v>92</v>
      </c>
    </row>
    <row r="19" spans="1:14" x14ac:dyDescent="0.2">
      <c r="A19" s="22" t="s">
        <v>1035</v>
      </c>
      <c r="B19" s="392">
        <v>45286</v>
      </c>
      <c r="C19" s="22" t="s">
        <v>210</v>
      </c>
      <c r="D19" s="22" t="s">
        <v>97</v>
      </c>
      <c r="E19" s="193">
        <v>3720</v>
      </c>
      <c r="F19" s="23"/>
      <c r="I19" s="397"/>
      <c r="J19" s="393"/>
      <c r="K19" s="22" t="s">
        <v>134</v>
      </c>
      <c r="L19" s="22" t="s">
        <v>1026</v>
      </c>
      <c r="M19" s="193">
        <v>852.5</v>
      </c>
      <c r="N19" s="22" t="s">
        <v>92</v>
      </c>
    </row>
    <row r="20" spans="1:14" x14ac:dyDescent="0.2">
      <c r="A20" s="23"/>
      <c r="B20" s="393"/>
      <c r="C20" s="22" t="s">
        <v>302</v>
      </c>
      <c r="D20" s="22" t="s">
        <v>97</v>
      </c>
      <c r="E20" s="193">
        <v>3680</v>
      </c>
      <c r="F20" s="23"/>
      <c r="I20" s="23"/>
      <c r="J20" s="393"/>
      <c r="K20" s="22" t="s">
        <v>218</v>
      </c>
      <c r="L20" s="22" t="s">
        <v>1026</v>
      </c>
      <c r="M20" s="193">
        <v>2686.5</v>
      </c>
      <c r="N20" s="22" t="s">
        <v>92</v>
      </c>
    </row>
    <row r="21" spans="1:14" x14ac:dyDescent="0.2">
      <c r="A21" s="23"/>
      <c r="B21" s="393"/>
      <c r="C21" s="22" t="s">
        <v>144</v>
      </c>
      <c r="D21" s="22" t="s">
        <v>97</v>
      </c>
      <c r="E21" s="193">
        <v>5980</v>
      </c>
      <c r="F21" s="23"/>
      <c r="I21" s="22" t="s">
        <v>1033</v>
      </c>
      <c r="J21" s="392">
        <v>45473</v>
      </c>
      <c r="K21" s="22" t="s">
        <v>128</v>
      </c>
      <c r="L21" s="22" t="s">
        <v>1026</v>
      </c>
      <c r="M21" s="193">
        <v>3012</v>
      </c>
      <c r="N21" s="22" t="s">
        <v>92</v>
      </c>
    </row>
    <row r="22" spans="1:14" x14ac:dyDescent="0.2">
      <c r="A22" s="23"/>
      <c r="B22" s="393"/>
      <c r="C22" s="22" t="s">
        <v>1027</v>
      </c>
      <c r="D22" s="22" t="s">
        <v>97</v>
      </c>
      <c r="E22" s="193">
        <v>2035</v>
      </c>
      <c r="F22" s="23"/>
      <c r="I22" s="23"/>
      <c r="J22" s="393"/>
      <c r="K22" s="22" t="s">
        <v>1034</v>
      </c>
      <c r="L22" s="22" t="s">
        <v>1026</v>
      </c>
      <c r="M22" s="193">
        <v>7001</v>
      </c>
      <c r="N22" s="22" t="s">
        <v>92</v>
      </c>
    </row>
    <row r="23" spans="1:14" x14ac:dyDescent="0.2">
      <c r="A23" s="23"/>
      <c r="B23" s="393"/>
      <c r="C23" s="23"/>
      <c r="D23" s="23"/>
      <c r="E23" s="396"/>
      <c r="F23" s="23"/>
      <c r="I23" s="23"/>
      <c r="J23" s="393"/>
      <c r="K23" s="22" t="s">
        <v>1036</v>
      </c>
      <c r="L23" s="22" t="s">
        <v>1026</v>
      </c>
      <c r="M23" s="193">
        <v>1206</v>
      </c>
      <c r="N23" s="22" t="s">
        <v>92</v>
      </c>
    </row>
    <row r="24" spans="1:14" x14ac:dyDescent="0.2">
      <c r="A24" s="23"/>
      <c r="B24" s="392">
        <v>45287</v>
      </c>
      <c r="C24" s="22" t="s">
        <v>210</v>
      </c>
      <c r="D24" s="22" t="s">
        <v>97</v>
      </c>
      <c r="E24" s="193">
        <v>3752</v>
      </c>
      <c r="F24" s="23"/>
      <c r="I24" s="23"/>
      <c r="J24" s="393"/>
      <c r="K24" s="22" t="s">
        <v>218</v>
      </c>
      <c r="L24" s="22" t="s">
        <v>1026</v>
      </c>
      <c r="M24" s="395" t="s">
        <v>92</v>
      </c>
      <c r="N24" s="22" t="s">
        <v>92</v>
      </c>
    </row>
    <row r="25" spans="1:14" x14ac:dyDescent="0.2">
      <c r="A25" s="23"/>
      <c r="B25" s="393"/>
      <c r="C25" s="22" t="s">
        <v>302</v>
      </c>
      <c r="D25" s="22" t="s">
        <v>97</v>
      </c>
      <c r="E25" s="193">
        <v>5816</v>
      </c>
      <c r="F25" s="23"/>
      <c r="I25" s="22" t="s">
        <v>1025</v>
      </c>
      <c r="J25" s="392">
        <v>45528</v>
      </c>
      <c r="K25" s="22" t="s">
        <v>218</v>
      </c>
      <c r="L25" s="22" t="s">
        <v>1026</v>
      </c>
      <c r="M25" s="395" t="s">
        <v>92</v>
      </c>
      <c r="N25" s="22" t="s">
        <v>92</v>
      </c>
    </row>
    <row r="26" spans="1:14" x14ac:dyDescent="0.2">
      <c r="A26" s="23"/>
      <c r="B26" s="393"/>
      <c r="C26" s="22" t="s">
        <v>144</v>
      </c>
      <c r="D26" s="22" t="s">
        <v>97</v>
      </c>
      <c r="E26" s="193">
        <v>1880</v>
      </c>
      <c r="F26" s="23"/>
      <c r="I26" s="23"/>
      <c r="J26" s="393"/>
      <c r="K26" s="22" t="s">
        <v>295</v>
      </c>
      <c r="L26" s="22" t="s">
        <v>1026</v>
      </c>
      <c r="M26" s="395" t="s">
        <v>92</v>
      </c>
      <c r="N26" s="22" t="s">
        <v>92</v>
      </c>
    </row>
    <row r="27" spans="1:14" x14ac:dyDescent="0.2">
      <c r="A27" s="23"/>
      <c r="B27" s="393"/>
      <c r="C27" s="22" t="s">
        <v>1027</v>
      </c>
      <c r="D27" s="22" t="s">
        <v>97</v>
      </c>
      <c r="E27" s="193">
        <v>3713</v>
      </c>
      <c r="F27" s="23"/>
      <c r="I27" s="23"/>
      <c r="J27" s="393"/>
      <c r="K27" s="22"/>
      <c r="L27" s="22"/>
      <c r="M27" s="193"/>
      <c r="N27" s="23"/>
    </row>
    <row r="28" spans="1:14" x14ac:dyDescent="0.2">
      <c r="A28" s="23"/>
      <c r="B28" s="393"/>
      <c r="C28" s="22" t="s">
        <v>1037</v>
      </c>
      <c r="D28" s="22" t="s">
        <v>97</v>
      </c>
      <c r="E28" s="193">
        <v>1788</v>
      </c>
      <c r="F28" s="23"/>
      <c r="I28" s="23"/>
      <c r="J28" s="393"/>
      <c r="K28" s="22"/>
      <c r="L28" s="22"/>
      <c r="M28" s="193"/>
      <c r="N28" s="23"/>
    </row>
    <row r="29" spans="1:14" x14ac:dyDescent="0.2">
      <c r="A29" s="23"/>
      <c r="B29" s="393"/>
      <c r="C29" s="23"/>
      <c r="D29" s="23"/>
      <c r="E29" s="396"/>
      <c r="F29" s="23"/>
      <c r="I29" s="23"/>
      <c r="J29" s="393"/>
      <c r="K29" s="23"/>
      <c r="L29" s="23"/>
      <c r="M29" s="396">
        <f>SUM(M2:M26)</f>
        <v>50418.7</v>
      </c>
      <c r="N29" s="23"/>
    </row>
    <row r="30" spans="1:14" x14ac:dyDescent="0.2">
      <c r="A30" s="23"/>
      <c r="B30" s="392">
        <v>45288</v>
      </c>
      <c r="C30" s="22" t="s">
        <v>1038</v>
      </c>
      <c r="D30" s="22" t="s">
        <v>97</v>
      </c>
      <c r="E30" s="193">
        <v>3834</v>
      </c>
      <c r="F30" s="23"/>
      <c r="I30" s="23"/>
      <c r="J30" s="392"/>
      <c r="K30" s="22"/>
      <c r="L30" s="22"/>
      <c r="M30" s="193"/>
      <c r="N30" s="23"/>
    </row>
    <row r="31" spans="1:14" x14ac:dyDescent="0.2">
      <c r="A31" s="23"/>
      <c r="B31" s="393"/>
      <c r="C31" s="22" t="s">
        <v>302</v>
      </c>
      <c r="D31" s="22" t="s">
        <v>97</v>
      </c>
      <c r="E31" s="193">
        <v>5380</v>
      </c>
      <c r="F31" s="23"/>
      <c r="I31" s="23"/>
      <c r="J31" s="393"/>
      <c r="K31" s="22"/>
      <c r="L31" s="22"/>
      <c r="M31" s="193"/>
      <c r="N31" s="23"/>
    </row>
    <row r="32" spans="1:14" x14ac:dyDescent="0.2">
      <c r="A32" s="23"/>
      <c r="B32" s="393"/>
      <c r="C32" s="22" t="s">
        <v>144</v>
      </c>
      <c r="D32" s="22" t="s">
        <v>97</v>
      </c>
      <c r="E32" s="193">
        <v>2224</v>
      </c>
      <c r="F32" s="23"/>
      <c r="I32" s="23"/>
      <c r="J32" s="393"/>
      <c r="K32" s="22"/>
      <c r="L32" s="22"/>
      <c r="M32" s="193"/>
      <c r="N32" s="23"/>
    </row>
    <row r="33" spans="1:14" x14ac:dyDescent="0.2">
      <c r="A33" s="23"/>
      <c r="B33" s="393"/>
      <c r="C33" s="22" t="s">
        <v>1027</v>
      </c>
      <c r="D33" s="22" t="s">
        <v>97</v>
      </c>
      <c r="E33" s="193">
        <v>2618</v>
      </c>
      <c r="F33" s="23"/>
      <c r="I33" s="23"/>
      <c r="J33" s="393"/>
      <c r="K33" s="22"/>
      <c r="L33" s="22"/>
      <c r="M33" s="193"/>
      <c r="N33" s="23"/>
    </row>
    <row r="34" spans="1:14" x14ac:dyDescent="0.2">
      <c r="A34" s="23"/>
      <c r="B34" s="393"/>
      <c r="C34" s="22" t="s">
        <v>1037</v>
      </c>
      <c r="D34" s="22" t="s">
        <v>97</v>
      </c>
      <c r="E34" s="193">
        <v>2008</v>
      </c>
      <c r="F34" s="23"/>
      <c r="I34" s="23"/>
      <c r="J34" s="393"/>
      <c r="K34" s="22"/>
      <c r="L34" s="22"/>
      <c r="M34" s="193"/>
      <c r="N34" s="23"/>
    </row>
    <row r="35" spans="1:14" x14ac:dyDescent="0.2">
      <c r="A35" s="23"/>
      <c r="B35" s="393"/>
      <c r="C35" s="23"/>
      <c r="D35" s="23"/>
      <c r="E35" s="396"/>
      <c r="F35" s="23"/>
      <c r="I35" s="23"/>
      <c r="J35" s="393"/>
      <c r="K35" s="23"/>
      <c r="L35" s="23"/>
      <c r="M35" s="396"/>
      <c r="N35" s="23"/>
    </row>
    <row r="36" spans="1:14" x14ac:dyDescent="0.2">
      <c r="A36" s="23"/>
      <c r="B36" s="392">
        <v>45289</v>
      </c>
      <c r="C36" s="22" t="s">
        <v>1038</v>
      </c>
      <c r="D36" s="22" t="s">
        <v>97</v>
      </c>
      <c r="E36" s="193">
        <v>2650</v>
      </c>
      <c r="F36" s="23"/>
      <c r="I36" s="23"/>
      <c r="J36" s="392"/>
      <c r="K36" s="22"/>
      <c r="L36" s="22"/>
      <c r="M36" s="193"/>
      <c r="N36" s="23"/>
    </row>
    <row r="37" spans="1:14" x14ac:dyDescent="0.2">
      <c r="A37" s="23"/>
      <c r="B37" s="393"/>
      <c r="C37" s="22" t="s">
        <v>143</v>
      </c>
      <c r="D37" s="22" t="s">
        <v>97</v>
      </c>
      <c r="E37" s="193">
        <v>940</v>
      </c>
      <c r="F37" s="23"/>
      <c r="I37" s="23"/>
      <c r="J37" s="393"/>
      <c r="K37" s="22"/>
      <c r="L37" s="22"/>
      <c r="M37" s="193"/>
      <c r="N37" s="23"/>
    </row>
    <row r="38" spans="1:14" x14ac:dyDescent="0.2">
      <c r="A38" s="23"/>
      <c r="B38" s="393"/>
      <c r="C38" s="22" t="s">
        <v>144</v>
      </c>
      <c r="D38" s="22" t="s">
        <v>97</v>
      </c>
      <c r="E38" s="193">
        <v>2640</v>
      </c>
      <c r="F38" s="23"/>
      <c r="I38" s="23"/>
      <c r="J38" s="393"/>
      <c r="K38" s="22"/>
      <c r="L38" s="22"/>
      <c r="M38" s="193"/>
      <c r="N38" s="23"/>
    </row>
    <row r="39" spans="1:14" x14ac:dyDescent="0.2">
      <c r="A39" s="23"/>
      <c r="B39" s="393"/>
      <c r="C39" s="22" t="s">
        <v>1027</v>
      </c>
      <c r="D39" s="22" t="s">
        <v>97</v>
      </c>
      <c r="E39" s="193">
        <v>1236</v>
      </c>
      <c r="F39" s="23"/>
      <c r="I39" s="23"/>
      <c r="J39" s="393"/>
      <c r="K39" s="22"/>
      <c r="L39" s="22"/>
      <c r="M39" s="193"/>
      <c r="N39" s="23"/>
    </row>
    <row r="40" spans="1:14" x14ac:dyDescent="0.2">
      <c r="A40" s="23"/>
      <c r="B40" s="393"/>
      <c r="C40" s="22" t="s">
        <v>1037</v>
      </c>
      <c r="D40" s="22" t="s">
        <v>97</v>
      </c>
      <c r="E40" s="193">
        <v>1256</v>
      </c>
      <c r="F40" s="23"/>
      <c r="I40" s="23"/>
      <c r="J40" s="393"/>
      <c r="K40" s="22"/>
      <c r="L40" s="22"/>
      <c r="M40" s="193"/>
      <c r="N40" s="23"/>
    </row>
    <row r="41" spans="1:14" x14ac:dyDescent="0.2">
      <c r="A41" s="23"/>
      <c r="B41" s="393"/>
      <c r="C41" s="23"/>
      <c r="D41" s="23"/>
      <c r="E41" s="396"/>
      <c r="F41" s="23"/>
      <c r="I41" s="23"/>
      <c r="J41" s="393"/>
      <c r="K41" s="23"/>
      <c r="L41" s="23"/>
      <c r="M41" s="396"/>
      <c r="N41" s="23"/>
    </row>
    <row r="42" spans="1:14" x14ac:dyDescent="0.2">
      <c r="A42" s="23"/>
      <c r="B42" s="393"/>
      <c r="C42" s="23"/>
      <c r="D42" s="23"/>
      <c r="E42" s="396"/>
      <c r="F42" s="23"/>
      <c r="I42" s="23"/>
      <c r="J42" s="393"/>
      <c r="K42" s="23"/>
      <c r="L42" s="23"/>
      <c r="M42" s="396"/>
      <c r="N42" s="23"/>
    </row>
    <row r="43" spans="1:14" x14ac:dyDescent="0.2">
      <c r="A43" s="22" t="s">
        <v>1039</v>
      </c>
      <c r="B43" s="392">
        <v>45325</v>
      </c>
      <c r="C43" s="22" t="s">
        <v>143</v>
      </c>
      <c r="D43" s="22" t="s">
        <v>97</v>
      </c>
      <c r="E43" s="193">
        <v>4892</v>
      </c>
      <c r="F43" s="23"/>
      <c r="I43" s="22"/>
      <c r="J43" s="392"/>
      <c r="K43" s="22"/>
      <c r="L43" s="22"/>
      <c r="M43" s="193"/>
      <c r="N43" s="23"/>
    </row>
    <row r="44" spans="1:14" x14ac:dyDescent="0.2">
      <c r="A44" s="23"/>
      <c r="B44" s="393"/>
      <c r="C44" s="22" t="s">
        <v>1027</v>
      </c>
      <c r="D44" s="22" t="s">
        <v>97</v>
      </c>
      <c r="E44" s="193">
        <v>2529</v>
      </c>
      <c r="F44" s="23"/>
      <c r="I44" s="23"/>
      <c r="J44" s="393"/>
      <c r="K44" s="22"/>
      <c r="L44" s="22"/>
      <c r="M44" s="193"/>
      <c r="N44" s="23"/>
    </row>
    <row r="45" spans="1:14" x14ac:dyDescent="0.2">
      <c r="A45" s="23"/>
      <c r="B45" s="393"/>
      <c r="C45" s="22" t="s">
        <v>61</v>
      </c>
      <c r="D45" s="22" t="s">
        <v>97</v>
      </c>
      <c r="E45" s="193">
        <v>5210.6000000000004</v>
      </c>
      <c r="F45" s="23"/>
      <c r="I45" s="23"/>
      <c r="J45" s="393"/>
      <c r="K45" s="22"/>
      <c r="L45" s="22"/>
      <c r="M45" s="193"/>
      <c r="N45" s="23"/>
    </row>
    <row r="46" spans="1:14" x14ac:dyDescent="0.2">
      <c r="A46" s="23"/>
      <c r="B46" s="393"/>
      <c r="C46" s="22" t="s">
        <v>1038</v>
      </c>
      <c r="D46" s="22" t="s">
        <v>97</v>
      </c>
      <c r="E46" s="193">
        <v>3040</v>
      </c>
      <c r="F46" s="23"/>
      <c r="I46" s="23"/>
      <c r="J46" s="393"/>
      <c r="K46" s="22"/>
      <c r="L46" s="22"/>
      <c r="M46" s="193"/>
      <c r="N46" s="23"/>
    </row>
    <row r="47" spans="1:14" x14ac:dyDescent="0.2">
      <c r="A47" s="23"/>
      <c r="B47" s="393"/>
      <c r="C47" s="22" t="s">
        <v>1014</v>
      </c>
      <c r="D47" s="22" t="s">
        <v>97</v>
      </c>
      <c r="E47" s="193">
        <v>1514</v>
      </c>
      <c r="F47" s="23"/>
      <c r="I47" s="23"/>
      <c r="J47" s="393"/>
      <c r="K47" s="22"/>
      <c r="L47" s="22"/>
      <c r="M47" s="193"/>
      <c r="N47" s="23"/>
    </row>
    <row r="48" spans="1:14" x14ac:dyDescent="0.2">
      <c r="A48" s="23"/>
      <c r="B48" s="393"/>
      <c r="C48" s="22" t="s">
        <v>1040</v>
      </c>
      <c r="D48" s="22" t="s">
        <v>97</v>
      </c>
      <c r="E48" s="193">
        <v>2018.5</v>
      </c>
      <c r="F48" s="23"/>
      <c r="I48" s="23"/>
      <c r="J48" s="393"/>
      <c r="K48" s="22"/>
      <c r="L48" s="22"/>
      <c r="M48" s="193"/>
      <c r="N48" s="23"/>
    </row>
    <row r="49" spans="1:14" x14ac:dyDescent="0.2">
      <c r="A49" s="23"/>
      <c r="B49" s="393"/>
      <c r="C49" s="23"/>
      <c r="D49" s="23"/>
      <c r="E49" s="396"/>
      <c r="F49" s="23"/>
      <c r="I49" s="23"/>
      <c r="J49" s="393"/>
      <c r="K49" s="23"/>
      <c r="L49" s="23"/>
      <c r="M49" s="396"/>
      <c r="N49" s="23"/>
    </row>
    <row r="50" spans="1:14" x14ac:dyDescent="0.2">
      <c r="A50" s="23"/>
      <c r="B50" s="392">
        <v>45326</v>
      </c>
      <c r="C50" s="22" t="s">
        <v>302</v>
      </c>
      <c r="D50" s="22" t="s">
        <v>97</v>
      </c>
      <c r="E50" s="193">
        <v>4034</v>
      </c>
      <c r="F50" s="23"/>
      <c r="I50" s="23"/>
      <c r="J50" s="392"/>
      <c r="K50" s="22"/>
      <c r="L50" s="22"/>
      <c r="M50" s="193"/>
      <c r="N50" s="23"/>
    </row>
    <row r="51" spans="1:14" x14ac:dyDescent="0.2">
      <c r="A51" s="23"/>
      <c r="B51" s="393"/>
      <c r="C51" s="22" t="s">
        <v>129</v>
      </c>
      <c r="D51" s="22" t="s">
        <v>97</v>
      </c>
      <c r="E51" s="193">
        <v>2420.1999999999998</v>
      </c>
      <c r="F51" s="23"/>
      <c r="I51" s="23"/>
      <c r="J51" s="393"/>
      <c r="K51" s="22"/>
      <c r="L51" s="22"/>
      <c r="M51" s="193"/>
      <c r="N51" s="23"/>
    </row>
    <row r="52" spans="1:14" x14ac:dyDescent="0.2">
      <c r="A52" s="23"/>
      <c r="B52" s="393"/>
      <c r="C52" s="22" t="s">
        <v>435</v>
      </c>
      <c r="D52" s="22" t="s">
        <v>97</v>
      </c>
      <c r="E52" s="193">
        <v>6392.5</v>
      </c>
      <c r="F52" s="23"/>
      <c r="I52" s="23"/>
      <c r="J52" s="393"/>
      <c r="K52" s="22"/>
      <c r="L52" s="22"/>
      <c r="M52" s="193"/>
      <c r="N52" s="23"/>
    </row>
    <row r="53" spans="1:14" x14ac:dyDescent="0.2">
      <c r="A53" s="23"/>
      <c r="B53" s="393"/>
      <c r="C53" s="22" t="s">
        <v>210</v>
      </c>
      <c r="D53" s="22" t="s">
        <v>97</v>
      </c>
      <c r="E53" s="193">
        <v>3322.4</v>
      </c>
      <c r="F53" s="23"/>
      <c r="I53" s="23"/>
      <c r="J53" s="393"/>
      <c r="K53" s="22"/>
      <c r="L53" s="22"/>
      <c r="M53" s="193"/>
      <c r="N53" s="23"/>
    </row>
    <row r="54" spans="1:14" x14ac:dyDescent="0.2">
      <c r="A54" s="23"/>
      <c r="B54" s="393"/>
      <c r="C54" s="22" t="s">
        <v>1014</v>
      </c>
      <c r="D54" s="22" t="s">
        <v>97</v>
      </c>
      <c r="E54" s="193">
        <v>2609.5</v>
      </c>
      <c r="F54" s="23"/>
      <c r="I54" s="23"/>
      <c r="J54" s="393"/>
      <c r="K54" s="22"/>
      <c r="L54" s="22"/>
      <c r="M54" s="193"/>
      <c r="N54" s="23"/>
    </row>
    <row r="55" spans="1:14" x14ac:dyDescent="0.2">
      <c r="A55" s="23"/>
      <c r="B55" s="393"/>
      <c r="C55" s="22" t="s">
        <v>1037</v>
      </c>
      <c r="D55" s="22" t="s">
        <v>97</v>
      </c>
      <c r="E55" s="193">
        <v>2758</v>
      </c>
      <c r="F55" s="23"/>
      <c r="I55" s="23"/>
      <c r="J55" s="393"/>
      <c r="K55" s="22"/>
      <c r="L55" s="22"/>
      <c r="M55" s="193"/>
      <c r="N55" s="23"/>
    </row>
    <row r="56" spans="1:14" x14ac:dyDescent="0.2">
      <c r="A56" s="23"/>
      <c r="B56" s="393"/>
      <c r="C56" s="22"/>
      <c r="D56" s="23"/>
      <c r="E56" s="396"/>
      <c r="F56" s="23"/>
      <c r="I56" s="23"/>
      <c r="J56" s="393"/>
      <c r="K56" s="22"/>
      <c r="L56" s="23"/>
      <c r="M56" s="396"/>
      <c r="N56" s="23"/>
    </row>
    <row r="57" spans="1:14" x14ac:dyDescent="0.2">
      <c r="A57" s="22" t="s">
        <v>1041</v>
      </c>
      <c r="B57" s="392">
        <v>45381</v>
      </c>
      <c r="C57" s="93" t="s">
        <v>1042</v>
      </c>
      <c r="D57" s="22" t="s">
        <v>1031</v>
      </c>
      <c r="E57" s="193">
        <v>286</v>
      </c>
      <c r="F57" s="23"/>
      <c r="I57" s="22"/>
      <c r="J57" s="392"/>
      <c r="L57" s="22"/>
      <c r="M57" s="193"/>
      <c r="N57" s="23"/>
    </row>
    <row r="58" spans="1:14" x14ac:dyDescent="0.2">
      <c r="A58" s="23"/>
      <c r="B58" s="393"/>
      <c r="C58" s="22" t="s">
        <v>1038</v>
      </c>
      <c r="D58" s="22" t="s">
        <v>1031</v>
      </c>
      <c r="E58" s="193">
        <v>789.6</v>
      </c>
      <c r="F58" s="23"/>
      <c r="I58" s="23"/>
      <c r="J58" s="393"/>
      <c r="K58" s="22"/>
      <c r="L58" s="22"/>
      <c r="M58" s="193"/>
      <c r="N58" s="23"/>
    </row>
    <row r="59" spans="1:14" x14ac:dyDescent="0.2">
      <c r="A59" s="23"/>
      <c r="B59" s="393"/>
      <c r="C59" s="22" t="s">
        <v>129</v>
      </c>
      <c r="D59" s="22" t="s">
        <v>1031</v>
      </c>
      <c r="E59" s="193">
        <v>632.5</v>
      </c>
      <c r="F59" s="23"/>
      <c r="I59" s="23"/>
      <c r="J59" s="393"/>
      <c r="K59" s="22"/>
      <c r="L59" s="22"/>
      <c r="M59" s="193"/>
      <c r="N59" s="23"/>
    </row>
    <row r="60" spans="1:14" x14ac:dyDescent="0.2">
      <c r="A60" s="23"/>
      <c r="B60" s="393"/>
      <c r="C60" s="22" t="s">
        <v>130</v>
      </c>
      <c r="D60" s="22" t="s">
        <v>1031</v>
      </c>
      <c r="E60" s="193">
        <v>527</v>
      </c>
      <c r="F60" s="23"/>
      <c r="I60" s="23"/>
      <c r="J60" s="393"/>
      <c r="K60" s="22"/>
      <c r="L60" s="22"/>
      <c r="M60" s="193"/>
      <c r="N60" s="23"/>
    </row>
    <row r="61" spans="1:14" x14ac:dyDescent="0.2">
      <c r="A61" s="23"/>
      <c r="B61" s="393"/>
      <c r="C61" s="22" t="s">
        <v>435</v>
      </c>
      <c r="D61" s="22" t="s">
        <v>1031</v>
      </c>
      <c r="E61" s="193">
        <v>935</v>
      </c>
      <c r="F61" s="23"/>
      <c r="I61" s="23"/>
      <c r="J61" s="393"/>
      <c r="K61" s="22"/>
      <c r="L61" s="22"/>
      <c r="M61" s="193"/>
      <c r="N61" s="23"/>
    </row>
    <row r="62" spans="1:14" x14ac:dyDescent="0.2">
      <c r="A62" s="23"/>
      <c r="B62" s="393"/>
      <c r="C62" s="23"/>
      <c r="D62" s="22"/>
      <c r="E62" s="396"/>
      <c r="F62" s="23"/>
      <c r="I62" s="23"/>
      <c r="J62" s="393"/>
      <c r="K62" s="23"/>
      <c r="L62" s="22"/>
      <c r="M62" s="396"/>
      <c r="N62" s="23"/>
    </row>
    <row r="63" spans="1:14" x14ac:dyDescent="0.2">
      <c r="A63" s="23"/>
      <c r="B63" s="392">
        <v>45382</v>
      </c>
      <c r="C63" s="22" t="s">
        <v>1043</v>
      </c>
      <c r="D63" s="22" t="s">
        <v>1031</v>
      </c>
      <c r="E63" s="193">
        <v>410</v>
      </c>
      <c r="F63" s="23"/>
      <c r="I63" s="23"/>
      <c r="J63" s="392"/>
      <c r="K63" s="22"/>
      <c r="L63" s="22"/>
      <c r="M63" s="193"/>
      <c r="N63" s="23"/>
    </row>
    <row r="64" spans="1:14" x14ac:dyDescent="0.2">
      <c r="A64" s="23"/>
      <c r="B64" s="393"/>
      <c r="C64" s="22" t="s">
        <v>1038</v>
      </c>
      <c r="D64" s="22" t="s">
        <v>1031</v>
      </c>
      <c r="E64" s="193">
        <v>1880.5</v>
      </c>
      <c r="F64" s="23"/>
      <c r="I64" s="23"/>
      <c r="J64" s="393"/>
      <c r="K64" s="22"/>
      <c r="L64" s="22"/>
      <c r="M64" s="193"/>
      <c r="N64" s="23"/>
    </row>
    <row r="65" spans="1:14" x14ac:dyDescent="0.2">
      <c r="A65" s="23"/>
      <c r="B65" s="393"/>
      <c r="C65" s="22" t="s">
        <v>1044</v>
      </c>
      <c r="D65" s="22" t="s">
        <v>1031</v>
      </c>
      <c r="E65" s="193">
        <v>711</v>
      </c>
      <c r="F65" s="23"/>
      <c r="I65" s="23"/>
      <c r="J65" s="393"/>
      <c r="K65" s="22"/>
      <c r="L65" s="22"/>
      <c r="M65" s="193"/>
      <c r="N65" s="23"/>
    </row>
    <row r="66" spans="1:14" x14ac:dyDescent="0.2">
      <c r="A66" s="23"/>
      <c r="B66" s="393"/>
      <c r="C66" s="22" t="s">
        <v>47</v>
      </c>
      <c r="D66" s="22" t="s">
        <v>1031</v>
      </c>
      <c r="E66" s="193">
        <v>1184.3</v>
      </c>
      <c r="F66" s="23"/>
      <c r="I66" s="23"/>
      <c r="J66" s="393"/>
      <c r="K66" s="22"/>
      <c r="L66" s="22"/>
      <c r="M66" s="193"/>
      <c r="N66" s="23"/>
    </row>
    <row r="67" spans="1:14" x14ac:dyDescent="0.2">
      <c r="A67" s="23"/>
      <c r="B67" s="393"/>
      <c r="C67" s="22" t="s">
        <v>129</v>
      </c>
      <c r="D67" s="22" t="s">
        <v>1031</v>
      </c>
      <c r="E67" s="193">
        <v>1770</v>
      </c>
      <c r="F67" s="23"/>
      <c r="I67" s="23"/>
      <c r="J67" s="393"/>
      <c r="K67" s="22"/>
      <c r="L67" s="22"/>
      <c r="M67" s="193"/>
      <c r="N67" s="23"/>
    </row>
    <row r="68" spans="1:14" x14ac:dyDescent="0.2">
      <c r="A68" s="23"/>
      <c r="B68" s="393"/>
      <c r="C68" s="22" t="s">
        <v>223</v>
      </c>
      <c r="D68" s="22" t="s">
        <v>1031</v>
      </c>
      <c r="E68" s="193">
        <v>2253</v>
      </c>
      <c r="F68" s="23"/>
      <c r="I68" s="23"/>
      <c r="J68" s="393"/>
      <c r="K68" s="22"/>
      <c r="L68" s="22"/>
      <c r="M68" s="193"/>
      <c r="N68" s="23"/>
    </row>
    <row r="69" spans="1:14" x14ac:dyDescent="0.2">
      <c r="A69" s="23"/>
      <c r="B69" s="393"/>
      <c r="C69" s="22" t="s">
        <v>61</v>
      </c>
      <c r="D69" s="22" t="s">
        <v>1031</v>
      </c>
      <c r="E69" s="193">
        <v>1520</v>
      </c>
      <c r="F69" s="23"/>
      <c r="I69" s="23"/>
      <c r="J69" s="393"/>
      <c r="K69" s="22"/>
      <c r="L69" s="22"/>
      <c r="M69" s="193"/>
      <c r="N69" s="23"/>
    </row>
    <row r="70" spans="1:14" x14ac:dyDescent="0.2">
      <c r="A70" s="23"/>
      <c r="B70" s="393"/>
      <c r="C70" s="22" t="s">
        <v>302</v>
      </c>
      <c r="D70" s="23"/>
      <c r="E70" s="193">
        <v>2880</v>
      </c>
      <c r="F70" s="23"/>
      <c r="I70" s="23"/>
      <c r="J70" s="393"/>
      <c r="K70" s="22"/>
      <c r="L70" s="23"/>
      <c r="M70" s="193"/>
      <c r="N70" s="23"/>
    </row>
    <row r="71" spans="1:14" x14ac:dyDescent="0.2">
      <c r="A71" s="23"/>
      <c r="B71" s="392"/>
      <c r="C71" s="22" t="s">
        <v>1038</v>
      </c>
      <c r="D71" s="23"/>
      <c r="E71" s="193">
        <v>634.85</v>
      </c>
      <c r="F71" s="23"/>
      <c r="I71" s="23"/>
      <c r="J71" s="392"/>
      <c r="K71" s="22"/>
      <c r="L71" s="23"/>
      <c r="M71" s="193"/>
      <c r="N71" s="23"/>
    </row>
    <row r="72" spans="1:14" x14ac:dyDescent="0.2">
      <c r="A72" s="23"/>
      <c r="B72" s="22"/>
      <c r="C72" s="22"/>
      <c r="D72" s="23"/>
      <c r="E72" s="396"/>
      <c r="F72" s="23"/>
      <c r="I72" s="23"/>
      <c r="J72" s="22"/>
      <c r="K72" s="22"/>
      <c r="L72" s="23"/>
      <c r="M72" s="396"/>
      <c r="N72" s="23"/>
    </row>
    <row r="73" spans="1:14" x14ac:dyDescent="0.2">
      <c r="A73" s="23"/>
      <c r="B73" s="392">
        <v>45383</v>
      </c>
      <c r="C73" s="22" t="s">
        <v>1043</v>
      </c>
      <c r="D73" s="22" t="s">
        <v>1031</v>
      </c>
      <c r="E73" s="193">
        <v>675</v>
      </c>
      <c r="F73" s="23"/>
      <c r="I73" s="23"/>
      <c r="J73" s="392"/>
      <c r="K73" s="22"/>
      <c r="L73" s="22"/>
      <c r="M73" s="193"/>
      <c r="N73" s="23"/>
    </row>
    <row r="74" spans="1:14" x14ac:dyDescent="0.2">
      <c r="A74" s="23"/>
      <c r="B74" s="393"/>
      <c r="C74" s="22" t="s">
        <v>210</v>
      </c>
      <c r="D74" s="22" t="s">
        <v>1031</v>
      </c>
      <c r="E74" s="193">
        <v>3294.5</v>
      </c>
      <c r="F74" s="23"/>
      <c r="I74" s="23"/>
      <c r="J74" s="393"/>
      <c r="K74" s="22"/>
      <c r="L74" s="22"/>
      <c r="M74" s="193"/>
      <c r="N74" s="23"/>
    </row>
    <row r="75" spans="1:14" x14ac:dyDescent="0.2">
      <c r="A75" s="23"/>
      <c r="B75" s="393"/>
      <c r="C75" s="22" t="s">
        <v>980</v>
      </c>
      <c r="D75" s="22" t="s">
        <v>1031</v>
      </c>
      <c r="E75" s="193">
        <v>432.5</v>
      </c>
      <c r="F75" s="23"/>
      <c r="I75" s="23"/>
      <c r="J75" s="393"/>
      <c r="K75" s="22"/>
      <c r="L75" s="22"/>
      <c r="M75" s="193"/>
      <c r="N75" s="23"/>
    </row>
    <row r="76" spans="1:14" x14ac:dyDescent="0.2">
      <c r="A76" s="23"/>
      <c r="B76" s="393"/>
      <c r="C76" s="22" t="s">
        <v>47</v>
      </c>
      <c r="D76" s="22" t="s">
        <v>1031</v>
      </c>
      <c r="E76" s="193">
        <v>3253.3</v>
      </c>
      <c r="F76" s="23"/>
      <c r="I76" s="23"/>
      <c r="J76" s="393"/>
      <c r="K76" s="22"/>
      <c r="L76" s="22"/>
      <c r="M76" s="193"/>
      <c r="N76" s="23"/>
    </row>
    <row r="77" spans="1:14" x14ac:dyDescent="0.2">
      <c r="A77" s="23"/>
      <c r="B77" s="393"/>
      <c r="C77" s="22" t="s">
        <v>1027</v>
      </c>
      <c r="D77" s="22" t="s">
        <v>1031</v>
      </c>
      <c r="E77" s="193">
        <v>3093</v>
      </c>
      <c r="F77" s="23"/>
      <c r="I77" s="23"/>
      <c r="J77" s="393"/>
      <c r="K77" s="22"/>
      <c r="L77" s="22"/>
      <c r="M77" s="193"/>
      <c r="N77" s="23"/>
    </row>
    <row r="78" spans="1:14" x14ac:dyDescent="0.2">
      <c r="A78" s="23"/>
      <c r="B78" s="393"/>
      <c r="C78" s="22" t="s">
        <v>223</v>
      </c>
      <c r="D78" s="22" t="s">
        <v>1031</v>
      </c>
      <c r="E78" s="193">
        <v>5461.54</v>
      </c>
      <c r="F78" s="23"/>
      <c r="I78" s="23"/>
      <c r="J78" s="393"/>
      <c r="K78" s="22"/>
      <c r="L78" s="22"/>
      <c r="M78" s="193"/>
      <c r="N78" s="23"/>
    </row>
    <row r="79" spans="1:14" x14ac:dyDescent="0.2">
      <c r="A79" s="23"/>
      <c r="B79" s="393"/>
      <c r="C79" s="22" t="s">
        <v>61</v>
      </c>
      <c r="D79" s="22" t="s">
        <v>1031</v>
      </c>
      <c r="E79" s="193">
        <v>2696</v>
      </c>
      <c r="F79" s="23"/>
      <c r="I79" s="23"/>
      <c r="J79" s="393"/>
      <c r="K79" s="22"/>
      <c r="L79" s="22"/>
      <c r="M79" s="193"/>
      <c r="N79" s="23"/>
    </row>
    <row r="80" spans="1:14" x14ac:dyDescent="0.2">
      <c r="A80" s="23"/>
      <c r="B80" s="393"/>
      <c r="C80" s="22" t="s">
        <v>302</v>
      </c>
      <c r="D80" s="22" t="s">
        <v>1031</v>
      </c>
      <c r="E80" s="193">
        <v>4832</v>
      </c>
      <c r="F80" s="23"/>
      <c r="I80" s="23"/>
      <c r="J80" s="393"/>
      <c r="K80" s="22"/>
      <c r="L80" s="22"/>
      <c r="M80" s="193"/>
      <c r="N80" s="23"/>
    </row>
    <row r="81" spans="1:14" x14ac:dyDescent="0.2">
      <c r="A81" s="23"/>
      <c r="B81" s="393"/>
      <c r="C81" s="22" t="s">
        <v>210</v>
      </c>
      <c r="D81" s="22" t="s">
        <v>1031</v>
      </c>
      <c r="E81" s="193">
        <v>1144.55</v>
      </c>
      <c r="F81" s="23"/>
      <c r="I81" s="23"/>
      <c r="J81" s="393"/>
      <c r="K81" s="22"/>
      <c r="L81" s="22"/>
      <c r="M81" s="193"/>
      <c r="N81" s="23"/>
    </row>
    <row r="82" spans="1:14" x14ac:dyDescent="0.2">
      <c r="A82" s="23"/>
      <c r="B82" s="393"/>
      <c r="C82" s="22"/>
      <c r="D82" s="23"/>
      <c r="E82" s="396"/>
      <c r="F82" s="23"/>
      <c r="I82" s="23"/>
      <c r="J82" s="393"/>
      <c r="K82" s="22"/>
      <c r="L82" s="23"/>
      <c r="M82" s="396"/>
      <c r="N82" s="23"/>
    </row>
    <row r="83" spans="1:14" x14ac:dyDescent="0.2">
      <c r="A83" s="23"/>
      <c r="B83" s="393"/>
      <c r="C83" s="22"/>
      <c r="D83" s="23"/>
      <c r="E83" s="396"/>
      <c r="F83" s="23"/>
      <c r="I83" s="23"/>
      <c r="J83" s="393"/>
      <c r="K83" s="22"/>
      <c r="L83" s="23"/>
      <c r="M83" s="396"/>
      <c r="N83" s="23"/>
    </row>
    <row r="84" spans="1:14" x14ac:dyDescent="0.2">
      <c r="A84" s="22" t="s">
        <v>1045</v>
      </c>
      <c r="B84" s="392">
        <v>45392</v>
      </c>
      <c r="C84" s="22" t="s">
        <v>144</v>
      </c>
      <c r="D84" s="22" t="s">
        <v>97</v>
      </c>
      <c r="E84" s="193">
        <v>5665.5</v>
      </c>
      <c r="F84" s="23"/>
      <c r="I84" s="22"/>
      <c r="J84" s="392"/>
      <c r="K84" s="22"/>
      <c r="L84" s="22"/>
      <c r="M84" s="193"/>
      <c r="N84" s="23"/>
    </row>
    <row r="85" spans="1:14" x14ac:dyDescent="0.2">
      <c r="A85" s="23"/>
      <c r="B85" s="393"/>
      <c r="C85" s="22" t="s">
        <v>61</v>
      </c>
      <c r="D85" s="22" t="s">
        <v>97</v>
      </c>
      <c r="E85" s="193">
        <v>4020</v>
      </c>
      <c r="F85" s="23"/>
      <c r="I85" s="23"/>
      <c r="J85" s="393"/>
      <c r="K85" s="22"/>
      <c r="L85" s="22"/>
      <c r="M85" s="193"/>
      <c r="N85" s="23"/>
    </row>
    <row r="86" spans="1:14" x14ac:dyDescent="0.2">
      <c r="A86" s="23"/>
      <c r="B86" s="393"/>
      <c r="C86" s="22" t="s">
        <v>689</v>
      </c>
      <c r="D86" s="22" t="s">
        <v>97</v>
      </c>
      <c r="E86" s="193">
        <v>5039.3</v>
      </c>
      <c r="F86" s="23"/>
      <c r="I86" s="23"/>
      <c r="J86" s="393"/>
      <c r="K86" s="22"/>
      <c r="L86" s="22"/>
      <c r="M86" s="193"/>
      <c r="N86" s="23"/>
    </row>
    <row r="87" spans="1:14" x14ac:dyDescent="0.2">
      <c r="A87" s="23"/>
      <c r="B87" s="393"/>
      <c r="C87" s="22" t="s">
        <v>302</v>
      </c>
      <c r="D87" s="22" t="s">
        <v>97</v>
      </c>
      <c r="E87" s="193">
        <v>2412.5</v>
      </c>
      <c r="F87" s="23"/>
      <c r="I87" s="23"/>
      <c r="J87" s="393"/>
      <c r="K87" s="22"/>
      <c r="L87" s="22"/>
      <c r="M87" s="193"/>
      <c r="N87" s="23"/>
    </row>
    <row r="88" spans="1:14" x14ac:dyDescent="0.2">
      <c r="A88" s="23"/>
      <c r="B88" s="393"/>
      <c r="C88" s="22" t="s">
        <v>1046</v>
      </c>
      <c r="D88" s="22" t="s">
        <v>97</v>
      </c>
      <c r="E88" s="193">
        <v>1014</v>
      </c>
      <c r="F88" s="23"/>
      <c r="I88" s="23"/>
      <c r="J88" s="393"/>
      <c r="K88" s="22"/>
      <c r="L88" s="22"/>
      <c r="M88" s="193"/>
      <c r="N88" s="23"/>
    </row>
    <row r="89" spans="1:14" x14ac:dyDescent="0.2">
      <c r="A89" s="23"/>
      <c r="B89" s="393"/>
      <c r="C89" s="23"/>
      <c r="D89" s="23"/>
      <c r="E89" s="396"/>
      <c r="F89" s="23"/>
      <c r="I89" s="23"/>
      <c r="J89" s="393"/>
      <c r="K89" s="23"/>
      <c r="L89" s="23"/>
      <c r="M89" s="396"/>
      <c r="N89" s="23"/>
    </row>
    <row r="90" spans="1:14" x14ac:dyDescent="0.2">
      <c r="A90" s="23"/>
      <c r="B90" s="392">
        <v>45471</v>
      </c>
      <c r="C90" s="22" t="s">
        <v>145</v>
      </c>
      <c r="D90" s="22" t="s">
        <v>1047</v>
      </c>
      <c r="E90" s="193">
        <v>660</v>
      </c>
      <c r="F90" s="22">
        <v>18</v>
      </c>
      <c r="G90" s="93" t="s">
        <v>1048</v>
      </c>
      <c r="H90" s="93"/>
      <c r="I90" s="23"/>
      <c r="J90" s="392"/>
      <c r="K90" s="22"/>
      <c r="L90" s="22"/>
      <c r="M90" s="193"/>
      <c r="N90" s="22"/>
    </row>
    <row r="91" spans="1:14" x14ac:dyDescent="0.2">
      <c r="A91" s="23"/>
      <c r="B91" s="392">
        <v>45472</v>
      </c>
      <c r="C91" s="22" t="s">
        <v>145</v>
      </c>
      <c r="D91" s="22" t="s">
        <v>1047</v>
      </c>
      <c r="E91" s="193">
        <v>1050</v>
      </c>
      <c r="F91" s="22">
        <v>12</v>
      </c>
      <c r="G91" s="93"/>
      <c r="H91" s="93"/>
      <c r="I91" s="23"/>
      <c r="J91" s="392"/>
      <c r="K91" s="22"/>
      <c r="L91" s="22"/>
      <c r="M91" s="193"/>
      <c r="N91" s="22"/>
    </row>
    <row r="92" spans="1:14" x14ac:dyDescent="0.2">
      <c r="A92" s="23"/>
      <c r="B92" s="392">
        <v>45473</v>
      </c>
      <c r="C92" s="22" t="s">
        <v>145</v>
      </c>
      <c r="D92" s="22" t="s">
        <v>1047</v>
      </c>
      <c r="E92" s="193">
        <v>760</v>
      </c>
      <c r="F92" s="22">
        <v>17</v>
      </c>
      <c r="G92" s="93"/>
      <c r="H92" s="93"/>
      <c r="I92" s="23"/>
      <c r="J92" s="392"/>
      <c r="K92" s="22"/>
      <c r="L92" s="22"/>
      <c r="M92" s="193"/>
      <c r="N92" s="22"/>
    </row>
    <row r="93" spans="1:14" x14ac:dyDescent="0.2">
      <c r="A93" s="23"/>
      <c r="B93" s="393"/>
      <c r="C93" s="23"/>
      <c r="D93" s="23"/>
      <c r="E93" s="396"/>
      <c r="F93" s="23"/>
      <c r="I93" s="23"/>
      <c r="J93" s="393"/>
      <c r="K93" s="23"/>
      <c r="L93" s="23"/>
      <c r="M93" s="396"/>
      <c r="N93" s="23"/>
    </row>
    <row r="94" spans="1:14" x14ac:dyDescent="0.2">
      <c r="A94" s="22" t="s">
        <v>1049</v>
      </c>
      <c r="B94" s="392">
        <v>45484</v>
      </c>
      <c r="C94" s="22" t="s">
        <v>689</v>
      </c>
      <c r="D94" s="22" t="s">
        <v>97</v>
      </c>
      <c r="E94" s="193">
        <v>605</v>
      </c>
      <c r="F94" s="22">
        <v>120</v>
      </c>
      <c r="I94" s="22"/>
      <c r="J94" s="392"/>
      <c r="K94" s="22"/>
      <c r="L94" s="22"/>
      <c r="M94" s="193"/>
      <c r="N94" s="22"/>
    </row>
    <row r="95" spans="1:14" x14ac:dyDescent="0.2">
      <c r="A95" s="23"/>
      <c r="B95" s="393"/>
      <c r="C95" s="23"/>
      <c r="D95" s="23"/>
      <c r="E95" s="396"/>
      <c r="F95" s="23"/>
      <c r="I95" s="23"/>
      <c r="J95" s="393"/>
      <c r="K95" s="23"/>
      <c r="L95" s="23"/>
      <c r="M95" s="396"/>
      <c r="N95" s="23"/>
    </row>
    <row r="96" spans="1:14" x14ac:dyDescent="0.2">
      <c r="A96" s="23"/>
      <c r="B96" s="392">
        <v>45491</v>
      </c>
      <c r="C96" s="22" t="s">
        <v>1050</v>
      </c>
      <c r="D96" s="22" t="s">
        <v>97</v>
      </c>
      <c r="E96" s="193">
        <v>855</v>
      </c>
      <c r="F96" s="22">
        <v>142</v>
      </c>
      <c r="I96" s="23"/>
      <c r="J96" s="392"/>
      <c r="K96" s="22"/>
      <c r="L96" s="22"/>
      <c r="M96" s="193"/>
      <c r="N96" s="22"/>
    </row>
    <row r="97" spans="1:14" x14ac:dyDescent="0.2">
      <c r="A97" s="23"/>
      <c r="B97" s="393"/>
      <c r="C97" s="22" t="s">
        <v>145</v>
      </c>
      <c r="D97" s="22" t="s">
        <v>97</v>
      </c>
      <c r="E97" s="193">
        <v>2361</v>
      </c>
      <c r="F97" s="22">
        <v>182</v>
      </c>
      <c r="I97" s="23"/>
      <c r="J97" s="393"/>
      <c r="K97" s="22"/>
      <c r="L97" s="22"/>
      <c r="M97" s="193"/>
      <c r="N97" s="22"/>
    </row>
    <row r="98" spans="1:14" x14ac:dyDescent="0.2">
      <c r="A98" s="23"/>
      <c r="B98" s="393"/>
      <c r="C98" s="22" t="s">
        <v>478</v>
      </c>
      <c r="D98" s="22" t="s">
        <v>97</v>
      </c>
      <c r="E98" s="193">
        <v>870</v>
      </c>
      <c r="F98" s="23"/>
      <c r="I98" s="23"/>
      <c r="J98" s="393"/>
      <c r="K98" s="22"/>
      <c r="L98" s="22"/>
      <c r="M98" s="193"/>
      <c r="N98" s="23"/>
    </row>
    <row r="99" spans="1:14" x14ac:dyDescent="0.2">
      <c r="A99" s="23"/>
      <c r="B99" s="393"/>
      <c r="C99" s="23"/>
      <c r="D99" s="23"/>
      <c r="E99" s="396"/>
      <c r="F99" s="23"/>
      <c r="I99" s="23"/>
      <c r="J99" s="393"/>
      <c r="K99" s="23"/>
      <c r="L99" s="23"/>
      <c r="M99" s="396"/>
      <c r="N99" s="23"/>
    </row>
    <row r="100" spans="1:14" x14ac:dyDescent="0.2">
      <c r="A100" s="23"/>
      <c r="B100" s="392">
        <v>45498</v>
      </c>
      <c r="C100" s="22" t="s">
        <v>689</v>
      </c>
      <c r="D100" s="22" t="s">
        <v>97</v>
      </c>
      <c r="E100" s="193">
        <v>936</v>
      </c>
      <c r="F100" s="22">
        <v>134</v>
      </c>
      <c r="I100" s="23"/>
      <c r="J100" s="392"/>
      <c r="K100" s="22"/>
      <c r="L100" s="22"/>
      <c r="M100" s="193"/>
      <c r="N100" s="22"/>
    </row>
    <row r="101" spans="1:14" x14ac:dyDescent="0.2">
      <c r="A101" s="23"/>
      <c r="B101" s="393"/>
      <c r="C101" s="22" t="s">
        <v>618</v>
      </c>
      <c r="D101" s="22" t="s">
        <v>97</v>
      </c>
      <c r="E101" s="193">
        <v>2472</v>
      </c>
      <c r="F101" s="22">
        <v>245</v>
      </c>
      <c r="I101" s="23"/>
      <c r="J101" s="393"/>
      <c r="K101" s="22"/>
      <c r="L101" s="22"/>
      <c r="M101" s="193"/>
      <c r="N101" s="22"/>
    </row>
    <row r="102" spans="1:14" x14ac:dyDescent="0.2">
      <c r="A102" s="23"/>
      <c r="B102" s="393"/>
      <c r="C102" s="22" t="s">
        <v>478</v>
      </c>
      <c r="D102" s="22" t="s">
        <v>97</v>
      </c>
      <c r="E102" s="193">
        <v>805</v>
      </c>
      <c r="F102" s="23"/>
      <c r="I102" s="23"/>
      <c r="J102" s="393"/>
      <c r="K102" s="22"/>
      <c r="L102" s="22"/>
      <c r="M102" s="193"/>
      <c r="N102" s="23"/>
    </row>
    <row r="103" spans="1:14" x14ac:dyDescent="0.2">
      <c r="A103" s="23"/>
      <c r="B103" s="393"/>
      <c r="C103" s="23"/>
      <c r="D103" s="23"/>
      <c r="E103" s="396"/>
      <c r="F103" s="23"/>
      <c r="I103" s="23"/>
      <c r="J103" s="393"/>
      <c r="K103" s="23"/>
      <c r="L103" s="23"/>
      <c r="M103" s="396"/>
      <c r="N103" s="23"/>
    </row>
    <row r="104" spans="1:14" x14ac:dyDescent="0.2">
      <c r="A104" s="23"/>
      <c r="B104" s="392">
        <v>45512</v>
      </c>
      <c r="C104" s="22" t="s">
        <v>128</v>
      </c>
      <c r="D104" s="22" t="s">
        <v>97</v>
      </c>
      <c r="E104" s="193">
        <v>2221</v>
      </c>
      <c r="F104" s="22">
        <v>234</v>
      </c>
      <c r="I104" s="23"/>
      <c r="J104" s="392"/>
      <c r="K104" s="22"/>
      <c r="L104" s="22"/>
      <c r="M104" s="193"/>
      <c r="N104" s="22"/>
    </row>
    <row r="105" spans="1:14" x14ac:dyDescent="0.2">
      <c r="A105" s="23"/>
      <c r="B105" s="393"/>
      <c r="C105" s="22" t="s">
        <v>145</v>
      </c>
      <c r="D105" s="22" t="s">
        <v>97</v>
      </c>
      <c r="E105" s="193">
        <v>3480</v>
      </c>
      <c r="F105" s="22">
        <v>245</v>
      </c>
      <c r="I105" s="23"/>
      <c r="J105" s="393"/>
      <c r="K105" s="22"/>
      <c r="L105" s="22"/>
      <c r="M105" s="193"/>
      <c r="N105" s="22"/>
    </row>
    <row r="106" spans="1:14" x14ac:dyDescent="0.2">
      <c r="A106" s="23"/>
      <c r="B106" s="393"/>
      <c r="C106" s="22" t="s">
        <v>478</v>
      </c>
      <c r="D106" s="22" t="s">
        <v>97</v>
      </c>
      <c r="E106" s="193">
        <v>872</v>
      </c>
      <c r="F106" s="23"/>
      <c r="I106" s="23"/>
      <c r="J106" s="393"/>
      <c r="K106" s="22"/>
      <c r="L106" s="22"/>
      <c r="M106" s="193"/>
      <c r="N106" s="23"/>
    </row>
    <row r="107" spans="1:14" x14ac:dyDescent="0.2">
      <c r="A107" s="23"/>
      <c r="B107" s="393"/>
      <c r="C107" s="23"/>
      <c r="D107" s="23"/>
      <c r="E107" s="396"/>
      <c r="F107" s="23"/>
      <c r="I107" s="23"/>
      <c r="J107" s="393"/>
      <c r="K107" s="23"/>
      <c r="L107" s="23"/>
      <c r="M107" s="396"/>
      <c r="N107" s="23"/>
    </row>
    <row r="108" spans="1:14" x14ac:dyDescent="0.2">
      <c r="A108" s="23"/>
      <c r="B108" s="392">
        <v>45526</v>
      </c>
      <c r="C108" s="22" t="s">
        <v>618</v>
      </c>
      <c r="D108" s="22" t="s">
        <v>97</v>
      </c>
      <c r="E108" s="193">
        <v>3010</v>
      </c>
      <c r="F108" s="22">
        <v>242</v>
      </c>
      <c r="I108" s="23"/>
      <c r="J108" s="392"/>
      <c r="K108" s="22"/>
      <c r="L108" s="22"/>
      <c r="M108" s="193"/>
      <c r="N108" s="22"/>
    </row>
    <row r="109" spans="1:14" x14ac:dyDescent="0.2">
      <c r="A109" s="23"/>
      <c r="B109" s="393"/>
      <c r="C109" s="22" t="s">
        <v>307</v>
      </c>
      <c r="D109" s="22" t="s">
        <v>97</v>
      </c>
      <c r="E109" s="193">
        <v>616</v>
      </c>
      <c r="F109" s="22">
        <v>137</v>
      </c>
      <c r="I109" s="23"/>
      <c r="J109" s="393"/>
      <c r="K109" s="22"/>
      <c r="L109" s="22"/>
      <c r="M109" s="193"/>
      <c r="N109" s="22"/>
    </row>
    <row r="110" spans="1:14" x14ac:dyDescent="0.2">
      <c r="A110" s="23"/>
      <c r="B110" s="393"/>
      <c r="C110" s="22" t="s">
        <v>302</v>
      </c>
      <c r="D110" s="22" t="s">
        <v>97</v>
      </c>
      <c r="E110" s="193">
        <v>1280</v>
      </c>
      <c r="F110" s="22">
        <v>163</v>
      </c>
      <c r="I110" s="23"/>
      <c r="J110" s="393"/>
      <c r="K110" s="22"/>
      <c r="L110" s="22"/>
      <c r="M110" s="193"/>
      <c r="N110" s="22"/>
    </row>
    <row r="111" spans="1:14" x14ac:dyDescent="0.2">
      <c r="A111" s="23"/>
      <c r="B111" s="393"/>
      <c r="C111" s="22" t="s">
        <v>478</v>
      </c>
      <c r="D111" s="22" t="s">
        <v>97</v>
      </c>
      <c r="E111" s="193">
        <v>350</v>
      </c>
      <c r="F111" s="23"/>
      <c r="I111" s="23"/>
      <c r="J111" s="393"/>
      <c r="K111" s="22"/>
      <c r="L111" s="22"/>
      <c r="M111" s="193"/>
      <c r="N111" s="23"/>
    </row>
    <row r="112" spans="1:14" x14ac:dyDescent="0.2">
      <c r="A112" s="23"/>
      <c r="B112" s="393"/>
      <c r="C112" s="23"/>
      <c r="D112" s="23"/>
      <c r="E112" s="396"/>
      <c r="F112" s="23"/>
      <c r="I112" s="23"/>
      <c r="J112" s="393"/>
      <c r="K112" s="23"/>
      <c r="L112" s="23"/>
      <c r="M112" s="396"/>
      <c r="N112" s="23"/>
    </row>
    <row r="113" spans="1:14" x14ac:dyDescent="0.2">
      <c r="A113" s="22" t="s">
        <v>1051</v>
      </c>
      <c r="B113" s="392">
        <v>45535</v>
      </c>
      <c r="C113" s="22" t="s">
        <v>1038</v>
      </c>
      <c r="D113" s="22" t="s">
        <v>97</v>
      </c>
      <c r="E113" s="193">
        <v>1764</v>
      </c>
      <c r="F113" s="22">
        <v>130</v>
      </c>
      <c r="I113" s="22"/>
      <c r="J113" s="392"/>
      <c r="K113" s="22"/>
      <c r="L113" s="22"/>
      <c r="M113" s="193"/>
      <c r="N113" s="22"/>
    </row>
    <row r="114" spans="1:14" x14ac:dyDescent="0.2">
      <c r="A114" s="23"/>
      <c r="B114" s="393"/>
      <c r="C114" s="22" t="s">
        <v>47</v>
      </c>
      <c r="D114" s="22" t="s">
        <v>97</v>
      </c>
      <c r="E114" s="193">
        <v>1820.8</v>
      </c>
      <c r="F114" s="23"/>
      <c r="I114" s="23"/>
      <c r="J114" s="393"/>
      <c r="K114" s="22"/>
      <c r="L114" s="22"/>
      <c r="M114" s="193"/>
      <c r="N114" s="23"/>
    </row>
    <row r="115" spans="1:14" x14ac:dyDescent="0.2">
      <c r="A115" s="23"/>
      <c r="B115" s="393"/>
      <c r="C115" s="22" t="s">
        <v>478</v>
      </c>
      <c r="D115" s="22" t="s">
        <v>97</v>
      </c>
      <c r="E115" s="193">
        <v>1588</v>
      </c>
      <c r="F115" s="23"/>
      <c r="I115" s="23"/>
      <c r="J115" s="393"/>
      <c r="K115" s="22"/>
      <c r="L115" s="22"/>
      <c r="M115" s="193"/>
      <c r="N115" s="23"/>
    </row>
    <row r="116" spans="1:14" x14ac:dyDescent="0.2">
      <c r="A116" s="23"/>
      <c r="B116" s="393"/>
      <c r="C116" s="23"/>
      <c r="D116" s="23"/>
      <c r="E116" s="396"/>
      <c r="F116" s="23"/>
      <c r="I116" s="23"/>
      <c r="J116" s="393"/>
      <c r="K116" s="23"/>
      <c r="L116" s="23"/>
      <c r="M116" s="396"/>
      <c r="N116" s="23"/>
    </row>
    <row r="117" spans="1:14" x14ac:dyDescent="0.2">
      <c r="A117" s="22" t="s">
        <v>1052</v>
      </c>
      <c r="B117" s="392">
        <v>45549</v>
      </c>
      <c r="C117" s="22" t="s">
        <v>618</v>
      </c>
      <c r="D117" s="22" t="s">
        <v>97</v>
      </c>
      <c r="E117" s="193">
        <v>5551.2</v>
      </c>
      <c r="F117" s="22">
        <v>172</v>
      </c>
      <c r="I117" s="22"/>
      <c r="J117" s="392"/>
      <c r="K117" s="22"/>
      <c r="L117" s="22"/>
      <c r="M117" s="193"/>
      <c r="N117" s="22"/>
    </row>
    <row r="118" spans="1:14" x14ac:dyDescent="0.2">
      <c r="A118" s="23"/>
      <c r="B118" s="393"/>
      <c r="C118" s="22" t="s">
        <v>52</v>
      </c>
      <c r="D118" s="22" t="s">
        <v>97</v>
      </c>
      <c r="E118" s="193">
        <v>1960</v>
      </c>
      <c r="F118" s="22">
        <v>94</v>
      </c>
      <c r="I118" s="23"/>
      <c r="J118" s="393"/>
      <c r="K118" s="22"/>
      <c r="L118" s="22"/>
      <c r="M118" s="193"/>
      <c r="N118" s="22"/>
    </row>
    <row r="119" spans="1:14" x14ac:dyDescent="0.2">
      <c r="A119" s="23"/>
      <c r="B119" s="393"/>
      <c r="C119" s="22" t="s">
        <v>302</v>
      </c>
      <c r="D119" s="22" t="s">
        <v>97</v>
      </c>
      <c r="E119" s="193">
        <v>2814.4</v>
      </c>
      <c r="F119" s="22">
        <v>16</v>
      </c>
      <c r="I119" s="23"/>
      <c r="J119" s="393"/>
      <c r="K119" s="22"/>
      <c r="L119" s="22"/>
      <c r="M119" s="193"/>
      <c r="N119" s="22"/>
    </row>
    <row r="120" spans="1:14" x14ac:dyDescent="0.2">
      <c r="A120" s="23"/>
      <c r="B120" s="393"/>
      <c r="C120" s="22" t="s">
        <v>1053</v>
      </c>
      <c r="D120" s="22" t="s">
        <v>97</v>
      </c>
      <c r="E120" s="193">
        <v>2512</v>
      </c>
      <c r="F120" s="23"/>
      <c r="I120" s="23"/>
      <c r="J120" s="393"/>
      <c r="K120" s="22"/>
      <c r="L120" s="22"/>
      <c r="M120" s="193"/>
      <c r="N120" s="23"/>
    </row>
    <row r="121" spans="1:14" x14ac:dyDescent="0.2">
      <c r="A121" s="23"/>
      <c r="B121" s="393"/>
      <c r="C121" s="22" t="s">
        <v>1054</v>
      </c>
      <c r="D121" s="22" t="s">
        <v>97</v>
      </c>
      <c r="E121" s="193">
        <v>2392</v>
      </c>
      <c r="F121" s="23"/>
      <c r="I121" s="23"/>
      <c r="J121" s="393"/>
      <c r="K121" s="22"/>
      <c r="L121" s="22"/>
      <c r="M121" s="193"/>
      <c r="N121" s="23"/>
    </row>
    <row r="122" spans="1:14" x14ac:dyDescent="0.2">
      <c r="A122" s="22" t="s">
        <v>1030</v>
      </c>
      <c r="B122" s="393"/>
      <c r="C122" s="23"/>
      <c r="D122" s="23"/>
      <c r="E122" s="396"/>
      <c r="F122" s="23"/>
      <c r="I122" s="23"/>
      <c r="J122" s="393"/>
      <c r="K122" s="23"/>
      <c r="L122" s="23"/>
      <c r="M122" s="396"/>
      <c r="N122" s="23"/>
    </row>
    <row r="123" spans="1:14" x14ac:dyDescent="0.2">
      <c r="A123" s="23"/>
      <c r="B123" s="392">
        <v>45626</v>
      </c>
      <c r="C123" s="22" t="s">
        <v>145</v>
      </c>
      <c r="D123" s="22" t="s">
        <v>1031</v>
      </c>
      <c r="E123" s="193">
        <v>2661</v>
      </c>
      <c r="F123" s="22">
        <v>22</v>
      </c>
      <c r="I123" s="23"/>
      <c r="J123" s="393"/>
      <c r="K123" s="23"/>
      <c r="L123" s="23"/>
      <c r="M123" s="396"/>
      <c r="N123" s="23"/>
    </row>
    <row r="124" spans="1:14" x14ac:dyDescent="0.2">
      <c r="A124" s="23"/>
      <c r="B124" s="393"/>
      <c r="C124" s="22" t="s">
        <v>47</v>
      </c>
      <c r="D124" s="22" t="s">
        <v>1031</v>
      </c>
      <c r="E124" s="193">
        <v>650</v>
      </c>
      <c r="F124" s="23"/>
      <c r="I124" s="23"/>
      <c r="J124" s="393"/>
      <c r="K124" s="23"/>
      <c r="L124" s="23"/>
      <c r="M124" s="396"/>
      <c r="N124" s="23"/>
    </row>
    <row r="125" spans="1:14" x14ac:dyDescent="0.2">
      <c r="A125" s="23"/>
      <c r="B125" s="393"/>
      <c r="C125" s="22" t="s">
        <v>210</v>
      </c>
      <c r="D125" s="22" t="s">
        <v>1031</v>
      </c>
      <c r="E125" s="193">
        <v>744</v>
      </c>
      <c r="F125" s="23"/>
      <c r="I125" s="23"/>
      <c r="J125" s="393"/>
      <c r="K125" s="23"/>
      <c r="L125" s="23"/>
      <c r="M125" s="396"/>
      <c r="N125" s="23"/>
    </row>
    <row r="126" spans="1:14" x14ac:dyDescent="0.2">
      <c r="A126" s="23"/>
      <c r="B126" s="393"/>
      <c r="C126" s="22" t="s">
        <v>1027</v>
      </c>
      <c r="D126" s="22" t="s">
        <v>1031</v>
      </c>
      <c r="E126" s="193">
        <v>604</v>
      </c>
      <c r="F126" s="23"/>
      <c r="I126" s="23"/>
      <c r="J126" s="393"/>
      <c r="K126" s="23"/>
      <c r="L126" s="23"/>
      <c r="M126" s="396"/>
      <c r="N126" s="23"/>
    </row>
    <row r="127" spans="1:14" x14ac:dyDescent="0.2">
      <c r="A127" s="23"/>
      <c r="B127" s="392">
        <v>45627</v>
      </c>
      <c r="C127" s="23"/>
      <c r="D127" s="23"/>
      <c r="E127" s="396"/>
      <c r="F127" s="23"/>
      <c r="I127" s="23"/>
      <c r="J127" s="393"/>
      <c r="K127" s="23"/>
      <c r="L127" s="23"/>
      <c r="M127" s="396"/>
      <c r="N127" s="23"/>
    </row>
    <row r="128" spans="1:14" x14ac:dyDescent="0.2">
      <c r="A128" s="23"/>
      <c r="B128" s="393"/>
      <c r="C128" s="22" t="s">
        <v>618</v>
      </c>
      <c r="D128" s="22" t="s">
        <v>1031</v>
      </c>
      <c r="E128" s="193">
        <v>3010</v>
      </c>
      <c r="F128" s="22">
        <v>83</v>
      </c>
      <c r="I128" s="23"/>
      <c r="J128" s="393"/>
      <c r="K128" s="23"/>
      <c r="L128" s="23"/>
      <c r="M128" s="396"/>
      <c r="N128" s="23"/>
    </row>
    <row r="129" spans="1:14" x14ac:dyDescent="0.2">
      <c r="A129" s="23"/>
      <c r="B129" s="393"/>
      <c r="C129" s="22" t="s">
        <v>47</v>
      </c>
      <c r="D129" s="22" t="s">
        <v>1031</v>
      </c>
      <c r="E129" s="193">
        <v>1296</v>
      </c>
      <c r="F129" s="23"/>
      <c r="I129" s="23"/>
      <c r="J129" s="393"/>
      <c r="K129" s="23"/>
      <c r="L129" s="23"/>
      <c r="M129" s="193"/>
      <c r="N129" s="23"/>
    </row>
    <row r="130" spans="1:14" x14ac:dyDescent="0.2">
      <c r="A130" s="23"/>
      <c r="B130" s="393"/>
      <c r="C130" s="22" t="s">
        <v>1027</v>
      </c>
      <c r="D130" s="22" t="s">
        <v>1031</v>
      </c>
      <c r="E130" s="193">
        <v>1480</v>
      </c>
      <c r="F130" s="23"/>
      <c r="I130" s="23"/>
      <c r="J130" s="393"/>
      <c r="K130" s="23"/>
      <c r="L130" s="23"/>
      <c r="M130" s="236"/>
      <c r="N130" s="23"/>
    </row>
    <row r="131" spans="1:14" x14ac:dyDescent="0.2">
      <c r="A131" s="23"/>
      <c r="B131" s="393"/>
      <c r="C131" s="22" t="s">
        <v>1038</v>
      </c>
      <c r="D131" s="22" t="s">
        <v>1031</v>
      </c>
      <c r="E131" s="193">
        <v>1655</v>
      </c>
      <c r="F131" s="23"/>
      <c r="I131" s="23"/>
      <c r="J131" s="393"/>
      <c r="K131" s="23"/>
      <c r="L131" s="23"/>
      <c r="M131" s="236"/>
      <c r="N131" s="23"/>
    </row>
    <row r="132" spans="1:14" x14ac:dyDescent="0.2">
      <c r="A132" s="23"/>
      <c r="B132" s="393"/>
      <c r="C132" s="22" t="s">
        <v>302</v>
      </c>
      <c r="D132" s="22" t="s">
        <v>1031</v>
      </c>
      <c r="E132" s="193">
        <v>1480</v>
      </c>
      <c r="F132" s="22">
        <v>21</v>
      </c>
      <c r="I132" s="23"/>
      <c r="J132" s="393"/>
      <c r="K132" s="23"/>
      <c r="L132" s="23"/>
      <c r="M132" s="236"/>
      <c r="N132" s="23"/>
    </row>
    <row r="133" spans="1:14" x14ac:dyDescent="0.2">
      <c r="A133" s="22"/>
      <c r="B133" s="392"/>
      <c r="C133" s="106"/>
      <c r="D133" s="22"/>
      <c r="E133" s="193"/>
      <c r="F133" s="22"/>
      <c r="I133" s="23"/>
      <c r="J133" s="393"/>
      <c r="K133" s="23"/>
      <c r="L133" s="23"/>
      <c r="M133" s="236"/>
      <c r="N133" s="23"/>
    </row>
    <row r="134" spans="1:14" x14ac:dyDescent="0.2">
      <c r="A134" s="22"/>
      <c r="B134" s="392"/>
      <c r="C134" s="106"/>
      <c r="D134" s="22"/>
      <c r="E134" s="193"/>
      <c r="F134" s="22"/>
      <c r="I134" s="23"/>
      <c r="J134" s="393"/>
      <c r="K134" s="23"/>
      <c r="L134" s="23"/>
      <c r="M134" s="236"/>
      <c r="N134" s="23"/>
    </row>
    <row r="135" spans="1:14" x14ac:dyDescent="0.2">
      <c r="A135" s="22"/>
      <c r="B135" s="392"/>
      <c r="C135" s="106"/>
      <c r="D135" s="22"/>
      <c r="E135" s="193" t="s">
        <v>151</v>
      </c>
      <c r="F135" s="22" t="s">
        <v>152</v>
      </c>
      <c r="G135" s="602" t="s">
        <v>1022</v>
      </c>
      <c r="H135" s="531"/>
      <c r="I135" s="23"/>
      <c r="J135" s="393"/>
      <c r="K135" s="23"/>
      <c r="L135" s="23"/>
      <c r="M135" s="236"/>
      <c r="N135" s="23"/>
    </row>
    <row r="136" spans="1:14" x14ac:dyDescent="0.2">
      <c r="A136" s="22" t="s">
        <v>1013</v>
      </c>
      <c r="B136" s="392">
        <v>45652</v>
      </c>
      <c r="C136" s="106" t="s">
        <v>130</v>
      </c>
      <c r="D136" s="22" t="s">
        <v>97</v>
      </c>
      <c r="E136" s="193">
        <v>890</v>
      </c>
      <c r="F136" s="195">
        <v>2712</v>
      </c>
      <c r="G136" s="22">
        <v>5</v>
      </c>
      <c r="H136" s="23"/>
      <c r="I136" s="23"/>
      <c r="J136" s="393"/>
      <c r="K136" s="23"/>
      <c r="L136" s="23"/>
      <c r="M136" s="236"/>
      <c r="N136" s="23"/>
    </row>
    <row r="137" spans="1:14" x14ac:dyDescent="0.2">
      <c r="A137" s="23"/>
      <c r="B137" s="393"/>
      <c r="C137" s="106" t="s">
        <v>223</v>
      </c>
      <c r="D137" s="22" t="s">
        <v>97</v>
      </c>
      <c r="E137" s="193">
        <v>2600</v>
      </c>
      <c r="F137" s="195">
        <v>5809</v>
      </c>
      <c r="G137" s="22">
        <v>87</v>
      </c>
      <c r="H137" s="23"/>
      <c r="I137" s="23"/>
      <c r="J137" s="393"/>
      <c r="K137" s="23"/>
      <c r="L137" s="23"/>
      <c r="M137" s="236"/>
      <c r="N137" s="23"/>
    </row>
    <row r="138" spans="1:14" x14ac:dyDescent="0.2">
      <c r="A138" s="23"/>
      <c r="B138" s="393"/>
      <c r="C138" s="106" t="s">
        <v>143</v>
      </c>
      <c r="D138" s="22" t="s">
        <v>97</v>
      </c>
      <c r="E138" s="193">
        <v>1410</v>
      </c>
      <c r="F138" s="195">
        <v>2938</v>
      </c>
      <c r="G138" s="22">
        <v>41</v>
      </c>
      <c r="H138" s="23"/>
      <c r="I138" s="23"/>
      <c r="J138" s="393"/>
      <c r="K138" s="23"/>
      <c r="L138" s="23"/>
      <c r="M138" s="236"/>
      <c r="N138" s="23"/>
    </row>
    <row r="139" spans="1:14" x14ac:dyDescent="0.2">
      <c r="A139" s="23"/>
      <c r="B139" s="393"/>
      <c r="C139" s="106" t="s">
        <v>44</v>
      </c>
      <c r="D139" s="22" t="s">
        <v>97</v>
      </c>
      <c r="E139" s="193">
        <v>200</v>
      </c>
      <c r="F139" s="195">
        <v>914</v>
      </c>
      <c r="G139" s="22">
        <v>27</v>
      </c>
      <c r="H139" s="23"/>
      <c r="I139" s="23"/>
      <c r="J139" s="393"/>
      <c r="K139" s="23"/>
      <c r="L139" s="23"/>
      <c r="M139" s="236"/>
      <c r="N139" s="23"/>
    </row>
    <row r="140" spans="1:14" x14ac:dyDescent="0.2">
      <c r="A140" s="23"/>
      <c r="B140" s="393"/>
      <c r="C140" s="106" t="s">
        <v>128</v>
      </c>
      <c r="D140" s="22" t="s">
        <v>97</v>
      </c>
      <c r="E140" s="193">
        <v>1310</v>
      </c>
      <c r="F140" s="195">
        <v>2835</v>
      </c>
      <c r="G140" s="22">
        <v>92</v>
      </c>
      <c r="H140" s="23"/>
      <c r="I140" s="23"/>
      <c r="J140" s="393"/>
      <c r="K140" s="23"/>
      <c r="L140" s="23"/>
      <c r="M140" s="236"/>
      <c r="N140" s="23"/>
    </row>
    <row r="141" spans="1:14" x14ac:dyDescent="0.2">
      <c r="A141" s="23"/>
      <c r="B141" s="393"/>
      <c r="C141" s="106" t="s">
        <v>215</v>
      </c>
      <c r="D141" s="22" t="s">
        <v>97</v>
      </c>
      <c r="E141" s="193">
        <v>820</v>
      </c>
      <c r="F141" s="195">
        <v>1409</v>
      </c>
      <c r="G141" s="23"/>
      <c r="H141" s="23"/>
      <c r="I141" s="23"/>
      <c r="J141" s="393"/>
      <c r="K141" s="23"/>
      <c r="L141" s="23"/>
      <c r="M141" s="236"/>
      <c r="N141" s="23"/>
    </row>
    <row r="142" spans="1:14" x14ac:dyDescent="0.2">
      <c r="A142" s="23"/>
      <c r="B142" s="393"/>
      <c r="C142" s="106" t="s">
        <v>1014</v>
      </c>
      <c r="D142" s="22" t="s">
        <v>97</v>
      </c>
      <c r="E142" s="193">
        <v>870</v>
      </c>
      <c r="F142" s="195">
        <v>2276</v>
      </c>
      <c r="G142" s="22">
        <v>4</v>
      </c>
      <c r="H142" s="23"/>
      <c r="I142" s="23"/>
      <c r="J142" s="393"/>
      <c r="K142" s="23"/>
      <c r="L142" s="23"/>
      <c r="M142" s="236"/>
      <c r="N142" s="23"/>
    </row>
    <row r="143" spans="1:14" x14ac:dyDescent="0.2">
      <c r="A143" s="23"/>
      <c r="B143" s="393"/>
      <c r="C143" s="106" t="s">
        <v>1015</v>
      </c>
      <c r="D143" s="22" t="s">
        <v>97</v>
      </c>
      <c r="E143" s="193">
        <v>550</v>
      </c>
      <c r="F143" s="195">
        <v>1359</v>
      </c>
      <c r="G143" s="22">
        <v>5</v>
      </c>
      <c r="H143" s="23"/>
      <c r="I143" s="23"/>
      <c r="J143" s="393"/>
      <c r="K143" s="23"/>
      <c r="L143" s="23"/>
      <c r="M143" s="236"/>
      <c r="N143" s="23"/>
    </row>
    <row r="144" spans="1:14" x14ac:dyDescent="0.2">
      <c r="A144" s="23"/>
      <c r="B144" s="393"/>
      <c r="C144" s="106" t="s">
        <v>1016</v>
      </c>
      <c r="D144" s="22" t="s">
        <v>97</v>
      </c>
      <c r="E144" s="193">
        <v>370</v>
      </c>
      <c r="F144" s="195">
        <v>1030</v>
      </c>
      <c r="G144" s="23"/>
      <c r="H144" s="23"/>
      <c r="I144" s="23"/>
      <c r="J144" s="393"/>
      <c r="K144" s="23"/>
      <c r="L144" s="23"/>
      <c r="M144" s="236"/>
      <c r="N144" s="23"/>
    </row>
    <row r="145" spans="1:14" x14ac:dyDescent="0.2">
      <c r="A145" s="23"/>
      <c r="B145" s="393"/>
      <c r="C145" s="22"/>
      <c r="D145" s="22"/>
      <c r="E145" s="193"/>
      <c r="F145" s="195"/>
      <c r="G145" s="23"/>
      <c r="H145" s="23"/>
      <c r="I145" s="23"/>
      <c r="J145" s="393"/>
      <c r="K145" s="23"/>
      <c r="L145" s="23"/>
      <c r="M145" s="236"/>
      <c r="N145" s="23"/>
    </row>
    <row r="146" spans="1:14" x14ac:dyDescent="0.2">
      <c r="D146" s="93" t="s">
        <v>1055</v>
      </c>
      <c r="E146" s="398">
        <f t="shared" ref="E146:G146" si="0">SUM(E136:E145)</f>
        <v>9020</v>
      </c>
      <c r="F146" s="394">
        <f t="shared" si="0"/>
        <v>21282</v>
      </c>
      <c r="G146" s="158">
        <f t="shared" si="0"/>
        <v>261</v>
      </c>
    </row>
  </sheetData>
  <mergeCells count="3">
    <mergeCell ref="A1:F1"/>
    <mergeCell ref="I1:N1"/>
    <mergeCell ref="G135:H135"/>
  </mergeCells>
  <dataValidations count="1">
    <dataValidation type="list" allowBlank="1" showErrorMessage="1" sqref="D3:D145 L3:L145" xr:uid="{00000000-0002-0000-1000-000000000000}">
      <formula1>"Leopardstown,Fairyhouse,Aviva,Curragh"</formula1>
    </dataValidation>
  </dataValidation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I323"/>
  <sheetViews>
    <sheetView workbookViewId="0"/>
  </sheetViews>
  <sheetFormatPr defaultColWidth="11.21875" defaultRowHeight="15" customHeight="1" x14ac:dyDescent="0.2"/>
  <cols>
    <col min="2" max="2" width="35.7578125" customWidth="1"/>
    <col min="3" max="3" width="18.37109375" customWidth="1"/>
    <col min="4" max="4" width="16.15234375" customWidth="1"/>
    <col min="5" max="7" width="28.23828125" customWidth="1"/>
    <col min="8" max="8" width="18.86328125" customWidth="1"/>
    <col min="9" max="9" width="15.90625" customWidth="1"/>
  </cols>
  <sheetData>
    <row r="1" spans="1:9" ht="35.25" x14ac:dyDescent="0.5">
      <c r="A1" s="603" t="s">
        <v>1056</v>
      </c>
      <c r="B1" s="533"/>
      <c r="C1" s="533"/>
      <c r="D1" s="533"/>
      <c r="E1" s="533"/>
      <c r="F1" s="533"/>
      <c r="G1" s="533"/>
      <c r="H1" s="533"/>
      <c r="I1" s="533"/>
    </row>
    <row r="2" spans="1:9" x14ac:dyDescent="0.2">
      <c r="A2" s="93" t="s">
        <v>1057</v>
      </c>
      <c r="B2" s="93" t="s">
        <v>1058</v>
      </c>
      <c r="C2" s="17" t="s">
        <v>1059</v>
      </c>
      <c r="D2" s="17" t="s">
        <v>1060</v>
      </c>
      <c r="E2" s="17" t="s">
        <v>454</v>
      </c>
      <c r="F2" s="17" t="s">
        <v>1061</v>
      </c>
      <c r="G2" s="17" t="s">
        <v>1062</v>
      </c>
      <c r="H2" s="93" t="s">
        <v>1063</v>
      </c>
      <c r="I2" s="93" t="s">
        <v>1064</v>
      </c>
    </row>
    <row r="3" spans="1:9" x14ac:dyDescent="0.2">
      <c r="A3" s="399"/>
      <c r="B3" s="399"/>
      <c r="C3" s="400"/>
      <c r="H3" s="93"/>
      <c r="I3" s="93"/>
    </row>
    <row r="4" spans="1:9" x14ac:dyDescent="0.2">
      <c r="A4" s="399" t="s">
        <v>1065</v>
      </c>
      <c r="B4" s="399" t="s">
        <v>1066</v>
      </c>
      <c r="C4" s="400"/>
      <c r="D4" s="400"/>
      <c r="F4" s="93" t="s">
        <v>1067</v>
      </c>
      <c r="G4" s="236">
        <v>49373</v>
      </c>
      <c r="H4" s="93" t="s">
        <v>1068</v>
      </c>
      <c r="I4" s="93" t="s">
        <v>1068</v>
      </c>
    </row>
    <row r="5" spans="1:9" hidden="1" x14ac:dyDescent="0.2">
      <c r="A5" s="399" t="s">
        <v>1069</v>
      </c>
      <c r="B5" s="399" t="s">
        <v>1070</v>
      </c>
      <c r="C5" s="400"/>
      <c r="H5" s="93" t="s">
        <v>1071</v>
      </c>
      <c r="I5" s="93" t="s">
        <v>1072</v>
      </c>
    </row>
    <row r="6" spans="1:9" x14ac:dyDescent="0.2">
      <c r="A6" s="399" t="s">
        <v>1073</v>
      </c>
      <c r="B6" s="399" t="s">
        <v>1074</v>
      </c>
      <c r="C6" s="400"/>
      <c r="D6" s="400"/>
      <c r="G6" s="398"/>
      <c r="H6" s="93" t="s">
        <v>1068</v>
      </c>
      <c r="I6" s="93" t="s">
        <v>1068</v>
      </c>
    </row>
    <row r="7" spans="1:9" x14ac:dyDescent="0.2">
      <c r="A7" s="399" t="s">
        <v>1075</v>
      </c>
      <c r="B7" s="399" t="s">
        <v>1076</v>
      </c>
      <c r="C7" s="400"/>
      <c r="D7" s="400"/>
      <c r="G7" s="398"/>
      <c r="H7" s="93" t="s">
        <v>1068</v>
      </c>
      <c r="I7" s="93" t="s">
        <v>1068</v>
      </c>
    </row>
    <row r="8" spans="1:9" hidden="1" x14ac:dyDescent="0.2">
      <c r="A8" s="399" t="s">
        <v>1077</v>
      </c>
      <c r="B8" s="399" t="s">
        <v>1078</v>
      </c>
      <c r="C8" s="400"/>
      <c r="D8" s="400"/>
      <c r="H8" s="93" t="s">
        <v>1071</v>
      </c>
      <c r="I8" s="93" t="s">
        <v>1072</v>
      </c>
    </row>
    <row r="9" spans="1:9" hidden="1" x14ac:dyDescent="0.2">
      <c r="A9" s="399" t="s">
        <v>1079</v>
      </c>
      <c r="B9" s="399" t="s">
        <v>1080</v>
      </c>
      <c r="C9" s="400"/>
      <c r="D9" s="400"/>
      <c r="H9" s="93" t="s">
        <v>1071</v>
      </c>
      <c r="I9" s="93" t="s">
        <v>1072</v>
      </c>
    </row>
    <row r="10" spans="1:9" hidden="1" x14ac:dyDescent="0.2">
      <c r="A10" s="399" t="s">
        <v>1081</v>
      </c>
      <c r="B10" s="399" t="s">
        <v>1082</v>
      </c>
      <c r="C10" s="400"/>
      <c r="D10" s="400"/>
      <c r="H10" s="93" t="s">
        <v>1071</v>
      </c>
      <c r="I10" s="93" t="s">
        <v>1072</v>
      </c>
    </row>
    <row r="11" spans="1:9" hidden="1" x14ac:dyDescent="0.2">
      <c r="A11" s="399" t="s">
        <v>1083</v>
      </c>
      <c r="B11" s="399" t="s">
        <v>1084</v>
      </c>
      <c r="C11" s="400"/>
      <c r="D11" s="400"/>
      <c r="H11" s="93" t="s">
        <v>1071</v>
      </c>
      <c r="I11" s="93" t="s">
        <v>1072</v>
      </c>
    </row>
    <row r="12" spans="1:9" hidden="1" x14ac:dyDescent="0.2">
      <c r="A12" s="399" t="s">
        <v>1085</v>
      </c>
      <c r="B12" s="399" t="s">
        <v>1086</v>
      </c>
      <c r="C12" s="400"/>
      <c r="D12" s="400"/>
      <c r="H12" s="93" t="s">
        <v>1071</v>
      </c>
      <c r="I12" s="93" t="s">
        <v>1072</v>
      </c>
    </row>
    <row r="13" spans="1:9" hidden="1" x14ac:dyDescent="0.2">
      <c r="A13" s="399" t="s">
        <v>1087</v>
      </c>
      <c r="B13" s="399" t="s">
        <v>1088</v>
      </c>
      <c r="C13" s="400"/>
      <c r="D13" s="400"/>
      <c r="H13" s="93" t="s">
        <v>1071</v>
      </c>
      <c r="I13" s="93" t="s">
        <v>1072</v>
      </c>
    </row>
    <row r="14" spans="1:9" x14ac:dyDescent="0.2">
      <c r="A14" s="399" t="s">
        <v>1089</v>
      </c>
      <c r="B14" s="399" t="s">
        <v>1090</v>
      </c>
      <c r="C14" s="400"/>
      <c r="D14" s="400"/>
      <c r="G14" s="398"/>
      <c r="H14" s="93" t="s">
        <v>1068</v>
      </c>
      <c r="I14" s="93" t="s">
        <v>1068</v>
      </c>
    </row>
    <row r="15" spans="1:9" hidden="1" x14ac:dyDescent="0.2">
      <c r="A15" s="399" t="s">
        <v>1091</v>
      </c>
      <c r="B15" s="399" t="s">
        <v>1092</v>
      </c>
      <c r="C15" s="400"/>
      <c r="D15" s="400"/>
      <c r="H15" s="93" t="s">
        <v>1071</v>
      </c>
      <c r="I15" s="93" t="s">
        <v>1072</v>
      </c>
    </row>
    <row r="16" spans="1:9" x14ac:dyDescent="0.2">
      <c r="A16" s="399" t="s">
        <v>1093</v>
      </c>
      <c r="B16" s="399" t="s">
        <v>1094</v>
      </c>
      <c r="C16" s="400"/>
      <c r="D16" s="400"/>
      <c r="G16" s="398"/>
      <c r="H16" s="93" t="s">
        <v>1095</v>
      </c>
      <c r="I16" s="93" t="s">
        <v>1096</v>
      </c>
    </row>
    <row r="17" spans="1:9" hidden="1" x14ac:dyDescent="0.2">
      <c r="A17" s="399" t="s">
        <v>1097</v>
      </c>
      <c r="B17" s="399" t="s">
        <v>1098</v>
      </c>
      <c r="C17" s="400"/>
      <c r="D17" s="400"/>
      <c r="H17" s="93" t="s">
        <v>1071</v>
      </c>
      <c r="I17" s="93" t="s">
        <v>1072</v>
      </c>
    </row>
    <row r="18" spans="1:9" hidden="1" x14ac:dyDescent="0.2">
      <c r="A18" s="399" t="s">
        <v>1099</v>
      </c>
      <c r="B18" s="399" t="s">
        <v>210</v>
      </c>
      <c r="C18" s="400"/>
      <c r="D18" s="400"/>
      <c r="H18" s="93" t="s">
        <v>1071</v>
      </c>
      <c r="I18" s="93" t="s">
        <v>1072</v>
      </c>
    </row>
    <row r="19" spans="1:9" hidden="1" x14ac:dyDescent="0.2">
      <c r="A19" s="399" t="s">
        <v>1100</v>
      </c>
      <c r="B19" s="399" t="s">
        <v>1101</v>
      </c>
      <c r="C19" s="400"/>
      <c r="D19" s="400"/>
      <c r="H19" s="93" t="s">
        <v>1071</v>
      </c>
      <c r="I19" s="93" t="s">
        <v>1072</v>
      </c>
    </row>
    <row r="20" spans="1:9" x14ac:dyDescent="0.2">
      <c r="A20" s="399" t="s">
        <v>1102</v>
      </c>
      <c r="B20" s="399" t="s">
        <v>1103</v>
      </c>
      <c r="C20" s="400"/>
      <c r="D20" s="400"/>
      <c r="G20" s="398"/>
      <c r="H20" s="93" t="s">
        <v>1095</v>
      </c>
      <c r="I20" s="93" t="s">
        <v>1096</v>
      </c>
    </row>
    <row r="21" spans="1:9" x14ac:dyDescent="0.2">
      <c r="A21" s="399" t="s">
        <v>1104</v>
      </c>
      <c r="B21" s="399" t="s">
        <v>1105</v>
      </c>
      <c r="C21" s="400"/>
      <c r="D21" s="400"/>
      <c r="G21" s="236">
        <v>44000</v>
      </c>
      <c r="H21" s="93" t="s">
        <v>1068</v>
      </c>
      <c r="I21" s="93" t="s">
        <v>1068</v>
      </c>
    </row>
    <row r="22" spans="1:9" x14ac:dyDescent="0.2">
      <c r="A22" s="399" t="s">
        <v>1106</v>
      </c>
      <c r="B22" s="399" t="s">
        <v>1107</v>
      </c>
      <c r="C22" s="400"/>
      <c r="D22" s="400"/>
      <c r="G22" s="398"/>
      <c r="H22" s="93" t="s">
        <v>1068</v>
      </c>
      <c r="I22" s="93" t="s">
        <v>1068</v>
      </c>
    </row>
    <row r="23" spans="1:9" hidden="1" x14ac:dyDescent="0.2">
      <c r="A23" s="399" t="s">
        <v>1108</v>
      </c>
      <c r="B23" s="399" t="s">
        <v>1109</v>
      </c>
      <c r="C23" s="400"/>
      <c r="D23" s="400"/>
      <c r="H23" s="93" t="s">
        <v>1071</v>
      </c>
      <c r="I23" s="93" t="s">
        <v>1072</v>
      </c>
    </row>
    <row r="24" spans="1:9" hidden="1" x14ac:dyDescent="0.2">
      <c r="A24" s="399" t="s">
        <v>1110</v>
      </c>
      <c r="B24" s="399" t="s">
        <v>1111</v>
      </c>
      <c r="C24" s="400"/>
      <c r="D24" s="400"/>
      <c r="H24" s="93" t="s">
        <v>1071</v>
      </c>
      <c r="I24" s="93" t="s">
        <v>1072</v>
      </c>
    </row>
    <row r="25" spans="1:9" x14ac:dyDescent="0.2">
      <c r="A25" s="399" t="s">
        <v>1112</v>
      </c>
      <c r="B25" s="399" t="s">
        <v>1113</v>
      </c>
      <c r="C25" s="400"/>
      <c r="D25" s="400"/>
      <c r="G25" s="398"/>
      <c r="H25" s="93" t="s">
        <v>1068</v>
      </c>
      <c r="I25" s="93" t="s">
        <v>1068</v>
      </c>
    </row>
    <row r="26" spans="1:9" hidden="1" x14ac:dyDescent="0.2">
      <c r="A26" s="399" t="s">
        <v>1114</v>
      </c>
      <c r="B26" s="399" t="s">
        <v>1115</v>
      </c>
      <c r="C26" s="400"/>
      <c r="D26" s="400"/>
      <c r="H26" s="93" t="s">
        <v>1071</v>
      </c>
      <c r="I26" s="93" t="s">
        <v>1072</v>
      </c>
    </row>
    <row r="27" spans="1:9" hidden="1" x14ac:dyDescent="0.2">
      <c r="A27" s="399" t="s">
        <v>1116</v>
      </c>
      <c r="B27" s="399" t="s">
        <v>1117</v>
      </c>
      <c r="C27" s="400"/>
      <c r="D27" s="400"/>
      <c r="H27" s="93" t="s">
        <v>1071</v>
      </c>
      <c r="I27" s="93" t="s">
        <v>1072</v>
      </c>
    </row>
    <row r="28" spans="1:9" x14ac:dyDescent="0.2">
      <c r="A28" s="399" t="s">
        <v>1118</v>
      </c>
      <c r="B28" s="399" t="s">
        <v>1119</v>
      </c>
      <c r="C28" s="400"/>
      <c r="D28" s="400"/>
      <c r="G28" s="398"/>
      <c r="H28" s="93" t="s">
        <v>1068</v>
      </c>
      <c r="I28" s="93" t="s">
        <v>1068</v>
      </c>
    </row>
    <row r="29" spans="1:9" hidden="1" x14ac:dyDescent="0.2">
      <c r="A29" s="399" t="s">
        <v>1120</v>
      </c>
      <c r="B29" s="399" t="s">
        <v>1121</v>
      </c>
      <c r="C29" s="400"/>
      <c r="D29" s="400"/>
      <c r="H29" s="93" t="s">
        <v>1071</v>
      </c>
      <c r="I29" s="93" t="s">
        <v>1072</v>
      </c>
    </row>
    <row r="30" spans="1:9" x14ac:dyDescent="0.2">
      <c r="A30" s="399" t="s">
        <v>1122</v>
      </c>
      <c r="B30" s="399" t="s">
        <v>1123</v>
      </c>
      <c r="C30" s="400"/>
      <c r="D30" s="400"/>
      <c r="G30" s="398"/>
      <c r="H30" s="93" t="s">
        <v>1095</v>
      </c>
      <c r="I30" s="93" t="s">
        <v>1124</v>
      </c>
    </row>
    <row r="31" spans="1:9" x14ac:dyDescent="0.2">
      <c r="A31" s="399" t="s">
        <v>1125</v>
      </c>
      <c r="B31" s="399" t="s">
        <v>1126</v>
      </c>
      <c r="C31" s="400"/>
      <c r="D31" s="400"/>
      <c r="G31" s="398"/>
      <c r="H31" s="93" t="s">
        <v>1068</v>
      </c>
      <c r="I31" s="93" t="s">
        <v>1068</v>
      </c>
    </row>
    <row r="32" spans="1:9" x14ac:dyDescent="0.2">
      <c r="A32" s="399" t="s">
        <v>1127</v>
      </c>
      <c r="B32" s="399" t="s">
        <v>1128</v>
      </c>
      <c r="C32" s="400"/>
      <c r="D32" s="400"/>
      <c r="G32" s="236">
        <v>28000</v>
      </c>
      <c r="H32" s="93" t="s">
        <v>1068</v>
      </c>
      <c r="I32" s="93" t="s">
        <v>1068</v>
      </c>
    </row>
    <row r="33" spans="1:9" x14ac:dyDescent="0.2">
      <c r="A33" s="399" t="s">
        <v>1129</v>
      </c>
      <c r="B33" s="399" t="s">
        <v>290</v>
      </c>
      <c r="C33" s="400"/>
      <c r="D33" s="400"/>
      <c r="F33" s="401" t="s">
        <v>1130</v>
      </c>
      <c r="G33" s="236">
        <v>15000</v>
      </c>
      <c r="H33" s="93" t="s">
        <v>1068</v>
      </c>
      <c r="I33" s="93" t="s">
        <v>1068</v>
      </c>
    </row>
    <row r="34" spans="1:9" hidden="1" x14ac:dyDescent="0.2">
      <c r="A34" s="399" t="s">
        <v>1131</v>
      </c>
      <c r="B34" s="399" t="s">
        <v>1132</v>
      </c>
      <c r="C34" s="400"/>
      <c r="D34" s="400"/>
      <c r="H34" s="93" t="s">
        <v>1071</v>
      </c>
      <c r="I34" s="93" t="s">
        <v>1072</v>
      </c>
    </row>
    <row r="35" spans="1:9" hidden="1" x14ac:dyDescent="0.2">
      <c r="A35" s="399" t="s">
        <v>1133</v>
      </c>
      <c r="B35" s="399" t="s">
        <v>1134</v>
      </c>
      <c r="C35" s="400"/>
      <c r="D35" s="400"/>
      <c r="H35" s="93" t="s">
        <v>1071</v>
      </c>
      <c r="I35" s="93" t="s">
        <v>1072</v>
      </c>
    </row>
    <row r="36" spans="1:9" hidden="1" x14ac:dyDescent="0.2">
      <c r="A36" s="399" t="s">
        <v>1135</v>
      </c>
      <c r="B36" s="399" t="s">
        <v>1136</v>
      </c>
      <c r="C36" s="400"/>
      <c r="D36" s="400"/>
      <c r="H36" s="93" t="s">
        <v>1071</v>
      </c>
      <c r="I36" s="93" t="s">
        <v>1072</v>
      </c>
    </row>
    <row r="37" spans="1:9" hidden="1" x14ac:dyDescent="0.2">
      <c r="A37" s="399" t="s">
        <v>1137</v>
      </c>
      <c r="B37" s="399" t="s">
        <v>1138</v>
      </c>
      <c r="C37" s="400"/>
      <c r="D37" s="400"/>
      <c r="H37" s="93" t="s">
        <v>1071</v>
      </c>
      <c r="I37" s="93" t="s">
        <v>1072</v>
      </c>
    </row>
    <row r="38" spans="1:9" x14ac:dyDescent="0.2">
      <c r="A38" s="399" t="s">
        <v>1139</v>
      </c>
      <c r="B38" s="399" t="s">
        <v>294</v>
      </c>
      <c r="C38" s="400"/>
      <c r="D38" s="400"/>
      <c r="G38" s="398"/>
      <c r="H38" s="93" t="s">
        <v>1068</v>
      </c>
      <c r="I38" s="93" t="s">
        <v>1068</v>
      </c>
    </row>
    <row r="39" spans="1:9" hidden="1" x14ac:dyDescent="0.2">
      <c r="A39" s="399" t="s">
        <v>1140</v>
      </c>
      <c r="B39" s="399" t="s">
        <v>1141</v>
      </c>
      <c r="C39" s="400"/>
      <c r="D39" s="400"/>
      <c r="H39" s="93" t="s">
        <v>1071</v>
      </c>
      <c r="I39" s="93" t="s">
        <v>1072</v>
      </c>
    </row>
    <row r="40" spans="1:9" hidden="1" x14ac:dyDescent="0.2">
      <c r="A40" s="399" t="s">
        <v>1142</v>
      </c>
      <c r="B40" s="399" t="s">
        <v>1143</v>
      </c>
      <c r="C40" s="400"/>
      <c r="D40" s="400"/>
      <c r="H40" s="93" t="s">
        <v>1071</v>
      </c>
      <c r="I40" s="93" t="s">
        <v>1072</v>
      </c>
    </row>
    <row r="41" spans="1:9" hidden="1" x14ac:dyDescent="0.2">
      <c r="A41" s="399" t="s">
        <v>1144</v>
      </c>
      <c r="B41" s="399" t="s">
        <v>1145</v>
      </c>
      <c r="C41" s="400"/>
      <c r="D41" s="400"/>
      <c r="H41" s="93" t="s">
        <v>1071</v>
      </c>
      <c r="I41" s="93" t="s">
        <v>1072</v>
      </c>
    </row>
    <row r="42" spans="1:9" x14ac:dyDescent="0.2">
      <c r="A42" s="399" t="s">
        <v>1146</v>
      </c>
      <c r="B42" s="399" t="s">
        <v>1147</v>
      </c>
      <c r="C42" s="400"/>
      <c r="D42" s="400"/>
      <c r="G42" s="398"/>
      <c r="H42" s="93" t="s">
        <v>1068</v>
      </c>
      <c r="I42" s="93" t="s">
        <v>1068</v>
      </c>
    </row>
    <row r="43" spans="1:9" hidden="1" x14ac:dyDescent="0.2">
      <c r="A43" s="399" t="s">
        <v>1148</v>
      </c>
      <c r="B43" s="399" t="s">
        <v>1149</v>
      </c>
      <c r="C43" s="400"/>
      <c r="D43" s="400"/>
      <c r="H43" s="93" t="s">
        <v>1071</v>
      </c>
      <c r="I43" s="93" t="s">
        <v>1072</v>
      </c>
    </row>
    <row r="44" spans="1:9" x14ac:dyDescent="0.2">
      <c r="A44" s="399" t="s">
        <v>1150</v>
      </c>
      <c r="B44" s="399" t="s">
        <v>1151</v>
      </c>
      <c r="C44" s="400"/>
      <c r="D44" s="400"/>
      <c r="G44" s="398"/>
      <c r="H44" s="93" t="s">
        <v>1095</v>
      </c>
      <c r="I44" s="93" t="s">
        <v>1124</v>
      </c>
    </row>
    <row r="45" spans="1:9" hidden="1" x14ac:dyDescent="0.2">
      <c r="A45" s="399" t="s">
        <v>1152</v>
      </c>
      <c r="B45" s="399" t="s">
        <v>1153</v>
      </c>
      <c r="C45" s="400"/>
      <c r="D45" s="400"/>
      <c r="H45" s="93" t="s">
        <v>1071</v>
      </c>
      <c r="I45" s="93" t="s">
        <v>1072</v>
      </c>
    </row>
    <row r="46" spans="1:9" x14ac:dyDescent="0.2">
      <c r="A46" s="399" t="s">
        <v>1154</v>
      </c>
      <c r="B46" s="399" t="s">
        <v>1155</v>
      </c>
      <c r="C46" s="400"/>
      <c r="D46" s="400"/>
      <c r="G46" s="398"/>
      <c r="H46" s="93" t="s">
        <v>1068</v>
      </c>
      <c r="I46" s="93" t="s">
        <v>1068</v>
      </c>
    </row>
    <row r="47" spans="1:9" hidden="1" x14ac:dyDescent="0.2">
      <c r="A47" s="399" t="s">
        <v>1156</v>
      </c>
      <c r="B47" s="399" t="s">
        <v>1157</v>
      </c>
      <c r="C47" s="400"/>
      <c r="D47" s="400"/>
      <c r="H47" s="93" t="s">
        <v>1071</v>
      </c>
      <c r="I47" s="93" t="s">
        <v>1072</v>
      </c>
    </row>
    <row r="48" spans="1:9" hidden="1" x14ac:dyDescent="0.2">
      <c r="A48" s="399" t="s">
        <v>1158</v>
      </c>
      <c r="B48" s="399" t="s">
        <v>1159</v>
      </c>
      <c r="C48" s="400"/>
      <c r="D48" s="400"/>
      <c r="H48" s="93" t="s">
        <v>1071</v>
      </c>
      <c r="I48" s="93" t="s">
        <v>1072</v>
      </c>
    </row>
    <row r="49" spans="1:9" hidden="1" x14ac:dyDescent="0.2">
      <c r="A49" s="399" t="s">
        <v>1160</v>
      </c>
      <c r="B49" s="399" t="s">
        <v>1161</v>
      </c>
      <c r="C49" s="400"/>
      <c r="D49" s="400"/>
      <c r="H49" s="93" t="s">
        <v>1071</v>
      </c>
      <c r="I49" s="93" t="s">
        <v>1072</v>
      </c>
    </row>
    <row r="50" spans="1:9" hidden="1" x14ac:dyDescent="0.2">
      <c r="A50" s="399" t="s">
        <v>1162</v>
      </c>
      <c r="B50" s="399" t="s">
        <v>1163</v>
      </c>
      <c r="C50" s="400"/>
      <c r="D50" s="400"/>
      <c r="H50" s="93" t="s">
        <v>1071</v>
      </c>
      <c r="I50" s="93" t="s">
        <v>1072</v>
      </c>
    </row>
    <row r="51" spans="1:9" x14ac:dyDescent="0.2">
      <c r="A51" s="399" t="s">
        <v>1164</v>
      </c>
      <c r="B51" s="399" t="s">
        <v>1165</v>
      </c>
      <c r="C51" s="400"/>
      <c r="D51" s="400"/>
      <c r="G51" s="398"/>
      <c r="H51" s="93" t="s">
        <v>1068</v>
      </c>
      <c r="I51" s="93" t="s">
        <v>1068</v>
      </c>
    </row>
    <row r="52" spans="1:9" hidden="1" x14ac:dyDescent="0.2">
      <c r="A52" s="399" t="s">
        <v>1166</v>
      </c>
      <c r="B52" s="399" t="s">
        <v>1167</v>
      </c>
      <c r="C52" s="400"/>
      <c r="D52" s="400"/>
      <c r="H52" s="93" t="s">
        <v>1071</v>
      </c>
      <c r="I52" s="93" t="s">
        <v>1072</v>
      </c>
    </row>
    <row r="53" spans="1:9" hidden="1" x14ac:dyDescent="0.2">
      <c r="A53" s="399" t="s">
        <v>1168</v>
      </c>
      <c r="B53" s="399" t="s">
        <v>1169</v>
      </c>
      <c r="C53" s="400"/>
      <c r="D53" s="400"/>
      <c r="H53" s="93" t="s">
        <v>1071</v>
      </c>
      <c r="I53" s="93" t="s">
        <v>1072</v>
      </c>
    </row>
    <row r="54" spans="1:9" hidden="1" x14ac:dyDescent="0.2">
      <c r="A54" s="399" t="s">
        <v>1170</v>
      </c>
      <c r="B54" s="399" t="s">
        <v>1171</v>
      </c>
      <c r="C54" s="400"/>
      <c r="D54" s="400"/>
      <c r="H54" s="93" t="s">
        <v>1071</v>
      </c>
      <c r="I54" s="93" t="s">
        <v>1072</v>
      </c>
    </row>
    <row r="55" spans="1:9" x14ac:dyDescent="0.2">
      <c r="A55" s="399" t="s">
        <v>1172</v>
      </c>
      <c r="B55" s="399" t="s">
        <v>1173</v>
      </c>
      <c r="C55" s="400"/>
      <c r="D55" s="400"/>
      <c r="G55" s="398"/>
      <c r="H55" s="93" t="s">
        <v>1068</v>
      </c>
      <c r="I55" s="93" t="s">
        <v>1068</v>
      </c>
    </row>
    <row r="56" spans="1:9" x14ac:dyDescent="0.2">
      <c r="A56" s="399" t="s">
        <v>1174</v>
      </c>
      <c r="B56" s="399" t="s">
        <v>1175</v>
      </c>
      <c r="C56" s="400"/>
      <c r="D56" s="400"/>
      <c r="G56" s="398"/>
      <c r="H56" s="93" t="s">
        <v>1068</v>
      </c>
      <c r="I56" s="93" t="s">
        <v>1068</v>
      </c>
    </row>
    <row r="57" spans="1:9" hidden="1" x14ac:dyDescent="0.2">
      <c r="A57" s="399" t="s">
        <v>1176</v>
      </c>
      <c r="B57" s="399" t="s">
        <v>1177</v>
      </c>
      <c r="C57" s="400"/>
      <c r="D57" s="400"/>
      <c r="H57" s="93" t="s">
        <v>1071</v>
      </c>
      <c r="I57" s="93" t="s">
        <v>1072</v>
      </c>
    </row>
    <row r="58" spans="1:9" x14ac:dyDescent="0.2">
      <c r="A58" s="399" t="s">
        <v>1178</v>
      </c>
      <c r="B58" s="399" t="s">
        <v>1179</v>
      </c>
      <c r="C58" s="400"/>
      <c r="D58" s="400"/>
      <c r="G58" s="398"/>
      <c r="H58" s="93" t="s">
        <v>1068</v>
      </c>
      <c r="I58" s="93" t="s">
        <v>1068</v>
      </c>
    </row>
    <row r="59" spans="1:9" x14ac:dyDescent="0.2">
      <c r="A59" s="399" t="s">
        <v>1180</v>
      </c>
      <c r="B59" s="399" t="s">
        <v>1181</v>
      </c>
      <c r="C59" s="400"/>
      <c r="D59" s="400"/>
      <c r="G59" s="398"/>
      <c r="H59" s="93" t="s">
        <v>1068</v>
      </c>
      <c r="I59" s="93" t="s">
        <v>1068</v>
      </c>
    </row>
    <row r="60" spans="1:9" hidden="1" x14ac:dyDescent="0.2">
      <c r="A60" s="399" t="s">
        <v>1182</v>
      </c>
      <c r="B60" s="399" t="s">
        <v>1183</v>
      </c>
      <c r="C60" s="400"/>
      <c r="D60" s="400"/>
      <c r="H60" s="93" t="s">
        <v>1071</v>
      </c>
      <c r="I60" s="93" t="s">
        <v>1072</v>
      </c>
    </row>
    <row r="61" spans="1:9" hidden="1" x14ac:dyDescent="0.2">
      <c r="A61" s="399" t="s">
        <v>1184</v>
      </c>
      <c r="B61" s="399" t="s">
        <v>1185</v>
      </c>
      <c r="C61" s="400"/>
      <c r="D61" s="400"/>
      <c r="H61" s="93" t="s">
        <v>1071</v>
      </c>
      <c r="I61" s="93" t="s">
        <v>1072</v>
      </c>
    </row>
    <row r="62" spans="1:9" x14ac:dyDescent="0.2">
      <c r="A62" s="399" t="s">
        <v>1186</v>
      </c>
      <c r="B62" s="399" t="s">
        <v>1187</v>
      </c>
      <c r="C62" s="400"/>
      <c r="D62" s="400"/>
      <c r="G62" s="398"/>
      <c r="H62" s="93" t="s">
        <v>1068</v>
      </c>
      <c r="I62" s="93" t="s">
        <v>1068</v>
      </c>
    </row>
    <row r="63" spans="1:9" hidden="1" x14ac:dyDescent="0.2">
      <c r="A63" s="399" t="s">
        <v>1188</v>
      </c>
      <c r="B63" s="399" t="s">
        <v>1189</v>
      </c>
      <c r="C63" s="400"/>
      <c r="D63" s="400"/>
      <c r="H63" s="93" t="s">
        <v>1071</v>
      </c>
      <c r="I63" s="93" t="s">
        <v>1072</v>
      </c>
    </row>
    <row r="64" spans="1:9" x14ac:dyDescent="0.2">
      <c r="A64" s="399" t="s">
        <v>1190</v>
      </c>
      <c r="B64" s="399" t="s">
        <v>1191</v>
      </c>
      <c r="C64" s="400"/>
      <c r="D64" s="400"/>
      <c r="G64" s="398"/>
      <c r="H64" s="93" t="s">
        <v>1068</v>
      </c>
      <c r="I64" s="93" t="s">
        <v>1068</v>
      </c>
    </row>
    <row r="65" spans="1:9" x14ac:dyDescent="0.2">
      <c r="A65" s="399" t="s">
        <v>1192</v>
      </c>
      <c r="B65" s="399" t="s">
        <v>1193</v>
      </c>
      <c r="C65" s="400"/>
      <c r="D65" s="400"/>
      <c r="G65" s="398"/>
      <c r="H65" s="93" t="s">
        <v>1068</v>
      </c>
      <c r="I65" s="93" t="s">
        <v>1068</v>
      </c>
    </row>
    <row r="66" spans="1:9" x14ac:dyDescent="0.2">
      <c r="A66" s="399" t="s">
        <v>1194</v>
      </c>
      <c r="B66" s="399" t="s">
        <v>1195</v>
      </c>
      <c r="C66" s="400"/>
      <c r="D66" s="400"/>
      <c r="G66" s="398"/>
      <c r="H66" s="93" t="s">
        <v>1068</v>
      </c>
      <c r="I66" s="93" t="s">
        <v>1068</v>
      </c>
    </row>
    <row r="67" spans="1:9" hidden="1" x14ac:dyDescent="0.2">
      <c r="A67" s="399" t="s">
        <v>1196</v>
      </c>
      <c r="B67" s="399" t="s">
        <v>1197</v>
      </c>
      <c r="C67" s="400"/>
      <c r="D67" s="400"/>
      <c r="H67" s="93" t="s">
        <v>1071</v>
      </c>
      <c r="I67" s="93" t="s">
        <v>1072</v>
      </c>
    </row>
    <row r="68" spans="1:9" hidden="1" x14ac:dyDescent="0.2">
      <c r="A68" s="399" t="s">
        <v>1198</v>
      </c>
      <c r="B68" s="399" t="s">
        <v>1199</v>
      </c>
      <c r="C68" s="400"/>
      <c r="D68" s="400"/>
      <c r="H68" s="93" t="s">
        <v>1071</v>
      </c>
      <c r="I68" s="93" t="s">
        <v>1072</v>
      </c>
    </row>
    <row r="69" spans="1:9" hidden="1" x14ac:dyDescent="0.2">
      <c r="A69" s="399" t="s">
        <v>1200</v>
      </c>
      <c r="B69" s="399" t="s">
        <v>1201</v>
      </c>
      <c r="C69" s="400"/>
      <c r="D69" s="400"/>
      <c r="H69" s="93" t="s">
        <v>1071</v>
      </c>
      <c r="I69" s="93" t="s">
        <v>1072</v>
      </c>
    </row>
    <row r="70" spans="1:9" x14ac:dyDescent="0.2">
      <c r="A70" s="399" t="s">
        <v>1202</v>
      </c>
      <c r="B70" s="399" t="s">
        <v>1203</v>
      </c>
      <c r="C70" s="400"/>
      <c r="D70" s="400"/>
      <c r="G70" s="398"/>
      <c r="H70" s="93" t="s">
        <v>1068</v>
      </c>
      <c r="I70" s="93" t="s">
        <v>1068</v>
      </c>
    </row>
    <row r="71" spans="1:9" x14ac:dyDescent="0.2">
      <c r="A71" s="399" t="s">
        <v>1204</v>
      </c>
      <c r="B71" s="399" t="s">
        <v>1205</v>
      </c>
      <c r="C71" s="400"/>
      <c r="D71" s="400"/>
      <c r="G71" s="398"/>
      <c r="H71" s="93" t="s">
        <v>1068</v>
      </c>
      <c r="I71" s="93" t="s">
        <v>1068</v>
      </c>
    </row>
    <row r="72" spans="1:9" x14ac:dyDescent="0.2">
      <c r="A72" s="399" t="s">
        <v>1206</v>
      </c>
      <c r="B72" s="399" t="s">
        <v>1207</v>
      </c>
      <c r="C72" s="400"/>
      <c r="D72" s="400"/>
      <c r="G72" s="398"/>
      <c r="H72" s="93" t="s">
        <v>1068</v>
      </c>
      <c r="I72" s="93" t="s">
        <v>1068</v>
      </c>
    </row>
    <row r="73" spans="1:9" x14ac:dyDescent="0.2">
      <c r="A73" s="399" t="s">
        <v>1208</v>
      </c>
      <c r="B73" s="399" t="s">
        <v>1209</v>
      </c>
      <c r="C73" s="400"/>
      <c r="D73" s="400"/>
      <c r="G73" s="398"/>
      <c r="H73" s="93" t="s">
        <v>1068</v>
      </c>
      <c r="I73" s="93" t="s">
        <v>1068</v>
      </c>
    </row>
    <row r="74" spans="1:9" hidden="1" x14ac:dyDescent="0.2">
      <c r="A74" s="399" t="s">
        <v>1210</v>
      </c>
      <c r="B74" s="399" t="s">
        <v>1211</v>
      </c>
      <c r="C74" s="400"/>
      <c r="D74" s="400"/>
      <c r="H74" s="93" t="s">
        <v>1071</v>
      </c>
      <c r="I74" s="93" t="s">
        <v>1072</v>
      </c>
    </row>
    <row r="75" spans="1:9" hidden="1" x14ac:dyDescent="0.2">
      <c r="A75" s="399" t="s">
        <v>1212</v>
      </c>
      <c r="B75" s="399" t="s">
        <v>1213</v>
      </c>
      <c r="C75" s="400"/>
      <c r="D75" s="400"/>
      <c r="H75" s="93" t="s">
        <v>1071</v>
      </c>
      <c r="I75" s="93" t="s">
        <v>1072</v>
      </c>
    </row>
    <row r="76" spans="1:9" hidden="1" x14ac:dyDescent="0.2">
      <c r="A76" s="399" t="s">
        <v>1214</v>
      </c>
      <c r="B76" s="399" t="s">
        <v>1215</v>
      </c>
      <c r="C76" s="400"/>
      <c r="D76" s="400"/>
      <c r="H76" s="93" t="s">
        <v>1071</v>
      </c>
      <c r="I76" s="93" t="s">
        <v>1072</v>
      </c>
    </row>
    <row r="77" spans="1:9" hidden="1" x14ac:dyDescent="0.2">
      <c r="A77" s="399" t="s">
        <v>1216</v>
      </c>
      <c r="B77" s="399" t="s">
        <v>1217</v>
      </c>
      <c r="C77" s="400"/>
      <c r="D77" s="400"/>
      <c r="H77" s="93" t="s">
        <v>1071</v>
      </c>
      <c r="I77" s="93" t="s">
        <v>1072</v>
      </c>
    </row>
    <row r="78" spans="1:9" hidden="1" x14ac:dyDescent="0.2">
      <c r="A78" s="399" t="s">
        <v>1218</v>
      </c>
      <c r="B78" s="399" t="s">
        <v>1219</v>
      </c>
      <c r="C78" s="400"/>
      <c r="D78" s="400"/>
      <c r="H78" s="93" t="s">
        <v>1071</v>
      </c>
      <c r="I78" s="93" t="s">
        <v>1072</v>
      </c>
    </row>
    <row r="79" spans="1:9" x14ac:dyDescent="0.2">
      <c r="A79" s="399" t="s">
        <v>1220</v>
      </c>
      <c r="B79" s="399" t="s">
        <v>1221</v>
      </c>
      <c r="C79" s="400"/>
      <c r="D79" s="400"/>
      <c r="G79" s="398"/>
      <c r="H79" s="93" t="s">
        <v>1068</v>
      </c>
      <c r="I79" s="93" t="s">
        <v>1068</v>
      </c>
    </row>
    <row r="80" spans="1:9" hidden="1" x14ac:dyDescent="0.2">
      <c r="A80" s="399" t="s">
        <v>1222</v>
      </c>
      <c r="B80" s="399" t="s">
        <v>1223</v>
      </c>
      <c r="C80" s="400"/>
      <c r="D80" s="400"/>
      <c r="H80" s="93" t="s">
        <v>1071</v>
      </c>
      <c r="I80" s="93" t="s">
        <v>1072</v>
      </c>
    </row>
    <row r="81" spans="1:9" hidden="1" x14ac:dyDescent="0.2">
      <c r="A81" s="399" t="s">
        <v>1224</v>
      </c>
      <c r="B81" s="399" t="s">
        <v>1225</v>
      </c>
      <c r="C81" s="400"/>
      <c r="D81" s="400"/>
      <c r="H81" s="93" t="s">
        <v>1071</v>
      </c>
      <c r="I81" s="93" t="s">
        <v>1072</v>
      </c>
    </row>
    <row r="82" spans="1:9" x14ac:dyDescent="0.2">
      <c r="A82" s="399" t="s">
        <v>1226</v>
      </c>
      <c r="B82" s="399" t="s">
        <v>1227</v>
      </c>
      <c r="C82" s="400"/>
      <c r="D82" s="400"/>
      <c r="G82" s="398"/>
      <c r="H82" s="93" t="s">
        <v>1068</v>
      </c>
      <c r="I82" s="93" t="s">
        <v>1068</v>
      </c>
    </row>
    <row r="83" spans="1:9" x14ac:dyDescent="0.2">
      <c r="A83" s="399" t="s">
        <v>1228</v>
      </c>
      <c r="B83" s="399" t="s">
        <v>1229</v>
      </c>
      <c r="C83" s="400"/>
      <c r="D83" s="400"/>
      <c r="G83" s="398"/>
      <c r="H83" s="93" t="s">
        <v>1068</v>
      </c>
      <c r="I83" s="93" t="s">
        <v>1068</v>
      </c>
    </row>
    <row r="84" spans="1:9" x14ac:dyDescent="0.2">
      <c r="A84" s="399" t="s">
        <v>1230</v>
      </c>
      <c r="B84" s="399" t="s">
        <v>1231</v>
      </c>
      <c r="C84" s="400"/>
      <c r="D84" s="400"/>
      <c r="G84" s="398"/>
      <c r="H84" s="93" t="s">
        <v>1068</v>
      </c>
      <c r="I84" s="93" t="s">
        <v>1068</v>
      </c>
    </row>
    <row r="85" spans="1:9" x14ac:dyDescent="0.2">
      <c r="A85" s="399" t="s">
        <v>1232</v>
      </c>
      <c r="B85" s="399" t="s">
        <v>1233</v>
      </c>
      <c r="C85" s="400"/>
      <c r="D85" s="400"/>
      <c r="G85" s="398"/>
      <c r="H85" s="93" t="s">
        <v>1068</v>
      </c>
      <c r="I85" s="93" t="s">
        <v>1068</v>
      </c>
    </row>
    <row r="86" spans="1:9" x14ac:dyDescent="0.2">
      <c r="A86" s="399" t="s">
        <v>1234</v>
      </c>
      <c r="B86" s="399" t="s">
        <v>1235</v>
      </c>
      <c r="C86" s="400"/>
      <c r="D86" s="400"/>
      <c r="G86" s="398"/>
      <c r="H86" s="93" t="s">
        <v>1068</v>
      </c>
      <c r="I86" s="93" t="s">
        <v>1068</v>
      </c>
    </row>
    <row r="87" spans="1:9" x14ac:dyDescent="0.2">
      <c r="A87" s="399" t="s">
        <v>1236</v>
      </c>
      <c r="B87" s="399" t="s">
        <v>1237</v>
      </c>
      <c r="C87" s="400"/>
      <c r="D87" s="400"/>
      <c r="G87" s="398"/>
      <c r="H87" s="93" t="s">
        <v>1068</v>
      </c>
      <c r="I87" s="93" t="s">
        <v>1068</v>
      </c>
    </row>
    <row r="88" spans="1:9" hidden="1" x14ac:dyDescent="0.2">
      <c r="A88" s="399" t="s">
        <v>1238</v>
      </c>
      <c r="B88" s="399" t="s">
        <v>1239</v>
      </c>
      <c r="C88" s="400"/>
      <c r="D88" s="400"/>
      <c r="H88" s="93" t="s">
        <v>1071</v>
      </c>
      <c r="I88" s="93" t="s">
        <v>1072</v>
      </c>
    </row>
    <row r="89" spans="1:9" x14ac:dyDescent="0.2">
      <c r="A89" s="399" t="s">
        <v>1240</v>
      </c>
      <c r="B89" s="399" t="s">
        <v>1241</v>
      </c>
      <c r="C89" s="400"/>
      <c r="D89" s="400"/>
      <c r="G89" s="398"/>
      <c r="H89" s="93" t="s">
        <v>1068</v>
      </c>
      <c r="I89" s="93" t="s">
        <v>1068</v>
      </c>
    </row>
    <row r="90" spans="1:9" hidden="1" x14ac:dyDescent="0.2">
      <c r="A90" s="399" t="s">
        <v>1242</v>
      </c>
      <c r="B90" s="399" t="s">
        <v>1243</v>
      </c>
      <c r="C90" s="400"/>
      <c r="D90" s="400"/>
      <c r="H90" s="93" t="s">
        <v>1071</v>
      </c>
      <c r="I90" s="93" t="s">
        <v>1072</v>
      </c>
    </row>
    <row r="91" spans="1:9" hidden="1" x14ac:dyDescent="0.2">
      <c r="A91" s="399" t="s">
        <v>1244</v>
      </c>
      <c r="B91" s="399" t="s">
        <v>1245</v>
      </c>
      <c r="C91" s="400"/>
      <c r="D91" s="400"/>
      <c r="H91" s="93" t="s">
        <v>1071</v>
      </c>
      <c r="I91" s="93" t="s">
        <v>1072</v>
      </c>
    </row>
    <row r="92" spans="1:9" hidden="1" x14ac:dyDescent="0.2">
      <c r="A92" s="399" t="s">
        <v>1246</v>
      </c>
      <c r="B92" s="399" t="s">
        <v>1247</v>
      </c>
      <c r="C92" s="400"/>
      <c r="D92" s="400"/>
      <c r="H92" s="93" t="s">
        <v>1071</v>
      </c>
      <c r="I92" s="93" t="s">
        <v>1072</v>
      </c>
    </row>
    <row r="93" spans="1:9" hidden="1" x14ac:dyDescent="0.2">
      <c r="A93" s="399" t="s">
        <v>1248</v>
      </c>
      <c r="B93" s="399" t="s">
        <v>1249</v>
      </c>
      <c r="C93" s="400"/>
      <c r="D93" s="400"/>
      <c r="H93" s="93" t="s">
        <v>1071</v>
      </c>
      <c r="I93" s="93" t="s">
        <v>1072</v>
      </c>
    </row>
    <row r="94" spans="1:9" hidden="1" x14ac:dyDescent="0.2">
      <c r="A94" s="399" t="s">
        <v>1250</v>
      </c>
      <c r="B94" s="399" t="s">
        <v>1251</v>
      </c>
      <c r="C94" s="400"/>
      <c r="D94" s="400"/>
      <c r="H94" s="93" t="s">
        <v>1071</v>
      </c>
      <c r="I94" s="93" t="s">
        <v>1072</v>
      </c>
    </row>
    <row r="95" spans="1:9" hidden="1" x14ac:dyDescent="0.2">
      <c r="A95" s="399" t="s">
        <v>1252</v>
      </c>
      <c r="B95" s="399" t="s">
        <v>1253</v>
      </c>
      <c r="C95" s="400"/>
      <c r="D95" s="400"/>
      <c r="H95" s="93" t="s">
        <v>1071</v>
      </c>
      <c r="I95" s="93" t="s">
        <v>1072</v>
      </c>
    </row>
    <row r="96" spans="1:9" hidden="1" x14ac:dyDescent="0.2">
      <c r="A96" s="399" t="s">
        <v>1254</v>
      </c>
      <c r="B96" s="399" t="s">
        <v>1255</v>
      </c>
      <c r="C96" s="400"/>
      <c r="D96" s="400"/>
      <c r="H96" s="93" t="s">
        <v>1071</v>
      </c>
      <c r="I96" s="93" t="s">
        <v>1072</v>
      </c>
    </row>
    <row r="97" spans="1:9" hidden="1" x14ac:dyDescent="0.2">
      <c r="A97" s="399" t="s">
        <v>1256</v>
      </c>
      <c r="B97" s="399" t="s">
        <v>1257</v>
      </c>
      <c r="C97" s="400"/>
      <c r="D97" s="400"/>
      <c r="H97" s="93" t="s">
        <v>1071</v>
      </c>
      <c r="I97" s="93" t="s">
        <v>1072</v>
      </c>
    </row>
    <row r="98" spans="1:9" hidden="1" x14ac:dyDescent="0.2">
      <c r="A98" s="399" t="s">
        <v>1258</v>
      </c>
      <c r="B98" s="399" t="s">
        <v>1259</v>
      </c>
      <c r="C98" s="400"/>
      <c r="D98" s="400"/>
      <c r="H98" s="93" t="s">
        <v>1071</v>
      </c>
      <c r="I98" s="93" t="s">
        <v>1072</v>
      </c>
    </row>
    <row r="99" spans="1:9" x14ac:dyDescent="0.2">
      <c r="A99" s="399" t="s">
        <v>1260</v>
      </c>
      <c r="B99" s="399" t="s">
        <v>1261</v>
      </c>
      <c r="C99" s="400"/>
      <c r="D99" s="400"/>
      <c r="G99" s="398"/>
      <c r="H99" s="93" t="s">
        <v>1068</v>
      </c>
      <c r="I99" s="93" t="s">
        <v>1068</v>
      </c>
    </row>
    <row r="100" spans="1:9" hidden="1" x14ac:dyDescent="0.2">
      <c r="A100" s="399" t="s">
        <v>1262</v>
      </c>
      <c r="B100" s="399" t="s">
        <v>1263</v>
      </c>
      <c r="C100" s="400"/>
      <c r="D100" s="400"/>
      <c r="H100" s="93" t="s">
        <v>1071</v>
      </c>
      <c r="I100" s="93" t="s">
        <v>1072</v>
      </c>
    </row>
    <row r="101" spans="1:9" hidden="1" x14ac:dyDescent="0.2">
      <c r="A101" s="399" t="s">
        <v>1264</v>
      </c>
      <c r="B101" s="399" t="s">
        <v>1265</v>
      </c>
      <c r="C101" s="400"/>
      <c r="D101" s="400"/>
      <c r="H101" s="93" t="s">
        <v>1071</v>
      </c>
      <c r="I101" s="93" t="s">
        <v>1072</v>
      </c>
    </row>
    <row r="102" spans="1:9" hidden="1" x14ac:dyDescent="0.2">
      <c r="A102" s="399" t="s">
        <v>1266</v>
      </c>
      <c r="B102" s="399" t="s">
        <v>1267</v>
      </c>
      <c r="C102" s="400"/>
      <c r="D102" s="400"/>
      <c r="H102" s="93" t="s">
        <v>1071</v>
      </c>
      <c r="I102" s="93" t="s">
        <v>1072</v>
      </c>
    </row>
    <row r="103" spans="1:9" x14ac:dyDescent="0.2">
      <c r="A103" s="399" t="s">
        <v>1268</v>
      </c>
      <c r="B103" s="399" t="s">
        <v>1269</v>
      </c>
      <c r="C103" s="400"/>
      <c r="G103" s="398"/>
      <c r="H103" s="93" t="s">
        <v>1095</v>
      </c>
      <c r="I103" s="93" t="s">
        <v>1124</v>
      </c>
    </row>
    <row r="104" spans="1:9" hidden="1" x14ac:dyDescent="0.2">
      <c r="A104" s="399" t="s">
        <v>1270</v>
      </c>
      <c r="B104" s="399" t="s">
        <v>1271</v>
      </c>
      <c r="C104" s="400"/>
      <c r="D104" s="400"/>
      <c r="H104" s="93" t="s">
        <v>1071</v>
      </c>
      <c r="I104" s="93" t="s">
        <v>1072</v>
      </c>
    </row>
    <row r="105" spans="1:9" hidden="1" x14ac:dyDescent="0.2">
      <c r="A105" s="399" t="s">
        <v>1272</v>
      </c>
      <c r="B105" s="399" t="s">
        <v>1273</v>
      </c>
      <c r="C105" s="400"/>
      <c r="D105" s="400"/>
      <c r="H105" s="93" t="s">
        <v>1071</v>
      </c>
      <c r="I105" s="93" t="s">
        <v>1072</v>
      </c>
    </row>
    <row r="106" spans="1:9" x14ac:dyDescent="0.2">
      <c r="A106" s="399" t="s">
        <v>1274</v>
      </c>
      <c r="B106" s="399" t="s">
        <v>1275</v>
      </c>
      <c r="C106" s="400"/>
      <c r="D106" s="400"/>
      <c r="G106" s="398"/>
      <c r="H106" s="93" t="s">
        <v>1068</v>
      </c>
      <c r="I106" s="93" t="s">
        <v>1068</v>
      </c>
    </row>
    <row r="107" spans="1:9" x14ac:dyDescent="0.2">
      <c r="A107" s="399" t="s">
        <v>1276</v>
      </c>
      <c r="B107" s="399" t="s">
        <v>19</v>
      </c>
      <c r="C107" s="400"/>
      <c r="D107" s="400"/>
      <c r="G107" s="398"/>
      <c r="H107" s="93" t="s">
        <v>1068</v>
      </c>
      <c r="I107" s="93" t="s">
        <v>1068</v>
      </c>
    </row>
    <row r="108" spans="1:9" x14ac:dyDescent="0.2">
      <c r="A108" s="399" t="s">
        <v>1277</v>
      </c>
      <c r="B108" s="399" t="s">
        <v>1278</v>
      </c>
      <c r="C108" s="400"/>
      <c r="D108" s="400"/>
      <c r="G108" s="398"/>
      <c r="H108" s="93" t="s">
        <v>1068</v>
      </c>
      <c r="I108" s="93" t="s">
        <v>1068</v>
      </c>
    </row>
    <row r="109" spans="1:9" hidden="1" x14ac:dyDescent="0.2">
      <c r="A109" s="399" t="s">
        <v>1279</v>
      </c>
      <c r="B109" s="399" t="s">
        <v>1280</v>
      </c>
      <c r="C109" s="400"/>
      <c r="D109" s="400"/>
      <c r="H109" s="93" t="s">
        <v>1071</v>
      </c>
      <c r="I109" s="93" t="s">
        <v>1072</v>
      </c>
    </row>
    <row r="110" spans="1:9" hidden="1" x14ac:dyDescent="0.2">
      <c r="A110" s="399" t="s">
        <v>1281</v>
      </c>
      <c r="B110" s="399" t="s">
        <v>1282</v>
      </c>
      <c r="C110" s="400"/>
      <c r="D110" s="400"/>
      <c r="H110" s="93" t="s">
        <v>1071</v>
      </c>
      <c r="I110" s="93" t="s">
        <v>1072</v>
      </c>
    </row>
    <row r="111" spans="1:9" x14ac:dyDescent="0.2">
      <c r="A111" s="399" t="s">
        <v>1283</v>
      </c>
      <c r="B111" s="399" t="s">
        <v>1284</v>
      </c>
      <c r="C111" s="400"/>
      <c r="D111" s="400"/>
      <c r="G111" s="398"/>
      <c r="H111" s="93" t="s">
        <v>1095</v>
      </c>
      <c r="I111" s="93" t="s">
        <v>1096</v>
      </c>
    </row>
    <row r="112" spans="1:9" hidden="1" x14ac:dyDescent="0.2">
      <c r="A112" s="399" t="s">
        <v>1285</v>
      </c>
      <c r="B112" s="399" t="s">
        <v>1286</v>
      </c>
      <c r="C112" s="400"/>
      <c r="D112" s="400"/>
      <c r="H112" s="93" t="s">
        <v>1071</v>
      </c>
      <c r="I112" s="93" t="s">
        <v>1072</v>
      </c>
    </row>
    <row r="113" spans="1:9" hidden="1" x14ac:dyDescent="0.2">
      <c r="A113" s="399" t="s">
        <v>1287</v>
      </c>
      <c r="B113" s="399" t="s">
        <v>1288</v>
      </c>
      <c r="C113" s="400"/>
      <c r="D113" s="400"/>
      <c r="H113" s="93" t="s">
        <v>1071</v>
      </c>
      <c r="I113" s="93" t="s">
        <v>1072</v>
      </c>
    </row>
    <row r="114" spans="1:9" hidden="1" x14ac:dyDescent="0.2">
      <c r="A114" s="399" t="s">
        <v>1289</v>
      </c>
      <c r="B114" s="399" t="s">
        <v>1290</v>
      </c>
      <c r="C114" s="400"/>
      <c r="D114" s="400"/>
      <c r="H114" s="93" t="s">
        <v>1071</v>
      </c>
      <c r="I114" s="93" t="s">
        <v>1072</v>
      </c>
    </row>
    <row r="115" spans="1:9" hidden="1" x14ac:dyDescent="0.2">
      <c r="A115" s="399" t="s">
        <v>1291</v>
      </c>
      <c r="B115" s="399" t="s">
        <v>1292</v>
      </c>
      <c r="C115" s="400"/>
      <c r="D115" s="400"/>
      <c r="H115" s="93" t="s">
        <v>1071</v>
      </c>
      <c r="I115" s="93" t="s">
        <v>1072</v>
      </c>
    </row>
    <row r="116" spans="1:9" x14ac:dyDescent="0.2">
      <c r="A116" s="399" t="s">
        <v>1293</v>
      </c>
      <c r="B116" s="399" t="s">
        <v>54</v>
      </c>
      <c r="C116" s="400"/>
      <c r="D116" s="400"/>
      <c r="F116" s="93" t="s">
        <v>1294</v>
      </c>
      <c r="G116" s="236">
        <v>17308</v>
      </c>
      <c r="H116" s="93" t="s">
        <v>1068</v>
      </c>
      <c r="I116" s="93" t="s">
        <v>1068</v>
      </c>
    </row>
    <row r="117" spans="1:9" x14ac:dyDescent="0.2">
      <c r="A117" s="399" t="s">
        <v>1295</v>
      </c>
      <c r="B117" s="399" t="s">
        <v>1296</v>
      </c>
      <c r="C117" s="400"/>
      <c r="D117" s="400"/>
      <c r="G117" s="398"/>
      <c r="H117" s="93" t="s">
        <v>1068</v>
      </c>
      <c r="I117" s="93" t="s">
        <v>1068</v>
      </c>
    </row>
    <row r="118" spans="1:9" x14ac:dyDescent="0.2">
      <c r="A118" s="399" t="s">
        <v>1297</v>
      </c>
      <c r="B118" s="399" t="s">
        <v>1298</v>
      </c>
      <c r="C118" s="400"/>
      <c r="D118" s="400"/>
      <c r="G118" s="398"/>
      <c r="H118" s="93" t="s">
        <v>1068</v>
      </c>
      <c r="I118" s="93" t="s">
        <v>1068</v>
      </c>
    </row>
    <row r="119" spans="1:9" hidden="1" x14ac:dyDescent="0.2">
      <c r="A119" s="399" t="s">
        <v>1299</v>
      </c>
      <c r="B119" s="399" t="s">
        <v>1300</v>
      </c>
      <c r="C119" s="400"/>
      <c r="D119" s="400"/>
      <c r="H119" s="93" t="s">
        <v>1071</v>
      </c>
      <c r="I119" s="93" t="s">
        <v>1072</v>
      </c>
    </row>
    <row r="120" spans="1:9" hidden="1" x14ac:dyDescent="0.2">
      <c r="A120" s="399" t="s">
        <v>1301</v>
      </c>
      <c r="B120" s="399" t="s">
        <v>1300</v>
      </c>
      <c r="C120" s="400"/>
      <c r="D120" s="400"/>
      <c r="H120" s="93" t="s">
        <v>1071</v>
      </c>
      <c r="I120" s="93" t="s">
        <v>1072</v>
      </c>
    </row>
    <row r="121" spans="1:9" hidden="1" x14ac:dyDescent="0.2">
      <c r="A121" s="399" t="s">
        <v>1302</v>
      </c>
      <c r="B121" s="399" t="s">
        <v>1303</v>
      </c>
      <c r="C121" s="400"/>
      <c r="D121" s="400"/>
      <c r="H121" s="93" t="s">
        <v>1071</v>
      </c>
      <c r="I121" s="93" t="s">
        <v>1072</v>
      </c>
    </row>
    <row r="122" spans="1:9" x14ac:dyDescent="0.2">
      <c r="A122" s="399" t="s">
        <v>1304</v>
      </c>
      <c r="B122" s="399" t="s">
        <v>1305</v>
      </c>
      <c r="C122" s="400"/>
      <c r="D122" s="400"/>
      <c r="G122" s="398"/>
      <c r="H122" s="93" t="s">
        <v>1068</v>
      </c>
      <c r="I122" s="93" t="s">
        <v>1068</v>
      </c>
    </row>
    <row r="123" spans="1:9" x14ac:dyDescent="0.2">
      <c r="A123" s="399" t="s">
        <v>1306</v>
      </c>
      <c r="B123" s="399" t="s">
        <v>1307</v>
      </c>
      <c r="C123" s="400"/>
      <c r="D123" s="400"/>
      <c r="G123" s="398"/>
      <c r="H123" s="93" t="s">
        <v>1068</v>
      </c>
      <c r="I123" s="93" t="s">
        <v>1068</v>
      </c>
    </row>
    <row r="124" spans="1:9" x14ac:dyDescent="0.2">
      <c r="A124" s="399" t="s">
        <v>1308</v>
      </c>
      <c r="B124" s="399" t="s">
        <v>1309</v>
      </c>
      <c r="C124" s="400"/>
      <c r="D124" s="400"/>
      <c r="G124" s="398"/>
      <c r="H124" s="93" t="s">
        <v>1068</v>
      </c>
      <c r="I124" s="93" t="s">
        <v>1068</v>
      </c>
    </row>
    <row r="125" spans="1:9" x14ac:dyDescent="0.2">
      <c r="A125" s="399" t="s">
        <v>1310</v>
      </c>
      <c r="B125" s="399" t="s">
        <v>1311</v>
      </c>
      <c r="C125" s="400"/>
      <c r="D125" s="400"/>
      <c r="G125" s="398"/>
      <c r="H125" s="93" t="s">
        <v>1068</v>
      </c>
      <c r="I125" s="93" t="s">
        <v>1068</v>
      </c>
    </row>
    <row r="126" spans="1:9" x14ac:dyDescent="0.2">
      <c r="A126" s="399" t="s">
        <v>1312</v>
      </c>
      <c r="B126" s="399" t="s">
        <v>1313</v>
      </c>
      <c r="C126" s="400"/>
      <c r="D126" s="400"/>
      <c r="G126" s="398"/>
      <c r="H126" s="93" t="s">
        <v>1095</v>
      </c>
      <c r="I126" s="93" t="s">
        <v>1124</v>
      </c>
    </row>
    <row r="127" spans="1:9" hidden="1" x14ac:dyDescent="0.2">
      <c r="A127" s="399" t="s">
        <v>1314</v>
      </c>
      <c r="B127" s="399" t="s">
        <v>1315</v>
      </c>
      <c r="C127" s="400"/>
      <c r="D127" s="400"/>
      <c r="H127" s="93" t="s">
        <v>1071</v>
      </c>
      <c r="I127" s="93" t="s">
        <v>1072</v>
      </c>
    </row>
    <row r="128" spans="1:9" hidden="1" x14ac:dyDescent="0.2">
      <c r="A128" s="399" t="s">
        <v>1316</v>
      </c>
      <c r="B128" s="399" t="s">
        <v>1317</v>
      </c>
      <c r="C128" s="400"/>
      <c r="D128" s="400"/>
      <c r="H128" s="93" t="s">
        <v>1071</v>
      </c>
      <c r="I128" s="93" t="s">
        <v>1072</v>
      </c>
    </row>
    <row r="129" spans="1:9" x14ac:dyDescent="0.2">
      <c r="A129" s="399" t="s">
        <v>1318</v>
      </c>
      <c r="B129" s="399" t="s">
        <v>1319</v>
      </c>
      <c r="C129" s="400"/>
      <c r="D129" s="400"/>
      <c r="G129" s="398"/>
      <c r="H129" s="93" t="s">
        <v>1068</v>
      </c>
      <c r="I129" s="93" t="s">
        <v>1068</v>
      </c>
    </row>
    <row r="130" spans="1:9" x14ac:dyDescent="0.2">
      <c r="A130" s="399" t="s">
        <v>1320</v>
      </c>
      <c r="B130" s="399" t="s">
        <v>1321</v>
      </c>
      <c r="C130" s="400"/>
      <c r="D130" s="400"/>
      <c r="G130" s="398"/>
      <c r="H130" s="93" t="s">
        <v>1068</v>
      </c>
      <c r="I130" s="93" t="s">
        <v>1068</v>
      </c>
    </row>
    <row r="131" spans="1:9" hidden="1" x14ac:dyDescent="0.2">
      <c r="A131" s="399" t="s">
        <v>1322</v>
      </c>
      <c r="B131" s="399" t="s">
        <v>1323</v>
      </c>
      <c r="C131" s="400"/>
      <c r="D131" s="400"/>
      <c r="H131" s="93" t="s">
        <v>1071</v>
      </c>
      <c r="I131" s="93" t="s">
        <v>1072</v>
      </c>
    </row>
    <row r="132" spans="1:9" hidden="1" x14ac:dyDescent="0.2">
      <c r="A132" s="399" t="s">
        <v>1324</v>
      </c>
      <c r="B132" s="399" t="s">
        <v>1325</v>
      </c>
      <c r="C132" s="400"/>
      <c r="D132" s="400"/>
      <c r="H132" s="93" t="s">
        <v>1071</v>
      </c>
      <c r="I132" s="93" t="s">
        <v>1072</v>
      </c>
    </row>
    <row r="133" spans="1:9" hidden="1" x14ac:dyDescent="0.2">
      <c r="A133" s="399" t="s">
        <v>1326</v>
      </c>
      <c r="B133" s="399" t="s">
        <v>1327</v>
      </c>
      <c r="C133" s="400"/>
      <c r="D133" s="400"/>
      <c r="H133" s="93" t="s">
        <v>1071</v>
      </c>
      <c r="I133" s="93" t="s">
        <v>1072</v>
      </c>
    </row>
    <row r="134" spans="1:9" hidden="1" x14ac:dyDescent="0.2">
      <c r="A134" s="399" t="s">
        <v>1328</v>
      </c>
      <c r="B134" s="399" t="s">
        <v>1329</v>
      </c>
      <c r="C134" s="400"/>
      <c r="D134" s="400"/>
      <c r="H134" s="93" t="s">
        <v>1071</v>
      </c>
      <c r="I134" s="93" t="s">
        <v>1072</v>
      </c>
    </row>
    <row r="135" spans="1:9" hidden="1" x14ac:dyDescent="0.2">
      <c r="A135" s="399" t="s">
        <v>1330</v>
      </c>
      <c r="B135" s="399" t="s">
        <v>1331</v>
      </c>
      <c r="C135" s="400"/>
      <c r="D135" s="400"/>
      <c r="H135" s="93" t="s">
        <v>1071</v>
      </c>
      <c r="I135" s="93" t="s">
        <v>1072</v>
      </c>
    </row>
    <row r="136" spans="1:9" x14ac:dyDescent="0.2">
      <c r="A136" s="399" t="s">
        <v>1332</v>
      </c>
      <c r="B136" s="399" t="s">
        <v>1333</v>
      </c>
      <c r="C136" s="400"/>
      <c r="D136" s="400"/>
      <c r="G136" s="398"/>
      <c r="H136" s="93" t="s">
        <v>1068</v>
      </c>
      <c r="I136" s="93" t="s">
        <v>1068</v>
      </c>
    </row>
    <row r="137" spans="1:9" x14ac:dyDescent="0.2">
      <c r="A137" s="399" t="s">
        <v>1334</v>
      </c>
      <c r="B137" s="399" t="s">
        <v>1335</v>
      </c>
      <c r="C137" s="400"/>
      <c r="D137" s="400"/>
      <c r="G137" s="398"/>
      <c r="H137" s="93" t="s">
        <v>1068</v>
      </c>
      <c r="I137" s="93" t="s">
        <v>1068</v>
      </c>
    </row>
    <row r="138" spans="1:9" hidden="1" x14ac:dyDescent="0.2">
      <c r="A138" s="399" t="s">
        <v>1336</v>
      </c>
      <c r="B138" s="399" t="s">
        <v>1337</v>
      </c>
      <c r="C138" s="400"/>
      <c r="D138" s="400"/>
      <c r="H138" s="93" t="s">
        <v>1071</v>
      </c>
      <c r="I138" s="93" t="s">
        <v>1072</v>
      </c>
    </row>
    <row r="139" spans="1:9" hidden="1" x14ac:dyDescent="0.2">
      <c r="A139" s="399" t="s">
        <v>1338</v>
      </c>
      <c r="B139" s="399" t="s">
        <v>1339</v>
      </c>
      <c r="C139" s="400"/>
      <c r="D139" s="400"/>
      <c r="H139" s="93" t="s">
        <v>1071</v>
      </c>
      <c r="I139" s="93" t="s">
        <v>1072</v>
      </c>
    </row>
    <row r="140" spans="1:9" x14ac:dyDescent="0.2">
      <c r="A140" s="399" t="s">
        <v>1340</v>
      </c>
      <c r="B140" s="399" t="s">
        <v>1341</v>
      </c>
      <c r="C140" s="400"/>
      <c r="D140" s="400"/>
      <c r="G140" s="398"/>
      <c r="H140" s="93" t="s">
        <v>1095</v>
      </c>
      <c r="I140" s="93" t="s">
        <v>1124</v>
      </c>
    </row>
    <row r="141" spans="1:9" x14ac:dyDescent="0.2">
      <c r="A141" s="399" t="s">
        <v>1342</v>
      </c>
      <c r="B141" s="399" t="s">
        <v>1343</v>
      </c>
      <c r="C141" s="400"/>
      <c r="D141" s="400"/>
      <c r="G141" s="398"/>
      <c r="H141" s="93" t="s">
        <v>1068</v>
      </c>
      <c r="I141" s="93" t="s">
        <v>1068</v>
      </c>
    </row>
    <row r="142" spans="1:9" hidden="1" x14ac:dyDescent="0.2">
      <c r="A142" s="399" t="s">
        <v>1344</v>
      </c>
      <c r="B142" s="399" t="s">
        <v>1345</v>
      </c>
      <c r="C142" s="400"/>
      <c r="D142" s="400"/>
      <c r="H142" s="93" t="s">
        <v>1071</v>
      </c>
      <c r="I142" s="93" t="s">
        <v>1072</v>
      </c>
    </row>
    <row r="143" spans="1:9" hidden="1" x14ac:dyDescent="0.2">
      <c r="A143" s="399" t="s">
        <v>1346</v>
      </c>
      <c r="B143" s="399" t="s">
        <v>1347</v>
      </c>
      <c r="C143" s="400"/>
      <c r="D143" s="400"/>
      <c r="H143" s="93" t="s">
        <v>1071</v>
      </c>
      <c r="I143" s="93" t="s">
        <v>1072</v>
      </c>
    </row>
    <row r="144" spans="1:9" hidden="1" x14ac:dyDescent="0.2">
      <c r="A144" s="399" t="s">
        <v>1348</v>
      </c>
      <c r="B144" s="399" t="s">
        <v>1349</v>
      </c>
      <c r="C144" s="400"/>
      <c r="D144" s="400"/>
      <c r="H144" s="93" t="s">
        <v>1071</v>
      </c>
      <c r="I144" s="93" t="s">
        <v>1072</v>
      </c>
    </row>
    <row r="145" spans="1:9" hidden="1" x14ac:dyDescent="0.2">
      <c r="A145" s="399" t="s">
        <v>1350</v>
      </c>
      <c r="B145" s="399" t="s">
        <v>1351</v>
      </c>
      <c r="C145" s="400"/>
      <c r="D145" s="400"/>
      <c r="H145" s="93" t="s">
        <v>1071</v>
      </c>
      <c r="I145" s="93" t="s">
        <v>1072</v>
      </c>
    </row>
    <row r="146" spans="1:9" x14ac:dyDescent="0.2">
      <c r="A146" s="399" t="s">
        <v>1352</v>
      </c>
      <c r="B146" s="399" t="s">
        <v>1353</v>
      </c>
      <c r="C146" s="400"/>
      <c r="D146" s="400"/>
      <c r="G146" s="398"/>
      <c r="H146" s="93" t="s">
        <v>1095</v>
      </c>
      <c r="I146" s="93" t="s">
        <v>1124</v>
      </c>
    </row>
    <row r="147" spans="1:9" x14ac:dyDescent="0.2">
      <c r="A147" s="399" t="s">
        <v>1354</v>
      </c>
      <c r="B147" s="399" t="s">
        <v>1355</v>
      </c>
      <c r="C147" s="400"/>
      <c r="D147" s="400"/>
      <c r="G147" s="398"/>
      <c r="H147" s="93" t="s">
        <v>1095</v>
      </c>
      <c r="I147" s="93" t="s">
        <v>1124</v>
      </c>
    </row>
    <row r="148" spans="1:9" x14ac:dyDescent="0.2">
      <c r="A148" s="399" t="s">
        <v>1356</v>
      </c>
      <c r="B148" s="399" t="s">
        <v>1357</v>
      </c>
      <c r="C148" s="400"/>
      <c r="D148" s="400"/>
      <c r="G148" s="398"/>
      <c r="H148" s="93" t="s">
        <v>1068</v>
      </c>
      <c r="I148" s="93" t="s">
        <v>1068</v>
      </c>
    </row>
    <row r="149" spans="1:9" hidden="1" x14ac:dyDescent="0.2">
      <c r="A149" s="399" t="s">
        <v>1358</v>
      </c>
      <c r="B149" s="399" t="s">
        <v>1359</v>
      </c>
      <c r="C149" s="400"/>
      <c r="D149" s="400"/>
      <c r="H149" s="93" t="s">
        <v>1071</v>
      </c>
      <c r="I149" s="93" t="s">
        <v>1072</v>
      </c>
    </row>
    <row r="150" spans="1:9" hidden="1" x14ac:dyDescent="0.2">
      <c r="A150" s="399" t="s">
        <v>1360</v>
      </c>
      <c r="B150" s="399" t="s">
        <v>1361</v>
      </c>
      <c r="C150" s="400"/>
      <c r="D150" s="400"/>
      <c r="H150" s="93" t="s">
        <v>1071</v>
      </c>
      <c r="I150" s="93" t="s">
        <v>1072</v>
      </c>
    </row>
    <row r="151" spans="1:9" hidden="1" x14ac:dyDescent="0.2">
      <c r="A151" s="399" t="s">
        <v>1362</v>
      </c>
      <c r="B151" s="399" t="s">
        <v>1363</v>
      </c>
      <c r="C151" s="400"/>
      <c r="D151" s="400"/>
      <c r="H151" s="93" t="s">
        <v>1071</v>
      </c>
      <c r="I151" s="93" t="s">
        <v>1072</v>
      </c>
    </row>
    <row r="152" spans="1:9" x14ac:dyDescent="0.2">
      <c r="A152" s="399" t="s">
        <v>1364</v>
      </c>
      <c r="B152" s="399" t="s">
        <v>205</v>
      </c>
      <c r="C152" s="400"/>
      <c r="D152" s="400"/>
      <c r="G152" s="398"/>
      <c r="H152" s="93" t="s">
        <v>1095</v>
      </c>
      <c r="I152" s="93" t="s">
        <v>1096</v>
      </c>
    </row>
    <row r="153" spans="1:9" x14ac:dyDescent="0.2">
      <c r="A153" s="399" t="s">
        <v>1365</v>
      </c>
      <c r="B153" s="399" t="s">
        <v>1366</v>
      </c>
      <c r="C153" s="400"/>
      <c r="D153" s="400"/>
      <c r="G153" s="398"/>
      <c r="H153" s="93" t="s">
        <v>1068</v>
      </c>
      <c r="I153" s="93" t="s">
        <v>1068</v>
      </c>
    </row>
    <row r="154" spans="1:9" hidden="1" x14ac:dyDescent="0.2">
      <c r="A154" s="399" t="s">
        <v>1367</v>
      </c>
      <c r="B154" s="399" t="s">
        <v>1368</v>
      </c>
      <c r="C154" s="400"/>
      <c r="D154" s="400"/>
      <c r="H154" s="93" t="s">
        <v>1071</v>
      </c>
      <c r="I154" s="93" t="s">
        <v>1072</v>
      </c>
    </row>
    <row r="155" spans="1:9" x14ac:dyDescent="0.2">
      <c r="A155" s="399" t="s">
        <v>1369</v>
      </c>
      <c r="B155" s="399" t="s">
        <v>1370</v>
      </c>
      <c r="C155" s="400"/>
      <c r="D155" s="400"/>
      <c r="G155" s="398"/>
      <c r="H155" s="93" t="s">
        <v>1095</v>
      </c>
      <c r="I155" s="93" t="s">
        <v>1124</v>
      </c>
    </row>
    <row r="156" spans="1:9" hidden="1" x14ac:dyDescent="0.2">
      <c r="A156" s="399" t="s">
        <v>1371</v>
      </c>
      <c r="B156" s="399" t="s">
        <v>1372</v>
      </c>
      <c r="C156" s="400"/>
      <c r="D156" s="400"/>
      <c r="H156" s="93" t="s">
        <v>1071</v>
      </c>
      <c r="I156" s="93" t="s">
        <v>1072</v>
      </c>
    </row>
    <row r="157" spans="1:9" hidden="1" x14ac:dyDescent="0.2">
      <c r="A157" s="399" t="s">
        <v>1373</v>
      </c>
      <c r="B157" s="399" t="s">
        <v>1374</v>
      </c>
      <c r="C157" s="400"/>
      <c r="D157" s="400"/>
      <c r="H157" s="93" t="s">
        <v>1071</v>
      </c>
      <c r="I157" s="93" t="s">
        <v>1072</v>
      </c>
    </row>
    <row r="158" spans="1:9" x14ac:dyDescent="0.2">
      <c r="A158" s="399" t="s">
        <v>1375</v>
      </c>
      <c r="B158" s="399" t="s">
        <v>1376</v>
      </c>
      <c r="C158" s="400"/>
      <c r="D158" s="400"/>
      <c r="G158" s="398"/>
      <c r="H158" s="93" t="s">
        <v>1068</v>
      </c>
      <c r="I158" s="93" t="s">
        <v>1068</v>
      </c>
    </row>
    <row r="159" spans="1:9" x14ac:dyDescent="0.2">
      <c r="A159" s="399" t="s">
        <v>1377</v>
      </c>
      <c r="B159" s="399" t="s">
        <v>1378</v>
      </c>
      <c r="C159" s="400"/>
      <c r="D159" s="400"/>
      <c r="G159" s="398"/>
      <c r="H159" s="93" t="s">
        <v>1068</v>
      </c>
      <c r="I159" s="93" t="s">
        <v>1068</v>
      </c>
    </row>
    <row r="160" spans="1:9" x14ac:dyDescent="0.2">
      <c r="A160" s="399" t="s">
        <v>1379</v>
      </c>
      <c r="B160" s="399" t="s">
        <v>1380</v>
      </c>
      <c r="C160" s="400"/>
      <c r="D160" s="400"/>
      <c r="G160" s="398"/>
      <c r="H160" s="93" t="s">
        <v>1095</v>
      </c>
      <c r="I160" s="93" t="s">
        <v>1124</v>
      </c>
    </row>
    <row r="161" spans="1:9" x14ac:dyDescent="0.2">
      <c r="A161" s="399" t="s">
        <v>1381</v>
      </c>
      <c r="B161" s="399" t="s">
        <v>1382</v>
      </c>
      <c r="C161" s="400"/>
      <c r="D161" s="400"/>
      <c r="G161" s="398"/>
      <c r="H161" s="93" t="s">
        <v>1095</v>
      </c>
      <c r="I161" s="93" t="s">
        <v>1124</v>
      </c>
    </row>
    <row r="162" spans="1:9" hidden="1" x14ac:dyDescent="0.2">
      <c r="A162" s="399" t="s">
        <v>1383</v>
      </c>
      <c r="B162" s="399" t="s">
        <v>1384</v>
      </c>
      <c r="C162" s="400"/>
      <c r="D162" s="400"/>
      <c r="H162" s="93" t="s">
        <v>1071</v>
      </c>
      <c r="I162" s="93" t="s">
        <v>1072</v>
      </c>
    </row>
    <row r="163" spans="1:9" x14ac:dyDescent="0.2">
      <c r="A163" s="399" t="s">
        <v>1385</v>
      </c>
      <c r="B163" s="399" t="s">
        <v>1386</v>
      </c>
      <c r="C163" s="400"/>
      <c r="D163" s="400"/>
      <c r="G163" s="398"/>
      <c r="H163" s="93" t="s">
        <v>1095</v>
      </c>
      <c r="I163" s="93" t="s">
        <v>1124</v>
      </c>
    </row>
    <row r="164" spans="1:9" x14ac:dyDescent="0.2">
      <c r="A164" s="399" t="s">
        <v>1387</v>
      </c>
      <c r="B164" s="399" t="s">
        <v>1388</v>
      </c>
      <c r="C164" s="400"/>
      <c r="D164" s="400"/>
      <c r="G164" s="398"/>
      <c r="H164" s="93" t="s">
        <v>1068</v>
      </c>
      <c r="I164" s="93" t="s">
        <v>1068</v>
      </c>
    </row>
    <row r="165" spans="1:9" hidden="1" x14ac:dyDescent="0.2">
      <c r="A165" s="399" t="s">
        <v>1389</v>
      </c>
      <c r="B165" s="399" t="s">
        <v>1390</v>
      </c>
      <c r="C165" s="400"/>
      <c r="D165" s="400"/>
      <c r="H165" s="93" t="s">
        <v>1071</v>
      </c>
      <c r="I165" s="93" t="s">
        <v>1072</v>
      </c>
    </row>
    <row r="166" spans="1:9" x14ac:dyDescent="0.2">
      <c r="A166" s="399" t="s">
        <v>1391</v>
      </c>
      <c r="B166" s="399" t="s">
        <v>1392</v>
      </c>
      <c r="C166" s="400"/>
      <c r="D166" s="400"/>
      <c r="G166" s="398"/>
      <c r="H166" s="93" t="s">
        <v>1095</v>
      </c>
      <c r="I166" s="93" t="s">
        <v>1124</v>
      </c>
    </row>
    <row r="167" spans="1:9" hidden="1" x14ac:dyDescent="0.2">
      <c r="A167" s="399" t="s">
        <v>1393</v>
      </c>
      <c r="B167" s="399" t="s">
        <v>1394</v>
      </c>
      <c r="C167" s="400"/>
      <c r="D167" s="400"/>
      <c r="H167" s="93" t="s">
        <v>1071</v>
      </c>
      <c r="I167" s="93" t="s">
        <v>1072</v>
      </c>
    </row>
    <row r="168" spans="1:9" hidden="1" x14ac:dyDescent="0.2">
      <c r="A168" s="399" t="s">
        <v>1395</v>
      </c>
      <c r="B168" s="399" t="s">
        <v>1396</v>
      </c>
      <c r="C168" s="400"/>
      <c r="D168" s="400"/>
      <c r="H168" s="93" t="s">
        <v>1071</v>
      </c>
      <c r="I168" s="93" t="s">
        <v>1072</v>
      </c>
    </row>
    <row r="169" spans="1:9" x14ac:dyDescent="0.2">
      <c r="A169" s="399" t="s">
        <v>1397</v>
      </c>
      <c r="B169" s="399" t="s">
        <v>1398</v>
      </c>
      <c r="C169" s="400"/>
      <c r="D169" s="400"/>
      <c r="G169" s="398"/>
      <c r="H169" s="93" t="s">
        <v>1068</v>
      </c>
      <c r="I169" s="93" t="s">
        <v>1068</v>
      </c>
    </row>
    <row r="170" spans="1:9" x14ac:dyDescent="0.2">
      <c r="A170" s="399" t="s">
        <v>1399</v>
      </c>
      <c r="B170" s="399" t="s">
        <v>1400</v>
      </c>
      <c r="C170" s="400"/>
      <c r="D170" s="400"/>
      <c r="G170" s="398"/>
      <c r="H170" s="93" t="s">
        <v>1095</v>
      </c>
      <c r="I170" s="93" t="s">
        <v>1096</v>
      </c>
    </row>
    <row r="171" spans="1:9" x14ac:dyDescent="0.2">
      <c r="A171" s="399" t="s">
        <v>1401</v>
      </c>
      <c r="B171" s="399" t="s">
        <v>1402</v>
      </c>
      <c r="C171" s="400"/>
      <c r="D171" s="400"/>
      <c r="G171" s="398"/>
      <c r="H171" s="93" t="s">
        <v>1068</v>
      </c>
      <c r="I171" s="93" t="s">
        <v>1068</v>
      </c>
    </row>
    <row r="172" spans="1:9" x14ac:dyDescent="0.2">
      <c r="A172" s="399" t="s">
        <v>1403</v>
      </c>
      <c r="B172" s="399" t="s">
        <v>1404</v>
      </c>
      <c r="C172" s="400"/>
      <c r="D172" s="400"/>
      <c r="G172" s="398"/>
      <c r="H172" s="93" t="s">
        <v>1068</v>
      </c>
      <c r="I172" s="93" t="s">
        <v>1068</v>
      </c>
    </row>
    <row r="173" spans="1:9" hidden="1" x14ac:dyDescent="0.2">
      <c r="A173" s="399" t="s">
        <v>1405</v>
      </c>
      <c r="B173" s="399" t="s">
        <v>1406</v>
      </c>
      <c r="C173" s="400"/>
      <c r="D173" s="400"/>
      <c r="H173" s="93" t="s">
        <v>1071</v>
      </c>
      <c r="I173" s="93" t="s">
        <v>1072</v>
      </c>
    </row>
    <row r="174" spans="1:9" hidden="1" x14ac:dyDescent="0.2">
      <c r="A174" s="399" t="s">
        <v>1407</v>
      </c>
      <c r="B174" s="399" t="s">
        <v>1408</v>
      </c>
      <c r="C174" s="400"/>
      <c r="D174" s="400"/>
      <c r="H174" s="93" t="s">
        <v>1071</v>
      </c>
      <c r="I174" s="93" t="s">
        <v>1072</v>
      </c>
    </row>
    <row r="175" spans="1:9" x14ac:dyDescent="0.2">
      <c r="A175" s="399" t="s">
        <v>1409</v>
      </c>
      <c r="B175" s="399" t="s">
        <v>1410</v>
      </c>
      <c r="C175" s="400"/>
      <c r="D175" s="400"/>
      <c r="G175" s="398"/>
      <c r="H175" s="93" t="s">
        <v>1068</v>
      </c>
      <c r="I175" s="93" t="s">
        <v>1068</v>
      </c>
    </row>
    <row r="176" spans="1:9" x14ac:dyDescent="0.2">
      <c r="A176" s="399" t="s">
        <v>1411</v>
      </c>
      <c r="B176" s="399" t="s">
        <v>1412</v>
      </c>
      <c r="C176" s="400"/>
      <c r="D176" s="400"/>
      <c r="G176" s="398"/>
      <c r="H176" s="93" t="s">
        <v>1068</v>
      </c>
      <c r="I176" s="93" t="s">
        <v>1068</v>
      </c>
    </row>
    <row r="177" spans="1:9" x14ac:dyDescent="0.2">
      <c r="A177" s="399" t="s">
        <v>1413</v>
      </c>
      <c r="B177" s="399" t="s">
        <v>1414</v>
      </c>
      <c r="C177" s="400"/>
      <c r="D177" s="400"/>
      <c r="G177" s="398"/>
      <c r="H177" s="93" t="s">
        <v>1068</v>
      </c>
      <c r="I177" s="93" t="s">
        <v>1068</v>
      </c>
    </row>
    <row r="178" spans="1:9" x14ac:dyDescent="0.2">
      <c r="A178" s="399" t="s">
        <v>1415</v>
      </c>
      <c r="B178" s="399" t="s">
        <v>1416</v>
      </c>
      <c r="C178" s="400"/>
      <c r="D178" s="400"/>
      <c r="G178" s="398"/>
      <c r="H178" s="93" t="s">
        <v>1068</v>
      </c>
      <c r="I178" s="93" t="s">
        <v>1068</v>
      </c>
    </row>
    <row r="179" spans="1:9" x14ac:dyDescent="0.2">
      <c r="A179" s="399" t="s">
        <v>1417</v>
      </c>
      <c r="B179" s="399" t="s">
        <v>1418</v>
      </c>
      <c r="C179" s="400"/>
      <c r="D179" s="400"/>
      <c r="G179" s="398"/>
      <c r="H179" s="93" t="s">
        <v>1095</v>
      </c>
      <c r="I179" s="93" t="s">
        <v>1096</v>
      </c>
    </row>
    <row r="180" spans="1:9" x14ac:dyDescent="0.2">
      <c r="A180" s="399" t="s">
        <v>1419</v>
      </c>
      <c r="B180" s="399" t="s">
        <v>1420</v>
      </c>
      <c r="C180" s="400"/>
      <c r="D180" s="400"/>
      <c r="G180" s="398"/>
      <c r="H180" s="93" t="s">
        <v>1068</v>
      </c>
      <c r="I180" s="93" t="s">
        <v>1068</v>
      </c>
    </row>
    <row r="181" spans="1:9" hidden="1" x14ac:dyDescent="0.2">
      <c r="A181" s="399" t="s">
        <v>1421</v>
      </c>
      <c r="B181" s="399" t="s">
        <v>1422</v>
      </c>
      <c r="C181" s="400"/>
      <c r="D181" s="400"/>
      <c r="H181" s="93" t="s">
        <v>1071</v>
      </c>
      <c r="I181" s="93" t="s">
        <v>1072</v>
      </c>
    </row>
    <row r="182" spans="1:9" x14ac:dyDescent="0.2">
      <c r="A182" s="399" t="s">
        <v>1423</v>
      </c>
      <c r="B182" s="399" t="s">
        <v>1424</v>
      </c>
      <c r="C182" s="400"/>
      <c r="D182" s="400"/>
      <c r="F182" s="93" t="s">
        <v>1425</v>
      </c>
      <c r="G182" s="398"/>
      <c r="H182" s="93" t="s">
        <v>1068</v>
      </c>
      <c r="I182" s="93" t="s">
        <v>1068</v>
      </c>
    </row>
    <row r="183" spans="1:9" x14ac:dyDescent="0.2">
      <c r="A183" s="399" t="s">
        <v>1426</v>
      </c>
      <c r="B183" s="399" t="s">
        <v>1427</v>
      </c>
      <c r="C183" s="400"/>
      <c r="D183" s="400"/>
      <c r="G183" s="398"/>
      <c r="H183" s="93" t="s">
        <v>1095</v>
      </c>
      <c r="I183" s="93" t="s">
        <v>1096</v>
      </c>
    </row>
    <row r="184" spans="1:9" x14ac:dyDescent="0.2">
      <c r="A184" s="399" t="s">
        <v>1428</v>
      </c>
      <c r="B184" s="399" t="s">
        <v>161</v>
      </c>
      <c r="C184" s="400"/>
      <c r="D184" s="400"/>
      <c r="G184" s="398"/>
      <c r="H184" s="93" t="s">
        <v>1068</v>
      </c>
      <c r="I184" s="93" t="s">
        <v>1068</v>
      </c>
    </row>
    <row r="185" spans="1:9" hidden="1" x14ac:dyDescent="0.2">
      <c r="A185" s="399" t="s">
        <v>1429</v>
      </c>
      <c r="B185" s="399" t="s">
        <v>1430</v>
      </c>
      <c r="C185" s="400"/>
      <c r="H185" s="93" t="s">
        <v>1071</v>
      </c>
      <c r="I185" s="93" t="s">
        <v>1072</v>
      </c>
    </row>
    <row r="186" spans="1:9" x14ac:dyDescent="0.2">
      <c r="G186" s="398"/>
      <c r="H186" s="158"/>
      <c r="I186" s="158"/>
    </row>
    <row r="187" spans="1:9" x14ac:dyDescent="0.2">
      <c r="G187" s="398"/>
      <c r="H187" s="158"/>
      <c r="I187" s="158"/>
    </row>
    <row r="188" spans="1:9" x14ac:dyDescent="0.2">
      <c r="G188" s="398"/>
      <c r="H188" s="158"/>
      <c r="I188" s="158"/>
    </row>
    <row r="189" spans="1:9" x14ac:dyDescent="0.2">
      <c r="G189" s="398"/>
      <c r="H189" s="158"/>
      <c r="I189" s="158"/>
    </row>
    <row r="190" spans="1:9" x14ac:dyDescent="0.2">
      <c r="G190" s="398"/>
      <c r="H190" s="158"/>
      <c r="I190" s="158"/>
    </row>
    <row r="191" spans="1:9" x14ac:dyDescent="0.2">
      <c r="G191" s="398"/>
      <c r="H191" s="158"/>
      <c r="I191" s="158"/>
    </row>
    <row r="192" spans="1:9" x14ac:dyDescent="0.2">
      <c r="G192" s="398"/>
      <c r="H192" s="158"/>
      <c r="I192" s="158"/>
    </row>
    <row r="193" spans="7:9" x14ac:dyDescent="0.2">
      <c r="G193" s="398"/>
      <c r="H193" s="158"/>
      <c r="I193" s="158"/>
    </row>
    <row r="194" spans="7:9" x14ac:dyDescent="0.2">
      <c r="G194" s="398"/>
      <c r="H194" s="158"/>
      <c r="I194" s="158"/>
    </row>
    <row r="195" spans="7:9" x14ac:dyDescent="0.2">
      <c r="G195" s="398"/>
      <c r="H195" s="158"/>
      <c r="I195" s="158"/>
    </row>
    <row r="196" spans="7:9" x14ac:dyDescent="0.2">
      <c r="G196" s="398"/>
      <c r="H196" s="158"/>
      <c r="I196" s="158"/>
    </row>
    <row r="197" spans="7:9" x14ac:dyDescent="0.2">
      <c r="G197" s="398"/>
      <c r="H197" s="158"/>
      <c r="I197" s="158"/>
    </row>
    <row r="198" spans="7:9" x14ac:dyDescent="0.2">
      <c r="G198" s="398"/>
      <c r="H198" s="158"/>
      <c r="I198" s="158"/>
    </row>
    <row r="199" spans="7:9" x14ac:dyDescent="0.2">
      <c r="G199" s="398"/>
      <c r="H199" s="158"/>
      <c r="I199" s="158"/>
    </row>
    <row r="200" spans="7:9" x14ac:dyDescent="0.2">
      <c r="G200" s="398"/>
      <c r="H200" s="158"/>
      <c r="I200" s="158"/>
    </row>
    <row r="201" spans="7:9" x14ac:dyDescent="0.2">
      <c r="G201" s="398"/>
      <c r="H201" s="158"/>
      <c r="I201" s="158"/>
    </row>
    <row r="202" spans="7:9" x14ac:dyDescent="0.2">
      <c r="G202" s="398"/>
      <c r="H202" s="158"/>
      <c r="I202" s="158"/>
    </row>
    <row r="203" spans="7:9" x14ac:dyDescent="0.2">
      <c r="G203" s="398"/>
      <c r="H203" s="158"/>
      <c r="I203" s="158"/>
    </row>
    <row r="204" spans="7:9" x14ac:dyDescent="0.2">
      <c r="G204" s="398"/>
      <c r="H204" s="158"/>
      <c r="I204" s="158"/>
    </row>
    <row r="205" spans="7:9" x14ac:dyDescent="0.2">
      <c r="G205" s="398"/>
      <c r="H205" s="158"/>
      <c r="I205" s="158"/>
    </row>
    <row r="206" spans="7:9" x14ac:dyDescent="0.2">
      <c r="G206" s="398"/>
      <c r="H206" s="158"/>
      <c r="I206" s="158"/>
    </row>
    <row r="207" spans="7:9" x14ac:dyDescent="0.2">
      <c r="G207" s="398"/>
      <c r="H207" s="158"/>
      <c r="I207" s="158"/>
    </row>
    <row r="208" spans="7:9" x14ac:dyDescent="0.2">
      <c r="G208" s="398"/>
      <c r="H208" s="158"/>
      <c r="I208" s="158"/>
    </row>
    <row r="209" spans="7:9" x14ac:dyDescent="0.2">
      <c r="G209" s="398"/>
      <c r="H209" s="158"/>
      <c r="I209" s="158"/>
    </row>
    <row r="210" spans="7:9" x14ac:dyDescent="0.2">
      <c r="G210" s="398"/>
      <c r="H210" s="158"/>
      <c r="I210" s="158"/>
    </row>
    <row r="211" spans="7:9" x14ac:dyDescent="0.2">
      <c r="G211" s="398"/>
      <c r="H211" s="158"/>
      <c r="I211" s="158"/>
    </row>
    <row r="212" spans="7:9" x14ac:dyDescent="0.2">
      <c r="G212" s="398"/>
      <c r="H212" s="158"/>
      <c r="I212" s="158"/>
    </row>
    <row r="213" spans="7:9" x14ac:dyDescent="0.2">
      <c r="G213" s="398"/>
      <c r="H213" s="158"/>
      <c r="I213" s="158"/>
    </row>
    <row r="214" spans="7:9" x14ac:dyDescent="0.2">
      <c r="G214" s="398"/>
      <c r="H214" s="158"/>
      <c r="I214" s="158"/>
    </row>
    <row r="215" spans="7:9" x14ac:dyDescent="0.2">
      <c r="G215" s="398"/>
      <c r="H215" s="158"/>
      <c r="I215" s="158"/>
    </row>
    <row r="216" spans="7:9" x14ac:dyDescent="0.2">
      <c r="G216" s="398"/>
      <c r="H216" s="158"/>
      <c r="I216" s="158"/>
    </row>
    <row r="217" spans="7:9" x14ac:dyDescent="0.2">
      <c r="G217" s="398"/>
      <c r="H217" s="158"/>
      <c r="I217" s="158"/>
    </row>
    <row r="218" spans="7:9" x14ac:dyDescent="0.2">
      <c r="G218" s="398"/>
      <c r="H218" s="158"/>
      <c r="I218" s="158"/>
    </row>
    <row r="219" spans="7:9" x14ac:dyDescent="0.2">
      <c r="G219" s="398"/>
      <c r="H219" s="158"/>
      <c r="I219" s="158"/>
    </row>
    <row r="220" spans="7:9" x14ac:dyDescent="0.2">
      <c r="G220" s="398"/>
      <c r="H220" s="158"/>
      <c r="I220" s="158"/>
    </row>
    <row r="221" spans="7:9" x14ac:dyDescent="0.2">
      <c r="G221" s="398"/>
      <c r="H221" s="158"/>
      <c r="I221" s="158"/>
    </row>
    <row r="222" spans="7:9" x14ac:dyDescent="0.2">
      <c r="G222" s="398"/>
      <c r="H222" s="158"/>
      <c r="I222" s="158"/>
    </row>
    <row r="223" spans="7:9" x14ac:dyDescent="0.2">
      <c r="G223" s="398"/>
      <c r="H223" s="158"/>
      <c r="I223" s="158"/>
    </row>
    <row r="224" spans="7:9" x14ac:dyDescent="0.2">
      <c r="G224" s="398"/>
      <c r="H224" s="158"/>
      <c r="I224" s="158"/>
    </row>
    <row r="225" spans="7:9" x14ac:dyDescent="0.2">
      <c r="G225" s="398"/>
      <c r="H225" s="158"/>
      <c r="I225" s="158"/>
    </row>
    <row r="226" spans="7:9" x14ac:dyDescent="0.2">
      <c r="G226" s="398"/>
      <c r="H226" s="158"/>
      <c r="I226" s="158"/>
    </row>
    <row r="227" spans="7:9" x14ac:dyDescent="0.2">
      <c r="G227" s="398"/>
      <c r="H227" s="158"/>
      <c r="I227" s="158"/>
    </row>
    <row r="228" spans="7:9" x14ac:dyDescent="0.2">
      <c r="G228" s="398"/>
      <c r="H228" s="158"/>
      <c r="I228" s="158"/>
    </row>
    <row r="229" spans="7:9" x14ac:dyDescent="0.2">
      <c r="G229" s="398"/>
      <c r="H229" s="158"/>
      <c r="I229" s="158"/>
    </row>
    <row r="230" spans="7:9" x14ac:dyDescent="0.2">
      <c r="G230" s="398"/>
      <c r="H230" s="158"/>
      <c r="I230" s="158"/>
    </row>
    <row r="231" spans="7:9" x14ac:dyDescent="0.2">
      <c r="G231" s="398"/>
      <c r="H231" s="158"/>
      <c r="I231" s="158"/>
    </row>
    <row r="232" spans="7:9" x14ac:dyDescent="0.2">
      <c r="G232" s="398"/>
      <c r="H232" s="158"/>
      <c r="I232" s="158"/>
    </row>
    <row r="233" spans="7:9" x14ac:dyDescent="0.2">
      <c r="G233" s="398"/>
      <c r="H233" s="158"/>
      <c r="I233" s="158"/>
    </row>
    <row r="234" spans="7:9" x14ac:dyDescent="0.2">
      <c r="G234" s="398"/>
      <c r="H234" s="158"/>
      <c r="I234" s="158"/>
    </row>
    <row r="235" spans="7:9" x14ac:dyDescent="0.2">
      <c r="G235" s="398"/>
      <c r="H235" s="158"/>
      <c r="I235" s="158"/>
    </row>
    <row r="236" spans="7:9" x14ac:dyDescent="0.2">
      <c r="G236" s="398"/>
      <c r="H236" s="158"/>
      <c r="I236" s="158"/>
    </row>
    <row r="237" spans="7:9" x14ac:dyDescent="0.2">
      <c r="G237" s="398"/>
      <c r="H237" s="158"/>
      <c r="I237" s="158"/>
    </row>
    <row r="238" spans="7:9" x14ac:dyDescent="0.2">
      <c r="G238" s="398"/>
      <c r="H238" s="158"/>
      <c r="I238" s="158"/>
    </row>
    <row r="239" spans="7:9" x14ac:dyDescent="0.2">
      <c r="G239" s="398"/>
      <c r="H239" s="158"/>
      <c r="I239" s="158"/>
    </row>
    <row r="240" spans="7:9" x14ac:dyDescent="0.2">
      <c r="G240" s="398"/>
      <c r="H240" s="158"/>
      <c r="I240" s="158"/>
    </row>
    <row r="241" spans="7:9" x14ac:dyDescent="0.2">
      <c r="G241" s="398"/>
      <c r="H241" s="158"/>
      <c r="I241" s="158"/>
    </row>
    <row r="242" spans="7:9" x14ac:dyDescent="0.2">
      <c r="G242" s="398"/>
      <c r="H242" s="158"/>
      <c r="I242" s="158"/>
    </row>
    <row r="243" spans="7:9" x14ac:dyDescent="0.2">
      <c r="G243" s="398"/>
      <c r="H243" s="158"/>
      <c r="I243" s="158"/>
    </row>
    <row r="244" spans="7:9" x14ac:dyDescent="0.2">
      <c r="G244" s="398"/>
      <c r="H244" s="158"/>
      <c r="I244" s="158"/>
    </row>
    <row r="245" spans="7:9" x14ac:dyDescent="0.2">
      <c r="G245" s="398"/>
      <c r="H245" s="158"/>
      <c r="I245" s="158"/>
    </row>
    <row r="246" spans="7:9" x14ac:dyDescent="0.2">
      <c r="G246" s="398"/>
      <c r="H246" s="158"/>
      <c r="I246" s="158"/>
    </row>
    <row r="247" spans="7:9" x14ac:dyDescent="0.2">
      <c r="G247" s="398"/>
      <c r="H247" s="158"/>
      <c r="I247" s="158"/>
    </row>
    <row r="248" spans="7:9" x14ac:dyDescent="0.2">
      <c r="G248" s="398"/>
      <c r="H248" s="158"/>
      <c r="I248" s="158"/>
    </row>
    <row r="249" spans="7:9" x14ac:dyDescent="0.2">
      <c r="G249" s="398"/>
      <c r="H249" s="158"/>
      <c r="I249" s="158"/>
    </row>
    <row r="250" spans="7:9" x14ac:dyDescent="0.2">
      <c r="G250" s="398"/>
      <c r="H250" s="158"/>
      <c r="I250" s="158"/>
    </row>
    <row r="251" spans="7:9" x14ac:dyDescent="0.2">
      <c r="G251" s="398"/>
      <c r="H251" s="158"/>
      <c r="I251" s="158"/>
    </row>
    <row r="252" spans="7:9" x14ac:dyDescent="0.2">
      <c r="G252" s="398"/>
      <c r="H252" s="158"/>
      <c r="I252" s="158"/>
    </row>
    <row r="253" spans="7:9" x14ac:dyDescent="0.2">
      <c r="G253" s="398"/>
      <c r="H253" s="158"/>
      <c r="I253" s="158"/>
    </row>
    <row r="254" spans="7:9" x14ac:dyDescent="0.2">
      <c r="G254" s="398"/>
      <c r="H254" s="158"/>
      <c r="I254" s="158"/>
    </row>
    <row r="255" spans="7:9" x14ac:dyDescent="0.2">
      <c r="G255" s="398"/>
      <c r="H255" s="158"/>
      <c r="I255" s="158"/>
    </row>
    <row r="256" spans="7:9" x14ac:dyDescent="0.2">
      <c r="G256" s="398"/>
      <c r="H256" s="158"/>
      <c r="I256" s="158"/>
    </row>
    <row r="257" spans="7:9" x14ac:dyDescent="0.2">
      <c r="G257" s="398"/>
      <c r="H257" s="158"/>
      <c r="I257" s="158"/>
    </row>
    <row r="258" spans="7:9" x14ac:dyDescent="0.2">
      <c r="G258" s="398"/>
      <c r="H258" s="158"/>
      <c r="I258" s="158"/>
    </row>
    <row r="259" spans="7:9" x14ac:dyDescent="0.2">
      <c r="G259" s="398"/>
      <c r="H259" s="158"/>
      <c r="I259" s="158"/>
    </row>
    <row r="260" spans="7:9" x14ac:dyDescent="0.2">
      <c r="G260" s="398"/>
      <c r="H260" s="158"/>
      <c r="I260" s="158"/>
    </row>
    <row r="261" spans="7:9" x14ac:dyDescent="0.2">
      <c r="G261" s="398"/>
      <c r="H261" s="158"/>
      <c r="I261" s="158"/>
    </row>
    <row r="262" spans="7:9" x14ac:dyDescent="0.2">
      <c r="G262" s="398"/>
      <c r="H262" s="158"/>
      <c r="I262" s="158"/>
    </row>
    <row r="263" spans="7:9" x14ac:dyDescent="0.2">
      <c r="G263" s="398"/>
      <c r="H263" s="158"/>
      <c r="I263" s="158"/>
    </row>
    <row r="264" spans="7:9" x14ac:dyDescent="0.2">
      <c r="G264" s="398"/>
      <c r="H264" s="158"/>
      <c r="I264" s="158"/>
    </row>
    <row r="265" spans="7:9" x14ac:dyDescent="0.2">
      <c r="G265" s="398"/>
      <c r="H265" s="158"/>
      <c r="I265" s="158"/>
    </row>
    <row r="266" spans="7:9" x14ac:dyDescent="0.2">
      <c r="G266" s="398"/>
      <c r="H266" s="158"/>
      <c r="I266" s="158"/>
    </row>
    <row r="267" spans="7:9" x14ac:dyDescent="0.2">
      <c r="G267" s="398"/>
      <c r="H267" s="158"/>
      <c r="I267" s="158"/>
    </row>
    <row r="268" spans="7:9" x14ac:dyDescent="0.2">
      <c r="G268" s="398"/>
      <c r="H268" s="158"/>
      <c r="I268" s="158"/>
    </row>
    <row r="269" spans="7:9" x14ac:dyDescent="0.2">
      <c r="G269" s="398"/>
      <c r="H269" s="158"/>
      <c r="I269" s="158"/>
    </row>
    <row r="270" spans="7:9" x14ac:dyDescent="0.2">
      <c r="G270" s="398"/>
      <c r="H270" s="158"/>
      <c r="I270" s="158"/>
    </row>
    <row r="271" spans="7:9" x14ac:dyDescent="0.2">
      <c r="G271" s="398"/>
      <c r="H271" s="158"/>
      <c r="I271" s="158"/>
    </row>
    <row r="272" spans="7:9" x14ac:dyDescent="0.2">
      <c r="G272" s="398"/>
      <c r="H272" s="158"/>
      <c r="I272" s="158"/>
    </row>
    <row r="273" spans="7:9" x14ac:dyDescent="0.2">
      <c r="G273" s="398"/>
      <c r="H273" s="158"/>
      <c r="I273" s="158"/>
    </row>
    <row r="274" spans="7:9" x14ac:dyDescent="0.2">
      <c r="G274" s="398"/>
      <c r="H274" s="158"/>
      <c r="I274" s="158"/>
    </row>
    <row r="275" spans="7:9" x14ac:dyDescent="0.2">
      <c r="G275" s="398"/>
      <c r="H275" s="158"/>
      <c r="I275" s="158"/>
    </row>
    <row r="276" spans="7:9" x14ac:dyDescent="0.2">
      <c r="G276" s="398"/>
      <c r="H276" s="158"/>
      <c r="I276" s="158"/>
    </row>
    <row r="277" spans="7:9" x14ac:dyDescent="0.2">
      <c r="G277" s="398"/>
      <c r="H277" s="158"/>
      <c r="I277" s="158"/>
    </row>
    <row r="278" spans="7:9" x14ac:dyDescent="0.2">
      <c r="G278" s="398"/>
      <c r="H278" s="158"/>
      <c r="I278" s="158"/>
    </row>
    <row r="279" spans="7:9" x14ac:dyDescent="0.2">
      <c r="G279" s="398"/>
      <c r="H279" s="158"/>
      <c r="I279" s="158"/>
    </row>
    <row r="280" spans="7:9" x14ac:dyDescent="0.2">
      <c r="G280" s="398"/>
      <c r="H280" s="158"/>
      <c r="I280" s="158"/>
    </row>
    <row r="281" spans="7:9" x14ac:dyDescent="0.2">
      <c r="G281" s="398"/>
      <c r="H281" s="158"/>
      <c r="I281" s="158"/>
    </row>
    <row r="282" spans="7:9" x14ac:dyDescent="0.2">
      <c r="G282" s="398"/>
      <c r="H282" s="158"/>
      <c r="I282" s="158"/>
    </row>
    <row r="283" spans="7:9" x14ac:dyDescent="0.2">
      <c r="G283" s="398"/>
      <c r="H283" s="158"/>
      <c r="I283" s="158"/>
    </row>
    <row r="284" spans="7:9" x14ac:dyDescent="0.2">
      <c r="G284" s="398"/>
      <c r="H284" s="158"/>
      <c r="I284" s="158"/>
    </row>
    <row r="285" spans="7:9" x14ac:dyDescent="0.2">
      <c r="G285" s="398"/>
      <c r="H285" s="158"/>
      <c r="I285" s="158"/>
    </row>
    <row r="286" spans="7:9" x14ac:dyDescent="0.2">
      <c r="G286" s="398"/>
      <c r="H286" s="158"/>
      <c r="I286" s="158"/>
    </row>
    <row r="287" spans="7:9" x14ac:dyDescent="0.2">
      <c r="G287" s="398"/>
      <c r="H287" s="158"/>
      <c r="I287" s="158"/>
    </row>
    <row r="288" spans="7:9" x14ac:dyDescent="0.2">
      <c r="G288" s="398"/>
      <c r="H288" s="158"/>
      <c r="I288" s="158"/>
    </row>
    <row r="289" spans="7:9" x14ac:dyDescent="0.2">
      <c r="G289" s="398"/>
      <c r="H289" s="158"/>
      <c r="I289" s="158"/>
    </row>
    <row r="290" spans="7:9" x14ac:dyDescent="0.2">
      <c r="G290" s="398"/>
      <c r="H290" s="158"/>
      <c r="I290" s="158"/>
    </row>
    <row r="291" spans="7:9" x14ac:dyDescent="0.2">
      <c r="G291" s="398"/>
      <c r="H291" s="158"/>
      <c r="I291" s="158"/>
    </row>
    <row r="292" spans="7:9" x14ac:dyDescent="0.2">
      <c r="G292" s="398"/>
      <c r="H292" s="158"/>
      <c r="I292" s="158"/>
    </row>
    <row r="293" spans="7:9" x14ac:dyDescent="0.2">
      <c r="G293" s="398"/>
      <c r="H293" s="158"/>
      <c r="I293" s="158"/>
    </row>
    <row r="294" spans="7:9" x14ac:dyDescent="0.2">
      <c r="G294" s="398"/>
      <c r="H294" s="158"/>
      <c r="I294" s="158"/>
    </row>
    <row r="295" spans="7:9" x14ac:dyDescent="0.2">
      <c r="G295" s="398"/>
      <c r="H295" s="158"/>
      <c r="I295" s="158"/>
    </row>
    <row r="296" spans="7:9" x14ac:dyDescent="0.2">
      <c r="G296" s="398"/>
      <c r="H296" s="158"/>
      <c r="I296" s="158"/>
    </row>
    <row r="297" spans="7:9" x14ac:dyDescent="0.2">
      <c r="G297" s="398"/>
      <c r="H297" s="158"/>
      <c r="I297" s="158"/>
    </row>
    <row r="298" spans="7:9" x14ac:dyDescent="0.2">
      <c r="G298" s="398"/>
      <c r="H298" s="158"/>
      <c r="I298" s="158"/>
    </row>
    <row r="299" spans="7:9" x14ac:dyDescent="0.2">
      <c r="G299" s="398"/>
      <c r="H299" s="158"/>
      <c r="I299" s="158"/>
    </row>
    <row r="300" spans="7:9" x14ac:dyDescent="0.2">
      <c r="G300" s="398"/>
      <c r="H300" s="158"/>
      <c r="I300" s="158"/>
    </row>
    <row r="301" spans="7:9" x14ac:dyDescent="0.2">
      <c r="G301" s="398"/>
      <c r="H301" s="158"/>
      <c r="I301" s="158"/>
    </row>
    <row r="302" spans="7:9" x14ac:dyDescent="0.2">
      <c r="G302" s="398"/>
      <c r="H302" s="158"/>
      <c r="I302" s="158"/>
    </row>
    <row r="303" spans="7:9" x14ac:dyDescent="0.2">
      <c r="G303" s="398"/>
      <c r="H303" s="158"/>
      <c r="I303" s="158"/>
    </row>
    <row r="304" spans="7:9" x14ac:dyDescent="0.2">
      <c r="G304" s="398"/>
      <c r="H304" s="158"/>
      <c r="I304" s="158"/>
    </row>
    <row r="305" spans="7:9" x14ac:dyDescent="0.2">
      <c r="G305" s="398"/>
      <c r="H305" s="158"/>
      <c r="I305" s="158"/>
    </row>
    <row r="306" spans="7:9" x14ac:dyDescent="0.2">
      <c r="G306" s="398"/>
      <c r="H306" s="158"/>
      <c r="I306" s="158"/>
    </row>
    <row r="307" spans="7:9" x14ac:dyDescent="0.2">
      <c r="G307" s="398"/>
      <c r="H307" s="158"/>
      <c r="I307" s="158"/>
    </row>
    <row r="308" spans="7:9" x14ac:dyDescent="0.2">
      <c r="G308" s="398"/>
      <c r="H308" s="158"/>
      <c r="I308" s="158"/>
    </row>
    <row r="309" spans="7:9" x14ac:dyDescent="0.2">
      <c r="G309" s="398"/>
      <c r="H309" s="158"/>
      <c r="I309" s="158"/>
    </row>
    <row r="310" spans="7:9" x14ac:dyDescent="0.2">
      <c r="G310" s="398"/>
      <c r="H310" s="158"/>
      <c r="I310" s="158"/>
    </row>
    <row r="311" spans="7:9" x14ac:dyDescent="0.2">
      <c r="G311" s="398"/>
      <c r="H311" s="158"/>
      <c r="I311" s="158"/>
    </row>
    <row r="312" spans="7:9" x14ac:dyDescent="0.2">
      <c r="G312" s="398"/>
      <c r="H312" s="158"/>
      <c r="I312" s="158"/>
    </row>
    <row r="313" spans="7:9" x14ac:dyDescent="0.2">
      <c r="G313" s="398"/>
      <c r="H313" s="158"/>
      <c r="I313" s="158"/>
    </row>
    <row r="314" spans="7:9" x14ac:dyDescent="0.2">
      <c r="G314" s="398"/>
      <c r="H314" s="158"/>
      <c r="I314" s="158"/>
    </row>
    <row r="315" spans="7:9" x14ac:dyDescent="0.2">
      <c r="G315" s="398"/>
      <c r="H315" s="158"/>
      <c r="I315" s="158"/>
    </row>
    <row r="316" spans="7:9" x14ac:dyDescent="0.2">
      <c r="G316" s="398"/>
      <c r="H316" s="158"/>
      <c r="I316" s="158"/>
    </row>
    <row r="317" spans="7:9" x14ac:dyDescent="0.2">
      <c r="G317" s="398"/>
      <c r="H317" s="158"/>
      <c r="I317" s="158"/>
    </row>
    <row r="318" spans="7:9" x14ac:dyDescent="0.2">
      <c r="G318" s="398"/>
      <c r="H318" s="158"/>
      <c r="I318" s="158"/>
    </row>
    <row r="319" spans="7:9" x14ac:dyDescent="0.2">
      <c r="G319" s="398"/>
      <c r="H319" s="158"/>
      <c r="I319" s="158"/>
    </row>
    <row r="320" spans="7:9" x14ac:dyDescent="0.2">
      <c r="G320" s="398"/>
      <c r="H320" s="158"/>
      <c r="I320" s="158"/>
    </row>
    <row r="321" spans="7:9" x14ac:dyDescent="0.2">
      <c r="G321" s="398"/>
      <c r="H321" s="158"/>
      <c r="I321" s="158"/>
    </row>
    <row r="322" spans="7:9" x14ac:dyDescent="0.2">
      <c r="G322" s="398"/>
      <c r="H322" s="158"/>
      <c r="I322" s="158"/>
    </row>
    <row r="323" spans="7:9" x14ac:dyDescent="0.2">
      <c r="G323" s="398"/>
      <c r="H323" s="158"/>
      <c r="I323" s="158"/>
    </row>
  </sheetData>
  <autoFilter ref="A3:I185" xr:uid="{00000000-0009-0000-0000-000011000000}">
    <filterColumn colId="7">
      <filters>
        <filter val="Account"/>
        <filter val="Direct Debit"/>
      </filters>
    </filterColumn>
    <sortState xmlns:xlrd2="http://schemas.microsoft.com/office/spreadsheetml/2017/richdata2" ref="A3:I185">
      <sortCondition ref="A3:A185"/>
    </sortState>
  </autoFilter>
  <mergeCells count="1">
    <mergeCell ref="A1:I1"/>
  </mergeCells>
  <dataValidations count="2">
    <dataValidation type="list" allowBlank="1" showErrorMessage="1" sqref="I3:I323" xr:uid="{00000000-0002-0000-1100-000000000000}">
      <formula1>"On Delivery,Weekly,30 Days,60 Days,Account"</formula1>
    </dataValidation>
    <dataValidation type="list" allowBlank="1" showErrorMessage="1" sqref="H3:H323" xr:uid="{00000000-0002-0000-1100-000001000000}">
      <formula1>"Direct Debit,Account,Cash On Delivery"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I995"/>
  <sheetViews>
    <sheetView workbookViewId="0">
      <pane xSplit="1" ySplit="2" topLeftCell="B3" activePane="bottomRight" state="frozen"/>
      <selection pane="bottomLeft" activeCell="A3" sqref="A3"/>
      <selection pane="topRight" activeCell="B1" sqref="B1"/>
      <selection pane="bottomRight" activeCell="B3" sqref="B3"/>
    </sheetView>
  </sheetViews>
  <sheetFormatPr defaultColWidth="11.21875" defaultRowHeight="15" customHeight="1" x14ac:dyDescent="0.2"/>
  <cols>
    <col min="1" max="1" width="14.1796875" customWidth="1"/>
    <col min="3" max="10" width="4.3125" customWidth="1"/>
    <col min="11" max="35" width="7.51953125" customWidth="1"/>
  </cols>
  <sheetData>
    <row r="1" spans="1:35" x14ac:dyDescent="0.2">
      <c r="A1" s="37"/>
      <c r="B1" s="532" t="s">
        <v>148</v>
      </c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</row>
    <row r="2" spans="1:35" x14ac:dyDescent="0.2">
      <c r="A2" s="38"/>
      <c r="B2" s="39"/>
      <c r="C2" s="40"/>
      <c r="D2" s="40"/>
      <c r="E2" s="40"/>
      <c r="F2" s="40"/>
      <c r="G2" s="40"/>
      <c r="H2" s="40"/>
      <c r="I2" s="40"/>
      <c r="J2" s="40"/>
      <c r="K2" s="41" t="s">
        <v>149</v>
      </c>
      <c r="L2" s="42" t="s">
        <v>150</v>
      </c>
      <c r="M2" s="43" t="s">
        <v>151</v>
      </c>
      <c r="N2" s="43" t="s">
        <v>152</v>
      </c>
      <c r="O2" s="44" t="s">
        <v>153</v>
      </c>
      <c r="P2" s="45" t="s">
        <v>149</v>
      </c>
      <c r="Q2" s="46" t="s">
        <v>150</v>
      </c>
      <c r="R2" s="46" t="s">
        <v>151</v>
      </c>
      <c r="S2" s="46" t="s">
        <v>152</v>
      </c>
      <c r="T2" s="47" t="s">
        <v>153</v>
      </c>
      <c r="U2" s="41" t="s">
        <v>149</v>
      </c>
      <c r="V2" s="42" t="s">
        <v>150</v>
      </c>
      <c r="W2" s="42" t="s">
        <v>151</v>
      </c>
      <c r="X2" s="42" t="s">
        <v>152</v>
      </c>
      <c r="Y2" s="44" t="s">
        <v>153</v>
      </c>
      <c r="Z2" s="45" t="s">
        <v>149</v>
      </c>
      <c r="AA2" s="46" t="s">
        <v>150</v>
      </c>
      <c r="AB2" s="46" t="s">
        <v>151</v>
      </c>
      <c r="AC2" s="46" t="s">
        <v>152</v>
      </c>
      <c r="AD2" s="47" t="s">
        <v>153</v>
      </c>
      <c r="AE2" s="41" t="s">
        <v>149</v>
      </c>
      <c r="AF2" s="42" t="s">
        <v>150</v>
      </c>
      <c r="AG2" s="42" t="s">
        <v>151</v>
      </c>
      <c r="AH2" s="42" t="s">
        <v>152</v>
      </c>
      <c r="AI2" s="44" t="s">
        <v>153</v>
      </c>
    </row>
    <row r="3" spans="1:35" ht="15" customHeight="1" x14ac:dyDescent="0.3">
      <c r="A3" s="48" t="s">
        <v>154</v>
      </c>
      <c r="B3" s="49" t="s">
        <v>155</v>
      </c>
      <c r="C3" s="28" t="s">
        <v>118</v>
      </c>
      <c r="D3" s="28" t="s">
        <v>119</v>
      </c>
      <c r="E3" s="28" t="s">
        <v>120</v>
      </c>
      <c r="F3" s="28" t="s">
        <v>121</v>
      </c>
      <c r="G3" s="28" t="s">
        <v>122</v>
      </c>
      <c r="H3" s="28" t="s">
        <v>123</v>
      </c>
      <c r="I3" s="28" t="s">
        <v>124</v>
      </c>
      <c r="J3" s="28" t="s">
        <v>125</v>
      </c>
      <c r="K3" s="534" t="s">
        <v>100</v>
      </c>
      <c r="L3" s="533"/>
      <c r="M3" s="533"/>
      <c r="N3" s="533"/>
      <c r="O3" s="535"/>
      <c r="P3" s="534" t="s">
        <v>138</v>
      </c>
      <c r="Q3" s="533"/>
      <c r="R3" s="533"/>
      <c r="S3" s="533"/>
      <c r="T3" s="535"/>
      <c r="U3" s="534" t="s">
        <v>156</v>
      </c>
      <c r="V3" s="533"/>
      <c r="W3" s="533"/>
      <c r="X3" s="533"/>
      <c r="Y3" s="535"/>
      <c r="Z3" s="534" t="s">
        <v>126</v>
      </c>
      <c r="AA3" s="533"/>
      <c r="AB3" s="533"/>
      <c r="AC3" s="533"/>
      <c r="AD3" s="535"/>
      <c r="AE3" s="534" t="s">
        <v>132</v>
      </c>
      <c r="AF3" s="533"/>
      <c r="AG3" s="533"/>
      <c r="AH3" s="533"/>
      <c r="AI3" s="535"/>
    </row>
    <row r="4" spans="1:35" x14ac:dyDescent="0.2">
      <c r="A4" s="50" t="s">
        <v>140</v>
      </c>
      <c r="B4" s="51" t="s">
        <v>157</v>
      </c>
      <c r="C4" s="31" t="b">
        <v>0</v>
      </c>
      <c r="D4" s="31" t="b">
        <v>1</v>
      </c>
      <c r="E4" s="31" t="b">
        <v>1</v>
      </c>
      <c r="F4" s="31" t="b">
        <v>1</v>
      </c>
      <c r="G4" s="31" t="b">
        <v>1</v>
      </c>
      <c r="H4" s="31" t="b">
        <v>0</v>
      </c>
      <c r="I4" s="31" t="b">
        <v>0</v>
      </c>
      <c r="J4" s="31" t="b">
        <v>1</v>
      </c>
      <c r="K4" s="52">
        <v>1971</v>
      </c>
      <c r="L4" s="52">
        <v>2500</v>
      </c>
      <c r="M4" s="52"/>
      <c r="N4" s="52"/>
      <c r="O4" s="52">
        <f>SUM(M4, N4)</f>
        <v>0</v>
      </c>
      <c r="P4" s="52">
        <v>2670</v>
      </c>
      <c r="Q4" s="52"/>
      <c r="R4" s="52"/>
      <c r="S4" s="52"/>
      <c r="T4" s="52">
        <f t="shared" ref="T4:T7" si="0">SUM(R4, S4)</f>
        <v>0</v>
      </c>
      <c r="U4" s="52">
        <v>2181</v>
      </c>
      <c r="V4" s="53"/>
      <c r="W4" s="52"/>
      <c r="X4" s="52"/>
      <c r="Y4" s="52">
        <f t="shared" ref="Y4:Y17" si="1">SUM(W4:X4)</f>
        <v>0</v>
      </c>
      <c r="Z4" s="52">
        <v>2671</v>
      </c>
      <c r="AA4" s="53"/>
      <c r="AB4" s="52"/>
      <c r="AC4" s="52"/>
      <c r="AD4" s="52">
        <f t="shared" ref="AD4:AD17" si="2">SUM(AB4:AC4)</f>
        <v>0</v>
      </c>
      <c r="AE4" s="52">
        <v>2985</v>
      </c>
      <c r="AF4" s="53"/>
      <c r="AG4" s="52"/>
      <c r="AH4" s="52"/>
      <c r="AI4" s="52">
        <f t="shared" ref="AI4:AI17" si="3">SUM(AG4:AH4)</f>
        <v>0</v>
      </c>
    </row>
    <row r="5" spans="1:35" x14ac:dyDescent="0.2">
      <c r="A5" s="50" t="s">
        <v>140</v>
      </c>
      <c r="B5" s="51" t="s">
        <v>157</v>
      </c>
      <c r="C5" s="31" t="b">
        <v>0</v>
      </c>
      <c r="D5" s="31" t="b">
        <v>1</v>
      </c>
      <c r="E5" s="31" t="b">
        <v>0</v>
      </c>
      <c r="F5" s="31" t="b">
        <v>1</v>
      </c>
      <c r="G5" s="31" t="b">
        <v>0</v>
      </c>
      <c r="H5" s="31" t="b">
        <v>1</v>
      </c>
      <c r="I5" s="31" t="b">
        <v>0</v>
      </c>
      <c r="J5" s="31" t="b">
        <v>1</v>
      </c>
      <c r="K5" s="54">
        <v>2595</v>
      </c>
      <c r="L5" s="52">
        <v>3000</v>
      </c>
      <c r="M5" s="52"/>
      <c r="N5" s="52"/>
      <c r="O5" s="52">
        <f t="shared" ref="O5:O7" si="4">SUM(M5, N5)</f>
        <v>0</v>
      </c>
      <c r="P5" s="55">
        <v>2285</v>
      </c>
      <c r="Q5" s="52"/>
      <c r="R5" s="52"/>
      <c r="S5" s="52"/>
      <c r="T5" s="52">
        <f t="shared" si="0"/>
        <v>0</v>
      </c>
      <c r="U5" s="55">
        <v>2345</v>
      </c>
      <c r="V5" s="53"/>
      <c r="W5" s="52"/>
      <c r="X5" s="52"/>
      <c r="Y5" s="52">
        <f t="shared" si="1"/>
        <v>0</v>
      </c>
      <c r="Z5" s="55">
        <v>2490</v>
      </c>
      <c r="AA5" s="53"/>
      <c r="AB5" s="52"/>
      <c r="AC5" s="52"/>
      <c r="AD5" s="52">
        <f t="shared" si="2"/>
        <v>0</v>
      </c>
      <c r="AE5" s="55">
        <v>2411</v>
      </c>
      <c r="AF5" s="53"/>
      <c r="AG5" s="52"/>
      <c r="AH5" s="52"/>
      <c r="AI5" s="52">
        <f t="shared" si="3"/>
        <v>0</v>
      </c>
    </row>
    <row r="6" spans="1:35" x14ac:dyDescent="0.2">
      <c r="A6" s="50" t="s">
        <v>129</v>
      </c>
      <c r="B6" s="51" t="s">
        <v>157</v>
      </c>
      <c r="C6" s="31" t="b">
        <v>1</v>
      </c>
      <c r="D6" s="31" t="b">
        <v>1</v>
      </c>
      <c r="E6" s="31" t="b">
        <v>1</v>
      </c>
      <c r="F6" s="31" t="b">
        <v>1</v>
      </c>
      <c r="G6" s="31" t="b">
        <v>1</v>
      </c>
      <c r="H6" s="31" t="b">
        <v>0</v>
      </c>
      <c r="I6" s="31" t="b">
        <v>0</v>
      </c>
      <c r="J6" s="31" t="b">
        <v>1</v>
      </c>
      <c r="K6" s="56">
        <v>1175</v>
      </c>
      <c r="L6" s="52">
        <v>1500</v>
      </c>
      <c r="M6" s="52"/>
      <c r="N6" s="52"/>
      <c r="O6" s="52">
        <f t="shared" si="4"/>
        <v>0</v>
      </c>
      <c r="P6" s="55">
        <v>1235</v>
      </c>
      <c r="Q6" s="52"/>
      <c r="R6" s="52"/>
      <c r="S6" s="52"/>
      <c r="T6" s="52">
        <f t="shared" si="0"/>
        <v>0</v>
      </c>
      <c r="U6" s="55">
        <v>1450</v>
      </c>
      <c r="V6" s="53"/>
      <c r="W6" s="52"/>
      <c r="X6" s="52"/>
      <c r="Y6" s="52">
        <f t="shared" si="1"/>
        <v>0</v>
      </c>
      <c r="Z6" s="55">
        <v>2007</v>
      </c>
      <c r="AA6" s="53"/>
      <c r="AB6" s="52"/>
      <c r="AC6" s="52"/>
      <c r="AD6" s="52">
        <f t="shared" si="2"/>
        <v>0</v>
      </c>
      <c r="AE6" s="55">
        <v>2065</v>
      </c>
      <c r="AF6" s="53"/>
      <c r="AG6" s="52"/>
      <c r="AH6" s="52"/>
      <c r="AI6" s="52">
        <f t="shared" si="3"/>
        <v>0</v>
      </c>
    </row>
    <row r="7" spans="1:35" x14ac:dyDescent="0.2">
      <c r="A7" s="50" t="s">
        <v>141</v>
      </c>
      <c r="B7" s="51" t="s">
        <v>157</v>
      </c>
      <c r="C7" s="31" t="b">
        <v>0</v>
      </c>
      <c r="D7" s="31" t="b">
        <v>1</v>
      </c>
      <c r="E7" s="31" t="b">
        <v>1</v>
      </c>
      <c r="F7" s="31" t="b">
        <v>1</v>
      </c>
      <c r="G7" s="31" t="b">
        <v>0</v>
      </c>
      <c r="H7" s="31" t="b">
        <v>0</v>
      </c>
      <c r="I7" s="31" t="b">
        <v>0</v>
      </c>
      <c r="J7" s="31" t="b">
        <v>1</v>
      </c>
      <c r="K7" s="56">
        <v>615</v>
      </c>
      <c r="L7" s="52">
        <v>800</v>
      </c>
      <c r="M7" s="52"/>
      <c r="N7" s="52"/>
      <c r="O7" s="52">
        <f t="shared" si="4"/>
        <v>0</v>
      </c>
      <c r="P7" s="55">
        <v>1125</v>
      </c>
      <c r="Q7" s="53"/>
      <c r="R7" s="52"/>
      <c r="S7" s="52"/>
      <c r="T7" s="52">
        <f t="shared" si="0"/>
        <v>0</v>
      </c>
      <c r="U7" s="55">
        <v>825</v>
      </c>
      <c r="V7" s="53"/>
      <c r="W7" s="52"/>
      <c r="X7" s="52"/>
      <c r="Y7" s="52">
        <f t="shared" si="1"/>
        <v>0</v>
      </c>
      <c r="Z7" s="55">
        <v>1836</v>
      </c>
      <c r="AA7" s="53"/>
      <c r="AB7" s="52"/>
      <c r="AC7" s="52"/>
      <c r="AD7" s="52">
        <f t="shared" si="2"/>
        <v>0</v>
      </c>
      <c r="AE7" s="55">
        <v>2360</v>
      </c>
      <c r="AF7" s="53"/>
      <c r="AG7" s="52"/>
      <c r="AH7" s="52"/>
      <c r="AI7" s="52">
        <f t="shared" si="3"/>
        <v>0</v>
      </c>
    </row>
    <row r="8" spans="1:35" x14ac:dyDescent="0.2">
      <c r="A8" s="50" t="s">
        <v>47</v>
      </c>
      <c r="B8" s="57" t="s">
        <v>158</v>
      </c>
      <c r="C8" s="31" t="b">
        <v>0</v>
      </c>
      <c r="D8" s="31" t="b">
        <v>1</v>
      </c>
      <c r="E8" s="31" t="b">
        <v>1</v>
      </c>
      <c r="F8" s="31" t="b">
        <v>1</v>
      </c>
      <c r="G8" s="31" t="b">
        <v>1</v>
      </c>
      <c r="H8" s="31" t="b">
        <v>0</v>
      </c>
      <c r="I8" s="31" t="b">
        <v>0</v>
      </c>
      <c r="J8" s="31" t="b">
        <v>1</v>
      </c>
      <c r="K8" s="56">
        <v>620</v>
      </c>
      <c r="L8" s="52">
        <v>1500</v>
      </c>
      <c r="M8" s="52"/>
      <c r="N8" s="52"/>
      <c r="O8" s="52">
        <f t="shared" ref="O8:O17" si="5">SUM(M8:N8)</f>
        <v>0</v>
      </c>
      <c r="P8" s="55">
        <v>1500</v>
      </c>
      <c r="Q8" s="53"/>
      <c r="R8" s="52"/>
      <c r="S8" s="52"/>
      <c r="T8" s="52">
        <f t="shared" ref="T8:T17" si="6">SUM(R8:S8)</f>
        <v>0</v>
      </c>
      <c r="U8" s="55">
        <v>1530</v>
      </c>
      <c r="V8" s="53"/>
      <c r="W8" s="52"/>
      <c r="X8" s="52"/>
      <c r="Y8" s="52">
        <f t="shared" si="1"/>
        <v>0</v>
      </c>
      <c r="Z8" s="55">
        <v>3016</v>
      </c>
      <c r="AA8" s="53"/>
      <c r="AB8" s="52"/>
      <c r="AC8" s="52"/>
      <c r="AD8" s="52">
        <f t="shared" si="2"/>
        <v>0</v>
      </c>
      <c r="AE8" s="55">
        <v>2800</v>
      </c>
      <c r="AF8" s="53"/>
      <c r="AG8" s="52"/>
      <c r="AH8" s="52"/>
      <c r="AI8" s="52">
        <f t="shared" si="3"/>
        <v>0</v>
      </c>
    </row>
    <row r="9" spans="1:35" x14ac:dyDescent="0.2">
      <c r="A9" s="50" t="s">
        <v>142</v>
      </c>
      <c r="B9" s="57" t="s">
        <v>158</v>
      </c>
      <c r="C9" s="31" t="b">
        <v>0</v>
      </c>
      <c r="D9" s="31" t="b">
        <v>1</v>
      </c>
      <c r="E9" s="31" t="b">
        <v>1</v>
      </c>
      <c r="F9" s="31" t="b">
        <v>1</v>
      </c>
      <c r="G9" s="31" t="b">
        <v>1</v>
      </c>
      <c r="H9" s="31" t="b">
        <v>0</v>
      </c>
      <c r="I9" s="31" t="b">
        <v>0</v>
      </c>
      <c r="J9" s="31" t="b">
        <v>1</v>
      </c>
      <c r="K9" s="56">
        <v>1095</v>
      </c>
      <c r="L9" s="52">
        <v>2800</v>
      </c>
      <c r="M9" s="52"/>
      <c r="N9" s="52"/>
      <c r="O9" s="52">
        <f t="shared" si="5"/>
        <v>0</v>
      </c>
      <c r="P9" s="55">
        <v>3524</v>
      </c>
      <c r="Q9" s="53"/>
      <c r="R9" s="52"/>
      <c r="S9" s="52"/>
      <c r="T9" s="52">
        <f t="shared" si="6"/>
        <v>0</v>
      </c>
      <c r="U9" s="55">
        <v>3090</v>
      </c>
      <c r="V9" s="53"/>
      <c r="W9" s="52"/>
      <c r="X9" s="52"/>
      <c r="Y9" s="52">
        <f t="shared" si="1"/>
        <v>0</v>
      </c>
      <c r="Z9" s="55">
        <v>7422</v>
      </c>
      <c r="AA9" s="53"/>
      <c r="AB9" s="52"/>
      <c r="AC9" s="52"/>
      <c r="AD9" s="52">
        <f t="shared" si="2"/>
        <v>0</v>
      </c>
      <c r="AE9" s="55">
        <v>5635</v>
      </c>
      <c r="AF9" s="53"/>
      <c r="AG9" s="52"/>
      <c r="AH9" s="52"/>
      <c r="AI9" s="52">
        <f t="shared" si="3"/>
        <v>0</v>
      </c>
    </row>
    <row r="10" spans="1:35" x14ac:dyDescent="0.2">
      <c r="A10" s="50" t="s">
        <v>143</v>
      </c>
      <c r="B10" s="58" t="s">
        <v>159</v>
      </c>
      <c r="C10" s="31" t="b">
        <v>1</v>
      </c>
      <c r="D10" s="31" t="b">
        <v>1</v>
      </c>
      <c r="E10" s="31" t="b">
        <v>1</v>
      </c>
      <c r="F10" s="31" t="b">
        <v>1</v>
      </c>
      <c r="G10" s="31" t="b">
        <v>0</v>
      </c>
      <c r="H10" s="31" t="b">
        <v>0</v>
      </c>
      <c r="I10" s="31" t="b">
        <v>0</v>
      </c>
      <c r="J10" s="31" t="b">
        <v>1</v>
      </c>
      <c r="K10" s="56">
        <v>1055</v>
      </c>
      <c r="L10" s="52">
        <v>1200</v>
      </c>
      <c r="M10" s="52"/>
      <c r="N10" s="52"/>
      <c r="O10" s="52">
        <f t="shared" si="5"/>
        <v>0</v>
      </c>
      <c r="P10" s="55">
        <v>655</v>
      </c>
      <c r="Q10" s="52"/>
      <c r="R10" s="52"/>
      <c r="S10" s="52"/>
      <c r="T10" s="52">
        <f t="shared" si="6"/>
        <v>0</v>
      </c>
      <c r="U10" s="55">
        <v>1072</v>
      </c>
      <c r="V10" s="53"/>
      <c r="W10" s="52"/>
      <c r="X10" s="52"/>
      <c r="Y10" s="52">
        <f t="shared" si="1"/>
        <v>0</v>
      </c>
      <c r="Z10" s="55">
        <v>1550</v>
      </c>
      <c r="AA10" s="53"/>
      <c r="AB10" s="52"/>
      <c r="AC10" s="52"/>
      <c r="AD10" s="52">
        <f t="shared" si="2"/>
        <v>0</v>
      </c>
      <c r="AE10" s="55">
        <v>1483</v>
      </c>
      <c r="AF10" s="53"/>
      <c r="AG10" s="52"/>
      <c r="AH10" s="52"/>
      <c r="AI10" s="52">
        <f t="shared" si="3"/>
        <v>0</v>
      </c>
    </row>
    <row r="11" spans="1:35" x14ac:dyDescent="0.2">
      <c r="A11" s="50" t="s">
        <v>144</v>
      </c>
      <c r="B11" s="58" t="s">
        <v>159</v>
      </c>
      <c r="C11" s="31" t="b">
        <v>0</v>
      </c>
      <c r="D11" s="31" t="b">
        <v>1</v>
      </c>
      <c r="E11" s="31" t="b">
        <v>1</v>
      </c>
      <c r="F11" s="31" t="b">
        <v>1</v>
      </c>
      <c r="G11" s="31" t="b">
        <v>1</v>
      </c>
      <c r="H11" s="31" t="b">
        <v>0</v>
      </c>
      <c r="I11" s="31" t="b">
        <v>0</v>
      </c>
      <c r="J11" s="31" t="b">
        <v>1</v>
      </c>
      <c r="K11" s="56">
        <v>2150</v>
      </c>
      <c r="L11" s="52">
        <v>800</v>
      </c>
      <c r="M11" s="52"/>
      <c r="N11" s="52"/>
      <c r="O11" s="52">
        <f t="shared" si="5"/>
        <v>0</v>
      </c>
      <c r="P11" s="55">
        <v>1520</v>
      </c>
      <c r="Q11" s="53"/>
      <c r="R11" s="52"/>
      <c r="S11" s="52"/>
      <c r="T11" s="52">
        <f t="shared" si="6"/>
        <v>0</v>
      </c>
      <c r="U11" s="55">
        <v>1080</v>
      </c>
      <c r="V11" s="53"/>
      <c r="W11" s="52"/>
      <c r="X11" s="52"/>
      <c r="Y11" s="52">
        <f t="shared" si="1"/>
        <v>0</v>
      </c>
      <c r="Z11" s="55">
        <v>1230</v>
      </c>
      <c r="AA11" s="53"/>
      <c r="AB11" s="52"/>
      <c r="AC11" s="52"/>
      <c r="AD11" s="52">
        <f t="shared" si="2"/>
        <v>0</v>
      </c>
      <c r="AE11" s="55">
        <v>2686</v>
      </c>
      <c r="AF11" s="53"/>
      <c r="AG11" s="52"/>
      <c r="AH11" s="52"/>
      <c r="AI11" s="52">
        <f t="shared" si="3"/>
        <v>0</v>
      </c>
    </row>
    <row r="12" spans="1:35" x14ac:dyDescent="0.2">
      <c r="A12" s="50" t="s">
        <v>145</v>
      </c>
      <c r="B12" s="58" t="s">
        <v>159</v>
      </c>
      <c r="C12" s="31" t="b">
        <v>0</v>
      </c>
      <c r="D12" s="31" t="b">
        <v>1</v>
      </c>
      <c r="E12" s="31" t="b">
        <v>1</v>
      </c>
      <c r="F12" s="31" t="b">
        <v>1</v>
      </c>
      <c r="G12" s="31" t="b">
        <v>1</v>
      </c>
      <c r="H12" s="31" t="b">
        <v>0</v>
      </c>
      <c r="I12" s="31" t="b">
        <v>0</v>
      </c>
      <c r="J12" s="31" t="b">
        <v>1</v>
      </c>
      <c r="K12" s="56">
        <v>1770</v>
      </c>
      <c r="L12" s="52">
        <v>1500</v>
      </c>
      <c r="M12" s="52"/>
      <c r="N12" s="52"/>
      <c r="O12" s="52">
        <f t="shared" si="5"/>
        <v>0</v>
      </c>
      <c r="P12" s="55">
        <v>1410</v>
      </c>
      <c r="Q12" s="53"/>
      <c r="R12" s="52"/>
      <c r="S12" s="52"/>
      <c r="T12" s="52">
        <f t="shared" si="6"/>
        <v>0</v>
      </c>
      <c r="U12" s="55">
        <v>1462</v>
      </c>
      <c r="V12" s="53"/>
      <c r="W12" s="52"/>
      <c r="X12" s="52"/>
      <c r="Y12" s="52">
        <f t="shared" si="1"/>
        <v>0</v>
      </c>
      <c r="Z12" s="55">
        <v>4115</v>
      </c>
      <c r="AA12" s="53"/>
      <c r="AB12" s="52"/>
      <c r="AC12" s="52"/>
      <c r="AD12" s="52">
        <f t="shared" si="2"/>
        <v>0</v>
      </c>
      <c r="AE12" s="55">
        <v>2780</v>
      </c>
      <c r="AF12" s="53"/>
      <c r="AG12" s="52"/>
      <c r="AH12" s="52"/>
      <c r="AI12" s="52">
        <f t="shared" si="3"/>
        <v>0</v>
      </c>
    </row>
    <row r="13" spans="1:35" x14ac:dyDescent="0.2">
      <c r="A13" s="59" t="s">
        <v>134</v>
      </c>
      <c r="B13" s="60" t="s">
        <v>157</v>
      </c>
      <c r="C13" s="31" t="b">
        <v>0</v>
      </c>
      <c r="D13" s="31" t="b">
        <v>1</v>
      </c>
      <c r="E13" s="31" t="b">
        <v>1</v>
      </c>
      <c r="F13" s="31" t="b">
        <v>0</v>
      </c>
      <c r="G13" s="31" t="b">
        <v>0</v>
      </c>
      <c r="H13" s="31" t="b">
        <v>0</v>
      </c>
      <c r="I13" s="31" t="b">
        <v>0</v>
      </c>
      <c r="J13" s="31" t="b">
        <v>0</v>
      </c>
      <c r="K13" s="56">
        <v>1200</v>
      </c>
      <c r="L13" s="52">
        <v>2000</v>
      </c>
      <c r="M13" s="52"/>
      <c r="N13" s="52"/>
      <c r="O13" s="52">
        <f t="shared" si="5"/>
        <v>0</v>
      </c>
      <c r="P13" s="55">
        <v>2285</v>
      </c>
      <c r="Q13" s="53"/>
      <c r="R13" s="52"/>
      <c r="S13" s="52"/>
      <c r="T13" s="52">
        <f t="shared" si="6"/>
        <v>0</v>
      </c>
      <c r="U13" s="55">
        <v>2861</v>
      </c>
      <c r="V13" s="53"/>
      <c r="W13" s="52"/>
      <c r="X13" s="52"/>
      <c r="Y13" s="52">
        <f t="shared" si="1"/>
        <v>0</v>
      </c>
      <c r="Z13" s="55">
        <v>6010</v>
      </c>
      <c r="AA13" s="53"/>
      <c r="AB13" s="52"/>
      <c r="AC13" s="52"/>
      <c r="AD13" s="52">
        <f t="shared" si="2"/>
        <v>0</v>
      </c>
      <c r="AE13" s="55">
        <v>4160</v>
      </c>
      <c r="AF13" s="53"/>
      <c r="AG13" s="52"/>
      <c r="AH13" s="52"/>
      <c r="AI13" s="52">
        <f t="shared" si="3"/>
        <v>0</v>
      </c>
    </row>
    <row r="14" spans="1:35" x14ac:dyDescent="0.2">
      <c r="A14" s="50" t="s">
        <v>134</v>
      </c>
      <c r="B14" s="60" t="s">
        <v>157</v>
      </c>
      <c r="C14" s="31" t="b">
        <v>0</v>
      </c>
      <c r="D14" s="31" t="b">
        <v>1</v>
      </c>
      <c r="E14" s="31" t="b">
        <v>0</v>
      </c>
      <c r="F14" s="31" t="b">
        <v>0</v>
      </c>
      <c r="G14" s="31" t="b">
        <v>0</v>
      </c>
      <c r="H14" s="31" t="b">
        <v>0</v>
      </c>
      <c r="I14" s="31" t="b">
        <v>0</v>
      </c>
      <c r="J14" s="31" t="b">
        <v>0</v>
      </c>
      <c r="K14" s="61">
        <v>0</v>
      </c>
      <c r="L14" s="53"/>
      <c r="M14" s="53"/>
      <c r="N14" s="53"/>
      <c r="O14" s="52">
        <f t="shared" si="5"/>
        <v>0</v>
      </c>
      <c r="P14" s="62">
        <v>0</v>
      </c>
      <c r="Q14" s="53"/>
      <c r="R14" s="53"/>
      <c r="S14" s="53"/>
      <c r="T14" s="52">
        <f t="shared" si="6"/>
        <v>0</v>
      </c>
      <c r="U14" s="62">
        <v>0</v>
      </c>
      <c r="V14" s="53"/>
      <c r="W14" s="53"/>
      <c r="X14" s="53"/>
      <c r="Y14" s="52">
        <f t="shared" si="1"/>
        <v>0</v>
      </c>
      <c r="Z14" s="55">
        <v>1050</v>
      </c>
      <c r="AA14" s="53"/>
      <c r="AB14" s="52"/>
      <c r="AC14" s="53"/>
      <c r="AD14" s="52">
        <f t="shared" si="2"/>
        <v>0</v>
      </c>
      <c r="AE14" s="55">
        <v>2020</v>
      </c>
      <c r="AF14" s="53"/>
      <c r="AG14" s="52"/>
      <c r="AH14" s="52"/>
      <c r="AI14" s="52">
        <f t="shared" si="3"/>
        <v>0</v>
      </c>
    </row>
    <row r="15" spans="1:35" x14ac:dyDescent="0.2">
      <c r="A15" s="50" t="s">
        <v>134</v>
      </c>
      <c r="B15" s="60" t="s">
        <v>159</v>
      </c>
      <c r="C15" s="31" t="b">
        <v>0</v>
      </c>
      <c r="D15" s="31" t="b">
        <v>1</v>
      </c>
      <c r="E15" s="31" t="b">
        <v>0</v>
      </c>
      <c r="F15" s="31" t="b">
        <v>1</v>
      </c>
      <c r="G15" s="31" t="b">
        <v>0</v>
      </c>
      <c r="H15" s="31" t="b">
        <v>0</v>
      </c>
      <c r="I15" s="31" t="b">
        <v>0</v>
      </c>
      <c r="J15" s="31" t="b">
        <v>0</v>
      </c>
      <c r="K15" s="61">
        <v>0</v>
      </c>
      <c r="L15" s="53"/>
      <c r="M15" s="53"/>
      <c r="N15" s="53"/>
      <c r="O15" s="52">
        <f t="shared" si="5"/>
        <v>0</v>
      </c>
      <c r="P15" s="62">
        <v>0</v>
      </c>
      <c r="Q15" s="53"/>
      <c r="R15" s="53"/>
      <c r="S15" s="53"/>
      <c r="T15" s="52">
        <f t="shared" si="6"/>
        <v>0</v>
      </c>
      <c r="U15" s="62">
        <v>0</v>
      </c>
      <c r="V15" s="53"/>
      <c r="W15" s="53"/>
      <c r="X15" s="53"/>
      <c r="Y15" s="52">
        <f t="shared" si="1"/>
        <v>0</v>
      </c>
      <c r="Z15" s="55">
        <v>740</v>
      </c>
      <c r="AA15" s="53"/>
      <c r="AB15" s="52"/>
      <c r="AC15" s="53"/>
      <c r="AD15" s="52">
        <f t="shared" si="2"/>
        <v>0</v>
      </c>
      <c r="AE15" s="55">
        <v>1000</v>
      </c>
      <c r="AF15" s="53"/>
      <c r="AG15" s="52"/>
      <c r="AH15" s="52"/>
      <c r="AI15" s="52">
        <f t="shared" si="3"/>
        <v>0</v>
      </c>
    </row>
    <row r="16" spans="1:35" x14ac:dyDescent="0.2">
      <c r="A16" s="50" t="s">
        <v>146</v>
      </c>
      <c r="B16" s="63"/>
      <c r="C16" s="31" t="b">
        <v>0</v>
      </c>
      <c r="D16" s="31" t="b">
        <v>1</v>
      </c>
      <c r="E16" s="31" t="b">
        <v>0</v>
      </c>
      <c r="F16" s="31" t="b">
        <v>0</v>
      </c>
      <c r="G16" s="31" t="b">
        <v>0</v>
      </c>
      <c r="H16" s="31" t="b">
        <v>0</v>
      </c>
      <c r="I16" s="31" t="b">
        <v>0</v>
      </c>
      <c r="J16" s="31" t="b">
        <v>0</v>
      </c>
      <c r="K16" s="61">
        <v>0</v>
      </c>
      <c r="L16" s="53"/>
      <c r="M16" s="53"/>
      <c r="N16" s="53"/>
      <c r="O16" s="52">
        <f t="shared" si="5"/>
        <v>0</v>
      </c>
      <c r="P16" s="55">
        <v>510</v>
      </c>
      <c r="Q16" s="53"/>
      <c r="R16" s="52"/>
      <c r="S16" s="52"/>
      <c r="T16" s="52">
        <f t="shared" si="6"/>
        <v>0</v>
      </c>
      <c r="U16" s="62">
        <v>0</v>
      </c>
      <c r="V16" s="53"/>
      <c r="W16" s="52"/>
      <c r="X16" s="52"/>
      <c r="Y16" s="52">
        <f t="shared" si="1"/>
        <v>0</v>
      </c>
      <c r="Z16" s="55">
        <v>850</v>
      </c>
      <c r="AA16" s="53"/>
      <c r="AB16" s="52"/>
      <c r="AC16" s="53"/>
      <c r="AD16" s="52">
        <f t="shared" si="2"/>
        <v>0</v>
      </c>
      <c r="AE16" s="55">
        <v>1230</v>
      </c>
      <c r="AF16" s="53"/>
      <c r="AG16" s="52"/>
      <c r="AH16" s="52"/>
      <c r="AI16" s="52">
        <f t="shared" si="3"/>
        <v>0</v>
      </c>
    </row>
    <row r="17" spans="1:35" x14ac:dyDescent="0.2">
      <c r="A17" s="50" t="s">
        <v>147</v>
      </c>
      <c r="B17" s="63"/>
      <c r="C17" s="31" t="b">
        <v>0</v>
      </c>
      <c r="D17" s="31" t="b">
        <v>0</v>
      </c>
      <c r="E17" s="31" t="b">
        <v>0</v>
      </c>
      <c r="F17" s="31" t="b">
        <v>0</v>
      </c>
      <c r="G17" s="31" t="b">
        <v>0</v>
      </c>
      <c r="H17" s="31" t="b">
        <v>0</v>
      </c>
      <c r="I17" s="31" t="b">
        <v>0</v>
      </c>
      <c r="J17" s="31" t="b">
        <v>0</v>
      </c>
      <c r="K17" s="61">
        <v>0</v>
      </c>
      <c r="L17" s="53"/>
      <c r="M17" s="53"/>
      <c r="N17" s="53"/>
      <c r="O17" s="52">
        <f t="shared" si="5"/>
        <v>0</v>
      </c>
      <c r="P17" s="55">
        <v>770</v>
      </c>
      <c r="Q17" s="53"/>
      <c r="R17" s="52"/>
      <c r="S17" s="52"/>
      <c r="T17" s="52">
        <f t="shared" si="6"/>
        <v>0</v>
      </c>
      <c r="U17" s="55">
        <v>400</v>
      </c>
      <c r="V17" s="53"/>
      <c r="W17" s="52"/>
      <c r="X17" s="52"/>
      <c r="Y17" s="52">
        <f t="shared" si="1"/>
        <v>0</v>
      </c>
      <c r="Z17" s="55">
        <v>2020</v>
      </c>
      <c r="AA17" s="53"/>
      <c r="AB17" s="52"/>
      <c r="AC17" s="52"/>
      <c r="AD17" s="52">
        <f t="shared" si="2"/>
        <v>0</v>
      </c>
      <c r="AE17" s="55">
        <v>2505</v>
      </c>
      <c r="AF17" s="53"/>
      <c r="AG17" s="52"/>
      <c r="AH17" s="52"/>
      <c r="AI17" s="52">
        <f t="shared" si="3"/>
        <v>0</v>
      </c>
    </row>
    <row r="18" spans="1:35" x14ac:dyDescent="0.2">
      <c r="A18" s="64" t="s">
        <v>160</v>
      </c>
      <c r="C18" s="65"/>
      <c r="D18" s="65"/>
      <c r="E18" s="65"/>
      <c r="F18" s="65"/>
      <c r="G18" s="65"/>
      <c r="H18" s="65"/>
      <c r="I18" s="17"/>
      <c r="J18" s="17"/>
      <c r="K18" s="66">
        <f t="shared" ref="K18:AI18" si="7">SUM(K4:K17)</f>
        <v>14246</v>
      </c>
      <c r="L18" s="66">
        <f t="shared" si="7"/>
        <v>17600</v>
      </c>
      <c r="M18" s="66">
        <f t="shared" si="7"/>
        <v>0</v>
      </c>
      <c r="N18" s="66">
        <f t="shared" si="7"/>
        <v>0</v>
      </c>
      <c r="O18" s="67">
        <f t="shared" si="7"/>
        <v>0</v>
      </c>
      <c r="P18" s="67">
        <f t="shared" si="7"/>
        <v>19489</v>
      </c>
      <c r="Q18" s="67">
        <f t="shared" si="7"/>
        <v>0</v>
      </c>
      <c r="R18" s="67">
        <f t="shared" si="7"/>
        <v>0</v>
      </c>
      <c r="S18" s="67">
        <f t="shared" si="7"/>
        <v>0</v>
      </c>
      <c r="T18" s="67">
        <f t="shared" si="7"/>
        <v>0</v>
      </c>
      <c r="U18" s="67">
        <f t="shared" si="7"/>
        <v>18296</v>
      </c>
      <c r="V18" s="67">
        <f t="shared" si="7"/>
        <v>0</v>
      </c>
      <c r="W18" s="67">
        <f t="shared" si="7"/>
        <v>0</v>
      </c>
      <c r="X18" s="67">
        <f t="shared" si="7"/>
        <v>0</v>
      </c>
      <c r="Y18" s="67">
        <f t="shared" si="7"/>
        <v>0</v>
      </c>
      <c r="Z18" s="67">
        <f t="shared" si="7"/>
        <v>37007</v>
      </c>
      <c r="AA18" s="67">
        <f t="shared" si="7"/>
        <v>0</v>
      </c>
      <c r="AB18" s="67">
        <f t="shared" si="7"/>
        <v>0</v>
      </c>
      <c r="AC18" s="67">
        <f t="shared" si="7"/>
        <v>0</v>
      </c>
      <c r="AD18" s="67">
        <f t="shared" si="7"/>
        <v>0</v>
      </c>
      <c r="AE18" s="67">
        <f t="shared" si="7"/>
        <v>36120</v>
      </c>
      <c r="AF18" s="67">
        <f t="shared" si="7"/>
        <v>0</v>
      </c>
      <c r="AG18" s="67">
        <f t="shared" si="7"/>
        <v>0</v>
      </c>
      <c r="AH18" s="67">
        <f t="shared" si="7"/>
        <v>0</v>
      </c>
      <c r="AI18" s="67">
        <f t="shared" si="7"/>
        <v>0</v>
      </c>
    </row>
    <row r="19" spans="1:35" x14ac:dyDescent="0.2">
      <c r="A19" s="68"/>
      <c r="C19" s="65"/>
      <c r="D19" s="65"/>
      <c r="E19" s="65"/>
      <c r="F19" s="65"/>
      <c r="G19" s="65"/>
      <c r="H19" s="65"/>
      <c r="I19" s="65"/>
      <c r="J19" s="65"/>
      <c r="L19" s="65"/>
      <c r="M19" s="69"/>
      <c r="N19" s="69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530" t="s">
        <v>161</v>
      </c>
      <c r="AA19" s="531"/>
      <c r="AB19" s="70"/>
      <c r="AC19" s="70"/>
      <c r="AD19" s="71">
        <f t="shared" ref="AD19:AD22" si="8">SUM(AB19:AC19)</f>
        <v>0</v>
      </c>
      <c r="AE19" s="72"/>
      <c r="AF19" s="72"/>
      <c r="AG19" s="70"/>
      <c r="AH19" s="70"/>
      <c r="AI19" s="71">
        <f t="shared" ref="AI19:AI22" si="9">SUM(AG19:AH19)</f>
        <v>0</v>
      </c>
    </row>
    <row r="20" spans="1:35" x14ac:dyDescent="0.2">
      <c r="A20" s="73" t="s">
        <v>162</v>
      </c>
      <c r="C20" s="65"/>
      <c r="D20" s="65"/>
      <c r="E20" s="65"/>
      <c r="F20" s="65"/>
      <c r="G20" s="65"/>
      <c r="H20" s="65"/>
      <c r="I20" s="65"/>
      <c r="J20" s="65"/>
      <c r="L20" s="65"/>
      <c r="M20" s="69"/>
      <c r="N20" s="69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530" t="s">
        <v>129</v>
      </c>
      <c r="AA20" s="531"/>
      <c r="AB20" s="70"/>
      <c r="AC20" s="70"/>
      <c r="AD20" s="71">
        <f t="shared" si="8"/>
        <v>0</v>
      </c>
      <c r="AE20" s="72"/>
      <c r="AF20" s="72"/>
      <c r="AG20" s="70"/>
      <c r="AH20" s="70"/>
      <c r="AI20" s="71">
        <f t="shared" si="9"/>
        <v>0</v>
      </c>
    </row>
    <row r="21" spans="1:35" x14ac:dyDescent="0.2">
      <c r="A21" s="67">
        <f>SUM(O18, T18, Y18, AD18, AI18)</f>
        <v>0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9"/>
      <c r="N21" s="69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530" t="s">
        <v>163</v>
      </c>
      <c r="AA21" s="531"/>
      <c r="AB21" s="70"/>
      <c r="AC21" s="70"/>
      <c r="AD21" s="71">
        <f t="shared" si="8"/>
        <v>0</v>
      </c>
      <c r="AE21" s="72"/>
      <c r="AF21" s="72"/>
      <c r="AG21" s="70"/>
      <c r="AH21" s="70"/>
      <c r="AI21" s="71">
        <f t="shared" si="9"/>
        <v>0</v>
      </c>
    </row>
    <row r="22" spans="1:35" x14ac:dyDescent="0.2">
      <c r="A22" s="74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9"/>
      <c r="N22" s="69"/>
      <c r="O22" s="65"/>
      <c r="P22" s="65"/>
      <c r="Q22" s="17"/>
      <c r="R22" s="65"/>
      <c r="S22" s="65"/>
      <c r="T22" s="65"/>
      <c r="U22" s="65"/>
      <c r="V22" s="65"/>
      <c r="W22" s="65"/>
      <c r="X22" s="65"/>
      <c r="Y22" s="65"/>
      <c r="Z22" s="530" t="s">
        <v>163</v>
      </c>
      <c r="AA22" s="531"/>
      <c r="AB22" s="70"/>
      <c r="AC22" s="72"/>
      <c r="AD22" s="71">
        <f t="shared" si="8"/>
        <v>0</v>
      </c>
      <c r="AE22" s="72"/>
      <c r="AF22" s="72"/>
      <c r="AG22" s="70"/>
      <c r="AH22" s="70"/>
      <c r="AI22" s="71">
        <f t="shared" si="9"/>
        <v>0</v>
      </c>
    </row>
    <row r="23" spans="1:35" x14ac:dyDescent="0.2">
      <c r="A23" s="75" t="s">
        <v>164</v>
      </c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9"/>
      <c r="N23" s="69"/>
      <c r="O23" s="65"/>
      <c r="P23" s="65"/>
      <c r="Q23" s="17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17" t="s">
        <v>153</v>
      </c>
      <c r="AD23" s="67">
        <f>SUM(AD18:AD22)</f>
        <v>0</v>
      </c>
      <c r="AE23" s="65"/>
      <c r="AF23" s="65"/>
      <c r="AG23" s="65"/>
      <c r="AH23" s="17" t="s">
        <v>165</v>
      </c>
      <c r="AI23" s="67">
        <f>SUM(AI18:AI22)</f>
        <v>0</v>
      </c>
    </row>
    <row r="24" spans="1:35" x14ac:dyDescent="0.2">
      <c r="A24" s="76">
        <f>SUM(K18, P18, U18, Z18, AE18)</f>
        <v>125158</v>
      </c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9"/>
      <c r="N24" s="69"/>
      <c r="O24" s="65"/>
      <c r="P24" s="65"/>
      <c r="Q24" s="17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</row>
    <row r="25" spans="1:35" x14ac:dyDescent="0.2">
      <c r="A25" s="74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9"/>
      <c r="N25" s="69"/>
      <c r="O25" s="65"/>
      <c r="P25" s="65"/>
      <c r="Q25" s="17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</row>
    <row r="26" spans="1:35" x14ac:dyDescent="0.2">
      <c r="A26" s="74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9"/>
      <c r="N26" s="69"/>
      <c r="O26" s="65"/>
      <c r="P26" s="65"/>
      <c r="Q26" s="17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</row>
    <row r="27" spans="1:35" x14ac:dyDescent="0.2">
      <c r="A27" s="74"/>
      <c r="C27" s="65"/>
      <c r="D27" s="65"/>
      <c r="E27" s="65"/>
      <c r="F27" s="65"/>
      <c r="G27" s="65"/>
      <c r="H27" s="65"/>
      <c r="I27" s="65"/>
      <c r="J27" s="65"/>
      <c r="K27" s="65"/>
      <c r="L27" s="17"/>
      <c r="M27" s="69"/>
      <c r="N27" s="69"/>
      <c r="O27" s="65"/>
      <c r="P27" s="65"/>
      <c r="Q27" s="17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</row>
    <row r="28" spans="1:35" x14ac:dyDescent="0.2">
      <c r="A28" s="74"/>
      <c r="C28" s="65"/>
      <c r="D28" s="65"/>
      <c r="E28" s="65"/>
      <c r="F28" s="65"/>
      <c r="G28" s="65"/>
      <c r="H28" s="65"/>
      <c r="I28" s="65"/>
      <c r="J28" s="65"/>
      <c r="K28" s="65"/>
      <c r="L28" s="17"/>
      <c r="M28" s="69"/>
      <c r="N28" s="69"/>
      <c r="O28" s="65"/>
      <c r="P28" s="65"/>
      <c r="Q28" s="17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</row>
    <row r="29" spans="1:35" x14ac:dyDescent="0.2">
      <c r="A29" s="74"/>
      <c r="C29" s="65"/>
      <c r="D29" s="65"/>
      <c r="E29" s="65"/>
      <c r="F29" s="65"/>
      <c r="G29" s="65"/>
      <c r="H29" s="65"/>
      <c r="I29" s="65"/>
      <c r="J29" s="65"/>
      <c r="K29" s="65"/>
      <c r="L29" s="17"/>
      <c r="M29" s="69"/>
      <c r="N29" s="69"/>
      <c r="O29" s="65"/>
      <c r="P29" s="65"/>
      <c r="Q29" s="17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</row>
    <row r="30" spans="1:35" x14ac:dyDescent="0.2">
      <c r="A30" s="74"/>
      <c r="C30" s="65"/>
      <c r="D30" s="65"/>
      <c r="E30" s="65"/>
      <c r="F30" s="65"/>
      <c r="G30" s="65"/>
      <c r="H30" s="65"/>
      <c r="I30" s="65"/>
      <c r="J30" s="65"/>
      <c r="K30" s="65"/>
      <c r="L30" s="17"/>
      <c r="M30" s="69"/>
      <c r="N30" s="69"/>
      <c r="O30" s="65"/>
      <c r="P30" s="65"/>
      <c r="Q30" s="17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</row>
    <row r="31" spans="1:35" x14ac:dyDescent="0.2">
      <c r="A31" s="74"/>
      <c r="C31" s="65"/>
      <c r="D31" s="65"/>
      <c r="E31" s="65"/>
      <c r="F31" s="65"/>
      <c r="G31" s="65"/>
      <c r="H31" s="65"/>
      <c r="I31" s="65"/>
      <c r="J31" s="65"/>
      <c r="K31" s="65"/>
      <c r="L31" s="17"/>
      <c r="M31" s="69"/>
      <c r="N31" s="69"/>
      <c r="O31" s="65"/>
      <c r="P31" s="65"/>
      <c r="Q31" s="17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</row>
    <row r="32" spans="1:35" x14ac:dyDescent="0.2">
      <c r="A32" s="74"/>
      <c r="C32" s="65"/>
      <c r="D32" s="65"/>
      <c r="E32" s="65"/>
      <c r="F32" s="65"/>
      <c r="G32" s="65"/>
      <c r="H32" s="65"/>
      <c r="I32" s="65"/>
      <c r="J32" s="65"/>
      <c r="K32" s="65"/>
      <c r="L32" s="17"/>
      <c r="M32" s="69"/>
      <c r="N32" s="69"/>
      <c r="O32" s="65"/>
      <c r="P32" s="65"/>
      <c r="Q32" s="17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</row>
    <row r="33" spans="1:35" x14ac:dyDescent="0.2">
      <c r="A33" s="74"/>
      <c r="C33" s="65"/>
      <c r="D33" s="65"/>
      <c r="E33" s="65"/>
      <c r="F33" s="65"/>
      <c r="G33" s="65"/>
      <c r="H33" s="65"/>
      <c r="I33" s="65"/>
      <c r="J33" s="65"/>
      <c r="K33" s="65"/>
      <c r="L33" s="17"/>
      <c r="M33" s="69"/>
      <c r="N33" s="69"/>
      <c r="O33" s="65"/>
      <c r="P33" s="65"/>
      <c r="Q33" s="17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</row>
    <row r="34" spans="1:35" x14ac:dyDescent="0.2">
      <c r="A34" s="74"/>
      <c r="C34" s="65"/>
      <c r="D34" s="65"/>
      <c r="E34" s="65"/>
      <c r="F34" s="65"/>
      <c r="G34" s="65"/>
      <c r="H34" s="65"/>
      <c r="I34" s="65"/>
      <c r="J34" s="65"/>
      <c r="K34" s="65"/>
      <c r="L34" s="17"/>
      <c r="M34" s="69"/>
      <c r="N34" s="69"/>
      <c r="O34" s="65"/>
      <c r="P34" s="65"/>
      <c r="Q34" s="17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</row>
    <row r="35" spans="1:35" x14ac:dyDescent="0.2">
      <c r="A35" s="74"/>
      <c r="C35" s="65"/>
      <c r="D35" s="65"/>
      <c r="E35" s="65"/>
      <c r="F35" s="65"/>
      <c r="G35" s="65"/>
      <c r="H35" s="65"/>
      <c r="I35" s="65"/>
      <c r="J35" s="65"/>
      <c r="K35" s="65"/>
      <c r="L35" s="17"/>
      <c r="M35" s="69"/>
      <c r="N35" s="69"/>
      <c r="O35" s="65"/>
      <c r="P35" s="65"/>
      <c r="Q35" s="17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</row>
    <row r="36" spans="1:35" x14ac:dyDescent="0.2">
      <c r="A36" s="74"/>
      <c r="C36" s="65"/>
      <c r="D36" s="65"/>
      <c r="E36" s="65"/>
      <c r="F36" s="65"/>
      <c r="G36" s="65"/>
      <c r="H36" s="65"/>
      <c r="I36" s="65"/>
      <c r="J36" s="65"/>
      <c r="K36" s="65"/>
      <c r="L36" s="17"/>
      <c r="M36" s="69"/>
      <c r="N36" s="69"/>
      <c r="O36" s="65"/>
      <c r="P36" s="65"/>
      <c r="Q36" s="17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</row>
    <row r="37" spans="1:35" x14ac:dyDescent="0.2">
      <c r="A37" s="74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9"/>
      <c r="N37" s="69"/>
      <c r="O37" s="65"/>
      <c r="P37" s="65"/>
      <c r="Q37" s="17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</row>
    <row r="38" spans="1:35" x14ac:dyDescent="0.2">
      <c r="A38" s="74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9"/>
      <c r="N38" s="69"/>
      <c r="O38" s="65"/>
      <c r="P38" s="65"/>
      <c r="Q38" s="17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</row>
    <row r="39" spans="1:35" x14ac:dyDescent="0.2">
      <c r="A39" s="74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9"/>
      <c r="N39" s="69"/>
      <c r="O39" s="65"/>
      <c r="P39" s="65"/>
      <c r="Q39" s="17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</row>
    <row r="40" spans="1:35" x14ac:dyDescent="0.2">
      <c r="A40" s="7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9"/>
      <c r="N40" s="69"/>
      <c r="O40" s="65"/>
      <c r="P40" s="65"/>
      <c r="Q40" s="17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</row>
    <row r="41" spans="1:35" x14ac:dyDescent="0.2">
      <c r="A41" s="74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9"/>
      <c r="N41" s="69"/>
      <c r="O41" s="65"/>
      <c r="P41" s="65"/>
      <c r="Q41" s="17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</row>
    <row r="42" spans="1:35" x14ac:dyDescent="0.2">
      <c r="A42" s="74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9"/>
      <c r="N42" s="69"/>
      <c r="O42" s="65"/>
      <c r="P42" s="65"/>
      <c r="Q42" s="17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</row>
    <row r="43" spans="1:35" x14ac:dyDescent="0.2">
      <c r="A43" s="74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9"/>
      <c r="N43" s="69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</row>
    <row r="44" spans="1:35" x14ac:dyDescent="0.2">
      <c r="A44" s="74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9"/>
      <c r="N44" s="69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</row>
    <row r="45" spans="1:35" x14ac:dyDescent="0.2">
      <c r="A45" s="74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9"/>
      <c r="N45" s="69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</row>
    <row r="46" spans="1:35" x14ac:dyDescent="0.2">
      <c r="A46" s="74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9"/>
      <c r="N46" s="69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</row>
    <row r="47" spans="1:35" x14ac:dyDescent="0.2">
      <c r="A47" s="74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9"/>
      <c r="N47" s="69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</row>
    <row r="48" spans="1:35" x14ac:dyDescent="0.2">
      <c r="A48" s="74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9"/>
      <c r="N48" s="69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</row>
    <row r="49" spans="1:35" x14ac:dyDescent="0.2">
      <c r="A49" s="74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9"/>
      <c r="N49" s="69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</row>
    <row r="50" spans="1:35" x14ac:dyDescent="0.2">
      <c r="A50" s="74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9"/>
      <c r="N50" s="69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</row>
    <row r="51" spans="1:35" x14ac:dyDescent="0.2">
      <c r="A51" s="74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9"/>
      <c r="N51" s="69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</row>
    <row r="52" spans="1:35" x14ac:dyDescent="0.2">
      <c r="A52" s="74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9"/>
      <c r="N52" s="69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</row>
    <row r="53" spans="1:35" x14ac:dyDescent="0.2">
      <c r="A53" s="74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9"/>
      <c r="N53" s="69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</row>
    <row r="54" spans="1:35" x14ac:dyDescent="0.2">
      <c r="A54" s="74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9"/>
      <c r="N54" s="69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</row>
    <row r="55" spans="1:35" x14ac:dyDescent="0.2">
      <c r="A55" s="74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9"/>
      <c r="N55" s="69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</row>
    <row r="56" spans="1:35" x14ac:dyDescent="0.2">
      <c r="A56" s="74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9"/>
      <c r="N56" s="69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</row>
    <row r="57" spans="1:35" x14ac:dyDescent="0.2">
      <c r="A57" s="74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9"/>
      <c r="N57" s="69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</row>
    <row r="58" spans="1:35" x14ac:dyDescent="0.2">
      <c r="A58" s="74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9"/>
      <c r="N58" s="69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</row>
    <row r="59" spans="1:35" x14ac:dyDescent="0.2">
      <c r="A59" s="74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9"/>
      <c r="N59" s="69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</row>
    <row r="60" spans="1:35" x14ac:dyDescent="0.2">
      <c r="A60" s="74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9"/>
      <c r="N60" s="69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</row>
    <row r="61" spans="1:35" x14ac:dyDescent="0.2">
      <c r="A61" s="74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9"/>
      <c r="N61" s="69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</row>
    <row r="62" spans="1:35" x14ac:dyDescent="0.2">
      <c r="A62" s="74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9"/>
      <c r="N62" s="69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</row>
    <row r="63" spans="1:35" x14ac:dyDescent="0.2">
      <c r="A63" s="74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9"/>
      <c r="N63" s="69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</row>
    <row r="64" spans="1:35" x14ac:dyDescent="0.2">
      <c r="A64" s="74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9"/>
      <c r="N64" s="69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</row>
    <row r="65" spans="1:35" x14ac:dyDescent="0.2">
      <c r="A65" s="74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9"/>
      <c r="N65" s="69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</row>
    <row r="66" spans="1:35" x14ac:dyDescent="0.2">
      <c r="A66" s="74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9"/>
      <c r="N66" s="69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</row>
    <row r="67" spans="1:35" x14ac:dyDescent="0.2">
      <c r="A67" s="74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9"/>
      <c r="N67" s="69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</row>
    <row r="68" spans="1:35" x14ac:dyDescent="0.2">
      <c r="A68" s="74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9"/>
      <c r="N68" s="69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</row>
    <row r="69" spans="1:35" x14ac:dyDescent="0.2">
      <c r="A69" s="74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9"/>
      <c r="N69" s="69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</row>
    <row r="70" spans="1:35" x14ac:dyDescent="0.2">
      <c r="A70" s="74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9"/>
      <c r="N70" s="69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</row>
    <row r="71" spans="1:35" x14ac:dyDescent="0.2">
      <c r="A71" s="74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9"/>
      <c r="N71" s="69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</row>
    <row r="72" spans="1:35" x14ac:dyDescent="0.2">
      <c r="A72" s="74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9"/>
      <c r="N72" s="69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</row>
    <row r="73" spans="1:35" x14ac:dyDescent="0.2">
      <c r="A73" s="74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9"/>
      <c r="N73" s="69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</row>
    <row r="74" spans="1:35" x14ac:dyDescent="0.2">
      <c r="A74" s="74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9"/>
      <c r="N74" s="69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</row>
    <row r="75" spans="1:35" x14ac:dyDescent="0.2">
      <c r="A75" s="74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9"/>
      <c r="N75" s="69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</row>
    <row r="76" spans="1:35" x14ac:dyDescent="0.2">
      <c r="A76" s="74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9"/>
      <c r="N76" s="69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</row>
    <row r="77" spans="1:35" x14ac:dyDescent="0.2">
      <c r="A77" s="74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9"/>
      <c r="N77" s="69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</row>
    <row r="78" spans="1:35" x14ac:dyDescent="0.2">
      <c r="A78" s="74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9"/>
      <c r="N78" s="69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</row>
    <row r="79" spans="1:35" x14ac:dyDescent="0.2">
      <c r="A79" s="74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9"/>
      <c r="N79" s="69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</row>
    <row r="80" spans="1:35" x14ac:dyDescent="0.2">
      <c r="A80" s="74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9"/>
      <c r="N80" s="69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</row>
    <row r="81" spans="1:35" x14ac:dyDescent="0.2">
      <c r="A81" s="74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9"/>
      <c r="N81" s="69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</row>
    <row r="82" spans="1:35" x14ac:dyDescent="0.2">
      <c r="A82" s="74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9"/>
      <c r="N82" s="69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</row>
    <row r="83" spans="1:35" x14ac:dyDescent="0.2">
      <c r="A83" s="74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9"/>
      <c r="N83" s="69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</row>
    <row r="84" spans="1:35" x14ac:dyDescent="0.2">
      <c r="A84" s="74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9"/>
      <c r="N84" s="69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</row>
    <row r="85" spans="1:35" x14ac:dyDescent="0.2">
      <c r="A85" s="74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9"/>
      <c r="N85" s="69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</row>
    <row r="86" spans="1:35" x14ac:dyDescent="0.2">
      <c r="A86" s="74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9"/>
      <c r="N86" s="69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</row>
    <row r="87" spans="1:35" x14ac:dyDescent="0.2">
      <c r="A87" s="74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9"/>
      <c r="N87" s="69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</row>
    <row r="88" spans="1:35" x14ac:dyDescent="0.2">
      <c r="A88" s="74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9"/>
      <c r="N88" s="69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</row>
    <row r="89" spans="1:35" x14ac:dyDescent="0.2">
      <c r="A89" s="74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9"/>
      <c r="N89" s="69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</row>
    <row r="90" spans="1:35" x14ac:dyDescent="0.2">
      <c r="A90" s="74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9"/>
      <c r="N90" s="69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</row>
    <row r="91" spans="1:35" x14ac:dyDescent="0.2">
      <c r="A91" s="74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9"/>
      <c r="N91" s="69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</row>
    <row r="92" spans="1:35" x14ac:dyDescent="0.2">
      <c r="A92" s="74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9"/>
      <c r="N92" s="69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</row>
    <row r="93" spans="1:35" x14ac:dyDescent="0.2">
      <c r="A93" s="74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9"/>
      <c r="N93" s="69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</row>
    <row r="94" spans="1:35" x14ac:dyDescent="0.2">
      <c r="A94" s="74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9"/>
      <c r="N94" s="69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</row>
    <row r="95" spans="1:35" x14ac:dyDescent="0.2">
      <c r="A95" s="74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9"/>
      <c r="N95" s="69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</row>
    <row r="96" spans="1:35" x14ac:dyDescent="0.2">
      <c r="A96" s="74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9"/>
      <c r="N96" s="69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</row>
    <row r="97" spans="1:35" x14ac:dyDescent="0.2">
      <c r="A97" s="74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9"/>
      <c r="N97" s="69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</row>
    <row r="98" spans="1:35" x14ac:dyDescent="0.2">
      <c r="A98" s="74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9"/>
      <c r="N98" s="69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</row>
    <row r="99" spans="1:35" x14ac:dyDescent="0.2">
      <c r="A99" s="74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9"/>
      <c r="N99" s="69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</row>
    <row r="100" spans="1:35" x14ac:dyDescent="0.2">
      <c r="A100" s="74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9"/>
      <c r="N100" s="69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</row>
    <row r="101" spans="1:35" x14ac:dyDescent="0.2">
      <c r="A101" s="74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9"/>
      <c r="N101" s="69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</row>
    <row r="102" spans="1:35" x14ac:dyDescent="0.2">
      <c r="A102" s="74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9"/>
      <c r="N102" s="69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</row>
    <row r="103" spans="1:35" x14ac:dyDescent="0.2">
      <c r="A103" s="74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9"/>
      <c r="N103" s="69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</row>
    <row r="104" spans="1:35" x14ac:dyDescent="0.2">
      <c r="A104" s="74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9"/>
      <c r="N104" s="69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</row>
    <row r="105" spans="1:35" x14ac:dyDescent="0.2">
      <c r="A105" s="74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9"/>
      <c r="N105" s="69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</row>
    <row r="106" spans="1:35" x14ac:dyDescent="0.2">
      <c r="A106" s="74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9"/>
      <c r="N106" s="69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</row>
    <row r="107" spans="1:35" x14ac:dyDescent="0.2">
      <c r="A107" s="74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9"/>
      <c r="N107" s="69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</row>
    <row r="108" spans="1:35" x14ac:dyDescent="0.2">
      <c r="A108" s="74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9"/>
      <c r="N108" s="69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</row>
    <row r="109" spans="1:35" x14ac:dyDescent="0.2">
      <c r="A109" s="74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9"/>
      <c r="N109" s="69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</row>
    <row r="110" spans="1:35" x14ac:dyDescent="0.2">
      <c r="A110" s="74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9"/>
      <c r="N110" s="69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</row>
    <row r="111" spans="1:35" x14ac:dyDescent="0.2">
      <c r="A111" s="74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9"/>
      <c r="N111" s="69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</row>
    <row r="112" spans="1:35" x14ac:dyDescent="0.2">
      <c r="A112" s="74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9"/>
      <c r="N112" s="69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</row>
    <row r="113" spans="1:35" x14ac:dyDescent="0.2">
      <c r="A113" s="74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9"/>
      <c r="N113" s="69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</row>
    <row r="114" spans="1:35" x14ac:dyDescent="0.2">
      <c r="A114" s="74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9"/>
      <c r="N114" s="69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</row>
    <row r="115" spans="1:35" x14ac:dyDescent="0.2">
      <c r="A115" s="74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9"/>
      <c r="N115" s="69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</row>
    <row r="116" spans="1:35" x14ac:dyDescent="0.2">
      <c r="A116" s="74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9"/>
      <c r="N116" s="69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</row>
    <row r="117" spans="1:35" x14ac:dyDescent="0.2">
      <c r="A117" s="74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9"/>
      <c r="N117" s="69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</row>
    <row r="118" spans="1:35" x14ac:dyDescent="0.2">
      <c r="A118" s="74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9"/>
      <c r="N118" s="69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</row>
    <row r="119" spans="1:35" x14ac:dyDescent="0.2">
      <c r="A119" s="74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9"/>
      <c r="N119" s="69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</row>
    <row r="120" spans="1:35" x14ac:dyDescent="0.2">
      <c r="A120" s="74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9"/>
      <c r="N120" s="69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</row>
    <row r="121" spans="1:35" x14ac:dyDescent="0.2">
      <c r="A121" s="74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9"/>
      <c r="N121" s="69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</row>
    <row r="122" spans="1:35" x14ac:dyDescent="0.2">
      <c r="A122" s="74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9"/>
      <c r="N122" s="69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</row>
    <row r="123" spans="1:35" x14ac:dyDescent="0.2">
      <c r="A123" s="74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9"/>
      <c r="N123" s="69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</row>
    <row r="124" spans="1:35" x14ac:dyDescent="0.2">
      <c r="A124" s="74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9"/>
      <c r="N124" s="69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</row>
    <row r="125" spans="1:35" x14ac:dyDescent="0.2">
      <c r="A125" s="74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9"/>
      <c r="N125" s="69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</row>
    <row r="126" spans="1:35" x14ac:dyDescent="0.2">
      <c r="A126" s="74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9"/>
      <c r="N126" s="69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</row>
    <row r="127" spans="1:35" x14ac:dyDescent="0.2">
      <c r="A127" s="74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9"/>
      <c r="N127" s="69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</row>
    <row r="128" spans="1:35" x14ac:dyDescent="0.2">
      <c r="A128" s="74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9"/>
      <c r="N128" s="69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</row>
    <row r="129" spans="1:35" x14ac:dyDescent="0.2">
      <c r="A129" s="74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9"/>
      <c r="N129" s="69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</row>
    <row r="130" spans="1:35" x14ac:dyDescent="0.2">
      <c r="A130" s="74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9"/>
      <c r="N130" s="69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</row>
    <row r="131" spans="1:35" x14ac:dyDescent="0.2">
      <c r="A131" s="74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9"/>
      <c r="N131" s="69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</row>
    <row r="132" spans="1:35" x14ac:dyDescent="0.2">
      <c r="A132" s="74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9"/>
      <c r="N132" s="69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</row>
    <row r="133" spans="1:35" x14ac:dyDescent="0.2">
      <c r="A133" s="74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9"/>
      <c r="N133" s="69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</row>
    <row r="134" spans="1:35" x14ac:dyDescent="0.2">
      <c r="A134" s="74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9"/>
      <c r="N134" s="69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</row>
    <row r="135" spans="1:35" x14ac:dyDescent="0.2">
      <c r="A135" s="74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9"/>
      <c r="N135" s="69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</row>
    <row r="136" spans="1:35" x14ac:dyDescent="0.2">
      <c r="A136" s="74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9"/>
      <c r="N136" s="69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</row>
    <row r="137" spans="1:35" x14ac:dyDescent="0.2">
      <c r="A137" s="74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9"/>
      <c r="N137" s="69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</row>
    <row r="138" spans="1:35" x14ac:dyDescent="0.2">
      <c r="A138" s="74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9"/>
      <c r="N138" s="69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</row>
    <row r="139" spans="1:35" x14ac:dyDescent="0.2">
      <c r="A139" s="74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9"/>
      <c r="N139" s="69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</row>
    <row r="140" spans="1:35" x14ac:dyDescent="0.2">
      <c r="A140" s="74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9"/>
      <c r="N140" s="69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</row>
    <row r="141" spans="1:35" x14ac:dyDescent="0.2">
      <c r="A141" s="74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9"/>
      <c r="N141" s="69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</row>
    <row r="142" spans="1:35" x14ac:dyDescent="0.2">
      <c r="A142" s="74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9"/>
      <c r="N142" s="69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</row>
    <row r="143" spans="1:35" x14ac:dyDescent="0.2">
      <c r="A143" s="74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9"/>
      <c r="N143" s="69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</row>
    <row r="144" spans="1:35" x14ac:dyDescent="0.2">
      <c r="A144" s="74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9"/>
      <c r="N144" s="69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</row>
    <row r="145" spans="1:35" x14ac:dyDescent="0.2">
      <c r="A145" s="74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9"/>
      <c r="N145" s="69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</row>
    <row r="146" spans="1:35" x14ac:dyDescent="0.2">
      <c r="A146" s="74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9"/>
      <c r="N146" s="69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</row>
    <row r="147" spans="1:35" x14ac:dyDescent="0.2">
      <c r="A147" s="74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9"/>
      <c r="N147" s="69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</row>
    <row r="148" spans="1:35" x14ac:dyDescent="0.2">
      <c r="A148" s="74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9"/>
      <c r="N148" s="69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</row>
    <row r="149" spans="1:35" x14ac:dyDescent="0.2">
      <c r="A149" s="74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9"/>
      <c r="N149" s="69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</row>
    <row r="150" spans="1:35" x14ac:dyDescent="0.2">
      <c r="A150" s="74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9"/>
      <c r="N150" s="69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</row>
    <row r="151" spans="1:35" x14ac:dyDescent="0.2">
      <c r="A151" s="74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9"/>
      <c r="N151" s="69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</row>
    <row r="152" spans="1:35" x14ac:dyDescent="0.2">
      <c r="A152" s="74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9"/>
      <c r="N152" s="69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</row>
    <row r="153" spans="1:35" x14ac:dyDescent="0.2">
      <c r="A153" s="74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9"/>
      <c r="N153" s="69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</row>
    <row r="154" spans="1:35" x14ac:dyDescent="0.2">
      <c r="A154" s="74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9"/>
      <c r="N154" s="69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</row>
    <row r="155" spans="1:35" x14ac:dyDescent="0.2">
      <c r="A155" s="74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9"/>
      <c r="N155" s="69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</row>
    <row r="156" spans="1:35" x14ac:dyDescent="0.2">
      <c r="A156" s="74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9"/>
      <c r="N156" s="69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</row>
    <row r="157" spans="1:35" x14ac:dyDescent="0.2">
      <c r="A157" s="74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9"/>
      <c r="N157" s="69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</row>
    <row r="158" spans="1:35" x14ac:dyDescent="0.2">
      <c r="A158" s="74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9"/>
      <c r="N158" s="69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</row>
    <row r="159" spans="1:35" x14ac:dyDescent="0.2">
      <c r="A159" s="74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9"/>
      <c r="N159" s="69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</row>
    <row r="160" spans="1:35" x14ac:dyDescent="0.2">
      <c r="A160" s="74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9"/>
      <c r="N160" s="69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</row>
    <row r="161" spans="1:35" x14ac:dyDescent="0.2">
      <c r="A161" s="74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9"/>
      <c r="N161" s="69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</row>
    <row r="162" spans="1:35" x14ac:dyDescent="0.2">
      <c r="A162" s="74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9"/>
      <c r="N162" s="69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</row>
    <row r="163" spans="1:35" x14ac:dyDescent="0.2">
      <c r="A163" s="74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9"/>
      <c r="N163" s="69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</row>
    <row r="164" spans="1:35" x14ac:dyDescent="0.2">
      <c r="A164" s="74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9"/>
      <c r="N164" s="69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</row>
    <row r="165" spans="1:35" x14ac:dyDescent="0.2">
      <c r="A165" s="74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9"/>
      <c r="N165" s="69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</row>
    <row r="166" spans="1:35" x14ac:dyDescent="0.2">
      <c r="A166" s="74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9"/>
      <c r="N166" s="69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</row>
    <row r="167" spans="1:35" x14ac:dyDescent="0.2">
      <c r="A167" s="74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9"/>
      <c r="N167" s="69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</row>
    <row r="168" spans="1:35" x14ac:dyDescent="0.2">
      <c r="A168" s="74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9"/>
      <c r="N168" s="69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</row>
    <row r="169" spans="1:35" x14ac:dyDescent="0.2">
      <c r="A169" s="74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9"/>
      <c r="N169" s="69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</row>
    <row r="170" spans="1:35" x14ac:dyDescent="0.2">
      <c r="A170" s="74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9"/>
      <c r="N170" s="69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</row>
    <row r="171" spans="1:35" x14ac:dyDescent="0.2">
      <c r="A171" s="74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9"/>
      <c r="N171" s="69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</row>
    <row r="172" spans="1:35" x14ac:dyDescent="0.2">
      <c r="A172" s="74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9"/>
      <c r="N172" s="69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</row>
    <row r="173" spans="1:35" x14ac:dyDescent="0.2">
      <c r="A173" s="74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9"/>
      <c r="N173" s="69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</row>
    <row r="174" spans="1:35" x14ac:dyDescent="0.2">
      <c r="A174" s="74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9"/>
      <c r="N174" s="69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</row>
    <row r="175" spans="1:35" x14ac:dyDescent="0.2">
      <c r="A175" s="74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9"/>
      <c r="N175" s="69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</row>
    <row r="176" spans="1:35" x14ac:dyDescent="0.2">
      <c r="A176" s="74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9"/>
      <c r="N176" s="69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</row>
    <row r="177" spans="1:35" x14ac:dyDescent="0.2">
      <c r="A177" s="74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9"/>
      <c r="N177" s="69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</row>
    <row r="178" spans="1:35" x14ac:dyDescent="0.2">
      <c r="A178" s="74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9"/>
      <c r="N178" s="69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</row>
    <row r="179" spans="1:35" x14ac:dyDescent="0.2">
      <c r="A179" s="74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9"/>
      <c r="N179" s="69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</row>
    <row r="180" spans="1:35" x14ac:dyDescent="0.2">
      <c r="A180" s="74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9"/>
      <c r="N180" s="69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</row>
    <row r="181" spans="1:35" x14ac:dyDescent="0.2">
      <c r="A181" s="74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9"/>
      <c r="N181" s="69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</row>
    <row r="182" spans="1:35" x14ac:dyDescent="0.2">
      <c r="A182" s="74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9"/>
      <c r="N182" s="69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</row>
    <row r="183" spans="1:35" x14ac:dyDescent="0.2">
      <c r="A183" s="74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9"/>
      <c r="N183" s="69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</row>
    <row r="184" spans="1:35" x14ac:dyDescent="0.2">
      <c r="A184" s="74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9"/>
      <c r="N184" s="69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</row>
    <row r="185" spans="1:35" x14ac:dyDescent="0.2">
      <c r="A185" s="74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9"/>
      <c r="N185" s="69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</row>
    <row r="186" spans="1:35" x14ac:dyDescent="0.2">
      <c r="A186" s="74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9"/>
      <c r="N186" s="69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</row>
    <row r="187" spans="1:35" x14ac:dyDescent="0.2">
      <c r="A187" s="74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9"/>
      <c r="N187" s="69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</row>
    <row r="188" spans="1:35" x14ac:dyDescent="0.2">
      <c r="A188" s="74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9"/>
      <c r="N188" s="69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</row>
    <row r="189" spans="1:35" x14ac:dyDescent="0.2">
      <c r="A189" s="74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9"/>
      <c r="N189" s="69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</row>
    <row r="190" spans="1:35" x14ac:dyDescent="0.2">
      <c r="A190" s="74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9"/>
      <c r="N190" s="69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</row>
    <row r="191" spans="1:35" x14ac:dyDescent="0.2">
      <c r="A191" s="74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9"/>
      <c r="N191" s="69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</row>
    <row r="192" spans="1:35" x14ac:dyDescent="0.2">
      <c r="A192" s="74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9"/>
      <c r="N192" s="69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</row>
    <row r="193" spans="1:35" x14ac:dyDescent="0.2">
      <c r="A193" s="74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9"/>
      <c r="N193" s="69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</row>
    <row r="194" spans="1:35" x14ac:dyDescent="0.2">
      <c r="A194" s="74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9"/>
      <c r="N194" s="69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</row>
    <row r="195" spans="1:35" x14ac:dyDescent="0.2">
      <c r="A195" s="74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9"/>
      <c r="N195" s="69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</row>
    <row r="196" spans="1:35" x14ac:dyDescent="0.2">
      <c r="A196" s="74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9"/>
      <c r="N196" s="69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</row>
    <row r="197" spans="1:35" x14ac:dyDescent="0.2">
      <c r="A197" s="74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9"/>
      <c r="N197" s="69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</row>
    <row r="198" spans="1:35" x14ac:dyDescent="0.2">
      <c r="A198" s="74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9"/>
      <c r="N198" s="69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</row>
    <row r="199" spans="1:35" x14ac:dyDescent="0.2">
      <c r="A199" s="74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9"/>
      <c r="N199" s="69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</row>
    <row r="200" spans="1:35" x14ac:dyDescent="0.2">
      <c r="A200" s="74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9"/>
      <c r="N200" s="69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</row>
    <row r="201" spans="1:35" x14ac:dyDescent="0.2">
      <c r="A201" s="74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9"/>
      <c r="N201" s="69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</row>
    <row r="202" spans="1:35" x14ac:dyDescent="0.2">
      <c r="A202" s="74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9"/>
      <c r="N202" s="69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</row>
    <row r="203" spans="1:35" x14ac:dyDescent="0.2">
      <c r="A203" s="74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9"/>
      <c r="N203" s="69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</row>
    <row r="204" spans="1:35" x14ac:dyDescent="0.2">
      <c r="A204" s="74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9"/>
      <c r="N204" s="69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</row>
    <row r="205" spans="1:35" x14ac:dyDescent="0.2">
      <c r="A205" s="74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9"/>
      <c r="N205" s="69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</row>
    <row r="206" spans="1:35" x14ac:dyDescent="0.2">
      <c r="A206" s="74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9"/>
      <c r="N206" s="69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</row>
    <row r="207" spans="1:35" x14ac:dyDescent="0.2">
      <c r="A207" s="74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9"/>
      <c r="N207" s="69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</row>
    <row r="208" spans="1:35" x14ac:dyDescent="0.2">
      <c r="A208" s="74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9"/>
      <c r="N208" s="69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</row>
    <row r="209" spans="1:35" x14ac:dyDescent="0.2">
      <c r="A209" s="74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9"/>
      <c r="N209" s="69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</row>
    <row r="210" spans="1:35" x14ac:dyDescent="0.2">
      <c r="A210" s="74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9"/>
      <c r="N210" s="69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</row>
    <row r="211" spans="1:35" x14ac:dyDescent="0.2">
      <c r="A211" s="74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9"/>
      <c r="N211" s="69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</row>
    <row r="212" spans="1:35" x14ac:dyDescent="0.2">
      <c r="A212" s="74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9"/>
      <c r="N212" s="69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</row>
    <row r="213" spans="1:35" x14ac:dyDescent="0.2">
      <c r="A213" s="74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9"/>
      <c r="N213" s="69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</row>
    <row r="214" spans="1:35" x14ac:dyDescent="0.2">
      <c r="A214" s="74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9"/>
      <c r="N214" s="69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</row>
    <row r="215" spans="1:35" x14ac:dyDescent="0.2">
      <c r="A215" s="74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9"/>
      <c r="N215" s="69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</row>
    <row r="216" spans="1:35" x14ac:dyDescent="0.2">
      <c r="A216" s="74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9"/>
      <c r="N216" s="69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</row>
    <row r="217" spans="1:35" x14ac:dyDescent="0.2">
      <c r="A217" s="74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9"/>
      <c r="N217" s="69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</row>
    <row r="218" spans="1:35" x14ac:dyDescent="0.2">
      <c r="A218" s="74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9"/>
      <c r="N218" s="69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</row>
    <row r="219" spans="1:35" x14ac:dyDescent="0.2">
      <c r="A219" s="74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9"/>
      <c r="N219" s="69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</row>
    <row r="220" spans="1:35" x14ac:dyDescent="0.2">
      <c r="A220" s="74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9"/>
      <c r="N220" s="69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</row>
    <row r="221" spans="1:35" x14ac:dyDescent="0.2">
      <c r="A221" s="74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9"/>
      <c r="N221" s="69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</row>
    <row r="222" spans="1:35" x14ac:dyDescent="0.2">
      <c r="A222" s="74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9"/>
      <c r="N222" s="69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</row>
    <row r="223" spans="1:35" x14ac:dyDescent="0.2">
      <c r="A223" s="74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9"/>
      <c r="N223" s="69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</row>
    <row r="224" spans="1:35" x14ac:dyDescent="0.2">
      <c r="A224" s="74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9"/>
      <c r="N224" s="69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</row>
    <row r="225" spans="1:35" x14ac:dyDescent="0.2">
      <c r="A225" s="74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9"/>
      <c r="N225" s="69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</row>
    <row r="226" spans="1:35" x14ac:dyDescent="0.2">
      <c r="A226" s="74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9"/>
      <c r="N226" s="69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</row>
    <row r="227" spans="1:35" x14ac:dyDescent="0.2">
      <c r="A227" s="74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9"/>
      <c r="N227" s="69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</row>
    <row r="228" spans="1:35" x14ac:dyDescent="0.2">
      <c r="A228" s="74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9"/>
      <c r="N228" s="69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</row>
    <row r="229" spans="1:35" x14ac:dyDescent="0.2">
      <c r="A229" s="74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9"/>
      <c r="N229" s="69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</row>
    <row r="230" spans="1:35" x14ac:dyDescent="0.2">
      <c r="A230" s="74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9"/>
      <c r="N230" s="69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</row>
    <row r="231" spans="1:35" x14ac:dyDescent="0.2">
      <c r="A231" s="74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9"/>
      <c r="N231" s="69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</row>
    <row r="232" spans="1:35" x14ac:dyDescent="0.2">
      <c r="A232" s="74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9"/>
      <c r="N232" s="69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</row>
    <row r="233" spans="1:35" x14ac:dyDescent="0.2">
      <c r="A233" s="74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9"/>
      <c r="N233" s="69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</row>
    <row r="234" spans="1:35" x14ac:dyDescent="0.2">
      <c r="A234" s="74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9"/>
      <c r="N234" s="69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</row>
    <row r="235" spans="1:35" x14ac:dyDescent="0.2">
      <c r="A235" s="74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9"/>
      <c r="N235" s="69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</row>
    <row r="236" spans="1:35" x14ac:dyDescent="0.2">
      <c r="A236" s="74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9"/>
      <c r="N236" s="69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</row>
    <row r="237" spans="1:35" x14ac:dyDescent="0.2">
      <c r="A237" s="74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9"/>
      <c r="N237" s="69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</row>
    <row r="238" spans="1:35" x14ac:dyDescent="0.2">
      <c r="A238" s="74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9"/>
      <c r="N238" s="69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</row>
    <row r="239" spans="1:35" x14ac:dyDescent="0.2">
      <c r="A239" s="74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9"/>
      <c r="N239" s="69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</row>
    <row r="240" spans="1:35" x14ac:dyDescent="0.2">
      <c r="A240" s="74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9"/>
      <c r="N240" s="69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</row>
    <row r="241" spans="1:35" x14ac:dyDescent="0.2">
      <c r="A241" s="74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9"/>
      <c r="N241" s="69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</row>
    <row r="242" spans="1:35" x14ac:dyDescent="0.2">
      <c r="A242" s="74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9"/>
      <c r="N242" s="69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</row>
    <row r="243" spans="1:35" x14ac:dyDescent="0.2">
      <c r="A243" s="74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9"/>
      <c r="N243" s="69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</row>
    <row r="244" spans="1:35" x14ac:dyDescent="0.2">
      <c r="A244" s="74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9"/>
      <c r="N244" s="69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</row>
    <row r="245" spans="1:35" x14ac:dyDescent="0.2">
      <c r="A245" s="74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9"/>
      <c r="N245" s="69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</row>
    <row r="246" spans="1:35" x14ac:dyDescent="0.2">
      <c r="A246" s="74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9"/>
      <c r="N246" s="69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</row>
    <row r="247" spans="1:35" x14ac:dyDescent="0.2">
      <c r="A247" s="74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9"/>
      <c r="N247" s="69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</row>
    <row r="248" spans="1:35" x14ac:dyDescent="0.2">
      <c r="A248" s="74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9"/>
      <c r="N248" s="69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</row>
    <row r="249" spans="1:35" x14ac:dyDescent="0.2">
      <c r="A249" s="74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9"/>
      <c r="N249" s="69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</row>
    <row r="250" spans="1:35" x14ac:dyDescent="0.2">
      <c r="A250" s="74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9"/>
      <c r="N250" s="69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</row>
    <row r="251" spans="1:35" x14ac:dyDescent="0.2">
      <c r="A251" s="74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9"/>
      <c r="N251" s="69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</row>
    <row r="252" spans="1:35" x14ac:dyDescent="0.2">
      <c r="A252" s="74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9"/>
      <c r="N252" s="69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</row>
    <row r="253" spans="1:35" x14ac:dyDescent="0.2">
      <c r="A253" s="74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9"/>
      <c r="N253" s="69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</row>
    <row r="254" spans="1:35" x14ac:dyDescent="0.2">
      <c r="A254" s="74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9"/>
      <c r="N254" s="69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</row>
    <row r="255" spans="1:35" x14ac:dyDescent="0.2">
      <c r="A255" s="74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9"/>
      <c r="N255" s="69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</row>
    <row r="256" spans="1:35" x14ac:dyDescent="0.2">
      <c r="A256" s="74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9"/>
      <c r="N256" s="69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</row>
    <row r="257" spans="1:35" x14ac:dyDescent="0.2">
      <c r="A257" s="74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9"/>
      <c r="N257" s="69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</row>
    <row r="258" spans="1:35" x14ac:dyDescent="0.2">
      <c r="A258" s="74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9"/>
      <c r="N258" s="69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</row>
    <row r="259" spans="1:35" x14ac:dyDescent="0.2">
      <c r="A259" s="74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9"/>
      <c r="N259" s="69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</row>
    <row r="260" spans="1:35" x14ac:dyDescent="0.2">
      <c r="A260" s="74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9"/>
      <c r="N260" s="69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</row>
    <row r="261" spans="1:35" x14ac:dyDescent="0.2">
      <c r="A261" s="74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9"/>
      <c r="N261" s="69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</row>
    <row r="262" spans="1:35" x14ac:dyDescent="0.2">
      <c r="A262" s="74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9"/>
      <c r="N262" s="69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</row>
    <row r="263" spans="1:35" x14ac:dyDescent="0.2">
      <c r="A263" s="74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9"/>
      <c r="N263" s="69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</row>
    <row r="264" spans="1:35" x14ac:dyDescent="0.2">
      <c r="A264" s="74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9"/>
      <c r="N264" s="69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</row>
    <row r="265" spans="1:35" x14ac:dyDescent="0.2">
      <c r="A265" s="74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9"/>
      <c r="N265" s="69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</row>
    <row r="266" spans="1:35" x14ac:dyDescent="0.2">
      <c r="A266" s="74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9"/>
      <c r="N266" s="69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</row>
    <row r="267" spans="1:35" x14ac:dyDescent="0.2">
      <c r="A267" s="74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9"/>
      <c r="N267" s="69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</row>
    <row r="268" spans="1:35" x14ac:dyDescent="0.2">
      <c r="A268" s="74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9"/>
      <c r="N268" s="69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</row>
    <row r="269" spans="1:35" x14ac:dyDescent="0.2">
      <c r="A269" s="74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9"/>
      <c r="N269" s="69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</row>
    <row r="270" spans="1:35" x14ac:dyDescent="0.2">
      <c r="A270" s="74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9"/>
      <c r="N270" s="69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</row>
    <row r="271" spans="1:35" x14ac:dyDescent="0.2">
      <c r="A271" s="74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9"/>
      <c r="N271" s="69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</row>
    <row r="272" spans="1:35" x14ac:dyDescent="0.2">
      <c r="A272" s="74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9"/>
      <c r="N272" s="69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</row>
    <row r="273" spans="1:35" x14ac:dyDescent="0.2">
      <c r="A273" s="74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9"/>
      <c r="N273" s="69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</row>
    <row r="274" spans="1:35" x14ac:dyDescent="0.2">
      <c r="A274" s="74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9"/>
      <c r="N274" s="69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</row>
    <row r="275" spans="1:35" x14ac:dyDescent="0.2">
      <c r="A275" s="74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9"/>
      <c r="N275" s="69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</row>
    <row r="276" spans="1:35" x14ac:dyDescent="0.2">
      <c r="A276" s="74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9"/>
      <c r="N276" s="69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</row>
    <row r="277" spans="1:35" x14ac:dyDescent="0.2">
      <c r="A277" s="74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9"/>
      <c r="N277" s="69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</row>
    <row r="278" spans="1:35" x14ac:dyDescent="0.2">
      <c r="A278" s="74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9"/>
      <c r="N278" s="69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</row>
    <row r="279" spans="1:35" x14ac:dyDescent="0.2">
      <c r="A279" s="74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9"/>
      <c r="N279" s="69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</row>
    <row r="280" spans="1:35" x14ac:dyDescent="0.2">
      <c r="A280" s="74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9"/>
      <c r="N280" s="69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</row>
    <row r="281" spans="1:35" x14ac:dyDescent="0.2">
      <c r="A281" s="74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9"/>
      <c r="N281" s="69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5"/>
    </row>
    <row r="282" spans="1:35" x14ac:dyDescent="0.2">
      <c r="A282" s="74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9"/>
      <c r="N282" s="69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</row>
    <row r="283" spans="1:35" x14ac:dyDescent="0.2">
      <c r="A283" s="74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9"/>
      <c r="N283" s="69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</row>
    <row r="284" spans="1:35" x14ac:dyDescent="0.2">
      <c r="A284" s="74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9"/>
      <c r="N284" s="69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</row>
    <row r="285" spans="1:35" x14ac:dyDescent="0.2">
      <c r="A285" s="74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9"/>
      <c r="N285" s="69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</row>
    <row r="286" spans="1:35" x14ac:dyDescent="0.2">
      <c r="A286" s="74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9"/>
      <c r="N286" s="69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</row>
    <row r="287" spans="1:35" x14ac:dyDescent="0.2">
      <c r="A287" s="74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9"/>
      <c r="N287" s="69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</row>
    <row r="288" spans="1:35" x14ac:dyDescent="0.2">
      <c r="A288" s="74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9"/>
      <c r="N288" s="69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</row>
    <row r="289" spans="1:35" x14ac:dyDescent="0.2">
      <c r="A289" s="74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9"/>
      <c r="N289" s="69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</row>
    <row r="290" spans="1:35" x14ac:dyDescent="0.2">
      <c r="A290" s="74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9"/>
      <c r="N290" s="69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</row>
    <row r="291" spans="1:35" x14ac:dyDescent="0.2">
      <c r="A291" s="74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9"/>
      <c r="N291" s="69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</row>
    <row r="292" spans="1:35" x14ac:dyDescent="0.2">
      <c r="A292" s="74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9"/>
      <c r="N292" s="69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</row>
    <row r="293" spans="1:35" x14ac:dyDescent="0.2">
      <c r="A293" s="74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9"/>
      <c r="N293" s="69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</row>
    <row r="294" spans="1:35" x14ac:dyDescent="0.2">
      <c r="A294" s="74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9"/>
      <c r="N294" s="69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</row>
    <row r="295" spans="1:35" x14ac:dyDescent="0.2">
      <c r="A295" s="74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9"/>
      <c r="N295" s="69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</row>
    <row r="296" spans="1:35" x14ac:dyDescent="0.2">
      <c r="A296" s="74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9"/>
      <c r="N296" s="69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</row>
    <row r="297" spans="1:35" x14ac:dyDescent="0.2">
      <c r="A297" s="74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9"/>
      <c r="N297" s="69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</row>
    <row r="298" spans="1:35" x14ac:dyDescent="0.2">
      <c r="A298" s="74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9"/>
      <c r="N298" s="69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</row>
    <row r="299" spans="1:35" x14ac:dyDescent="0.2">
      <c r="A299" s="74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9"/>
      <c r="N299" s="69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</row>
    <row r="300" spans="1:35" x14ac:dyDescent="0.2">
      <c r="A300" s="74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9"/>
      <c r="N300" s="69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</row>
    <row r="301" spans="1:35" x14ac:dyDescent="0.2">
      <c r="A301" s="74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9"/>
      <c r="N301" s="69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</row>
    <row r="302" spans="1:35" x14ac:dyDescent="0.2">
      <c r="A302" s="74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9"/>
      <c r="N302" s="69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</row>
    <row r="303" spans="1:35" x14ac:dyDescent="0.2">
      <c r="A303" s="74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9"/>
      <c r="N303" s="69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</row>
    <row r="304" spans="1:35" x14ac:dyDescent="0.2">
      <c r="A304" s="74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9"/>
      <c r="N304" s="69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</row>
    <row r="305" spans="1:35" x14ac:dyDescent="0.2">
      <c r="A305" s="74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9"/>
      <c r="N305" s="69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</row>
    <row r="306" spans="1:35" x14ac:dyDescent="0.2">
      <c r="A306" s="74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9"/>
      <c r="N306" s="69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</row>
    <row r="307" spans="1:35" x14ac:dyDescent="0.2">
      <c r="A307" s="74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9"/>
      <c r="N307" s="69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</row>
    <row r="308" spans="1:35" x14ac:dyDescent="0.2">
      <c r="A308" s="74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9"/>
      <c r="N308" s="69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</row>
    <row r="309" spans="1:35" x14ac:dyDescent="0.2">
      <c r="A309" s="74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9"/>
      <c r="N309" s="69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</row>
    <row r="310" spans="1:35" x14ac:dyDescent="0.2">
      <c r="A310" s="74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9"/>
      <c r="N310" s="69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</row>
    <row r="311" spans="1:35" x14ac:dyDescent="0.2">
      <c r="A311" s="74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9"/>
      <c r="N311" s="69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</row>
    <row r="312" spans="1:35" x14ac:dyDescent="0.2">
      <c r="A312" s="74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9"/>
      <c r="N312" s="69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</row>
    <row r="313" spans="1:35" x14ac:dyDescent="0.2">
      <c r="A313" s="74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9"/>
      <c r="N313" s="69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</row>
    <row r="314" spans="1:35" x14ac:dyDescent="0.2">
      <c r="A314" s="74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9"/>
      <c r="N314" s="69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</row>
    <row r="315" spans="1:35" x14ac:dyDescent="0.2">
      <c r="A315" s="74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9"/>
      <c r="N315" s="69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</row>
    <row r="316" spans="1:35" x14ac:dyDescent="0.2">
      <c r="A316" s="74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9"/>
      <c r="N316" s="69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</row>
    <row r="317" spans="1:35" x14ac:dyDescent="0.2">
      <c r="A317" s="74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9"/>
      <c r="N317" s="69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</row>
    <row r="318" spans="1:35" x14ac:dyDescent="0.2">
      <c r="A318" s="74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9"/>
      <c r="N318" s="69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</row>
    <row r="319" spans="1:35" x14ac:dyDescent="0.2">
      <c r="A319" s="74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9"/>
      <c r="N319" s="69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</row>
    <row r="320" spans="1:35" x14ac:dyDescent="0.2">
      <c r="A320" s="74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9"/>
      <c r="N320" s="69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</row>
    <row r="321" spans="1:35" x14ac:dyDescent="0.2">
      <c r="A321" s="74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9"/>
      <c r="N321" s="69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</row>
    <row r="322" spans="1:35" x14ac:dyDescent="0.2">
      <c r="A322" s="74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9"/>
      <c r="N322" s="69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</row>
    <row r="323" spans="1:35" x14ac:dyDescent="0.2">
      <c r="A323" s="74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9"/>
      <c r="N323" s="69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</row>
    <row r="324" spans="1:35" x14ac:dyDescent="0.2">
      <c r="A324" s="74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9"/>
      <c r="N324" s="69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</row>
    <row r="325" spans="1:35" x14ac:dyDescent="0.2">
      <c r="A325" s="74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9"/>
      <c r="N325" s="69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</row>
    <row r="326" spans="1:35" x14ac:dyDescent="0.2">
      <c r="A326" s="74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9"/>
      <c r="N326" s="69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</row>
    <row r="327" spans="1:35" x14ac:dyDescent="0.2">
      <c r="A327" s="74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9"/>
      <c r="N327" s="69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</row>
    <row r="328" spans="1:35" x14ac:dyDescent="0.2">
      <c r="A328" s="74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9"/>
      <c r="N328" s="69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</row>
    <row r="329" spans="1:35" x14ac:dyDescent="0.2">
      <c r="A329" s="74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9"/>
      <c r="N329" s="69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</row>
    <row r="330" spans="1:35" x14ac:dyDescent="0.2">
      <c r="A330" s="74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9"/>
      <c r="N330" s="69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</row>
    <row r="331" spans="1:35" x14ac:dyDescent="0.2">
      <c r="A331" s="74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9"/>
      <c r="N331" s="69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</row>
    <row r="332" spans="1:35" x14ac:dyDescent="0.2">
      <c r="A332" s="74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9"/>
      <c r="N332" s="69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</row>
    <row r="333" spans="1:35" x14ac:dyDescent="0.2">
      <c r="A333" s="74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9"/>
      <c r="N333" s="69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</row>
    <row r="334" spans="1:35" x14ac:dyDescent="0.2">
      <c r="A334" s="74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9"/>
      <c r="N334" s="69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</row>
    <row r="335" spans="1:35" x14ac:dyDescent="0.2">
      <c r="A335" s="74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9"/>
      <c r="N335" s="69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/>
    </row>
    <row r="336" spans="1:35" x14ac:dyDescent="0.2">
      <c r="A336" s="74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9"/>
      <c r="N336" s="69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</row>
    <row r="337" spans="1:35" x14ac:dyDescent="0.2">
      <c r="A337" s="74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9"/>
      <c r="N337" s="69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</row>
    <row r="338" spans="1:35" x14ac:dyDescent="0.2">
      <c r="A338" s="74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9"/>
      <c r="N338" s="69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</row>
    <row r="339" spans="1:35" x14ac:dyDescent="0.2">
      <c r="A339" s="74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9"/>
      <c r="N339" s="69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</row>
    <row r="340" spans="1:35" x14ac:dyDescent="0.2">
      <c r="A340" s="74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9"/>
      <c r="N340" s="69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</row>
    <row r="341" spans="1:35" x14ac:dyDescent="0.2">
      <c r="A341" s="74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9"/>
      <c r="N341" s="69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</row>
    <row r="342" spans="1:35" x14ac:dyDescent="0.2">
      <c r="A342" s="74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9"/>
      <c r="N342" s="69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</row>
    <row r="343" spans="1:35" x14ac:dyDescent="0.2">
      <c r="A343" s="74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9"/>
      <c r="N343" s="69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</row>
    <row r="344" spans="1:35" x14ac:dyDescent="0.2">
      <c r="A344" s="74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9"/>
      <c r="N344" s="69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</row>
    <row r="345" spans="1:35" x14ac:dyDescent="0.2">
      <c r="A345" s="74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9"/>
      <c r="N345" s="69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</row>
    <row r="346" spans="1:35" x14ac:dyDescent="0.2">
      <c r="A346" s="74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9"/>
      <c r="N346" s="69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</row>
    <row r="347" spans="1:35" x14ac:dyDescent="0.2">
      <c r="A347" s="74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9"/>
      <c r="N347" s="69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</row>
    <row r="348" spans="1:35" x14ac:dyDescent="0.2">
      <c r="A348" s="74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9"/>
      <c r="N348" s="69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</row>
    <row r="349" spans="1:35" x14ac:dyDescent="0.2">
      <c r="A349" s="74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9"/>
      <c r="N349" s="69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</row>
    <row r="350" spans="1:35" x14ac:dyDescent="0.2">
      <c r="A350" s="74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9"/>
      <c r="N350" s="69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</row>
    <row r="351" spans="1:35" x14ac:dyDescent="0.2">
      <c r="A351" s="74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9"/>
      <c r="N351" s="69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</row>
    <row r="352" spans="1:35" x14ac:dyDescent="0.2">
      <c r="A352" s="74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9"/>
      <c r="N352" s="69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</row>
    <row r="353" spans="1:35" x14ac:dyDescent="0.2">
      <c r="A353" s="74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9"/>
      <c r="N353" s="69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</row>
    <row r="354" spans="1:35" x14ac:dyDescent="0.2">
      <c r="A354" s="74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9"/>
      <c r="N354" s="69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</row>
    <row r="355" spans="1:35" x14ac:dyDescent="0.2">
      <c r="A355" s="74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9"/>
      <c r="N355" s="69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</row>
    <row r="356" spans="1:35" x14ac:dyDescent="0.2">
      <c r="A356" s="74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9"/>
      <c r="N356" s="69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</row>
    <row r="357" spans="1:35" x14ac:dyDescent="0.2">
      <c r="A357" s="74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9"/>
      <c r="N357" s="69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</row>
    <row r="358" spans="1:35" x14ac:dyDescent="0.2">
      <c r="A358" s="74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9"/>
      <c r="N358" s="69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</row>
    <row r="359" spans="1:35" x14ac:dyDescent="0.2">
      <c r="A359" s="74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9"/>
      <c r="N359" s="69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</row>
    <row r="360" spans="1:35" x14ac:dyDescent="0.2">
      <c r="A360" s="74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9"/>
      <c r="N360" s="69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</row>
    <row r="361" spans="1:35" x14ac:dyDescent="0.2">
      <c r="A361" s="74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9"/>
      <c r="N361" s="69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</row>
    <row r="362" spans="1:35" x14ac:dyDescent="0.2">
      <c r="A362" s="74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9"/>
      <c r="N362" s="69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</row>
    <row r="363" spans="1:35" x14ac:dyDescent="0.2">
      <c r="A363" s="74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9"/>
      <c r="N363" s="69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</row>
    <row r="364" spans="1:35" x14ac:dyDescent="0.2">
      <c r="A364" s="74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9"/>
      <c r="N364" s="69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</row>
    <row r="365" spans="1:35" x14ac:dyDescent="0.2">
      <c r="A365" s="74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9"/>
      <c r="N365" s="69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</row>
    <row r="366" spans="1:35" x14ac:dyDescent="0.2">
      <c r="A366" s="74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9"/>
      <c r="N366" s="69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</row>
    <row r="367" spans="1:35" x14ac:dyDescent="0.2">
      <c r="A367" s="74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9"/>
      <c r="N367" s="69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</row>
    <row r="368" spans="1:35" x14ac:dyDescent="0.2">
      <c r="A368" s="74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9"/>
      <c r="N368" s="69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</row>
    <row r="369" spans="1:35" x14ac:dyDescent="0.2">
      <c r="A369" s="74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9"/>
      <c r="N369" s="69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</row>
    <row r="370" spans="1:35" x14ac:dyDescent="0.2">
      <c r="A370" s="74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9"/>
      <c r="N370" s="69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</row>
    <row r="371" spans="1:35" x14ac:dyDescent="0.2">
      <c r="A371" s="74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9"/>
      <c r="N371" s="69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</row>
    <row r="372" spans="1:35" x14ac:dyDescent="0.2">
      <c r="A372" s="74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9"/>
      <c r="N372" s="69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</row>
    <row r="373" spans="1:35" x14ac:dyDescent="0.2">
      <c r="A373" s="74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9"/>
      <c r="N373" s="69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</row>
    <row r="374" spans="1:35" x14ac:dyDescent="0.2">
      <c r="A374" s="74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9"/>
      <c r="N374" s="69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</row>
    <row r="375" spans="1:35" x14ac:dyDescent="0.2">
      <c r="A375" s="74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9"/>
      <c r="N375" s="69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</row>
    <row r="376" spans="1:35" x14ac:dyDescent="0.2">
      <c r="A376" s="74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9"/>
      <c r="N376" s="69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</row>
    <row r="377" spans="1:35" x14ac:dyDescent="0.2">
      <c r="A377" s="74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9"/>
      <c r="N377" s="69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</row>
    <row r="378" spans="1:35" x14ac:dyDescent="0.2">
      <c r="A378" s="74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9"/>
      <c r="N378" s="69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</row>
    <row r="379" spans="1:35" x14ac:dyDescent="0.2">
      <c r="A379" s="74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9"/>
      <c r="N379" s="69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</row>
    <row r="380" spans="1:35" x14ac:dyDescent="0.2">
      <c r="A380" s="74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9"/>
      <c r="N380" s="69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</row>
    <row r="381" spans="1:35" x14ac:dyDescent="0.2">
      <c r="A381" s="74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9"/>
      <c r="N381" s="69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</row>
    <row r="382" spans="1:35" x14ac:dyDescent="0.2">
      <c r="A382" s="74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9"/>
      <c r="N382" s="69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</row>
    <row r="383" spans="1:35" x14ac:dyDescent="0.2">
      <c r="A383" s="74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9"/>
      <c r="N383" s="69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</row>
    <row r="384" spans="1:35" x14ac:dyDescent="0.2">
      <c r="A384" s="74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9"/>
      <c r="N384" s="69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</row>
    <row r="385" spans="1:35" x14ac:dyDescent="0.2">
      <c r="A385" s="74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9"/>
      <c r="N385" s="69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</row>
    <row r="386" spans="1:35" x14ac:dyDescent="0.2">
      <c r="A386" s="74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9"/>
      <c r="N386" s="69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</row>
    <row r="387" spans="1:35" x14ac:dyDescent="0.2">
      <c r="A387" s="74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9"/>
      <c r="N387" s="69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</row>
    <row r="388" spans="1:35" x14ac:dyDescent="0.2">
      <c r="A388" s="74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9"/>
      <c r="N388" s="69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</row>
    <row r="389" spans="1:35" x14ac:dyDescent="0.2">
      <c r="A389" s="74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9"/>
      <c r="N389" s="69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</row>
    <row r="390" spans="1:35" x14ac:dyDescent="0.2">
      <c r="A390" s="74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9"/>
      <c r="N390" s="69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</row>
    <row r="391" spans="1:35" x14ac:dyDescent="0.2">
      <c r="A391" s="74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9"/>
      <c r="N391" s="69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</row>
    <row r="392" spans="1:35" x14ac:dyDescent="0.2">
      <c r="A392" s="74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9"/>
      <c r="N392" s="69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</row>
    <row r="393" spans="1:35" x14ac:dyDescent="0.2">
      <c r="A393" s="74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9"/>
      <c r="N393" s="69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</row>
    <row r="394" spans="1:35" x14ac:dyDescent="0.2">
      <c r="A394" s="74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9"/>
      <c r="N394" s="69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</row>
    <row r="395" spans="1:35" x14ac:dyDescent="0.2">
      <c r="A395" s="74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9"/>
      <c r="N395" s="69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</row>
    <row r="396" spans="1:35" x14ac:dyDescent="0.2">
      <c r="A396" s="74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9"/>
      <c r="N396" s="69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</row>
    <row r="397" spans="1:35" x14ac:dyDescent="0.2">
      <c r="A397" s="74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9"/>
      <c r="N397" s="69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</row>
    <row r="398" spans="1:35" x14ac:dyDescent="0.2">
      <c r="A398" s="74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9"/>
      <c r="N398" s="69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</row>
    <row r="399" spans="1:35" x14ac:dyDescent="0.2">
      <c r="A399" s="74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9"/>
      <c r="N399" s="69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</row>
    <row r="400" spans="1:35" x14ac:dyDescent="0.2">
      <c r="A400" s="74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9"/>
      <c r="N400" s="69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</row>
    <row r="401" spans="1:35" x14ac:dyDescent="0.2">
      <c r="A401" s="74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9"/>
      <c r="N401" s="69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</row>
    <row r="402" spans="1:35" x14ac:dyDescent="0.2">
      <c r="A402" s="74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9"/>
      <c r="N402" s="69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</row>
    <row r="403" spans="1:35" x14ac:dyDescent="0.2">
      <c r="A403" s="74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9"/>
      <c r="N403" s="69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</row>
    <row r="404" spans="1:35" x14ac:dyDescent="0.2">
      <c r="A404" s="74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9"/>
      <c r="N404" s="69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</row>
    <row r="405" spans="1:35" x14ac:dyDescent="0.2">
      <c r="A405" s="74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9"/>
      <c r="N405" s="69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</row>
    <row r="406" spans="1:35" x14ac:dyDescent="0.2">
      <c r="A406" s="74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9"/>
      <c r="N406" s="69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</row>
    <row r="407" spans="1:35" x14ac:dyDescent="0.2">
      <c r="A407" s="74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9"/>
      <c r="N407" s="69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</row>
    <row r="408" spans="1:35" x14ac:dyDescent="0.2">
      <c r="A408" s="74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9"/>
      <c r="N408" s="69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</row>
    <row r="409" spans="1:35" x14ac:dyDescent="0.2">
      <c r="A409" s="74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9"/>
      <c r="N409" s="69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</row>
    <row r="410" spans="1:35" x14ac:dyDescent="0.2">
      <c r="A410" s="74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9"/>
      <c r="N410" s="69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</row>
    <row r="411" spans="1:35" x14ac:dyDescent="0.2">
      <c r="A411" s="74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9"/>
      <c r="N411" s="69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</row>
    <row r="412" spans="1:35" x14ac:dyDescent="0.2">
      <c r="A412" s="74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9"/>
      <c r="N412" s="69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</row>
    <row r="413" spans="1:35" x14ac:dyDescent="0.2">
      <c r="A413" s="74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9"/>
      <c r="N413" s="69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</row>
    <row r="414" spans="1:35" x14ac:dyDescent="0.2">
      <c r="A414" s="74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9"/>
      <c r="N414" s="69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</row>
    <row r="415" spans="1:35" x14ac:dyDescent="0.2">
      <c r="A415" s="74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9"/>
      <c r="N415" s="69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</row>
    <row r="416" spans="1:35" x14ac:dyDescent="0.2">
      <c r="A416" s="74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9"/>
      <c r="N416" s="69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</row>
    <row r="417" spans="1:35" x14ac:dyDescent="0.2">
      <c r="A417" s="74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9"/>
      <c r="N417" s="69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</row>
    <row r="418" spans="1:35" x14ac:dyDescent="0.2">
      <c r="A418" s="74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9"/>
      <c r="N418" s="69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</row>
    <row r="419" spans="1:35" x14ac:dyDescent="0.2">
      <c r="A419" s="74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9"/>
      <c r="N419" s="69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</row>
    <row r="420" spans="1:35" x14ac:dyDescent="0.2">
      <c r="A420" s="74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9"/>
      <c r="N420" s="69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</row>
    <row r="421" spans="1:35" x14ac:dyDescent="0.2">
      <c r="A421" s="74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9"/>
      <c r="N421" s="69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</row>
    <row r="422" spans="1:35" x14ac:dyDescent="0.2">
      <c r="A422" s="74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9"/>
      <c r="N422" s="69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</row>
    <row r="423" spans="1:35" x14ac:dyDescent="0.2">
      <c r="A423" s="74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9"/>
      <c r="N423" s="69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</row>
    <row r="424" spans="1:35" x14ac:dyDescent="0.2">
      <c r="A424" s="74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9"/>
      <c r="N424" s="69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</row>
    <row r="425" spans="1:35" x14ac:dyDescent="0.2">
      <c r="A425" s="74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9"/>
      <c r="N425" s="69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</row>
    <row r="426" spans="1:35" x14ac:dyDescent="0.2">
      <c r="A426" s="74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9"/>
      <c r="N426" s="69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</row>
    <row r="427" spans="1:35" x14ac:dyDescent="0.2">
      <c r="A427" s="74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9"/>
      <c r="N427" s="69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</row>
    <row r="428" spans="1:35" x14ac:dyDescent="0.2">
      <c r="A428" s="74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9"/>
      <c r="N428" s="69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</row>
    <row r="429" spans="1:35" x14ac:dyDescent="0.2">
      <c r="A429" s="74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9"/>
      <c r="N429" s="69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</row>
    <row r="430" spans="1:35" x14ac:dyDescent="0.2">
      <c r="A430" s="74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9"/>
      <c r="N430" s="69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</row>
    <row r="431" spans="1:35" x14ac:dyDescent="0.2">
      <c r="A431" s="74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9"/>
      <c r="N431" s="69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</row>
    <row r="432" spans="1:35" x14ac:dyDescent="0.2">
      <c r="A432" s="74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9"/>
      <c r="N432" s="69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</row>
    <row r="433" spans="1:35" x14ac:dyDescent="0.2">
      <c r="A433" s="74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9"/>
      <c r="N433" s="69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65"/>
      <c r="AF433" s="65"/>
      <c r="AG433" s="65"/>
      <c r="AH433" s="65"/>
      <c r="AI433" s="65"/>
    </row>
    <row r="434" spans="1:35" x14ac:dyDescent="0.2">
      <c r="A434" s="74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9"/>
      <c r="N434" s="69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</row>
    <row r="435" spans="1:35" x14ac:dyDescent="0.2">
      <c r="A435" s="74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9"/>
      <c r="N435" s="69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</row>
    <row r="436" spans="1:35" x14ac:dyDescent="0.2">
      <c r="A436" s="74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9"/>
      <c r="N436" s="69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</row>
    <row r="437" spans="1:35" x14ac:dyDescent="0.2">
      <c r="A437" s="74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9"/>
      <c r="N437" s="69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65"/>
      <c r="AF437" s="65"/>
      <c r="AG437" s="65"/>
      <c r="AH437" s="65"/>
      <c r="AI437" s="65"/>
    </row>
    <row r="438" spans="1:35" x14ac:dyDescent="0.2">
      <c r="A438" s="74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9"/>
      <c r="N438" s="69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</row>
    <row r="439" spans="1:35" x14ac:dyDescent="0.2">
      <c r="A439" s="74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9"/>
      <c r="N439" s="69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65"/>
      <c r="AF439" s="65"/>
      <c r="AG439" s="65"/>
      <c r="AH439" s="65"/>
      <c r="AI439" s="65"/>
    </row>
    <row r="440" spans="1:35" x14ac:dyDescent="0.2">
      <c r="A440" s="74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9"/>
      <c r="N440" s="69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</row>
    <row r="441" spans="1:35" x14ac:dyDescent="0.2">
      <c r="A441" s="74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9"/>
      <c r="N441" s="69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65"/>
      <c r="AG441" s="65"/>
      <c r="AH441" s="65"/>
      <c r="AI441" s="65"/>
    </row>
    <row r="442" spans="1:35" x14ac:dyDescent="0.2">
      <c r="A442" s="74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9"/>
      <c r="N442" s="69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</row>
    <row r="443" spans="1:35" x14ac:dyDescent="0.2">
      <c r="A443" s="74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9"/>
      <c r="N443" s="69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65"/>
      <c r="AF443" s="65"/>
      <c r="AG443" s="65"/>
      <c r="AH443" s="65"/>
      <c r="AI443" s="65"/>
    </row>
    <row r="444" spans="1:35" x14ac:dyDescent="0.2">
      <c r="A444" s="74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9"/>
      <c r="N444" s="69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</row>
    <row r="445" spans="1:35" x14ac:dyDescent="0.2">
      <c r="A445" s="74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9"/>
      <c r="N445" s="69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</row>
    <row r="446" spans="1:35" x14ac:dyDescent="0.2">
      <c r="A446" s="74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9"/>
      <c r="N446" s="69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</row>
    <row r="447" spans="1:35" x14ac:dyDescent="0.2">
      <c r="A447" s="74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9"/>
      <c r="N447" s="69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</row>
    <row r="448" spans="1:35" x14ac:dyDescent="0.2">
      <c r="A448" s="74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9"/>
      <c r="N448" s="69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</row>
    <row r="449" spans="1:35" x14ac:dyDescent="0.2">
      <c r="A449" s="74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9"/>
      <c r="N449" s="69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</row>
    <row r="450" spans="1:35" x14ac:dyDescent="0.2">
      <c r="A450" s="74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9"/>
      <c r="N450" s="69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</row>
    <row r="451" spans="1:35" x14ac:dyDescent="0.2">
      <c r="A451" s="74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9"/>
      <c r="N451" s="69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</row>
    <row r="452" spans="1:35" x14ac:dyDescent="0.2">
      <c r="A452" s="74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9"/>
      <c r="N452" s="69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</row>
    <row r="453" spans="1:35" x14ac:dyDescent="0.2">
      <c r="A453" s="74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9"/>
      <c r="N453" s="69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</row>
    <row r="454" spans="1:35" x14ac:dyDescent="0.2">
      <c r="A454" s="74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9"/>
      <c r="N454" s="69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</row>
    <row r="455" spans="1:35" x14ac:dyDescent="0.2">
      <c r="A455" s="74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9"/>
      <c r="N455" s="69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65"/>
      <c r="AF455" s="65"/>
      <c r="AG455" s="65"/>
      <c r="AH455" s="65"/>
      <c r="AI455" s="65"/>
    </row>
    <row r="456" spans="1:35" x14ac:dyDescent="0.2">
      <c r="A456" s="74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9"/>
      <c r="N456" s="69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</row>
    <row r="457" spans="1:35" x14ac:dyDescent="0.2">
      <c r="A457" s="74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9"/>
      <c r="N457" s="69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65"/>
      <c r="AF457" s="65"/>
      <c r="AG457" s="65"/>
      <c r="AH457" s="65"/>
      <c r="AI457" s="65"/>
    </row>
    <row r="458" spans="1:35" x14ac:dyDescent="0.2">
      <c r="A458" s="74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9"/>
      <c r="N458" s="69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</row>
    <row r="459" spans="1:35" x14ac:dyDescent="0.2">
      <c r="A459" s="74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9"/>
      <c r="N459" s="69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</row>
    <row r="460" spans="1:35" x14ac:dyDescent="0.2">
      <c r="A460" s="74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9"/>
      <c r="N460" s="69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</row>
    <row r="461" spans="1:35" x14ac:dyDescent="0.2">
      <c r="A461" s="74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9"/>
      <c r="N461" s="69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65"/>
      <c r="AF461" s="65"/>
      <c r="AG461" s="65"/>
      <c r="AH461" s="65"/>
      <c r="AI461" s="65"/>
    </row>
    <row r="462" spans="1:35" x14ac:dyDescent="0.2">
      <c r="A462" s="74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9"/>
      <c r="N462" s="69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</row>
    <row r="463" spans="1:35" x14ac:dyDescent="0.2">
      <c r="A463" s="74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9"/>
      <c r="N463" s="69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65"/>
      <c r="AF463" s="65"/>
      <c r="AG463" s="65"/>
      <c r="AH463" s="65"/>
      <c r="AI463" s="65"/>
    </row>
    <row r="464" spans="1:35" x14ac:dyDescent="0.2">
      <c r="A464" s="74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9"/>
      <c r="N464" s="69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</row>
    <row r="465" spans="1:35" x14ac:dyDescent="0.2">
      <c r="A465" s="74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9"/>
      <c r="N465" s="69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65"/>
      <c r="AF465" s="65"/>
      <c r="AG465" s="65"/>
      <c r="AH465" s="65"/>
      <c r="AI465" s="65"/>
    </row>
    <row r="466" spans="1:35" x14ac:dyDescent="0.2">
      <c r="A466" s="74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9"/>
      <c r="N466" s="69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</row>
    <row r="467" spans="1:35" x14ac:dyDescent="0.2">
      <c r="A467" s="74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9"/>
      <c r="N467" s="69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65"/>
      <c r="AF467" s="65"/>
      <c r="AG467" s="65"/>
      <c r="AH467" s="65"/>
      <c r="AI467" s="65"/>
    </row>
    <row r="468" spans="1:35" x14ac:dyDescent="0.2">
      <c r="A468" s="74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9"/>
      <c r="N468" s="69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</row>
    <row r="469" spans="1:35" x14ac:dyDescent="0.2">
      <c r="A469" s="74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9"/>
      <c r="N469" s="69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  <c r="AE469" s="65"/>
      <c r="AF469" s="65"/>
      <c r="AG469" s="65"/>
      <c r="AH469" s="65"/>
      <c r="AI469" s="65"/>
    </row>
    <row r="470" spans="1:35" x14ac:dyDescent="0.2">
      <c r="A470" s="74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9"/>
      <c r="N470" s="69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</row>
    <row r="471" spans="1:35" x14ac:dyDescent="0.2">
      <c r="A471" s="74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9"/>
      <c r="N471" s="69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</row>
    <row r="472" spans="1:35" x14ac:dyDescent="0.2">
      <c r="A472" s="74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9"/>
      <c r="N472" s="69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</row>
    <row r="473" spans="1:35" x14ac:dyDescent="0.2">
      <c r="A473" s="74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9"/>
      <c r="N473" s="69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  <c r="AE473" s="65"/>
      <c r="AF473" s="65"/>
      <c r="AG473" s="65"/>
      <c r="AH473" s="65"/>
      <c r="AI473" s="65"/>
    </row>
    <row r="474" spans="1:35" x14ac:dyDescent="0.2">
      <c r="A474" s="74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9"/>
      <c r="N474" s="69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</row>
    <row r="475" spans="1:35" x14ac:dyDescent="0.2">
      <c r="A475" s="74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9"/>
      <c r="N475" s="69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</row>
    <row r="476" spans="1:35" x14ac:dyDescent="0.2">
      <c r="A476" s="74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9"/>
      <c r="N476" s="69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</row>
    <row r="477" spans="1:35" x14ac:dyDescent="0.2">
      <c r="A477" s="74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9"/>
      <c r="N477" s="69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</row>
    <row r="478" spans="1:35" x14ac:dyDescent="0.2">
      <c r="A478" s="74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9"/>
      <c r="N478" s="69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</row>
    <row r="479" spans="1:35" x14ac:dyDescent="0.2">
      <c r="A479" s="74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9"/>
      <c r="N479" s="69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</row>
    <row r="480" spans="1:35" x14ac:dyDescent="0.2">
      <c r="A480" s="74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9"/>
      <c r="N480" s="69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</row>
    <row r="481" spans="1:35" x14ac:dyDescent="0.2">
      <c r="A481" s="74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9"/>
      <c r="N481" s="69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</row>
    <row r="482" spans="1:35" x14ac:dyDescent="0.2">
      <c r="A482" s="74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9"/>
      <c r="N482" s="69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</row>
    <row r="483" spans="1:35" x14ac:dyDescent="0.2">
      <c r="A483" s="74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9"/>
      <c r="N483" s="69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</row>
    <row r="484" spans="1:35" x14ac:dyDescent="0.2">
      <c r="A484" s="74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9"/>
      <c r="N484" s="69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</row>
    <row r="485" spans="1:35" x14ac:dyDescent="0.2">
      <c r="A485" s="74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9"/>
      <c r="N485" s="69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  <c r="AE485" s="65"/>
      <c r="AF485" s="65"/>
      <c r="AG485" s="65"/>
      <c r="AH485" s="65"/>
      <c r="AI485" s="65"/>
    </row>
    <row r="486" spans="1:35" x14ac:dyDescent="0.2">
      <c r="A486" s="74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9"/>
      <c r="N486" s="69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</row>
    <row r="487" spans="1:35" x14ac:dyDescent="0.2">
      <c r="A487" s="74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9"/>
      <c r="N487" s="69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  <c r="AE487" s="65"/>
      <c r="AF487" s="65"/>
      <c r="AG487" s="65"/>
      <c r="AH487" s="65"/>
      <c r="AI487" s="65"/>
    </row>
    <row r="488" spans="1:35" x14ac:dyDescent="0.2">
      <c r="A488" s="74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9"/>
      <c r="N488" s="69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</row>
    <row r="489" spans="1:35" x14ac:dyDescent="0.2">
      <c r="A489" s="74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9"/>
      <c r="N489" s="69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</row>
    <row r="490" spans="1:35" x14ac:dyDescent="0.2">
      <c r="A490" s="74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9"/>
      <c r="N490" s="69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</row>
    <row r="491" spans="1:35" x14ac:dyDescent="0.2">
      <c r="A491" s="74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9"/>
      <c r="N491" s="69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</row>
    <row r="492" spans="1:35" x14ac:dyDescent="0.2">
      <c r="A492" s="74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9"/>
      <c r="N492" s="69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</row>
    <row r="493" spans="1:35" x14ac:dyDescent="0.2">
      <c r="A493" s="74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9"/>
      <c r="N493" s="69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</row>
    <row r="494" spans="1:35" x14ac:dyDescent="0.2">
      <c r="A494" s="74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9"/>
      <c r="N494" s="69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</row>
    <row r="495" spans="1:35" x14ac:dyDescent="0.2">
      <c r="A495" s="74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9"/>
      <c r="N495" s="69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</row>
    <row r="496" spans="1:35" x14ac:dyDescent="0.2">
      <c r="A496" s="74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9"/>
      <c r="N496" s="69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</row>
    <row r="497" spans="1:35" x14ac:dyDescent="0.2">
      <c r="A497" s="74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9"/>
      <c r="N497" s="69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</row>
    <row r="498" spans="1:35" x14ac:dyDescent="0.2">
      <c r="A498" s="74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9"/>
      <c r="N498" s="69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</row>
    <row r="499" spans="1:35" x14ac:dyDescent="0.2">
      <c r="A499" s="74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9"/>
      <c r="N499" s="69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</row>
    <row r="500" spans="1:35" x14ac:dyDescent="0.2">
      <c r="A500" s="74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9"/>
      <c r="N500" s="69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</row>
    <row r="501" spans="1:35" x14ac:dyDescent="0.2">
      <c r="A501" s="74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9"/>
      <c r="N501" s="69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</row>
    <row r="502" spans="1:35" x14ac:dyDescent="0.2">
      <c r="A502" s="74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9"/>
      <c r="N502" s="69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</row>
    <row r="503" spans="1:35" x14ac:dyDescent="0.2">
      <c r="A503" s="74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9"/>
      <c r="N503" s="69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</row>
    <row r="504" spans="1:35" x14ac:dyDescent="0.2">
      <c r="A504" s="74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9"/>
      <c r="N504" s="69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</row>
    <row r="505" spans="1:35" x14ac:dyDescent="0.2">
      <c r="A505" s="74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9"/>
      <c r="N505" s="69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</row>
    <row r="506" spans="1:35" x14ac:dyDescent="0.2">
      <c r="A506" s="74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9"/>
      <c r="N506" s="69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</row>
    <row r="507" spans="1:35" x14ac:dyDescent="0.2">
      <c r="A507" s="74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9"/>
      <c r="N507" s="69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</row>
    <row r="508" spans="1:35" x14ac:dyDescent="0.2">
      <c r="A508" s="74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9"/>
      <c r="N508" s="69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</row>
    <row r="509" spans="1:35" x14ac:dyDescent="0.2">
      <c r="A509" s="74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9"/>
      <c r="N509" s="69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</row>
    <row r="510" spans="1:35" x14ac:dyDescent="0.2">
      <c r="A510" s="74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9"/>
      <c r="N510" s="69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</row>
    <row r="511" spans="1:35" x14ac:dyDescent="0.2">
      <c r="A511" s="74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9"/>
      <c r="N511" s="69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</row>
    <row r="512" spans="1:35" x14ac:dyDescent="0.2">
      <c r="A512" s="74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9"/>
      <c r="N512" s="69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</row>
    <row r="513" spans="1:35" x14ac:dyDescent="0.2">
      <c r="A513" s="74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9"/>
      <c r="N513" s="69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</row>
    <row r="514" spans="1:35" x14ac:dyDescent="0.2">
      <c r="A514" s="74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9"/>
      <c r="N514" s="69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</row>
    <row r="515" spans="1:35" x14ac:dyDescent="0.2">
      <c r="A515" s="74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9"/>
      <c r="N515" s="69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</row>
    <row r="516" spans="1:35" x14ac:dyDescent="0.2">
      <c r="A516" s="74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9"/>
      <c r="N516" s="69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</row>
    <row r="517" spans="1:35" x14ac:dyDescent="0.2">
      <c r="A517" s="74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9"/>
      <c r="N517" s="69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</row>
    <row r="518" spans="1:35" x14ac:dyDescent="0.2">
      <c r="A518" s="74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9"/>
      <c r="N518" s="69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</row>
    <row r="519" spans="1:35" x14ac:dyDescent="0.2">
      <c r="A519" s="74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9"/>
      <c r="N519" s="69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</row>
    <row r="520" spans="1:35" x14ac:dyDescent="0.2">
      <c r="A520" s="74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9"/>
      <c r="N520" s="69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</row>
    <row r="521" spans="1:35" x14ac:dyDescent="0.2">
      <c r="A521" s="74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9"/>
      <c r="N521" s="69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</row>
    <row r="522" spans="1:35" x14ac:dyDescent="0.2">
      <c r="A522" s="74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9"/>
      <c r="N522" s="69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</row>
    <row r="523" spans="1:35" x14ac:dyDescent="0.2">
      <c r="A523" s="74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9"/>
      <c r="N523" s="69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</row>
    <row r="524" spans="1:35" x14ac:dyDescent="0.2">
      <c r="A524" s="74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9"/>
      <c r="N524" s="69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</row>
    <row r="525" spans="1:35" x14ac:dyDescent="0.2">
      <c r="A525" s="74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9"/>
      <c r="N525" s="69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</row>
    <row r="526" spans="1:35" x14ac:dyDescent="0.2">
      <c r="A526" s="74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9"/>
      <c r="N526" s="69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</row>
    <row r="527" spans="1:35" x14ac:dyDescent="0.2">
      <c r="A527" s="74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9"/>
      <c r="N527" s="69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</row>
    <row r="528" spans="1:35" x14ac:dyDescent="0.2">
      <c r="A528" s="74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9"/>
      <c r="N528" s="69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</row>
    <row r="529" spans="1:35" x14ac:dyDescent="0.2">
      <c r="A529" s="74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9"/>
      <c r="N529" s="69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</row>
    <row r="530" spans="1:35" x14ac:dyDescent="0.2">
      <c r="A530" s="74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9"/>
      <c r="N530" s="69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</row>
    <row r="531" spans="1:35" x14ac:dyDescent="0.2">
      <c r="A531" s="74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9"/>
      <c r="N531" s="69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</row>
    <row r="532" spans="1:35" x14ac:dyDescent="0.2">
      <c r="A532" s="74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9"/>
      <c r="N532" s="69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</row>
    <row r="533" spans="1:35" x14ac:dyDescent="0.2">
      <c r="A533" s="74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9"/>
      <c r="N533" s="69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</row>
    <row r="534" spans="1:35" x14ac:dyDescent="0.2">
      <c r="A534" s="74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9"/>
      <c r="N534" s="69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</row>
    <row r="535" spans="1:35" x14ac:dyDescent="0.2">
      <c r="A535" s="74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9"/>
      <c r="N535" s="69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</row>
    <row r="536" spans="1:35" x14ac:dyDescent="0.2">
      <c r="A536" s="74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9"/>
      <c r="N536" s="69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</row>
    <row r="537" spans="1:35" x14ac:dyDescent="0.2">
      <c r="A537" s="74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9"/>
      <c r="N537" s="69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</row>
    <row r="538" spans="1:35" x14ac:dyDescent="0.2">
      <c r="A538" s="74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9"/>
      <c r="N538" s="69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</row>
    <row r="539" spans="1:35" x14ac:dyDescent="0.2">
      <c r="A539" s="74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9"/>
      <c r="N539" s="69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</row>
    <row r="540" spans="1:35" x14ac:dyDescent="0.2">
      <c r="A540" s="74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9"/>
      <c r="N540" s="69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</row>
    <row r="541" spans="1:35" x14ac:dyDescent="0.2">
      <c r="A541" s="74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9"/>
      <c r="N541" s="69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</row>
    <row r="542" spans="1:35" x14ac:dyDescent="0.2">
      <c r="A542" s="74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9"/>
      <c r="N542" s="69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</row>
    <row r="543" spans="1:35" x14ac:dyDescent="0.2">
      <c r="A543" s="74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9"/>
      <c r="N543" s="69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</row>
    <row r="544" spans="1:35" x14ac:dyDescent="0.2">
      <c r="A544" s="74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9"/>
      <c r="N544" s="69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</row>
    <row r="545" spans="1:35" x14ac:dyDescent="0.2">
      <c r="A545" s="74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9"/>
      <c r="N545" s="69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</row>
    <row r="546" spans="1:35" x14ac:dyDescent="0.2">
      <c r="A546" s="74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9"/>
      <c r="N546" s="69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</row>
    <row r="547" spans="1:35" x14ac:dyDescent="0.2">
      <c r="A547" s="74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9"/>
      <c r="N547" s="69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</row>
    <row r="548" spans="1:35" x14ac:dyDescent="0.2">
      <c r="A548" s="74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9"/>
      <c r="N548" s="69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</row>
    <row r="549" spans="1:35" x14ac:dyDescent="0.2">
      <c r="A549" s="74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9"/>
      <c r="N549" s="69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</row>
    <row r="550" spans="1:35" x14ac:dyDescent="0.2">
      <c r="A550" s="74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9"/>
      <c r="N550" s="69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</row>
    <row r="551" spans="1:35" x14ac:dyDescent="0.2">
      <c r="A551" s="74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9"/>
      <c r="N551" s="69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</row>
    <row r="552" spans="1:35" x14ac:dyDescent="0.2">
      <c r="A552" s="74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9"/>
      <c r="N552" s="69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</row>
    <row r="553" spans="1:35" x14ac:dyDescent="0.2">
      <c r="A553" s="74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9"/>
      <c r="N553" s="69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</row>
    <row r="554" spans="1:35" x14ac:dyDescent="0.2">
      <c r="A554" s="74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9"/>
      <c r="N554" s="69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</row>
    <row r="555" spans="1:35" x14ac:dyDescent="0.2">
      <c r="A555" s="74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9"/>
      <c r="N555" s="69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</row>
    <row r="556" spans="1:35" x14ac:dyDescent="0.2">
      <c r="A556" s="74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9"/>
      <c r="N556" s="69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</row>
    <row r="557" spans="1:35" x14ac:dyDescent="0.2">
      <c r="A557" s="74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9"/>
      <c r="N557" s="69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</row>
    <row r="558" spans="1:35" x14ac:dyDescent="0.2">
      <c r="A558" s="74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9"/>
      <c r="N558" s="69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</row>
    <row r="559" spans="1:35" x14ac:dyDescent="0.2">
      <c r="A559" s="74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9"/>
      <c r="N559" s="69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</row>
    <row r="560" spans="1:35" x14ac:dyDescent="0.2">
      <c r="A560" s="74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9"/>
      <c r="N560" s="69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</row>
    <row r="561" spans="1:35" x14ac:dyDescent="0.2">
      <c r="A561" s="74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9"/>
      <c r="N561" s="69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</row>
    <row r="562" spans="1:35" x14ac:dyDescent="0.2">
      <c r="A562" s="74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9"/>
      <c r="N562" s="69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</row>
    <row r="563" spans="1:35" x14ac:dyDescent="0.2">
      <c r="A563" s="74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9"/>
      <c r="N563" s="69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</row>
    <row r="564" spans="1:35" x14ac:dyDescent="0.2">
      <c r="A564" s="74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9"/>
      <c r="N564" s="69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</row>
    <row r="565" spans="1:35" x14ac:dyDescent="0.2">
      <c r="A565" s="74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9"/>
      <c r="N565" s="69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</row>
    <row r="566" spans="1:35" x14ac:dyDescent="0.2">
      <c r="A566" s="74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9"/>
      <c r="N566" s="69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</row>
    <row r="567" spans="1:35" x14ac:dyDescent="0.2">
      <c r="A567" s="74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9"/>
      <c r="N567" s="69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</row>
    <row r="568" spans="1:35" x14ac:dyDescent="0.2">
      <c r="A568" s="74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9"/>
      <c r="N568" s="69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</row>
    <row r="569" spans="1:35" x14ac:dyDescent="0.2">
      <c r="A569" s="74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9"/>
      <c r="N569" s="69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</row>
    <row r="570" spans="1:35" x14ac:dyDescent="0.2">
      <c r="A570" s="74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9"/>
      <c r="N570" s="69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</row>
    <row r="571" spans="1:35" x14ac:dyDescent="0.2">
      <c r="A571" s="74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9"/>
      <c r="N571" s="69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</row>
    <row r="572" spans="1:35" x14ac:dyDescent="0.2">
      <c r="A572" s="74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9"/>
      <c r="N572" s="69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</row>
    <row r="573" spans="1:35" x14ac:dyDescent="0.2">
      <c r="A573" s="74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9"/>
      <c r="N573" s="69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</row>
    <row r="574" spans="1:35" x14ac:dyDescent="0.2">
      <c r="A574" s="74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9"/>
      <c r="N574" s="69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</row>
    <row r="575" spans="1:35" x14ac:dyDescent="0.2">
      <c r="A575" s="74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9"/>
      <c r="N575" s="69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</row>
    <row r="576" spans="1:35" x14ac:dyDescent="0.2">
      <c r="A576" s="74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9"/>
      <c r="N576" s="69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</row>
    <row r="577" spans="1:35" x14ac:dyDescent="0.2">
      <c r="A577" s="74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9"/>
      <c r="N577" s="69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</row>
    <row r="578" spans="1:35" x14ac:dyDescent="0.2">
      <c r="A578" s="74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9"/>
      <c r="N578" s="69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</row>
    <row r="579" spans="1:35" x14ac:dyDescent="0.2">
      <c r="A579" s="74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9"/>
      <c r="N579" s="69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</row>
    <row r="580" spans="1:35" x14ac:dyDescent="0.2">
      <c r="A580" s="74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9"/>
      <c r="N580" s="69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</row>
    <row r="581" spans="1:35" x14ac:dyDescent="0.2">
      <c r="A581" s="74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9"/>
      <c r="N581" s="69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</row>
    <row r="582" spans="1:35" x14ac:dyDescent="0.2">
      <c r="A582" s="74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9"/>
      <c r="N582" s="69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</row>
    <row r="583" spans="1:35" x14ac:dyDescent="0.2">
      <c r="A583" s="74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9"/>
      <c r="N583" s="69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</row>
    <row r="584" spans="1:35" x14ac:dyDescent="0.2">
      <c r="A584" s="74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9"/>
      <c r="N584" s="69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</row>
    <row r="585" spans="1:35" x14ac:dyDescent="0.2">
      <c r="A585" s="74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9"/>
      <c r="N585" s="69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</row>
    <row r="586" spans="1:35" x14ac:dyDescent="0.2">
      <c r="A586" s="74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9"/>
      <c r="N586" s="69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</row>
    <row r="587" spans="1:35" x14ac:dyDescent="0.2">
      <c r="A587" s="74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9"/>
      <c r="N587" s="69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</row>
    <row r="588" spans="1:35" x14ac:dyDescent="0.2">
      <c r="A588" s="74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9"/>
      <c r="N588" s="69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</row>
    <row r="589" spans="1:35" x14ac:dyDescent="0.2">
      <c r="A589" s="74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9"/>
      <c r="N589" s="69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</row>
    <row r="590" spans="1:35" x14ac:dyDescent="0.2">
      <c r="A590" s="74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9"/>
      <c r="N590" s="69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</row>
    <row r="591" spans="1:35" x14ac:dyDescent="0.2">
      <c r="A591" s="74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9"/>
      <c r="N591" s="69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</row>
    <row r="592" spans="1:35" x14ac:dyDescent="0.2">
      <c r="A592" s="74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9"/>
      <c r="N592" s="69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</row>
    <row r="593" spans="1:35" x14ac:dyDescent="0.2">
      <c r="A593" s="74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9"/>
      <c r="N593" s="69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</row>
    <row r="594" spans="1:35" x14ac:dyDescent="0.2">
      <c r="A594" s="74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9"/>
      <c r="N594" s="69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</row>
    <row r="595" spans="1:35" x14ac:dyDescent="0.2">
      <c r="A595" s="74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9"/>
      <c r="N595" s="69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</row>
    <row r="596" spans="1:35" x14ac:dyDescent="0.2">
      <c r="A596" s="74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9"/>
      <c r="N596" s="69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</row>
    <row r="597" spans="1:35" x14ac:dyDescent="0.2">
      <c r="A597" s="74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9"/>
      <c r="N597" s="69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</row>
    <row r="598" spans="1:35" x14ac:dyDescent="0.2">
      <c r="A598" s="74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9"/>
      <c r="N598" s="69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</row>
    <row r="599" spans="1:35" x14ac:dyDescent="0.2">
      <c r="A599" s="74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9"/>
      <c r="N599" s="69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</row>
    <row r="600" spans="1:35" x14ac:dyDescent="0.2">
      <c r="A600" s="74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9"/>
      <c r="N600" s="69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</row>
    <row r="601" spans="1:35" x14ac:dyDescent="0.2">
      <c r="A601" s="74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9"/>
      <c r="N601" s="69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</row>
    <row r="602" spans="1:35" x14ac:dyDescent="0.2">
      <c r="A602" s="74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9"/>
      <c r="N602" s="69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</row>
    <row r="603" spans="1:35" x14ac:dyDescent="0.2">
      <c r="A603" s="74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9"/>
      <c r="N603" s="69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</row>
    <row r="604" spans="1:35" x14ac:dyDescent="0.2">
      <c r="A604" s="74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9"/>
      <c r="N604" s="69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</row>
    <row r="605" spans="1:35" x14ac:dyDescent="0.2">
      <c r="A605" s="74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9"/>
      <c r="N605" s="69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</row>
    <row r="606" spans="1:35" x14ac:dyDescent="0.2">
      <c r="A606" s="74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9"/>
      <c r="N606" s="69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</row>
    <row r="607" spans="1:35" x14ac:dyDescent="0.2">
      <c r="A607" s="74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9"/>
      <c r="N607" s="69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</row>
    <row r="608" spans="1:35" x14ac:dyDescent="0.2">
      <c r="A608" s="74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9"/>
      <c r="N608" s="69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</row>
    <row r="609" spans="1:35" x14ac:dyDescent="0.2">
      <c r="A609" s="74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9"/>
      <c r="N609" s="69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</row>
    <row r="610" spans="1:35" x14ac:dyDescent="0.2">
      <c r="A610" s="74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9"/>
      <c r="N610" s="69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</row>
    <row r="611" spans="1:35" x14ac:dyDescent="0.2">
      <c r="A611" s="74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9"/>
      <c r="N611" s="69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</row>
    <row r="612" spans="1:35" x14ac:dyDescent="0.2">
      <c r="A612" s="74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9"/>
      <c r="N612" s="69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</row>
    <row r="613" spans="1:35" x14ac:dyDescent="0.2">
      <c r="A613" s="74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9"/>
      <c r="N613" s="69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</row>
    <row r="614" spans="1:35" x14ac:dyDescent="0.2">
      <c r="A614" s="74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9"/>
      <c r="N614" s="69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</row>
    <row r="615" spans="1:35" x14ac:dyDescent="0.2">
      <c r="A615" s="74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9"/>
      <c r="N615" s="69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</row>
    <row r="616" spans="1:35" x14ac:dyDescent="0.2">
      <c r="A616" s="74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9"/>
      <c r="N616" s="69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</row>
    <row r="617" spans="1:35" x14ac:dyDescent="0.2">
      <c r="A617" s="74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9"/>
      <c r="N617" s="69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</row>
    <row r="618" spans="1:35" x14ac:dyDescent="0.2">
      <c r="A618" s="74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9"/>
      <c r="N618" s="69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</row>
    <row r="619" spans="1:35" x14ac:dyDescent="0.2">
      <c r="A619" s="74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9"/>
      <c r="N619" s="69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</row>
    <row r="620" spans="1:35" x14ac:dyDescent="0.2">
      <c r="A620" s="74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9"/>
      <c r="N620" s="69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</row>
    <row r="621" spans="1:35" x14ac:dyDescent="0.2">
      <c r="A621" s="74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9"/>
      <c r="N621" s="69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</row>
    <row r="622" spans="1:35" x14ac:dyDescent="0.2">
      <c r="A622" s="74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9"/>
      <c r="N622" s="69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</row>
    <row r="623" spans="1:35" x14ac:dyDescent="0.2">
      <c r="A623" s="74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9"/>
      <c r="N623" s="69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</row>
    <row r="624" spans="1:35" x14ac:dyDescent="0.2">
      <c r="A624" s="74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9"/>
      <c r="N624" s="69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</row>
    <row r="625" spans="1:35" x14ac:dyDescent="0.2">
      <c r="A625" s="74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9"/>
      <c r="N625" s="69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</row>
    <row r="626" spans="1:35" x14ac:dyDescent="0.2">
      <c r="A626" s="74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9"/>
      <c r="N626" s="69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</row>
    <row r="627" spans="1:35" x14ac:dyDescent="0.2">
      <c r="A627" s="74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9"/>
      <c r="N627" s="69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</row>
    <row r="628" spans="1:35" x14ac:dyDescent="0.2">
      <c r="A628" s="74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9"/>
      <c r="N628" s="69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</row>
    <row r="629" spans="1:35" x14ac:dyDescent="0.2">
      <c r="A629" s="74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9"/>
      <c r="N629" s="69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</row>
    <row r="630" spans="1:35" x14ac:dyDescent="0.2">
      <c r="A630" s="74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9"/>
      <c r="N630" s="69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</row>
    <row r="631" spans="1:35" x14ac:dyDescent="0.2">
      <c r="A631" s="74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9"/>
      <c r="N631" s="69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</row>
    <row r="632" spans="1:35" x14ac:dyDescent="0.2">
      <c r="A632" s="74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9"/>
      <c r="N632" s="69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</row>
    <row r="633" spans="1:35" x14ac:dyDescent="0.2">
      <c r="A633" s="74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9"/>
      <c r="N633" s="69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</row>
    <row r="634" spans="1:35" x14ac:dyDescent="0.2">
      <c r="A634" s="74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9"/>
      <c r="N634" s="69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</row>
    <row r="635" spans="1:35" x14ac:dyDescent="0.2">
      <c r="A635" s="74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9"/>
      <c r="N635" s="69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</row>
    <row r="636" spans="1:35" x14ac:dyDescent="0.2">
      <c r="A636" s="74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9"/>
      <c r="N636" s="69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</row>
    <row r="637" spans="1:35" x14ac:dyDescent="0.2">
      <c r="A637" s="74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9"/>
      <c r="N637" s="69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</row>
    <row r="638" spans="1:35" x14ac:dyDescent="0.2">
      <c r="A638" s="74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9"/>
      <c r="N638" s="69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</row>
    <row r="639" spans="1:35" x14ac:dyDescent="0.2">
      <c r="A639" s="74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9"/>
      <c r="N639" s="69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</row>
    <row r="640" spans="1:35" x14ac:dyDescent="0.2">
      <c r="A640" s="74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9"/>
      <c r="N640" s="69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</row>
    <row r="641" spans="1:35" x14ac:dyDescent="0.2">
      <c r="A641" s="74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9"/>
      <c r="N641" s="69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</row>
    <row r="642" spans="1:35" x14ac:dyDescent="0.2">
      <c r="A642" s="74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9"/>
      <c r="N642" s="69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</row>
    <row r="643" spans="1:35" x14ac:dyDescent="0.2">
      <c r="A643" s="74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9"/>
      <c r="N643" s="69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</row>
    <row r="644" spans="1:35" x14ac:dyDescent="0.2">
      <c r="A644" s="74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9"/>
      <c r="N644" s="69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</row>
    <row r="645" spans="1:35" x14ac:dyDescent="0.2">
      <c r="A645" s="74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9"/>
      <c r="N645" s="69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</row>
    <row r="646" spans="1:35" x14ac:dyDescent="0.2">
      <c r="A646" s="74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9"/>
      <c r="N646" s="69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</row>
    <row r="647" spans="1:35" x14ac:dyDescent="0.2">
      <c r="A647" s="74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9"/>
      <c r="N647" s="69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</row>
    <row r="648" spans="1:35" x14ac:dyDescent="0.2">
      <c r="A648" s="74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9"/>
      <c r="N648" s="69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</row>
    <row r="649" spans="1:35" x14ac:dyDescent="0.2">
      <c r="A649" s="74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9"/>
      <c r="N649" s="69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</row>
    <row r="650" spans="1:35" x14ac:dyDescent="0.2">
      <c r="A650" s="74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9"/>
      <c r="N650" s="69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</row>
    <row r="651" spans="1:35" x14ac:dyDescent="0.2">
      <c r="A651" s="74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9"/>
      <c r="N651" s="69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</row>
    <row r="652" spans="1:35" x14ac:dyDescent="0.2">
      <c r="A652" s="74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9"/>
      <c r="N652" s="69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</row>
    <row r="653" spans="1:35" x14ac:dyDescent="0.2">
      <c r="A653" s="74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9"/>
      <c r="N653" s="69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</row>
    <row r="654" spans="1:35" x14ac:dyDescent="0.2">
      <c r="A654" s="74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9"/>
      <c r="N654" s="69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</row>
    <row r="655" spans="1:35" x14ac:dyDescent="0.2">
      <c r="A655" s="74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9"/>
      <c r="N655" s="69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</row>
    <row r="656" spans="1:35" x14ac:dyDescent="0.2">
      <c r="A656" s="74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9"/>
      <c r="N656" s="69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</row>
    <row r="657" spans="1:35" x14ac:dyDescent="0.2">
      <c r="A657" s="74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9"/>
      <c r="N657" s="69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</row>
    <row r="658" spans="1:35" x14ac:dyDescent="0.2">
      <c r="A658" s="74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9"/>
      <c r="N658" s="69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</row>
    <row r="659" spans="1:35" x14ac:dyDescent="0.2">
      <c r="A659" s="74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9"/>
      <c r="N659" s="69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</row>
    <row r="660" spans="1:35" x14ac:dyDescent="0.2">
      <c r="A660" s="74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9"/>
      <c r="N660" s="69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</row>
    <row r="661" spans="1:35" x14ac:dyDescent="0.2">
      <c r="A661" s="74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9"/>
      <c r="N661" s="69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</row>
    <row r="662" spans="1:35" x14ac:dyDescent="0.2">
      <c r="A662" s="74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9"/>
      <c r="N662" s="69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</row>
    <row r="663" spans="1:35" x14ac:dyDescent="0.2">
      <c r="A663" s="74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9"/>
      <c r="N663" s="69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</row>
    <row r="664" spans="1:35" x14ac:dyDescent="0.2">
      <c r="A664" s="74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9"/>
      <c r="N664" s="69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</row>
    <row r="665" spans="1:35" x14ac:dyDescent="0.2">
      <c r="A665" s="74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9"/>
      <c r="N665" s="69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</row>
    <row r="666" spans="1:35" x14ac:dyDescent="0.2">
      <c r="A666" s="74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9"/>
      <c r="N666" s="69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</row>
    <row r="667" spans="1:35" x14ac:dyDescent="0.2">
      <c r="A667" s="74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9"/>
      <c r="N667" s="69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</row>
    <row r="668" spans="1:35" x14ac:dyDescent="0.2">
      <c r="A668" s="74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9"/>
      <c r="N668" s="69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</row>
    <row r="669" spans="1:35" x14ac:dyDescent="0.2">
      <c r="A669" s="74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9"/>
      <c r="N669" s="69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</row>
    <row r="670" spans="1:35" x14ac:dyDescent="0.2">
      <c r="A670" s="74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9"/>
      <c r="N670" s="69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</row>
    <row r="671" spans="1:35" x14ac:dyDescent="0.2">
      <c r="A671" s="74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9"/>
      <c r="N671" s="69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</row>
    <row r="672" spans="1:35" x14ac:dyDescent="0.2">
      <c r="A672" s="74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9"/>
      <c r="N672" s="69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</row>
    <row r="673" spans="1:35" x14ac:dyDescent="0.2">
      <c r="A673" s="74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9"/>
      <c r="N673" s="69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</row>
    <row r="674" spans="1:35" x14ac:dyDescent="0.2">
      <c r="A674" s="74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9"/>
      <c r="N674" s="69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</row>
    <row r="675" spans="1:35" x14ac:dyDescent="0.2">
      <c r="A675" s="74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9"/>
      <c r="N675" s="69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</row>
    <row r="676" spans="1:35" x14ac:dyDescent="0.2">
      <c r="A676" s="74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9"/>
      <c r="N676" s="69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</row>
    <row r="677" spans="1:35" x14ac:dyDescent="0.2">
      <c r="A677" s="74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9"/>
      <c r="N677" s="69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</row>
    <row r="678" spans="1:35" x14ac:dyDescent="0.2">
      <c r="A678" s="74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9"/>
      <c r="N678" s="69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</row>
    <row r="679" spans="1:35" x14ac:dyDescent="0.2">
      <c r="A679" s="74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9"/>
      <c r="N679" s="69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</row>
    <row r="680" spans="1:35" x14ac:dyDescent="0.2">
      <c r="A680" s="74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9"/>
      <c r="N680" s="69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</row>
    <row r="681" spans="1:35" x14ac:dyDescent="0.2">
      <c r="A681" s="74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9"/>
      <c r="N681" s="69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</row>
    <row r="682" spans="1:35" x14ac:dyDescent="0.2">
      <c r="A682" s="74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9"/>
      <c r="N682" s="69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</row>
    <row r="683" spans="1:35" x14ac:dyDescent="0.2">
      <c r="A683" s="74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9"/>
      <c r="N683" s="69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</row>
    <row r="684" spans="1:35" x14ac:dyDescent="0.2">
      <c r="A684" s="74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9"/>
      <c r="N684" s="69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</row>
    <row r="685" spans="1:35" x14ac:dyDescent="0.2">
      <c r="A685" s="74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9"/>
      <c r="N685" s="69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</row>
    <row r="686" spans="1:35" x14ac:dyDescent="0.2">
      <c r="A686" s="74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9"/>
      <c r="N686" s="69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</row>
    <row r="687" spans="1:35" x14ac:dyDescent="0.2">
      <c r="A687" s="74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9"/>
      <c r="N687" s="69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</row>
    <row r="688" spans="1:35" x14ac:dyDescent="0.2">
      <c r="A688" s="74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9"/>
      <c r="N688" s="69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</row>
    <row r="689" spans="1:35" x14ac:dyDescent="0.2">
      <c r="A689" s="74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9"/>
      <c r="N689" s="69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</row>
    <row r="690" spans="1:35" x14ac:dyDescent="0.2">
      <c r="A690" s="74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9"/>
      <c r="N690" s="69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</row>
    <row r="691" spans="1:35" x14ac:dyDescent="0.2">
      <c r="A691" s="74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9"/>
      <c r="N691" s="69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</row>
    <row r="692" spans="1:35" x14ac:dyDescent="0.2">
      <c r="A692" s="74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9"/>
      <c r="N692" s="69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</row>
    <row r="693" spans="1:35" x14ac:dyDescent="0.2">
      <c r="A693" s="74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9"/>
      <c r="N693" s="69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</row>
    <row r="694" spans="1:35" x14ac:dyDescent="0.2">
      <c r="A694" s="74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9"/>
      <c r="N694" s="69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</row>
    <row r="695" spans="1:35" x14ac:dyDescent="0.2">
      <c r="A695" s="74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9"/>
      <c r="N695" s="69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</row>
    <row r="696" spans="1:35" x14ac:dyDescent="0.2">
      <c r="A696" s="74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9"/>
      <c r="N696" s="69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</row>
    <row r="697" spans="1:35" x14ac:dyDescent="0.2">
      <c r="A697" s="74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9"/>
      <c r="N697" s="69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</row>
    <row r="698" spans="1:35" x14ac:dyDescent="0.2">
      <c r="A698" s="74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9"/>
      <c r="N698" s="69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</row>
    <row r="699" spans="1:35" x14ac:dyDescent="0.2">
      <c r="A699" s="74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9"/>
      <c r="N699" s="69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</row>
    <row r="700" spans="1:35" x14ac:dyDescent="0.2">
      <c r="A700" s="74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9"/>
      <c r="N700" s="69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</row>
    <row r="701" spans="1:35" x14ac:dyDescent="0.2">
      <c r="A701" s="74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9"/>
      <c r="N701" s="69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  <c r="AG701" s="65"/>
      <c r="AH701" s="65"/>
      <c r="AI701" s="65"/>
    </row>
    <row r="702" spans="1:35" x14ac:dyDescent="0.2">
      <c r="A702" s="74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9"/>
      <c r="N702" s="69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</row>
    <row r="703" spans="1:35" x14ac:dyDescent="0.2">
      <c r="A703" s="74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9"/>
      <c r="N703" s="69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65"/>
      <c r="AG703" s="65"/>
      <c r="AH703" s="65"/>
      <c r="AI703" s="65"/>
    </row>
    <row r="704" spans="1:35" x14ac:dyDescent="0.2">
      <c r="A704" s="74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9"/>
      <c r="N704" s="69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</row>
    <row r="705" spans="1:35" x14ac:dyDescent="0.2">
      <c r="A705" s="74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9"/>
      <c r="N705" s="69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65"/>
      <c r="AG705" s="65"/>
      <c r="AH705" s="65"/>
      <c r="AI705" s="65"/>
    </row>
    <row r="706" spans="1:35" x14ac:dyDescent="0.2">
      <c r="A706" s="74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9"/>
      <c r="N706" s="69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</row>
    <row r="707" spans="1:35" x14ac:dyDescent="0.2">
      <c r="A707" s="74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9"/>
      <c r="N707" s="69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65"/>
      <c r="AG707" s="65"/>
      <c r="AH707" s="65"/>
      <c r="AI707" s="65"/>
    </row>
    <row r="708" spans="1:35" x14ac:dyDescent="0.2">
      <c r="A708" s="74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9"/>
      <c r="N708" s="69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</row>
    <row r="709" spans="1:35" x14ac:dyDescent="0.2">
      <c r="A709" s="74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9"/>
      <c r="N709" s="69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  <c r="AG709" s="65"/>
      <c r="AH709" s="65"/>
      <c r="AI709" s="65"/>
    </row>
    <row r="710" spans="1:35" x14ac:dyDescent="0.2">
      <c r="A710" s="74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9"/>
      <c r="N710" s="69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</row>
    <row r="711" spans="1:35" x14ac:dyDescent="0.2">
      <c r="A711" s="74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9"/>
      <c r="N711" s="69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</row>
    <row r="712" spans="1:35" x14ac:dyDescent="0.2">
      <c r="A712" s="74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9"/>
      <c r="N712" s="69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</row>
    <row r="713" spans="1:35" x14ac:dyDescent="0.2">
      <c r="A713" s="74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9"/>
      <c r="N713" s="69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65"/>
      <c r="AG713" s="65"/>
      <c r="AH713" s="65"/>
      <c r="AI713" s="65"/>
    </row>
    <row r="714" spans="1:35" x14ac:dyDescent="0.2">
      <c r="A714" s="74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9"/>
      <c r="N714" s="69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5"/>
      <c r="AF714" s="65"/>
      <c r="AG714" s="65"/>
      <c r="AH714" s="65"/>
      <c r="AI714" s="65"/>
    </row>
    <row r="715" spans="1:35" x14ac:dyDescent="0.2">
      <c r="A715" s="74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9"/>
      <c r="N715" s="69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  <c r="AG715" s="65"/>
      <c r="AH715" s="65"/>
      <c r="AI715" s="65"/>
    </row>
    <row r="716" spans="1:35" x14ac:dyDescent="0.2">
      <c r="A716" s="74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9"/>
      <c r="N716" s="69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65"/>
      <c r="AG716" s="65"/>
      <c r="AH716" s="65"/>
      <c r="AI716" s="65"/>
    </row>
    <row r="717" spans="1:35" x14ac:dyDescent="0.2">
      <c r="A717" s="74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9"/>
      <c r="N717" s="69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65"/>
      <c r="AG717" s="65"/>
      <c r="AH717" s="65"/>
      <c r="AI717" s="65"/>
    </row>
    <row r="718" spans="1:35" x14ac:dyDescent="0.2">
      <c r="A718" s="74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9"/>
      <c r="N718" s="69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</row>
    <row r="719" spans="1:35" x14ac:dyDescent="0.2">
      <c r="A719" s="74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9"/>
      <c r="N719" s="69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65"/>
      <c r="AG719" s="65"/>
      <c r="AH719" s="65"/>
      <c r="AI719" s="65"/>
    </row>
    <row r="720" spans="1:35" x14ac:dyDescent="0.2">
      <c r="A720" s="74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9"/>
      <c r="N720" s="69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</row>
    <row r="721" spans="1:35" x14ac:dyDescent="0.2">
      <c r="A721" s="74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9"/>
      <c r="N721" s="69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65"/>
      <c r="AG721" s="65"/>
      <c r="AH721" s="65"/>
      <c r="AI721" s="65"/>
    </row>
    <row r="722" spans="1:35" x14ac:dyDescent="0.2">
      <c r="A722" s="74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9"/>
      <c r="N722" s="69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5"/>
      <c r="AF722" s="65"/>
      <c r="AG722" s="65"/>
      <c r="AH722" s="65"/>
      <c r="AI722" s="65"/>
    </row>
    <row r="723" spans="1:35" x14ac:dyDescent="0.2">
      <c r="A723" s="74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9"/>
      <c r="N723" s="69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65"/>
      <c r="AG723" s="65"/>
      <c r="AH723" s="65"/>
      <c r="AI723" s="65"/>
    </row>
    <row r="724" spans="1:35" x14ac:dyDescent="0.2">
      <c r="A724" s="74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9"/>
      <c r="N724" s="69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</row>
    <row r="725" spans="1:35" x14ac:dyDescent="0.2">
      <c r="A725" s="74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9"/>
      <c r="N725" s="69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65"/>
      <c r="AG725" s="65"/>
      <c r="AH725" s="65"/>
      <c r="AI725" s="65"/>
    </row>
    <row r="726" spans="1:35" x14ac:dyDescent="0.2">
      <c r="A726" s="74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9"/>
      <c r="N726" s="69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65"/>
    </row>
    <row r="727" spans="1:35" x14ac:dyDescent="0.2">
      <c r="A727" s="74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9"/>
      <c r="N727" s="69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</row>
    <row r="728" spans="1:35" x14ac:dyDescent="0.2">
      <c r="A728" s="74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9"/>
      <c r="N728" s="69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</row>
    <row r="729" spans="1:35" x14ac:dyDescent="0.2">
      <c r="A729" s="74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9"/>
      <c r="N729" s="69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65"/>
    </row>
    <row r="730" spans="1:35" x14ac:dyDescent="0.2">
      <c r="A730" s="74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9"/>
      <c r="N730" s="69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5"/>
      <c r="AF730" s="65"/>
      <c r="AG730" s="65"/>
      <c r="AH730" s="65"/>
      <c r="AI730" s="65"/>
    </row>
    <row r="731" spans="1:35" x14ac:dyDescent="0.2">
      <c r="A731" s="74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9"/>
      <c r="N731" s="69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65"/>
      <c r="AG731" s="65"/>
      <c r="AH731" s="65"/>
      <c r="AI731" s="65"/>
    </row>
    <row r="732" spans="1:35" x14ac:dyDescent="0.2">
      <c r="A732" s="74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9"/>
      <c r="N732" s="69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</row>
    <row r="733" spans="1:35" x14ac:dyDescent="0.2">
      <c r="A733" s="74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9"/>
      <c r="N733" s="69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</row>
    <row r="734" spans="1:35" x14ac:dyDescent="0.2">
      <c r="A734" s="74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9"/>
      <c r="N734" s="69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</row>
    <row r="735" spans="1:35" x14ac:dyDescent="0.2">
      <c r="A735" s="74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9"/>
      <c r="N735" s="69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65"/>
      <c r="AG735" s="65"/>
      <c r="AH735" s="65"/>
      <c r="AI735" s="65"/>
    </row>
    <row r="736" spans="1:35" x14ac:dyDescent="0.2">
      <c r="A736" s="74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9"/>
      <c r="N736" s="69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</row>
    <row r="737" spans="1:35" x14ac:dyDescent="0.2">
      <c r="A737" s="74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9"/>
      <c r="N737" s="69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65"/>
      <c r="AG737" s="65"/>
      <c r="AH737" s="65"/>
      <c r="AI737" s="65"/>
    </row>
    <row r="738" spans="1:35" x14ac:dyDescent="0.2">
      <c r="A738" s="74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9"/>
      <c r="N738" s="69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  <c r="AE738" s="65"/>
      <c r="AF738" s="65"/>
      <c r="AG738" s="65"/>
      <c r="AH738" s="65"/>
      <c r="AI738" s="65"/>
    </row>
    <row r="739" spans="1:35" x14ac:dyDescent="0.2">
      <c r="A739" s="74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9"/>
      <c r="N739" s="69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  <c r="AE739" s="65"/>
      <c r="AF739" s="65"/>
      <c r="AG739" s="65"/>
      <c r="AH739" s="65"/>
      <c r="AI739" s="65"/>
    </row>
    <row r="740" spans="1:35" x14ac:dyDescent="0.2">
      <c r="A740" s="74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9"/>
      <c r="N740" s="69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  <c r="AE740" s="65"/>
      <c r="AF740" s="65"/>
      <c r="AG740" s="65"/>
      <c r="AH740" s="65"/>
      <c r="AI740" s="65"/>
    </row>
    <row r="741" spans="1:35" x14ac:dyDescent="0.2">
      <c r="A741" s="74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9"/>
      <c r="N741" s="69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  <c r="AE741" s="65"/>
      <c r="AF741" s="65"/>
      <c r="AG741" s="65"/>
      <c r="AH741" s="65"/>
      <c r="AI741" s="65"/>
    </row>
    <row r="742" spans="1:35" x14ac:dyDescent="0.2">
      <c r="A742" s="74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9"/>
      <c r="N742" s="69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  <c r="AE742" s="65"/>
      <c r="AF742" s="65"/>
      <c r="AG742" s="65"/>
      <c r="AH742" s="65"/>
      <c r="AI742" s="65"/>
    </row>
    <row r="743" spans="1:35" x14ac:dyDescent="0.2">
      <c r="A743" s="74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9"/>
      <c r="N743" s="69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  <c r="AE743" s="65"/>
      <c r="AF743" s="65"/>
      <c r="AG743" s="65"/>
      <c r="AH743" s="65"/>
      <c r="AI743" s="65"/>
    </row>
    <row r="744" spans="1:35" x14ac:dyDescent="0.2">
      <c r="A744" s="74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9"/>
      <c r="N744" s="69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  <c r="AE744" s="65"/>
      <c r="AF744" s="65"/>
      <c r="AG744" s="65"/>
      <c r="AH744" s="65"/>
      <c r="AI744" s="65"/>
    </row>
    <row r="745" spans="1:35" x14ac:dyDescent="0.2">
      <c r="A745" s="74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9"/>
      <c r="N745" s="69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  <c r="AE745" s="65"/>
      <c r="AF745" s="65"/>
      <c r="AG745" s="65"/>
      <c r="AH745" s="65"/>
      <c r="AI745" s="65"/>
    </row>
    <row r="746" spans="1:35" x14ac:dyDescent="0.2">
      <c r="A746" s="74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9"/>
      <c r="N746" s="69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  <c r="AE746" s="65"/>
      <c r="AF746" s="65"/>
      <c r="AG746" s="65"/>
      <c r="AH746" s="65"/>
      <c r="AI746" s="65"/>
    </row>
    <row r="747" spans="1:35" x14ac:dyDescent="0.2">
      <c r="A747" s="74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9"/>
      <c r="N747" s="69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  <c r="AE747" s="65"/>
      <c r="AF747" s="65"/>
      <c r="AG747" s="65"/>
      <c r="AH747" s="65"/>
      <c r="AI747" s="65"/>
    </row>
    <row r="748" spans="1:35" x14ac:dyDescent="0.2">
      <c r="A748" s="74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9"/>
      <c r="N748" s="69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  <c r="AE748" s="65"/>
      <c r="AF748" s="65"/>
      <c r="AG748" s="65"/>
      <c r="AH748" s="65"/>
      <c r="AI748" s="65"/>
    </row>
    <row r="749" spans="1:35" x14ac:dyDescent="0.2">
      <c r="A749" s="74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9"/>
      <c r="N749" s="69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  <c r="AE749" s="65"/>
      <c r="AF749" s="65"/>
      <c r="AG749" s="65"/>
      <c r="AH749" s="65"/>
      <c r="AI749" s="65"/>
    </row>
    <row r="750" spans="1:35" x14ac:dyDescent="0.2">
      <c r="A750" s="74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9"/>
      <c r="N750" s="69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  <c r="AE750" s="65"/>
      <c r="AF750" s="65"/>
      <c r="AG750" s="65"/>
      <c r="AH750" s="65"/>
      <c r="AI750" s="65"/>
    </row>
    <row r="751" spans="1:35" x14ac:dyDescent="0.2">
      <c r="A751" s="74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9"/>
      <c r="N751" s="69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  <c r="AE751" s="65"/>
      <c r="AF751" s="65"/>
      <c r="AG751" s="65"/>
      <c r="AH751" s="65"/>
      <c r="AI751" s="65"/>
    </row>
    <row r="752" spans="1:35" x14ac:dyDescent="0.2">
      <c r="A752" s="74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9"/>
      <c r="N752" s="69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  <c r="AE752" s="65"/>
      <c r="AF752" s="65"/>
      <c r="AG752" s="65"/>
      <c r="AH752" s="65"/>
      <c r="AI752" s="65"/>
    </row>
    <row r="753" spans="1:35" x14ac:dyDescent="0.2">
      <c r="A753" s="74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9"/>
      <c r="N753" s="69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  <c r="AE753" s="65"/>
      <c r="AF753" s="65"/>
      <c r="AG753" s="65"/>
      <c r="AH753" s="65"/>
      <c r="AI753" s="65"/>
    </row>
    <row r="754" spans="1:35" x14ac:dyDescent="0.2">
      <c r="A754" s="74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9"/>
      <c r="N754" s="69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  <c r="AE754" s="65"/>
      <c r="AF754" s="65"/>
      <c r="AG754" s="65"/>
      <c r="AH754" s="65"/>
      <c r="AI754" s="65"/>
    </row>
    <row r="755" spans="1:35" x14ac:dyDescent="0.2">
      <c r="A755" s="74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9"/>
      <c r="N755" s="69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  <c r="AE755" s="65"/>
      <c r="AF755" s="65"/>
      <c r="AG755" s="65"/>
      <c r="AH755" s="65"/>
      <c r="AI755" s="65"/>
    </row>
    <row r="756" spans="1:35" x14ac:dyDescent="0.2">
      <c r="A756" s="74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9"/>
      <c r="N756" s="69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  <c r="AE756" s="65"/>
      <c r="AF756" s="65"/>
      <c r="AG756" s="65"/>
      <c r="AH756" s="65"/>
      <c r="AI756" s="65"/>
    </row>
    <row r="757" spans="1:35" x14ac:dyDescent="0.2">
      <c r="A757" s="74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9"/>
      <c r="N757" s="69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  <c r="AE757" s="65"/>
      <c r="AF757" s="65"/>
      <c r="AG757" s="65"/>
      <c r="AH757" s="65"/>
      <c r="AI757" s="65"/>
    </row>
    <row r="758" spans="1:35" x14ac:dyDescent="0.2">
      <c r="A758" s="74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9"/>
      <c r="N758" s="69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  <c r="AE758" s="65"/>
      <c r="AF758" s="65"/>
      <c r="AG758" s="65"/>
      <c r="AH758" s="65"/>
      <c r="AI758" s="65"/>
    </row>
    <row r="759" spans="1:35" x14ac:dyDescent="0.2">
      <c r="A759" s="74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9"/>
      <c r="N759" s="69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  <c r="AE759" s="65"/>
      <c r="AF759" s="65"/>
      <c r="AG759" s="65"/>
      <c r="AH759" s="65"/>
      <c r="AI759" s="65"/>
    </row>
    <row r="760" spans="1:35" x14ac:dyDescent="0.2">
      <c r="A760" s="74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9"/>
      <c r="N760" s="69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  <c r="AE760" s="65"/>
      <c r="AF760" s="65"/>
      <c r="AG760" s="65"/>
      <c r="AH760" s="65"/>
      <c r="AI760" s="65"/>
    </row>
    <row r="761" spans="1:35" x14ac:dyDescent="0.2">
      <c r="A761" s="74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9"/>
      <c r="N761" s="69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  <c r="AE761" s="65"/>
      <c r="AF761" s="65"/>
      <c r="AG761" s="65"/>
      <c r="AH761" s="65"/>
      <c r="AI761" s="65"/>
    </row>
    <row r="762" spans="1:35" x14ac:dyDescent="0.2">
      <c r="A762" s="74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9"/>
      <c r="N762" s="69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  <c r="AE762" s="65"/>
      <c r="AF762" s="65"/>
      <c r="AG762" s="65"/>
      <c r="AH762" s="65"/>
      <c r="AI762" s="65"/>
    </row>
    <row r="763" spans="1:35" x14ac:dyDescent="0.2">
      <c r="A763" s="74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9"/>
      <c r="N763" s="69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  <c r="AE763" s="65"/>
      <c r="AF763" s="65"/>
      <c r="AG763" s="65"/>
      <c r="AH763" s="65"/>
      <c r="AI763" s="65"/>
    </row>
    <row r="764" spans="1:35" x14ac:dyDescent="0.2">
      <c r="A764" s="74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9"/>
      <c r="N764" s="69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  <c r="AE764" s="65"/>
      <c r="AF764" s="65"/>
      <c r="AG764" s="65"/>
      <c r="AH764" s="65"/>
      <c r="AI764" s="65"/>
    </row>
    <row r="765" spans="1:35" x14ac:dyDescent="0.2">
      <c r="A765" s="74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9"/>
      <c r="N765" s="69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  <c r="AE765" s="65"/>
      <c r="AF765" s="65"/>
      <c r="AG765" s="65"/>
      <c r="AH765" s="65"/>
      <c r="AI765" s="65"/>
    </row>
    <row r="766" spans="1:35" x14ac:dyDescent="0.2">
      <c r="A766" s="74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9"/>
      <c r="N766" s="69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  <c r="AE766" s="65"/>
      <c r="AF766" s="65"/>
      <c r="AG766" s="65"/>
      <c r="AH766" s="65"/>
      <c r="AI766" s="65"/>
    </row>
    <row r="767" spans="1:35" x14ac:dyDescent="0.2">
      <c r="A767" s="74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9"/>
      <c r="N767" s="69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  <c r="AE767" s="65"/>
      <c r="AF767" s="65"/>
      <c r="AG767" s="65"/>
      <c r="AH767" s="65"/>
      <c r="AI767" s="65"/>
    </row>
    <row r="768" spans="1:35" x14ac:dyDescent="0.2">
      <c r="A768" s="74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9"/>
      <c r="N768" s="69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  <c r="AE768" s="65"/>
      <c r="AF768" s="65"/>
      <c r="AG768" s="65"/>
      <c r="AH768" s="65"/>
      <c r="AI768" s="65"/>
    </row>
    <row r="769" spans="1:35" x14ac:dyDescent="0.2">
      <c r="A769" s="74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9"/>
      <c r="N769" s="69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65"/>
      <c r="AG769" s="65"/>
      <c r="AH769" s="65"/>
      <c r="AI769" s="65"/>
    </row>
    <row r="770" spans="1:35" x14ac:dyDescent="0.2">
      <c r="A770" s="74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9"/>
      <c r="N770" s="69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  <c r="AE770" s="65"/>
      <c r="AF770" s="65"/>
      <c r="AG770" s="65"/>
      <c r="AH770" s="65"/>
      <c r="AI770" s="65"/>
    </row>
    <row r="771" spans="1:35" x14ac:dyDescent="0.2">
      <c r="A771" s="74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9"/>
      <c r="N771" s="69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  <c r="AE771" s="65"/>
      <c r="AF771" s="65"/>
      <c r="AG771" s="65"/>
      <c r="AH771" s="65"/>
      <c r="AI771" s="65"/>
    </row>
    <row r="772" spans="1:35" x14ac:dyDescent="0.2">
      <c r="A772" s="74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9"/>
      <c r="N772" s="69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  <c r="AE772" s="65"/>
      <c r="AF772" s="65"/>
      <c r="AG772" s="65"/>
      <c r="AH772" s="65"/>
      <c r="AI772" s="65"/>
    </row>
    <row r="773" spans="1:35" x14ac:dyDescent="0.2">
      <c r="A773" s="74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9"/>
      <c r="N773" s="69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  <c r="AE773" s="65"/>
      <c r="AF773" s="65"/>
      <c r="AG773" s="65"/>
      <c r="AH773" s="65"/>
      <c r="AI773" s="65"/>
    </row>
    <row r="774" spans="1:35" x14ac:dyDescent="0.2">
      <c r="A774" s="74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9"/>
      <c r="N774" s="69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  <c r="AE774" s="65"/>
      <c r="AF774" s="65"/>
      <c r="AG774" s="65"/>
      <c r="AH774" s="65"/>
      <c r="AI774" s="65"/>
    </row>
    <row r="775" spans="1:35" x14ac:dyDescent="0.2">
      <c r="A775" s="74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9"/>
      <c r="N775" s="69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  <c r="AE775" s="65"/>
      <c r="AF775" s="65"/>
      <c r="AG775" s="65"/>
      <c r="AH775" s="65"/>
      <c r="AI775" s="65"/>
    </row>
    <row r="776" spans="1:35" x14ac:dyDescent="0.2">
      <c r="A776" s="74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9"/>
      <c r="N776" s="69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  <c r="AE776" s="65"/>
      <c r="AF776" s="65"/>
      <c r="AG776" s="65"/>
      <c r="AH776" s="65"/>
      <c r="AI776" s="65"/>
    </row>
    <row r="777" spans="1:35" x14ac:dyDescent="0.2">
      <c r="A777" s="74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9"/>
      <c r="N777" s="69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  <c r="AE777" s="65"/>
      <c r="AF777" s="65"/>
      <c r="AG777" s="65"/>
      <c r="AH777" s="65"/>
      <c r="AI777" s="65"/>
    </row>
    <row r="778" spans="1:35" x14ac:dyDescent="0.2">
      <c r="A778" s="74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9"/>
      <c r="N778" s="69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  <c r="AE778" s="65"/>
      <c r="AF778" s="65"/>
      <c r="AG778" s="65"/>
      <c r="AH778" s="65"/>
      <c r="AI778" s="65"/>
    </row>
    <row r="779" spans="1:35" x14ac:dyDescent="0.2">
      <c r="A779" s="74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9"/>
      <c r="N779" s="69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  <c r="AE779" s="65"/>
      <c r="AF779" s="65"/>
      <c r="AG779" s="65"/>
      <c r="AH779" s="65"/>
      <c r="AI779" s="65"/>
    </row>
    <row r="780" spans="1:35" x14ac:dyDescent="0.2">
      <c r="A780" s="74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9"/>
      <c r="N780" s="69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  <c r="AE780" s="65"/>
      <c r="AF780" s="65"/>
      <c r="AG780" s="65"/>
      <c r="AH780" s="65"/>
      <c r="AI780" s="65"/>
    </row>
    <row r="781" spans="1:35" x14ac:dyDescent="0.2">
      <c r="A781" s="74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9"/>
      <c r="N781" s="69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  <c r="AE781" s="65"/>
      <c r="AF781" s="65"/>
      <c r="AG781" s="65"/>
      <c r="AH781" s="65"/>
      <c r="AI781" s="65"/>
    </row>
    <row r="782" spans="1:35" x14ac:dyDescent="0.2">
      <c r="A782" s="74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9"/>
      <c r="N782" s="69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  <c r="AE782" s="65"/>
      <c r="AF782" s="65"/>
      <c r="AG782" s="65"/>
      <c r="AH782" s="65"/>
      <c r="AI782" s="65"/>
    </row>
    <row r="783" spans="1:35" x14ac:dyDescent="0.2">
      <c r="A783" s="74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9"/>
      <c r="N783" s="69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  <c r="AE783" s="65"/>
      <c r="AF783" s="65"/>
      <c r="AG783" s="65"/>
      <c r="AH783" s="65"/>
      <c r="AI783" s="65"/>
    </row>
    <row r="784" spans="1:35" x14ac:dyDescent="0.2">
      <c r="A784" s="74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9"/>
      <c r="N784" s="69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  <c r="AE784" s="65"/>
      <c r="AF784" s="65"/>
      <c r="AG784" s="65"/>
      <c r="AH784" s="65"/>
      <c r="AI784" s="65"/>
    </row>
    <row r="785" spans="1:35" x14ac:dyDescent="0.2">
      <c r="A785" s="74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9"/>
      <c r="N785" s="69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  <c r="AE785" s="65"/>
      <c r="AF785" s="65"/>
      <c r="AG785" s="65"/>
      <c r="AH785" s="65"/>
      <c r="AI785" s="65"/>
    </row>
    <row r="786" spans="1:35" x14ac:dyDescent="0.2">
      <c r="A786" s="74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9"/>
      <c r="N786" s="69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  <c r="AE786" s="65"/>
      <c r="AF786" s="65"/>
      <c r="AG786" s="65"/>
      <c r="AH786" s="65"/>
      <c r="AI786" s="65"/>
    </row>
    <row r="787" spans="1:35" x14ac:dyDescent="0.2">
      <c r="A787" s="74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9"/>
      <c r="N787" s="69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  <c r="AE787" s="65"/>
      <c r="AF787" s="65"/>
      <c r="AG787" s="65"/>
      <c r="AH787" s="65"/>
      <c r="AI787" s="65"/>
    </row>
    <row r="788" spans="1:35" x14ac:dyDescent="0.2">
      <c r="A788" s="74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9"/>
      <c r="N788" s="69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  <c r="AE788" s="65"/>
      <c r="AF788" s="65"/>
      <c r="AG788" s="65"/>
      <c r="AH788" s="65"/>
      <c r="AI788" s="65"/>
    </row>
    <row r="789" spans="1:35" x14ac:dyDescent="0.2">
      <c r="A789" s="74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9"/>
      <c r="N789" s="69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  <c r="AE789" s="65"/>
      <c r="AF789" s="65"/>
      <c r="AG789" s="65"/>
      <c r="AH789" s="65"/>
      <c r="AI789" s="65"/>
    </row>
    <row r="790" spans="1:35" x14ac:dyDescent="0.2">
      <c r="A790" s="74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9"/>
      <c r="N790" s="69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  <c r="AE790" s="65"/>
      <c r="AF790" s="65"/>
      <c r="AG790" s="65"/>
      <c r="AH790" s="65"/>
      <c r="AI790" s="65"/>
    </row>
    <row r="791" spans="1:35" x14ac:dyDescent="0.2">
      <c r="A791" s="74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9"/>
      <c r="N791" s="69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  <c r="AE791" s="65"/>
      <c r="AF791" s="65"/>
      <c r="AG791" s="65"/>
      <c r="AH791" s="65"/>
      <c r="AI791" s="65"/>
    </row>
    <row r="792" spans="1:35" x14ac:dyDescent="0.2">
      <c r="A792" s="74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9"/>
      <c r="N792" s="69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  <c r="AE792" s="65"/>
      <c r="AF792" s="65"/>
      <c r="AG792" s="65"/>
      <c r="AH792" s="65"/>
      <c r="AI792" s="65"/>
    </row>
    <row r="793" spans="1:35" x14ac:dyDescent="0.2">
      <c r="A793" s="74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9"/>
      <c r="N793" s="69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  <c r="AE793" s="65"/>
      <c r="AF793" s="65"/>
      <c r="AG793" s="65"/>
      <c r="AH793" s="65"/>
      <c r="AI793" s="65"/>
    </row>
    <row r="794" spans="1:35" x14ac:dyDescent="0.2">
      <c r="A794" s="74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9"/>
      <c r="N794" s="69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  <c r="AE794" s="65"/>
      <c r="AF794" s="65"/>
      <c r="AG794" s="65"/>
      <c r="AH794" s="65"/>
      <c r="AI794" s="65"/>
    </row>
    <row r="795" spans="1:35" x14ac:dyDescent="0.2">
      <c r="A795" s="74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9"/>
      <c r="N795" s="69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  <c r="AE795" s="65"/>
      <c r="AF795" s="65"/>
      <c r="AG795" s="65"/>
      <c r="AH795" s="65"/>
      <c r="AI795" s="65"/>
    </row>
    <row r="796" spans="1:35" x14ac:dyDescent="0.2">
      <c r="A796" s="74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9"/>
      <c r="N796" s="69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  <c r="AE796" s="65"/>
      <c r="AF796" s="65"/>
      <c r="AG796" s="65"/>
      <c r="AH796" s="65"/>
      <c r="AI796" s="65"/>
    </row>
    <row r="797" spans="1:35" x14ac:dyDescent="0.2">
      <c r="A797" s="74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9"/>
      <c r="N797" s="69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  <c r="AE797" s="65"/>
      <c r="AF797" s="65"/>
      <c r="AG797" s="65"/>
      <c r="AH797" s="65"/>
      <c r="AI797" s="65"/>
    </row>
    <row r="798" spans="1:35" x14ac:dyDescent="0.2">
      <c r="A798" s="74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9"/>
      <c r="N798" s="69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  <c r="AE798" s="65"/>
      <c r="AF798" s="65"/>
      <c r="AG798" s="65"/>
      <c r="AH798" s="65"/>
      <c r="AI798" s="65"/>
    </row>
    <row r="799" spans="1:35" x14ac:dyDescent="0.2">
      <c r="A799" s="74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9"/>
      <c r="N799" s="69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  <c r="AE799" s="65"/>
      <c r="AF799" s="65"/>
      <c r="AG799" s="65"/>
      <c r="AH799" s="65"/>
      <c r="AI799" s="65"/>
    </row>
    <row r="800" spans="1:35" x14ac:dyDescent="0.2">
      <c r="A800" s="74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9"/>
      <c r="N800" s="69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  <c r="AE800" s="65"/>
      <c r="AF800" s="65"/>
      <c r="AG800" s="65"/>
      <c r="AH800" s="65"/>
      <c r="AI800" s="65"/>
    </row>
    <row r="801" spans="1:35" x14ac:dyDescent="0.2">
      <c r="A801" s="74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9"/>
      <c r="N801" s="69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  <c r="AE801" s="65"/>
      <c r="AF801" s="65"/>
      <c r="AG801" s="65"/>
      <c r="AH801" s="65"/>
      <c r="AI801" s="65"/>
    </row>
    <row r="802" spans="1:35" x14ac:dyDescent="0.2">
      <c r="A802" s="74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9"/>
      <c r="N802" s="69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  <c r="AE802" s="65"/>
      <c r="AF802" s="65"/>
      <c r="AG802" s="65"/>
      <c r="AH802" s="65"/>
      <c r="AI802" s="65"/>
    </row>
    <row r="803" spans="1:35" x14ac:dyDescent="0.2">
      <c r="A803" s="74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9"/>
      <c r="N803" s="69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  <c r="AE803" s="65"/>
      <c r="AF803" s="65"/>
      <c r="AG803" s="65"/>
      <c r="AH803" s="65"/>
      <c r="AI803" s="65"/>
    </row>
    <row r="804" spans="1:35" x14ac:dyDescent="0.2">
      <c r="A804" s="74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9"/>
      <c r="N804" s="69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  <c r="AE804" s="65"/>
      <c r="AF804" s="65"/>
      <c r="AG804" s="65"/>
      <c r="AH804" s="65"/>
      <c r="AI804" s="65"/>
    </row>
    <row r="805" spans="1:35" x14ac:dyDescent="0.2">
      <c r="A805" s="74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9"/>
      <c r="N805" s="69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  <c r="AE805" s="65"/>
      <c r="AF805" s="65"/>
      <c r="AG805" s="65"/>
      <c r="AH805" s="65"/>
      <c r="AI805" s="65"/>
    </row>
    <row r="806" spans="1:35" x14ac:dyDescent="0.2">
      <c r="A806" s="74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9"/>
      <c r="N806" s="69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  <c r="AE806" s="65"/>
      <c r="AF806" s="65"/>
      <c r="AG806" s="65"/>
      <c r="AH806" s="65"/>
      <c r="AI806" s="65"/>
    </row>
    <row r="807" spans="1:35" x14ac:dyDescent="0.2">
      <c r="A807" s="74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9"/>
      <c r="N807" s="69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  <c r="AE807" s="65"/>
      <c r="AF807" s="65"/>
      <c r="AG807" s="65"/>
      <c r="AH807" s="65"/>
      <c r="AI807" s="65"/>
    </row>
    <row r="808" spans="1:35" x14ac:dyDescent="0.2">
      <c r="A808" s="74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9"/>
      <c r="N808" s="69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  <c r="AE808" s="65"/>
      <c r="AF808" s="65"/>
      <c r="AG808" s="65"/>
      <c r="AH808" s="65"/>
      <c r="AI808" s="65"/>
    </row>
    <row r="809" spans="1:35" x14ac:dyDescent="0.2">
      <c r="A809" s="74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9"/>
      <c r="N809" s="69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  <c r="AE809" s="65"/>
      <c r="AF809" s="65"/>
      <c r="AG809" s="65"/>
      <c r="AH809" s="65"/>
      <c r="AI809" s="65"/>
    </row>
    <row r="810" spans="1:35" x14ac:dyDescent="0.2">
      <c r="A810" s="74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9"/>
      <c r="N810" s="69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  <c r="AE810" s="65"/>
      <c r="AF810" s="65"/>
      <c r="AG810" s="65"/>
      <c r="AH810" s="65"/>
      <c r="AI810" s="65"/>
    </row>
    <row r="811" spans="1:35" x14ac:dyDescent="0.2">
      <c r="A811" s="74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9"/>
      <c r="N811" s="69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  <c r="AE811" s="65"/>
      <c r="AF811" s="65"/>
      <c r="AG811" s="65"/>
      <c r="AH811" s="65"/>
      <c r="AI811" s="65"/>
    </row>
    <row r="812" spans="1:35" x14ac:dyDescent="0.2">
      <c r="A812" s="74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9"/>
      <c r="N812" s="69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  <c r="AE812" s="65"/>
      <c r="AF812" s="65"/>
      <c r="AG812" s="65"/>
      <c r="AH812" s="65"/>
      <c r="AI812" s="65"/>
    </row>
    <row r="813" spans="1:35" x14ac:dyDescent="0.2">
      <c r="A813" s="74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9"/>
      <c r="N813" s="69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  <c r="AE813" s="65"/>
      <c r="AF813" s="65"/>
      <c r="AG813" s="65"/>
      <c r="AH813" s="65"/>
      <c r="AI813" s="65"/>
    </row>
    <row r="814" spans="1:35" x14ac:dyDescent="0.2">
      <c r="A814" s="74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9"/>
      <c r="N814" s="69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  <c r="AE814" s="65"/>
      <c r="AF814" s="65"/>
      <c r="AG814" s="65"/>
      <c r="AH814" s="65"/>
      <c r="AI814" s="65"/>
    </row>
    <row r="815" spans="1:35" x14ac:dyDescent="0.2">
      <c r="A815" s="74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9"/>
      <c r="N815" s="69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  <c r="AE815" s="65"/>
      <c r="AF815" s="65"/>
      <c r="AG815" s="65"/>
      <c r="AH815" s="65"/>
      <c r="AI815" s="65"/>
    </row>
    <row r="816" spans="1:35" x14ac:dyDescent="0.2">
      <c r="A816" s="74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9"/>
      <c r="N816" s="69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  <c r="AE816" s="65"/>
      <c r="AF816" s="65"/>
      <c r="AG816" s="65"/>
      <c r="AH816" s="65"/>
      <c r="AI816" s="65"/>
    </row>
    <row r="817" spans="1:35" x14ac:dyDescent="0.2">
      <c r="A817" s="74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9"/>
      <c r="N817" s="69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  <c r="AE817" s="65"/>
      <c r="AF817" s="65"/>
      <c r="AG817" s="65"/>
      <c r="AH817" s="65"/>
      <c r="AI817" s="65"/>
    </row>
    <row r="818" spans="1:35" x14ac:dyDescent="0.2">
      <c r="A818" s="74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9"/>
      <c r="N818" s="69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  <c r="AE818" s="65"/>
      <c r="AF818" s="65"/>
      <c r="AG818" s="65"/>
      <c r="AH818" s="65"/>
      <c r="AI818" s="65"/>
    </row>
    <row r="819" spans="1:35" x14ac:dyDescent="0.2">
      <c r="A819" s="74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9"/>
      <c r="N819" s="69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  <c r="AE819" s="65"/>
      <c r="AF819" s="65"/>
      <c r="AG819" s="65"/>
      <c r="AH819" s="65"/>
      <c r="AI819" s="65"/>
    </row>
    <row r="820" spans="1:35" x14ac:dyDescent="0.2">
      <c r="A820" s="74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9"/>
      <c r="N820" s="69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  <c r="AE820" s="65"/>
      <c r="AF820" s="65"/>
      <c r="AG820" s="65"/>
      <c r="AH820" s="65"/>
      <c r="AI820" s="65"/>
    </row>
    <row r="821" spans="1:35" x14ac:dyDescent="0.2">
      <c r="A821" s="74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9"/>
      <c r="N821" s="69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  <c r="AE821" s="65"/>
      <c r="AF821" s="65"/>
      <c r="AG821" s="65"/>
      <c r="AH821" s="65"/>
      <c r="AI821" s="65"/>
    </row>
    <row r="822" spans="1:35" x14ac:dyDescent="0.2">
      <c r="A822" s="74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9"/>
      <c r="N822" s="69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65"/>
      <c r="AG822" s="65"/>
      <c r="AH822" s="65"/>
      <c r="AI822" s="65"/>
    </row>
    <row r="823" spans="1:35" x14ac:dyDescent="0.2">
      <c r="A823" s="74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9"/>
      <c r="N823" s="69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  <c r="AE823" s="65"/>
      <c r="AF823" s="65"/>
      <c r="AG823" s="65"/>
      <c r="AH823" s="65"/>
      <c r="AI823" s="65"/>
    </row>
    <row r="824" spans="1:35" x14ac:dyDescent="0.2">
      <c r="A824" s="74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9"/>
      <c r="N824" s="69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  <c r="AE824" s="65"/>
      <c r="AF824" s="65"/>
      <c r="AG824" s="65"/>
      <c r="AH824" s="65"/>
      <c r="AI824" s="65"/>
    </row>
    <row r="825" spans="1:35" x14ac:dyDescent="0.2">
      <c r="A825" s="74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9"/>
      <c r="N825" s="69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  <c r="AE825" s="65"/>
      <c r="AF825" s="65"/>
      <c r="AG825" s="65"/>
      <c r="AH825" s="65"/>
      <c r="AI825" s="65"/>
    </row>
    <row r="826" spans="1:35" x14ac:dyDescent="0.2">
      <c r="A826" s="74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9"/>
      <c r="N826" s="69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  <c r="AE826" s="65"/>
      <c r="AF826" s="65"/>
      <c r="AG826" s="65"/>
      <c r="AH826" s="65"/>
      <c r="AI826" s="65"/>
    </row>
    <row r="827" spans="1:35" x14ac:dyDescent="0.2">
      <c r="A827" s="74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9"/>
      <c r="N827" s="69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  <c r="AE827" s="65"/>
      <c r="AF827" s="65"/>
      <c r="AG827" s="65"/>
      <c r="AH827" s="65"/>
      <c r="AI827" s="65"/>
    </row>
    <row r="828" spans="1:35" x14ac:dyDescent="0.2">
      <c r="A828" s="74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9"/>
      <c r="N828" s="69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  <c r="AE828" s="65"/>
      <c r="AF828" s="65"/>
      <c r="AG828" s="65"/>
      <c r="AH828" s="65"/>
      <c r="AI828" s="65"/>
    </row>
    <row r="829" spans="1:35" x14ac:dyDescent="0.2">
      <c r="A829" s="74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9"/>
      <c r="N829" s="69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  <c r="AE829" s="65"/>
      <c r="AF829" s="65"/>
      <c r="AG829" s="65"/>
      <c r="AH829" s="65"/>
      <c r="AI829" s="65"/>
    </row>
    <row r="830" spans="1:35" x14ac:dyDescent="0.2">
      <c r="A830" s="74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9"/>
      <c r="N830" s="69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  <c r="AE830" s="65"/>
      <c r="AF830" s="65"/>
      <c r="AG830" s="65"/>
      <c r="AH830" s="65"/>
      <c r="AI830" s="65"/>
    </row>
    <row r="831" spans="1:35" x14ac:dyDescent="0.2">
      <c r="A831" s="74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9"/>
      <c r="N831" s="69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  <c r="AE831" s="65"/>
      <c r="AF831" s="65"/>
      <c r="AG831" s="65"/>
      <c r="AH831" s="65"/>
      <c r="AI831" s="65"/>
    </row>
    <row r="832" spans="1:35" x14ac:dyDescent="0.2">
      <c r="A832" s="74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9"/>
      <c r="N832" s="69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  <c r="AE832" s="65"/>
      <c r="AF832" s="65"/>
      <c r="AG832" s="65"/>
      <c r="AH832" s="65"/>
      <c r="AI832" s="65"/>
    </row>
    <row r="833" spans="1:35" x14ac:dyDescent="0.2">
      <c r="A833" s="74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9"/>
      <c r="N833" s="69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  <c r="AE833" s="65"/>
      <c r="AF833" s="65"/>
      <c r="AG833" s="65"/>
      <c r="AH833" s="65"/>
      <c r="AI833" s="65"/>
    </row>
    <row r="834" spans="1:35" x14ac:dyDescent="0.2">
      <c r="A834" s="74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9"/>
      <c r="N834" s="69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  <c r="AE834" s="65"/>
      <c r="AF834" s="65"/>
      <c r="AG834" s="65"/>
      <c r="AH834" s="65"/>
      <c r="AI834" s="65"/>
    </row>
    <row r="835" spans="1:35" x14ac:dyDescent="0.2">
      <c r="A835" s="74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9"/>
      <c r="N835" s="69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  <c r="AE835" s="65"/>
      <c r="AF835" s="65"/>
      <c r="AG835" s="65"/>
      <c r="AH835" s="65"/>
      <c r="AI835" s="65"/>
    </row>
    <row r="836" spans="1:35" x14ac:dyDescent="0.2">
      <c r="A836" s="74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9"/>
      <c r="N836" s="69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  <c r="AE836" s="65"/>
      <c r="AF836" s="65"/>
      <c r="AG836" s="65"/>
      <c r="AH836" s="65"/>
      <c r="AI836" s="65"/>
    </row>
    <row r="837" spans="1:35" x14ac:dyDescent="0.2">
      <c r="A837" s="74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9"/>
      <c r="N837" s="69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  <c r="AE837" s="65"/>
      <c r="AF837" s="65"/>
      <c r="AG837" s="65"/>
      <c r="AH837" s="65"/>
      <c r="AI837" s="65"/>
    </row>
    <row r="838" spans="1:35" x14ac:dyDescent="0.2">
      <c r="A838" s="74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9"/>
      <c r="N838" s="69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  <c r="AE838" s="65"/>
      <c r="AF838" s="65"/>
      <c r="AG838" s="65"/>
      <c r="AH838" s="65"/>
      <c r="AI838" s="65"/>
    </row>
    <row r="839" spans="1:35" x14ac:dyDescent="0.2">
      <c r="A839" s="74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9"/>
      <c r="N839" s="69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  <c r="AE839" s="65"/>
      <c r="AF839" s="65"/>
      <c r="AG839" s="65"/>
      <c r="AH839" s="65"/>
      <c r="AI839" s="65"/>
    </row>
    <row r="840" spans="1:35" x14ac:dyDescent="0.2">
      <c r="A840" s="74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9"/>
      <c r="N840" s="69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  <c r="AE840" s="65"/>
      <c r="AF840" s="65"/>
      <c r="AG840" s="65"/>
      <c r="AH840" s="65"/>
      <c r="AI840" s="65"/>
    </row>
    <row r="841" spans="1:35" x14ac:dyDescent="0.2">
      <c r="A841" s="74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9"/>
      <c r="N841" s="69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  <c r="AE841" s="65"/>
      <c r="AF841" s="65"/>
      <c r="AG841" s="65"/>
      <c r="AH841" s="65"/>
      <c r="AI841" s="65"/>
    </row>
    <row r="842" spans="1:35" x14ac:dyDescent="0.2">
      <c r="A842" s="74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9"/>
      <c r="N842" s="69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  <c r="AE842" s="65"/>
      <c r="AF842" s="65"/>
      <c r="AG842" s="65"/>
      <c r="AH842" s="65"/>
      <c r="AI842" s="65"/>
    </row>
    <row r="843" spans="1:35" x14ac:dyDescent="0.2">
      <c r="A843" s="74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9"/>
      <c r="N843" s="69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  <c r="AE843" s="65"/>
      <c r="AF843" s="65"/>
      <c r="AG843" s="65"/>
      <c r="AH843" s="65"/>
      <c r="AI843" s="65"/>
    </row>
    <row r="844" spans="1:35" x14ac:dyDescent="0.2">
      <c r="A844" s="74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9"/>
      <c r="N844" s="69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  <c r="AE844" s="65"/>
      <c r="AF844" s="65"/>
      <c r="AG844" s="65"/>
      <c r="AH844" s="65"/>
      <c r="AI844" s="65"/>
    </row>
    <row r="845" spans="1:35" x14ac:dyDescent="0.2">
      <c r="A845" s="74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9"/>
      <c r="N845" s="69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  <c r="AE845" s="65"/>
      <c r="AF845" s="65"/>
      <c r="AG845" s="65"/>
      <c r="AH845" s="65"/>
      <c r="AI845" s="65"/>
    </row>
    <row r="846" spans="1:35" x14ac:dyDescent="0.2">
      <c r="A846" s="74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9"/>
      <c r="N846" s="69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  <c r="AE846" s="65"/>
      <c r="AF846" s="65"/>
      <c r="AG846" s="65"/>
      <c r="AH846" s="65"/>
      <c r="AI846" s="65"/>
    </row>
    <row r="847" spans="1:35" x14ac:dyDescent="0.2">
      <c r="A847" s="74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9"/>
      <c r="N847" s="69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  <c r="AE847" s="65"/>
      <c r="AF847" s="65"/>
      <c r="AG847" s="65"/>
      <c r="AH847" s="65"/>
      <c r="AI847" s="65"/>
    </row>
    <row r="848" spans="1:35" x14ac:dyDescent="0.2">
      <c r="A848" s="74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9"/>
      <c r="N848" s="69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  <c r="AE848" s="65"/>
      <c r="AF848" s="65"/>
      <c r="AG848" s="65"/>
      <c r="AH848" s="65"/>
      <c r="AI848" s="65"/>
    </row>
    <row r="849" spans="1:35" x14ac:dyDescent="0.2">
      <c r="A849" s="74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9"/>
      <c r="N849" s="69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  <c r="AE849" s="65"/>
      <c r="AF849" s="65"/>
      <c r="AG849" s="65"/>
      <c r="AH849" s="65"/>
      <c r="AI849" s="65"/>
    </row>
    <row r="850" spans="1:35" x14ac:dyDescent="0.2">
      <c r="A850" s="74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9"/>
      <c r="N850" s="69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  <c r="AE850" s="65"/>
      <c r="AF850" s="65"/>
      <c r="AG850" s="65"/>
      <c r="AH850" s="65"/>
      <c r="AI850" s="65"/>
    </row>
    <row r="851" spans="1:35" x14ac:dyDescent="0.2">
      <c r="A851" s="74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9"/>
      <c r="N851" s="69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  <c r="AE851" s="65"/>
      <c r="AF851" s="65"/>
      <c r="AG851" s="65"/>
      <c r="AH851" s="65"/>
      <c r="AI851" s="65"/>
    </row>
    <row r="852" spans="1:35" x14ac:dyDescent="0.2">
      <c r="A852" s="74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9"/>
      <c r="N852" s="69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  <c r="AE852" s="65"/>
      <c r="AF852" s="65"/>
      <c r="AG852" s="65"/>
      <c r="AH852" s="65"/>
      <c r="AI852" s="65"/>
    </row>
    <row r="853" spans="1:35" x14ac:dyDescent="0.2">
      <c r="A853" s="74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9"/>
      <c r="N853" s="69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  <c r="AE853" s="65"/>
      <c r="AF853" s="65"/>
      <c r="AG853" s="65"/>
      <c r="AH853" s="65"/>
      <c r="AI853" s="65"/>
    </row>
    <row r="854" spans="1:35" x14ac:dyDescent="0.2">
      <c r="A854" s="74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9"/>
      <c r="N854" s="69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  <c r="AE854" s="65"/>
      <c r="AF854" s="65"/>
      <c r="AG854" s="65"/>
      <c r="AH854" s="65"/>
      <c r="AI854" s="65"/>
    </row>
    <row r="855" spans="1:35" x14ac:dyDescent="0.2">
      <c r="A855" s="74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9"/>
      <c r="N855" s="69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  <c r="AE855" s="65"/>
      <c r="AF855" s="65"/>
      <c r="AG855" s="65"/>
      <c r="AH855" s="65"/>
      <c r="AI855" s="65"/>
    </row>
    <row r="856" spans="1:35" x14ac:dyDescent="0.2">
      <c r="A856" s="74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9"/>
      <c r="N856" s="69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  <c r="AE856" s="65"/>
      <c r="AF856" s="65"/>
      <c r="AG856" s="65"/>
      <c r="AH856" s="65"/>
      <c r="AI856" s="65"/>
    </row>
    <row r="857" spans="1:35" x14ac:dyDescent="0.2">
      <c r="A857" s="74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9"/>
      <c r="N857" s="69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  <c r="AE857" s="65"/>
      <c r="AF857" s="65"/>
      <c r="AG857" s="65"/>
      <c r="AH857" s="65"/>
      <c r="AI857" s="65"/>
    </row>
    <row r="858" spans="1:35" x14ac:dyDescent="0.2">
      <c r="A858" s="74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9"/>
      <c r="N858" s="69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  <c r="AE858" s="65"/>
      <c r="AF858" s="65"/>
      <c r="AG858" s="65"/>
      <c r="AH858" s="65"/>
      <c r="AI858" s="65"/>
    </row>
    <row r="859" spans="1:35" x14ac:dyDescent="0.2">
      <c r="A859" s="74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9"/>
      <c r="N859" s="69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  <c r="AE859" s="65"/>
      <c r="AF859" s="65"/>
      <c r="AG859" s="65"/>
      <c r="AH859" s="65"/>
      <c r="AI859" s="65"/>
    </row>
    <row r="860" spans="1:35" x14ac:dyDescent="0.2">
      <c r="A860" s="74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9"/>
      <c r="N860" s="69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  <c r="AE860" s="65"/>
      <c r="AF860" s="65"/>
      <c r="AG860" s="65"/>
      <c r="AH860" s="65"/>
      <c r="AI860" s="65"/>
    </row>
    <row r="861" spans="1:35" x14ac:dyDescent="0.2">
      <c r="A861" s="74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9"/>
      <c r="N861" s="69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  <c r="AE861" s="65"/>
      <c r="AF861" s="65"/>
      <c r="AG861" s="65"/>
      <c r="AH861" s="65"/>
      <c r="AI861" s="65"/>
    </row>
    <row r="862" spans="1:35" x14ac:dyDescent="0.2">
      <c r="A862" s="74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9"/>
      <c r="N862" s="69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</row>
    <row r="863" spans="1:35" x14ac:dyDescent="0.2">
      <c r="A863" s="74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9"/>
      <c r="N863" s="69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  <c r="AE863" s="65"/>
      <c r="AF863" s="65"/>
      <c r="AG863" s="65"/>
      <c r="AH863" s="65"/>
      <c r="AI863" s="65"/>
    </row>
    <row r="864" spans="1:35" x14ac:dyDescent="0.2">
      <c r="A864" s="74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9"/>
      <c r="N864" s="69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  <c r="AE864" s="65"/>
      <c r="AF864" s="65"/>
      <c r="AG864" s="65"/>
      <c r="AH864" s="65"/>
      <c r="AI864" s="65"/>
    </row>
    <row r="865" spans="1:35" x14ac:dyDescent="0.2">
      <c r="A865" s="74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9"/>
      <c r="N865" s="69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  <c r="AE865" s="65"/>
      <c r="AF865" s="65"/>
      <c r="AG865" s="65"/>
      <c r="AH865" s="65"/>
      <c r="AI865" s="65"/>
    </row>
    <row r="866" spans="1:35" x14ac:dyDescent="0.2">
      <c r="A866" s="74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9"/>
      <c r="N866" s="69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  <c r="AE866" s="65"/>
      <c r="AF866" s="65"/>
      <c r="AG866" s="65"/>
      <c r="AH866" s="65"/>
      <c r="AI866" s="65"/>
    </row>
    <row r="867" spans="1:35" x14ac:dyDescent="0.2">
      <c r="A867" s="74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9"/>
      <c r="N867" s="69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  <c r="AE867" s="65"/>
      <c r="AF867" s="65"/>
      <c r="AG867" s="65"/>
      <c r="AH867" s="65"/>
      <c r="AI867" s="65"/>
    </row>
    <row r="868" spans="1:35" x14ac:dyDescent="0.2">
      <c r="A868" s="74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9"/>
      <c r="N868" s="69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  <c r="AE868" s="65"/>
      <c r="AF868" s="65"/>
      <c r="AG868" s="65"/>
      <c r="AH868" s="65"/>
      <c r="AI868" s="65"/>
    </row>
    <row r="869" spans="1:35" x14ac:dyDescent="0.2">
      <c r="A869" s="74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9"/>
      <c r="N869" s="69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  <c r="AE869" s="65"/>
      <c r="AF869" s="65"/>
      <c r="AG869" s="65"/>
      <c r="AH869" s="65"/>
      <c r="AI869" s="65"/>
    </row>
    <row r="870" spans="1:35" x14ac:dyDescent="0.2">
      <c r="A870" s="74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9"/>
      <c r="N870" s="69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  <c r="AE870" s="65"/>
      <c r="AF870" s="65"/>
      <c r="AG870" s="65"/>
      <c r="AH870" s="65"/>
      <c r="AI870" s="65"/>
    </row>
    <row r="871" spans="1:35" x14ac:dyDescent="0.2">
      <c r="A871" s="74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9"/>
      <c r="N871" s="69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  <c r="AE871" s="65"/>
      <c r="AF871" s="65"/>
      <c r="AG871" s="65"/>
      <c r="AH871" s="65"/>
      <c r="AI871" s="65"/>
    </row>
    <row r="872" spans="1:35" x14ac:dyDescent="0.2">
      <c r="A872" s="74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9"/>
      <c r="N872" s="69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  <c r="AE872" s="65"/>
      <c r="AF872" s="65"/>
      <c r="AG872" s="65"/>
      <c r="AH872" s="65"/>
      <c r="AI872" s="65"/>
    </row>
    <row r="873" spans="1:35" x14ac:dyDescent="0.2">
      <c r="A873" s="74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9"/>
      <c r="N873" s="69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  <c r="AE873" s="65"/>
      <c r="AF873" s="65"/>
      <c r="AG873" s="65"/>
      <c r="AH873" s="65"/>
      <c r="AI873" s="65"/>
    </row>
    <row r="874" spans="1:35" x14ac:dyDescent="0.2">
      <c r="A874" s="74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9"/>
      <c r="N874" s="69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  <c r="AE874" s="65"/>
      <c r="AF874" s="65"/>
      <c r="AG874" s="65"/>
      <c r="AH874" s="65"/>
      <c r="AI874" s="65"/>
    </row>
    <row r="875" spans="1:35" x14ac:dyDescent="0.2">
      <c r="A875" s="74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9"/>
      <c r="N875" s="69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65"/>
      <c r="AG875" s="65"/>
      <c r="AH875" s="65"/>
      <c r="AI875" s="65"/>
    </row>
    <row r="876" spans="1:35" x14ac:dyDescent="0.2">
      <c r="A876" s="74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9"/>
      <c r="N876" s="69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  <c r="AE876" s="65"/>
      <c r="AF876" s="65"/>
      <c r="AG876" s="65"/>
      <c r="AH876" s="65"/>
      <c r="AI876" s="65"/>
    </row>
    <row r="877" spans="1:35" x14ac:dyDescent="0.2">
      <c r="A877" s="74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9"/>
      <c r="N877" s="69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  <c r="AE877" s="65"/>
      <c r="AF877" s="65"/>
      <c r="AG877" s="65"/>
      <c r="AH877" s="65"/>
      <c r="AI877" s="65"/>
    </row>
    <row r="878" spans="1:35" x14ac:dyDescent="0.2">
      <c r="A878" s="74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9"/>
      <c r="N878" s="69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  <c r="AE878" s="65"/>
      <c r="AF878" s="65"/>
      <c r="AG878" s="65"/>
      <c r="AH878" s="65"/>
      <c r="AI878" s="65"/>
    </row>
    <row r="879" spans="1:35" x14ac:dyDescent="0.2">
      <c r="A879" s="74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9"/>
      <c r="N879" s="69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  <c r="AE879" s="65"/>
      <c r="AF879" s="65"/>
      <c r="AG879" s="65"/>
      <c r="AH879" s="65"/>
      <c r="AI879" s="65"/>
    </row>
    <row r="880" spans="1:35" x14ac:dyDescent="0.2">
      <c r="A880" s="74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9"/>
      <c r="N880" s="69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  <c r="AE880" s="65"/>
      <c r="AF880" s="65"/>
      <c r="AG880" s="65"/>
      <c r="AH880" s="65"/>
      <c r="AI880" s="65"/>
    </row>
    <row r="881" spans="1:35" x14ac:dyDescent="0.2">
      <c r="A881" s="74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9"/>
      <c r="N881" s="69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  <c r="AD881" s="65"/>
      <c r="AE881" s="65"/>
      <c r="AF881" s="65"/>
      <c r="AG881" s="65"/>
      <c r="AH881" s="65"/>
      <c r="AI881" s="65"/>
    </row>
    <row r="882" spans="1:35" x14ac:dyDescent="0.2">
      <c r="A882" s="74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9"/>
      <c r="N882" s="69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  <c r="AD882" s="65"/>
      <c r="AE882" s="65"/>
      <c r="AF882" s="65"/>
      <c r="AG882" s="65"/>
      <c r="AH882" s="65"/>
      <c r="AI882" s="65"/>
    </row>
    <row r="883" spans="1:35" x14ac:dyDescent="0.2">
      <c r="A883" s="74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9"/>
      <c r="N883" s="69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  <c r="AD883" s="65"/>
      <c r="AE883" s="65"/>
      <c r="AF883" s="65"/>
      <c r="AG883" s="65"/>
      <c r="AH883" s="65"/>
      <c r="AI883" s="65"/>
    </row>
    <row r="884" spans="1:35" x14ac:dyDescent="0.2">
      <c r="A884" s="74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9"/>
      <c r="N884" s="69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  <c r="AD884" s="65"/>
      <c r="AE884" s="65"/>
      <c r="AF884" s="65"/>
      <c r="AG884" s="65"/>
      <c r="AH884" s="65"/>
      <c r="AI884" s="65"/>
    </row>
    <row r="885" spans="1:35" x14ac:dyDescent="0.2">
      <c r="A885" s="74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9"/>
      <c r="N885" s="69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  <c r="AD885" s="65"/>
      <c r="AE885" s="65"/>
      <c r="AF885" s="65"/>
      <c r="AG885" s="65"/>
      <c r="AH885" s="65"/>
      <c r="AI885" s="65"/>
    </row>
    <row r="886" spans="1:35" x14ac:dyDescent="0.2">
      <c r="A886" s="74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9"/>
      <c r="N886" s="69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  <c r="AD886" s="65"/>
      <c r="AE886" s="65"/>
      <c r="AF886" s="65"/>
      <c r="AG886" s="65"/>
      <c r="AH886" s="65"/>
      <c r="AI886" s="65"/>
    </row>
    <row r="887" spans="1:35" x14ac:dyDescent="0.2">
      <c r="A887" s="74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9"/>
      <c r="N887" s="69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  <c r="AD887" s="65"/>
      <c r="AE887" s="65"/>
      <c r="AF887" s="65"/>
      <c r="AG887" s="65"/>
      <c r="AH887" s="65"/>
      <c r="AI887" s="65"/>
    </row>
    <row r="888" spans="1:35" x14ac:dyDescent="0.2">
      <c r="A888" s="74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9"/>
      <c r="N888" s="69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  <c r="AD888" s="65"/>
      <c r="AE888" s="65"/>
      <c r="AF888" s="65"/>
      <c r="AG888" s="65"/>
      <c r="AH888" s="65"/>
      <c r="AI888" s="65"/>
    </row>
    <row r="889" spans="1:35" x14ac:dyDescent="0.2">
      <c r="A889" s="74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9"/>
      <c r="N889" s="69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  <c r="AD889" s="65"/>
      <c r="AE889" s="65"/>
      <c r="AF889" s="65"/>
      <c r="AG889" s="65"/>
      <c r="AH889" s="65"/>
      <c r="AI889" s="65"/>
    </row>
    <row r="890" spans="1:35" x14ac:dyDescent="0.2">
      <c r="A890" s="74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9"/>
      <c r="N890" s="69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  <c r="AD890" s="65"/>
      <c r="AE890" s="65"/>
      <c r="AF890" s="65"/>
      <c r="AG890" s="65"/>
      <c r="AH890" s="65"/>
      <c r="AI890" s="65"/>
    </row>
    <row r="891" spans="1:35" x14ac:dyDescent="0.2">
      <c r="A891" s="74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9"/>
      <c r="N891" s="69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  <c r="AD891" s="65"/>
      <c r="AE891" s="65"/>
      <c r="AF891" s="65"/>
      <c r="AG891" s="65"/>
      <c r="AH891" s="65"/>
      <c r="AI891" s="65"/>
    </row>
    <row r="892" spans="1:35" x14ac:dyDescent="0.2">
      <c r="A892" s="74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9"/>
      <c r="N892" s="69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  <c r="AD892" s="65"/>
      <c r="AE892" s="65"/>
      <c r="AF892" s="65"/>
      <c r="AG892" s="65"/>
      <c r="AH892" s="65"/>
      <c r="AI892" s="65"/>
    </row>
    <row r="893" spans="1:35" x14ac:dyDescent="0.2">
      <c r="A893" s="74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9"/>
      <c r="N893" s="69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  <c r="AD893" s="65"/>
      <c r="AE893" s="65"/>
      <c r="AF893" s="65"/>
      <c r="AG893" s="65"/>
      <c r="AH893" s="65"/>
      <c r="AI893" s="65"/>
    </row>
    <row r="894" spans="1:35" x14ac:dyDescent="0.2">
      <c r="A894" s="74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9"/>
      <c r="N894" s="69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  <c r="AD894" s="65"/>
      <c r="AE894" s="65"/>
      <c r="AF894" s="65"/>
      <c r="AG894" s="65"/>
      <c r="AH894" s="65"/>
      <c r="AI894" s="65"/>
    </row>
    <row r="895" spans="1:35" x14ac:dyDescent="0.2">
      <c r="A895" s="74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9"/>
      <c r="N895" s="69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  <c r="AD895" s="65"/>
      <c r="AE895" s="65"/>
      <c r="AF895" s="65"/>
      <c r="AG895" s="65"/>
      <c r="AH895" s="65"/>
      <c r="AI895" s="65"/>
    </row>
    <row r="896" spans="1:35" x14ac:dyDescent="0.2">
      <c r="A896" s="74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9"/>
      <c r="N896" s="69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  <c r="AD896" s="65"/>
      <c r="AE896" s="65"/>
      <c r="AF896" s="65"/>
      <c r="AG896" s="65"/>
      <c r="AH896" s="65"/>
      <c r="AI896" s="65"/>
    </row>
    <row r="897" spans="1:35" x14ac:dyDescent="0.2">
      <c r="A897" s="74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9"/>
      <c r="N897" s="69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  <c r="AD897" s="65"/>
      <c r="AE897" s="65"/>
      <c r="AF897" s="65"/>
      <c r="AG897" s="65"/>
      <c r="AH897" s="65"/>
      <c r="AI897" s="65"/>
    </row>
    <row r="898" spans="1:35" x14ac:dyDescent="0.2">
      <c r="A898" s="74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9"/>
      <c r="N898" s="69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  <c r="AD898" s="65"/>
      <c r="AE898" s="65"/>
      <c r="AF898" s="65"/>
      <c r="AG898" s="65"/>
      <c r="AH898" s="65"/>
      <c r="AI898" s="65"/>
    </row>
    <row r="899" spans="1:35" x14ac:dyDescent="0.2">
      <c r="A899" s="74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9"/>
      <c r="N899" s="69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  <c r="AD899" s="65"/>
      <c r="AE899" s="65"/>
      <c r="AF899" s="65"/>
      <c r="AG899" s="65"/>
      <c r="AH899" s="65"/>
      <c r="AI899" s="65"/>
    </row>
    <row r="900" spans="1:35" x14ac:dyDescent="0.2">
      <c r="A900" s="74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9"/>
      <c r="N900" s="69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  <c r="AD900" s="65"/>
      <c r="AE900" s="65"/>
      <c r="AF900" s="65"/>
      <c r="AG900" s="65"/>
      <c r="AH900" s="65"/>
      <c r="AI900" s="65"/>
    </row>
    <row r="901" spans="1:35" x14ac:dyDescent="0.2">
      <c r="A901" s="74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9"/>
      <c r="N901" s="69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  <c r="AD901" s="65"/>
      <c r="AE901" s="65"/>
      <c r="AF901" s="65"/>
      <c r="AG901" s="65"/>
      <c r="AH901" s="65"/>
      <c r="AI901" s="65"/>
    </row>
    <row r="902" spans="1:35" x14ac:dyDescent="0.2">
      <c r="A902" s="74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9"/>
      <c r="N902" s="69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  <c r="AD902" s="65"/>
      <c r="AE902" s="65"/>
      <c r="AF902" s="65"/>
      <c r="AG902" s="65"/>
      <c r="AH902" s="65"/>
      <c r="AI902" s="65"/>
    </row>
    <row r="903" spans="1:35" x14ac:dyDescent="0.2">
      <c r="A903" s="74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9"/>
      <c r="N903" s="69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  <c r="AD903" s="65"/>
      <c r="AE903" s="65"/>
      <c r="AF903" s="65"/>
      <c r="AG903" s="65"/>
      <c r="AH903" s="65"/>
      <c r="AI903" s="65"/>
    </row>
    <row r="904" spans="1:35" x14ac:dyDescent="0.2">
      <c r="A904" s="74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9"/>
      <c r="N904" s="69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  <c r="AD904" s="65"/>
      <c r="AE904" s="65"/>
      <c r="AF904" s="65"/>
      <c r="AG904" s="65"/>
      <c r="AH904" s="65"/>
      <c r="AI904" s="65"/>
    </row>
    <row r="905" spans="1:35" x14ac:dyDescent="0.2">
      <c r="A905" s="74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9"/>
      <c r="N905" s="69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  <c r="AD905" s="65"/>
      <c r="AE905" s="65"/>
      <c r="AF905" s="65"/>
      <c r="AG905" s="65"/>
      <c r="AH905" s="65"/>
      <c r="AI905" s="65"/>
    </row>
    <row r="906" spans="1:35" x14ac:dyDescent="0.2">
      <c r="A906" s="74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9"/>
      <c r="N906" s="69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  <c r="AD906" s="65"/>
      <c r="AE906" s="65"/>
      <c r="AF906" s="65"/>
      <c r="AG906" s="65"/>
      <c r="AH906" s="65"/>
      <c r="AI906" s="65"/>
    </row>
    <row r="907" spans="1:35" x14ac:dyDescent="0.2">
      <c r="A907" s="74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9"/>
      <c r="N907" s="69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  <c r="AD907" s="65"/>
      <c r="AE907" s="65"/>
      <c r="AF907" s="65"/>
      <c r="AG907" s="65"/>
      <c r="AH907" s="65"/>
      <c r="AI907" s="65"/>
    </row>
    <row r="908" spans="1:35" x14ac:dyDescent="0.2">
      <c r="A908" s="74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9"/>
      <c r="N908" s="69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  <c r="AD908" s="65"/>
      <c r="AE908" s="65"/>
      <c r="AF908" s="65"/>
      <c r="AG908" s="65"/>
      <c r="AH908" s="65"/>
      <c r="AI908" s="65"/>
    </row>
    <row r="909" spans="1:35" x14ac:dyDescent="0.2">
      <c r="A909" s="74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9"/>
      <c r="N909" s="69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  <c r="AD909" s="65"/>
      <c r="AE909" s="65"/>
      <c r="AF909" s="65"/>
      <c r="AG909" s="65"/>
      <c r="AH909" s="65"/>
      <c r="AI909" s="65"/>
    </row>
    <row r="910" spans="1:35" x14ac:dyDescent="0.2">
      <c r="A910" s="74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9"/>
      <c r="N910" s="69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  <c r="AD910" s="65"/>
      <c r="AE910" s="65"/>
      <c r="AF910" s="65"/>
      <c r="AG910" s="65"/>
      <c r="AH910" s="65"/>
      <c r="AI910" s="65"/>
    </row>
    <row r="911" spans="1:35" x14ac:dyDescent="0.2">
      <c r="A911" s="74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9"/>
      <c r="N911" s="69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  <c r="AD911" s="65"/>
      <c r="AE911" s="65"/>
      <c r="AF911" s="65"/>
      <c r="AG911" s="65"/>
      <c r="AH911" s="65"/>
      <c r="AI911" s="65"/>
    </row>
    <row r="912" spans="1:35" x14ac:dyDescent="0.2">
      <c r="A912" s="74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9"/>
      <c r="N912" s="69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  <c r="AD912" s="65"/>
      <c r="AE912" s="65"/>
      <c r="AF912" s="65"/>
      <c r="AG912" s="65"/>
      <c r="AH912" s="65"/>
      <c r="AI912" s="65"/>
    </row>
    <row r="913" spans="1:35" x14ac:dyDescent="0.2">
      <c r="A913" s="74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9"/>
      <c r="N913" s="69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  <c r="AD913" s="65"/>
      <c r="AE913" s="65"/>
      <c r="AF913" s="65"/>
      <c r="AG913" s="65"/>
      <c r="AH913" s="65"/>
      <c r="AI913" s="65"/>
    </row>
    <row r="914" spans="1:35" x14ac:dyDescent="0.2">
      <c r="A914" s="74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9"/>
      <c r="N914" s="69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  <c r="AD914" s="65"/>
      <c r="AE914" s="65"/>
      <c r="AF914" s="65"/>
      <c r="AG914" s="65"/>
      <c r="AH914" s="65"/>
      <c r="AI914" s="65"/>
    </row>
    <row r="915" spans="1:35" x14ac:dyDescent="0.2">
      <c r="A915" s="74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9"/>
      <c r="N915" s="69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  <c r="AD915" s="65"/>
      <c r="AE915" s="65"/>
      <c r="AF915" s="65"/>
      <c r="AG915" s="65"/>
      <c r="AH915" s="65"/>
      <c r="AI915" s="65"/>
    </row>
    <row r="916" spans="1:35" x14ac:dyDescent="0.2">
      <c r="A916" s="74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9"/>
      <c r="N916" s="69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  <c r="AD916" s="65"/>
      <c r="AE916" s="65"/>
      <c r="AF916" s="65"/>
      <c r="AG916" s="65"/>
      <c r="AH916" s="65"/>
      <c r="AI916" s="65"/>
    </row>
    <row r="917" spans="1:35" x14ac:dyDescent="0.2">
      <c r="A917" s="74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9"/>
      <c r="N917" s="69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  <c r="AD917" s="65"/>
      <c r="AE917" s="65"/>
      <c r="AF917" s="65"/>
      <c r="AG917" s="65"/>
      <c r="AH917" s="65"/>
      <c r="AI917" s="65"/>
    </row>
    <row r="918" spans="1:35" x14ac:dyDescent="0.2">
      <c r="A918" s="74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9"/>
      <c r="N918" s="69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  <c r="AD918" s="65"/>
      <c r="AE918" s="65"/>
      <c r="AF918" s="65"/>
      <c r="AG918" s="65"/>
      <c r="AH918" s="65"/>
      <c r="AI918" s="65"/>
    </row>
    <row r="919" spans="1:35" x14ac:dyDescent="0.2">
      <c r="A919" s="74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9"/>
      <c r="N919" s="69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  <c r="AD919" s="65"/>
      <c r="AE919" s="65"/>
      <c r="AF919" s="65"/>
      <c r="AG919" s="65"/>
      <c r="AH919" s="65"/>
      <c r="AI919" s="65"/>
    </row>
    <row r="920" spans="1:35" x14ac:dyDescent="0.2">
      <c r="A920" s="74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9"/>
      <c r="N920" s="69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  <c r="AD920" s="65"/>
      <c r="AE920" s="65"/>
      <c r="AF920" s="65"/>
      <c r="AG920" s="65"/>
      <c r="AH920" s="65"/>
      <c r="AI920" s="65"/>
    </row>
    <row r="921" spans="1:35" x14ac:dyDescent="0.2">
      <c r="A921" s="74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9"/>
      <c r="N921" s="69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  <c r="AD921" s="65"/>
      <c r="AE921" s="65"/>
      <c r="AF921" s="65"/>
      <c r="AG921" s="65"/>
      <c r="AH921" s="65"/>
      <c r="AI921" s="65"/>
    </row>
    <row r="922" spans="1:35" x14ac:dyDescent="0.2">
      <c r="A922" s="74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9"/>
      <c r="N922" s="69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  <c r="AD922" s="65"/>
      <c r="AE922" s="65"/>
      <c r="AF922" s="65"/>
      <c r="AG922" s="65"/>
      <c r="AH922" s="65"/>
      <c r="AI922" s="65"/>
    </row>
    <row r="923" spans="1:35" x14ac:dyDescent="0.2">
      <c r="A923" s="74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9"/>
      <c r="N923" s="69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  <c r="AD923" s="65"/>
      <c r="AE923" s="65"/>
      <c r="AF923" s="65"/>
      <c r="AG923" s="65"/>
      <c r="AH923" s="65"/>
      <c r="AI923" s="65"/>
    </row>
    <row r="924" spans="1:35" x14ac:dyDescent="0.2">
      <c r="A924" s="74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9"/>
      <c r="N924" s="69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  <c r="AD924" s="65"/>
      <c r="AE924" s="65"/>
      <c r="AF924" s="65"/>
      <c r="AG924" s="65"/>
      <c r="AH924" s="65"/>
      <c r="AI924" s="65"/>
    </row>
    <row r="925" spans="1:35" x14ac:dyDescent="0.2">
      <c r="A925" s="74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9"/>
      <c r="N925" s="69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  <c r="AD925" s="65"/>
      <c r="AE925" s="65"/>
      <c r="AF925" s="65"/>
      <c r="AG925" s="65"/>
      <c r="AH925" s="65"/>
      <c r="AI925" s="65"/>
    </row>
    <row r="926" spans="1:35" x14ac:dyDescent="0.2">
      <c r="A926" s="74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9"/>
      <c r="N926" s="69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  <c r="AB926" s="65"/>
      <c r="AC926" s="65"/>
      <c r="AD926" s="65"/>
      <c r="AE926" s="65"/>
      <c r="AF926" s="65"/>
      <c r="AG926" s="65"/>
      <c r="AH926" s="65"/>
      <c r="AI926" s="65"/>
    </row>
    <row r="927" spans="1:35" x14ac:dyDescent="0.2">
      <c r="A927" s="74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9"/>
      <c r="N927" s="69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  <c r="AD927" s="65"/>
      <c r="AE927" s="65"/>
      <c r="AF927" s="65"/>
      <c r="AG927" s="65"/>
      <c r="AH927" s="65"/>
      <c r="AI927" s="65"/>
    </row>
    <row r="928" spans="1:35" x14ac:dyDescent="0.2">
      <c r="A928" s="74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9"/>
      <c r="N928" s="69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65"/>
      <c r="AG928" s="65"/>
      <c r="AH928" s="65"/>
      <c r="AI928" s="65"/>
    </row>
    <row r="929" spans="1:35" x14ac:dyDescent="0.2">
      <c r="A929" s="74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9"/>
      <c r="N929" s="69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  <c r="AD929" s="65"/>
      <c r="AE929" s="65"/>
      <c r="AF929" s="65"/>
      <c r="AG929" s="65"/>
      <c r="AH929" s="65"/>
      <c r="AI929" s="65"/>
    </row>
    <row r="930" spans="1:35" x14ac:dyDescent="0.2">
      <c r="A930" s="74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9"/>
      <c r="N930" s="69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  <c r="AD930" s="65"/>
      <c r="AE930" s="65"/>
      <c r="AF930" s="65"/>
      <c r="AG930" s="65"/>
      <c r="AH930" s="65"/>
      <c r="AI930" s="65"/>
    </row>
    <row r="931" spans="1:35" x14ac:dyDescent="0.2">
      <c r="A931" s="74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9"/>
      <c r="N931" s="69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  <c r="AD931" s="65"/>
      <c r="AE931" s="65"/>
      <c r="AF931" s="65"/>
      <c r="AG931" s="65"/>
      <c r="AH931" s="65"/>
      <c r="AI931" s="65"/>
    </row>
    <row r="932" spans="1:35" x14ac:dyDescent="0.2">
      <c r="A932" s="74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9"/>
      <c r="N932" s="69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  <c r="AD932" s="65"/>
      <c r="AE932" s="65"/>
      <c r="AF932" s="65"/>
      <c r="AG932" s="65"/>
      <c r="AH932" s="65"/>
      <c r="AI932" s="65"/>
    </row>
    <row r="933" spans="1:35" x14ac:dyDescent="0.2">
      <c r="A933" s="74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9"/>
      <c r="N933" s="69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  <c r="AB933" s="65"/>
      <c r="AC933" s="65"/>
      <c r="AD933" s="65"/>
      <c r="AE933" s="65"/>
      <c r="AF933" s="65"/>
      <c r="AG933" s="65"/>
      <c r="AH933" s="65"/>
      <c r="AI933" s="65"/>
    </row>
    <row r="934" spans="1:35" x14ac:dyDescent="0.2">
      <c r="A934" s="74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9"/>
      <c r="N934" s="69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  <c r="AB934" s="65"/>
      <c r="AC934" s="65"/>
      <c r="AD934" s="65"/>
      <c r="AE934" s="65"/>
      <c r="AF934" s="65"/>
      <c r="AG934" s="65"/>
      <c r="AH934" s="65"/>
      <c r="AI934" s="65"/>
    </row>
    <row r="935" spans="1:35" x14ac:dyDescent="0.2">
      <c r="A935" s="74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9"/>
      <c r="N935" s="69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  <c r="AB935" s="65"/>
      <c r="AC935" s="65"/>
      <c r="AD935" s="65"/>
      <c r="AE935" s="65"/>
      <c r="AF935" s="65"/>
      <c r="AG935" s="65"/>
      <c r="AH935" s="65"/>
      <c r="AI935" s="65"/>
    </row>
    <row r="936" spans="1:35" x14ac:dyDescent="0.2">
      <c r="A936" s="74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9"/>
      <c r="N936" s="69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  <c r="AB936" s="65"/>
      <c r="AC936" s="65"/>
      <c r="AD936" s="65"/>
      <c r="AE936" s="65"/>
      <c r="AF936" s="65"/>
      <c r="AG936" s="65"/>
      <c r="AH936" s="65"/>
      <c r="AI936" s="65"/>
    </row>
    <row r="937" spans="1:35" x14ac:dyDescent="0.2">
      <c r="A937" s="74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9"/>
      <c r="N937" s="69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  <c r="AB937" s="65"/>
      <c r="AC937" s="65"/>
      <c r="AD937" s="65"/>
      <c r="AE937" s="65"/>
      <c r="AF937" s="65"/>
      <c r="AG937" s="65"/>
      <c r="AH937" s="65"/>
      <c r="AI937" s="65"/>
    </row>
    <row r="938" spans="1:35" x14ac:dyDescent="0.2">
      <c r="A938" s="74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9"/>
      <c r="N938" s="69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  <c r="AB938" s="65"/>
      <c r="AC938" s="65"/>
      <c r="AD938" s="65"/>
      <c r="AE938" s="65"/>
      <c r="AF938" s="65"/>
      <c r="AG938" s="65"/>
      <c r="AH938" s="65"/>
      <c r="AI938" s="65"/>
    </row>
    <row r="939" spans="1:35" x14ac:dyDescent="0.2">
      <c r="A939" s="74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9"/>
      <c r="N939" s="69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  <c r="AB939" s="65"/>
      <c r="AC939" s="65"/>
      <c r="AD939" s="65"/>
      <c r="AE939" s="65"/>
      <c r="AF939" s="65"/>
      <c r="AG939" s="65"/>
      <c r="AH939" s="65"/>
      <c r="AI939" s="65"/>
    </row>
    <row r="940" spans="1:35" x14ac:dyDescent="0.2">
      <c r="A940" s="74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9"/>
      <c r="N940" s="69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  <c r="AB940" s="65"/>
      <c r="AC940" s="65"/>
      <c r="AD940" s="65"/>
      <c r="AE940" s="65"/>
      <c r="AF940" s="65"/>
      <c r="AG940" s="65"/>
      <c r="AH940" s="65"/>
      <c r="AI940" s="65"/>
    </row>
    <row r="941" spans="1:35" x14ac:dyDescent="0.2">
      <c r="A941" s="74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9"/>
      <c r="N941" s="69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  <c r="AB941" s="65"/>
      <c r="AC941" s="65"/>
      <c r="AD941" s="65"/>
      <c r="AE941" s="65"/>
      <c r="AF941" s="65"/>
      <c r="AG941" s="65"/>
      <c r="AH941" s="65"/>
      <c r="AI941" s="65"/>
    </row>
    <row r="942" spans="1:35" x14ac:dyDescent="0.2">
      <c r="A942" s="74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9"/>
      <c r="N942" s="69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  <c r="AB942" s="65"/>
      <c r="AC942" s="65"/>
      <c r="AD942" s="65"/>
      <c r="AE942" s="65"/>
      <c r="AF942" s="65"/>
      <c r="AG942" s="65"/>
      <c r="AH942" s="65"/>
      <c r="AI942" s="65"/>
    </row>
    <row r="943" spans="1:35" x14ac:dyDescent="0.2">
      <c r="A943" s="74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9"/>
      <c r="N943" s="69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  <c r="AB943" s="65"/>
      <c r="AC943" s="65"/>
      <c r="AD943" s="65"/>
      <c r="AE943" s="65"/>
      <c r="AF943" s="65"/>
      <c r="AG943" s="65"/>
      <c r="AH943" s="65"/>
      <c r="AI943" s="65"/>
    </row>
    <row r="944" spans="1:35" x14ac:dyDescent="0.2">
      <c r="A944" s="74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9"/>
      <c r="N944" s="69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  <c r="AB944" s="65"/>
      <c r="AC944" s="65"/>
      <c r="AD944" s="65"/>
      <c r="AE944" s="65"/>
      <c r="AF944" s="65"/>
      <c r="AG944" s="65"/>
      <c r="AH944" s="65"/>
      <c r="AI944" s="65"/>
    </row>
    <row r="945" spans="1:35" x14ac:dyDescent="0.2">
      <c r="A945" s="74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9"/>
      <c r="N945" s="69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  <c r="AB945" s="65"/>
      <c r="AC945" s="65"/>
      <c r="AD945" s="65"/>
      <c r="AE945" s="65"/>
      <c r="AF945" s="65"/>
      <c r="AG945" s="65"/>
      <c r="AH945" s="65"/>
      <c r="AI945" s="65"/>
    </row>
    <row r="946" spans="1:35" x14ac:dyDescent="0.2">
      <c r="A946" s="74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9"/>
      <c r="N946" s="69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  <c r="AB946" s="65"/>
      <c r="AC946" s="65"/>
      <c r="AD946" s="65"/>
      <c r="AE946" s="65"/>
      <c r="AF946" s="65"/>
      <c r="AG946" s="65"/>
      <c r="AH946" s="65"/>
      <c r="AI946" s="65"/>
    </row>
    <row r="947" spans="1:35" x14ac:dyDescent="0.2">
      <c r="A947" s="74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9"/>
      <c r="N947" s="69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  <c r="AB947" s="65"/>
      <c r="AC947" s="65"/>
      <c r="AD947" s="65"/>
      <c r="AE947" s="65"/>
      <c r="AF947" s="65"/>
      <c r="AG947" s="65"/>
      <c r="AH947" s="65"/>
      <c r="AI947" s="65"/>
    </row>
    <row r="948" spans="1:35" x14ac:dyDescent="0.2">
      <c r="A948" s="74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9"/>
      <c r="N948" s="69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  <c r="AB948" s="65"/>
      <c r="AC948" s="65"/>
      <c r="AD948" s="65"/>
      <c r="AE948" s="65"/>
      <c r="AF948" s="65"/>
      <c r="AG948" s="65"/>
      <c r="AH948" s="65"/>
      <c r="AI948" s="65"/>
    </row>
    <row r="949" spans="1:35" x14ac:dyDescent="0.2">
      <c r="A949" s="74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9"/>
      <c r="N949" s="69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  <c r="AB949" s="65"/>
      <c r="AC949" s="65"/>
      <c r="AD949" s="65"/>
      <c r="AE949" s="65"/>
      <c r="AF949" s="65"/>
      <c r="AG949" s="65"/>
      <c r="AH949" s="65"/>
      <c r="AI949" s="65"/>
    </row>
    <row r="950" spans="1:35" x14ac:dyDescent="0.2">
      <c r="A950" s="74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9"/>
      <c r="N950" s="69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  <c r="AB950" s="65"/>
      <c r="AC950" s="65"/>
      <c r="AD950" s="65"/>
      <c r="AE950" s="65"/>
      <c r="AF950" s="65"/>
      <c r="AG950" s="65"/>
      <c r="AH950" s="65"/>
      <c r="AI950" s="65"/>
    </row>
    <row r="951" spans="1:35" x14ac:dyDescent="0.2">
      <c r="A951" s="74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9"/>
      <c r="N951" s="69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  <c r="AB951" s="65"/>
      <c r="AC951" s="65"/>
      <c r="AD951" s="65"/>
      <c r="AE951" s="65"/>
      <c r="AF951" s="65"/>
      <c r="AG951" s="65"/>
      <c r="AH951" s="65"/>
      <c r="AI951" s="65"/>
    </row>
    <row r="952" spans="1:35" x14ac:dyDescent="0.2">
      <c r="A952" s="74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9"/>
      <c r="N952" s="69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  <c r="AB952" s="65"/>
      <c r="AC952" s="65"/>
      <c r="AD952" s="65"/>
      <c r="AE952" s="65"/>
      <c r="AF952" s="65"/>
      <c r="AG952" s="65"/>
      <c r="AH952" s="65"/>
      <c r="AI952" s="65"/>
    </row>
    <row r="953" spans="1:35" x14ac:dyDescent="0.2">
      <c r="A953" s="74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9"/>
      <c r="N953" s="69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  <c r="AB953" s="65"/>
      <c r="AC953" s="65"/>
      <c r="AD953" s="65"/>
      <c r="AE953" s="65"/>
      <c r="AF953" s="65"/>
      <c r="AG953" s="65"/>
      <c r="AH953" s="65"/>
      <c r="AI953" s="65"/>
    </row>
    <row r="954" spans="1:35" x14ac:dyDescent="0.2">
      <c r="A954" s="74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9"/>
      <c r="N954" s="69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  <c r="AB954" s="65"/>
      <c r="AC954" s="65"/>
      <c r="AD954" s="65"/>
      <c r="AE954" s="65"/>
      <c r="AF954" s="65"/>
      <c r="AG954" s="65"/>
      <c r="AH954" s="65"/>
      <c r="AI954" s="65"/>
    </row>
    <row r="955" spans="1:35" x14ac:dyDescent="0.2">
      <c r="A955" s="74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9"/>
      <c r="N955" s="69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  <c r="AB955" s="65"/>
      <c r="AC955" s="65"/>
      <c r="AD955" s="65"/>
      <c r="AE955" s="65"/>
      <c r="AF955" s="65"/>
      <c r="AG955" s="65"/>
      <c r="AH955" s="65"/>
      <c r="AI955" s="65"/>
    </row>
    <row r="956" spans="1:35" x14ac:dyDescent="0.2">
      <c r="A956" s="74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9"/>
      <c r="N956" s="69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  <c r="AB956" s="65"/>
      <c r="AC956" s="65"/>
      <c r="AD956" s="65"/>
      <c r="AE956" s="65"/>
      <c r="AF956" s="65"/>
      <c r="AG956" s="65"/>
      <c r="AH956" s="65"/>
      <c r="AI956" s="65"/>
    </row>
    <row r="957" spans="1:35" x14ac:dyDescent="0.2">
      <c r="A957" s="74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9"/>
      <c r="N957" s="69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  <c r="AB957" s="65"/>
      <c r="AC957" s="65"/>
      <c r="AD957" s="65"/>
      <c r="AE957" s="65"/>
      <c r="AF957" s="65"/>
      <c r="AG957" s="65"/>
      <c r="AH957" s="65"/>
      <c r="AI957" s="65"/>
    </row>
    <row r="958" spans="1:35" x14ac:dyDescent="0.2">
      <c r="A958" s="74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9"/>
      <c r="N958" s="69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  <c r="AB958" s="65"/>
      <c r="AC958" s="65"/>
      <c r="AD958" s="65"/>
      <c r="AE958" s="65"/>
      <c r="AF958" s="65"/>
      <c r="AG958" s="65"/>
      <c r="AH958" s="65"/>
      <c r="AI958" s="65"/>
    </row>
    <row r="959" spans="1:35" x14ac:dyDescent="0.2">
      <c r="A959" s="74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9"/>
      <c r="N959" s="69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  <c r="AB959" s="65"/>
      <c r="AC959" s="65"/>
      <c r="AD959" s="65"/>
      <c r="AE959" s="65"/>
      <c r="AF959" s="65"/>
      <c r="AG959" s="65"/>
      <c r="AH959" s="65"/>
      <c r="AI959" s="65"/>
    </row>
    <row r="960" spans="1:35" x14ac:dyDescent="0.2">
      <c r="A960" s="74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9"/>
      <c r="N960" s="69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  <c r="AB960" s="65"/>
      <c r="AC960" s="65"/>
      <c r="AD960" s="65"/>
      <c r="AE960" s="65"/>
      <c r="AF960" s="65"/>
      <c r="AG960" s="65"/>
      <c r="AH960" s="65"/>
      <c r="AI960" s="65"/>
    </row>
    <row r="961" spans="1:35" x14ac:dyDescent="0.2">
      <c r="A961" s="74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9"/>
      <c r="N961" s="69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  <c r="AB961" s="65"/>
      <c r="AC961" s="65"/>
      <c r="AD961" s="65"/>
      <c r="AE961" s="65"/>
      <c r="AF961" s="65"/>
      <c r="AG961" s="65"/>
      <c r="AH961" s="65"/>
      <c r="AI961" s="65"/>
    </row>
    <row r="962" spans="1:35" x14ac:dyDescent="0.2">
      <c r="A962" s="74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9"/>
      <c r="N962" s="69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  <c r="AB962" s="65"/>
      <c r="AC962" s="65"/>
      <c r="AD962" s="65"/>
      <c r="AE962" s="65"/>
      <c r="AF962" s="65"/>
      <c r="AG962" s="65"/>
      <c r="AH962" s="65"/>
      <c r="AI962" s="65"/>
    </row>
    <row r="963" spans="1:35" x14ac:dyDescent="0.2">
      <c r="A963" s="74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9"/>
      <c r="N963" s="69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  <c r="AB963" s="65"/>
      <c r="AC963" s="65"/>
      <c r="AD963" s="65"/>
      <c r="AE963" s="65"/>
      <c r="AF963" s="65"/>
      <c r="AG963" s="65"/>
      <c r="AH963" s="65"/>
      <c r="AI963" s="65"/>
    </row>
    <row r="964" spans="1:35" x14ac:dyDescent="0.2">
      <c r="A964" s="74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9"/>
      <c r="N964" s="69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  <c r="AB964" s="65"/>
      <c r="AC964" s="65"/>
      <c r="AD964" s="65"/>
      <c r="AE964" s="65"/>
      <c r="AF964" s="65"/>
      <c r="AG964" s="65"/>
      <c r="AH964" s="65"/>
      <c r="AI964" s="65"/>
    </row>
    <row r="965" spans="1:35" x14ac:dyDescent="0.2">
      <c r="A965" s="74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9"/>
      <c r="N965" s="69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  <c r="AB965" s="65"/>
      <c r="AC965" s="65"/>
      <c r="AD965" s="65"/>
      <c r="AE965" s="65"/>
      <c r="AF965" s="65"/>
      <c r="AG965" s="65"/>
      <c r="AH965" s="65"/>
      <c r="AI965" s="65"/>
    </row>
    <row r="966" spans="1:35" x14ac:dyDescent="0.2">
      <c r="A966" s="74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9"/>
      <c r="N966" s="69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  <c r="AB966" s="65"/>
      <c r="AC966" s="65"/>
      <c r="AD966" s="65"/>
      <c r="AE966" s="65"/>
      <c r="AF966" s="65"/>
      <c r="AG966" s="65"/>
      <c r="AH966" s="65"/>
      <c r="AI966" s="65"/>
    </row>
    <row r="967" spans="1:35" x14ac:dyDescent="0.2">
      <c r="A967" s="74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9"/>
      <c r="N967" s="69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  <c r="AB967" s="65"/>
      <c r="AC967" s="65"/>
      <c r="AD967" s="65"/>
      <c r="AE967" s="65"/>
      <c r="AF967" s="65"/>
      <c r="AG967" s="65"/>
      <c r="AH967" s="65"/>
      <c r="AI967" s="65"/>
    </row>
    <row r="968" spans="1:35" x14ac:dyDescent="0.2">
      <c r="A968" s="74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9"/>
      <c r="N968" s="69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  <c r="AB968" s="65"/>
      <c r="AC968" s="65"/>
      <c r="AD968" s="65"/>
      <c r="AE968" s="65"/>
      <c r="AF968" s="65"/>
      <c r="AG968" s="65"/>
      <c r="AH968" s="65"/>
      <c r="AI968" s="65"/>
    </row>
    <row r="969" spans="1:35" x14ac:dyDescent="0.2">
      <c r="A969" s="74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9"/>
      <c r="N969" s="69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  <c r="AB969" s="65"/>
      <c r="AC969" s="65"/>
      <c r="AD969" s="65"/>
      <c r="AE969" s="65"/>
      <c r="AF969" s="65"/>
      <c r="AG969" s="65"/>
      <c r="AH969" s="65"/>
      <c r="AI969" s="65"/>
    </row>
    <row r="970" spans="1:35" x14ac:dyDescent="0.2">
      <c r="A970" s="74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9"/>
      <c r="N970" s="69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  <c r="AB970" s="65"/>
      <c r="AC970" s="65"/>
      <c r="AD970" s="65"/>
      <c r="AE970" s="65"/>
      <c r="AF970" s="65"/>
      <c r="AG970" s="65"/>
      <c r="AH970" s="65"/>
      <c r="AI970" s="65"/>
    </row>
    <row r="971" spans="1:35" x14ac:dyDescent="0.2">
      <c r="A971" s="74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9"/>
      <c r="N971" s="69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  <c r="AB971" s="65"/>
      <c r="AC971" s="65"/>
      <c r="AD971" s="65"/>
      <c r="AE971" s="65"/>
      <c r="AF971" s="65"/>
      <c r="AG971" s="65"/>
      <c r="AH971" s="65"/>
      <c r="AI971" s="65"/>
    </row>
    <row r="972" spans="1:35" x14ac:dyDescent="0.2">
      <c r="A972" s="74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9"/>
      <c r="N972" s="69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  <c r="AB972" s="65"/>
      <c r="AC972" s="65"/>
      <c r="AD972" s="65"/>
      <c r="AE972" s="65"/>
      <c r="AF972" s="65"/>
      <c r="AG972" s="65"/>
      <c r="AH972" s="65"/>
      <c r="AI972" s="65"/>
    </row>
    <row r="973" spans="1:35" x14ac:dyDescent="0.2">
      <c r="A973" s="74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9"/>
      <c r="N973" s="69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  <c r="AB973" s="65"/>
      <c r="AC973" s="65"/>
      <c r="AD973" s="65"/>
      <c r="AE973" s="65"/>
      <c r="AF973" s="65"/>
      <c r="AG973" s="65"/>
      <c r="AH973" s="65"/>
      <c r="AI973" s="65"/>
    </row>
    <row r="974" spans="1:35" x14ac:dyDescent="0.2">
      <c r="A974" s="74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9"/>
      <c r="N974" s="69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  <c r="AB974" s="65"/>
      <c r="AC974" s="65"/>
      <c r="AD974" s="65"/>
      <c r="AE974" s="65"/>
      <c r="AF974" s="65"/>
      <c r="AG974" s="65"/>
      <c r="AH974" s="65"/>
      <c r="AI974" s="65"/>
    </row>
    <row r="975" spans="1:35" x14ac:dyDescent="0.2">
      <c r="A975" s="74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9"/>
      <c r="N975" s="69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  <c r="AB975" s="65"/>
      <c r="AC975" s="65"/>
      <c r="AD975" s="65"/>
      <c r="AE975" s="65"/>
      <c r="AF975" s="65"/>
      <c r="AG975" s="65"/>
      <c r="AH975" s="65"/>
      <c r="AI975" s="65"/>
    </row>
    <row r="976" spans="1:35" x14ac:dyDescent="0.2">
      <c r="A976" s="74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9"/>
      <c r="N976" s="69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  <c r="AB976" s="65"/>
      <c r="AC976" s="65"/>
      <c r="AD976" s="65"/>
      <c r="AE976" s="65"/>
      <c r="AF976" s="65"/>
      <c r="AG976" s="65"/>
      <c r="AH976" s="65"/>
      <c r="AI976" s="65"/>
    </row>
    <row r="977" spans="1:35" x14ac:dyDescent="0.2">
      <c r="A977" s="74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9"/>
      <c r="N977" s="69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  <c r="AB977" s="65"/>
      <c r="AC977" s="65"/>
      <c r="AD977" s="65"/>
      <c r="AE977" s="65"/>
      <c r="AF977" s="65"/>
      <c r="AG977" s="65"/>
      <c r="AH977" s="65"/>
      <c r="AI977" s="65"/>
    </row>
    <row r="978" spans="1:35" x14ac:dyDescent="0.2">
      <c r="A978" s="74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9"/>
      <c r="N978" s="69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  <c r="AB978" s="65"/>
      <c r="AC978" s="65"/>
      <c r="AD978" s="65"/>
      <c r="AE978" s="65"/>
      <c r="AF978" s="65"/>
      <c r="AG978" s="65"/>
      <c r="AH978" s="65"/>
      <c r="AI978" s="65"/>
    </row>
    <row r="979" spans="1:35" x14ac:dyDescent="0.2">
      <c r="A979" s="74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9"/>
      <c r="N979" s="69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  <c r="AB979" s="65"/>
      <c r="AC979" s="65"/>
      <c r="AD979" s="65"/>
      <c r="AE979" s="65"/>
      <c r="AF979" s="65"/>
      <c r="AG979" s="65"/>
      <c r="AH979" s="65"/>
      <c r="AI979" s="65"/>
    </row>
    <row r="980" spans="1:35" x14ac:dyDescent="0.2">
      <c r="A980" s="74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9"/>
      <c r="N980" s="69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  <c r="AB980" s="65"/>
      <c r="AC980" s="65"/>
      <c r="AD980" s="65"/>
      <c r="AE980" s="65"/>
      <c r="AF980" s="65"/>
      <c r="AG980" s="65"/>
      <c r="AH980" s="65"/>
      <c r="AI980" s="65"/>
    </row>
    <row r="981" spans="1:35" x14ac:dyDescent="0.2">
      <c r="A981" s="74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9"/>
      <c r="N981" s="69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65"/>
      <c r="AG981" s="65"/>
      <c r="AH981" s="65"/>
      <c r="AI981" s="65"/>
    </row>
    <row r="982" spans="1:35" x14ac:dyDescent="0.2">
      <c r="A982" s="74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9"/>
      <c r="N982" s="69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  <c r="AB982" s="65"/>
      <c r="AC982" s="65"/>
      <c r="AD982" s="65"/>
      <c r="AE982" s="65"/>
      <c r="AF982" s="65"/>
      <c r="AG982" s="65"/>
      <c r="AH982" s="65"/>
      <c r="AI982" s="65"/>
    </row>
    <row r="983" spans="1:35" x14ac:dyDescent="0.2">
      <c r="A983" s="74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9"/>
      <c r="N983" s="69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  <c r="AB983" s="65"/>
      <c r="AC983" s="65"/>
      <c r="AD983" s="65"/>
      <c r="AE983" s="65"/>
      <c r="AF983" s="65"/>
      <c r="AG983" s="65"/>
      <c r="AH983" s="65"/>
      <c r="AI983" s="65"/>
    </row>
    <row r="984" spans="1:35" x14ac:dyDescent="0.2">
      <c r="A984" s="74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9"/>
      <c r="N984" s="69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  <c r="AB984" s="65"/>
      <c r="AC984" s="65"/>
      <c r="AD984" s="65"/>
      <c r="AE984" s="65"/>
      <c r="AF984" s="65"/>
      <c r="AG984" s="65"/>
      <c r="AH984" s="65"/>
      <c r="AI984" s="65"/>
    </row>
    <row r="985" spans="1:35" x14ac:dyDescent="0.2">
      <c r="A985" s="74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9"/>
      <c r="N985" s="69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  <c r="AB985" s="65"/>
      <c r="AC985" s="65"/>
      <c r="AD985" s="65"/>
      <c r="AE985" s="65"/>
      <c r="AF985" s="65"/>
      <c r="AG985" s="65"/>
      <c r="AH985" s="65"/>
      <c r="AI985" s="65"/>
    </row>
    <row r="986" spans="1:35" x14ac:dyDescent="0.2">
      <c r="A986" s="74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9"/>
      <c r="N986" s="69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  <c r="AB986" s="65"/>
      <c r="AC986" s="65"/>
      <c r="AD986" s="65"/>
      <c r="AE986" s="65"/>
      <c r="AF986" s="65"/>
      <c r="AG986" s="65"/>
      <c r="AH986" s="65"/>
      <c r="AI986" s="65"/>
    </row>
    <row r="987" spans="1:35" x14ac:dyDescent="0.2">
      <c r="A987" s="74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9"/>
      <c r="N987" s="69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  <c r="AB987" s="65"/>
      <c r="AC987" s="65"/>
      <c r="AD987" s="65"/>
      <c r="AE987" s="65"/>
      <c r="AF987" s="65"/>
      <c r="AG987" s="65"/>
      <c r="AH987" s="65"/>
      <c r="AI987" s="65"/>
    </row>
    <row r="988" spans="1:35" x14ac:dyDescent="0.2">
      <c r="A988" s="74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9"/>
      <c r="N988" s="69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  <c r="AB988" s="65"/>
      <c r="AC988" s="65"/>
      <c r="AD988" s="65"/>
      <c r="AE988" s="65"/>
      <c r="AF988" s="65"/>
      <c r="AG988" s="65"/>
      <c r="AH988" s="65"/>
      <c r="AI988" s="65"/>
    </row>
    <row r="989" spans="1:35" x14ac:dyDescent="0.2">
      <c r="A989" s="74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9"/>
      <c r="N989" s="69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  <c r="AB989" s="65"/>
      <c r="AC989" s="65"/>
      <c r="AD989" s="65"/>
      <c r="AE989" s="65"/>
      <c r="AF989" s="65"/>
      <c r="AG989" s="65"/>
      <c r="AH989" s="65"/>
      <c r="AI989" s="65"/>
    </row>
    <row r="990" spans="1:35" x14ac:dyDescent="0.2">
      <c r="A990" s="74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9"/>
      <c r="N990" s="69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  <c r="AB990" s="65"/>
      <c r="AC990" s="65"/>
      <c r="AD990" s="65"/>
      <c r="AE990" s="65"/>
      <c r="AF990" s="65"/>
      <c r="AG990" s="65"/>
      <c r="AH990" s="65"/>
      <c r="AI990" s="65"/>
    </row>
    <row r="991" spans="1:35" x14ac:dyDescent="0.2">
      <c r="A991" s="74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9"/>
      <c r="N991" s="69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  <c r="AB991" s="65"/>
      <c r="AC991" s="65"/>
      <c r="AD991" s="65"/>
      <c r="AE991" s="65"/>
      <c r="AF991" s="65"/>
      <c r="AG991" s="65"/>
      <c r="AH991" s="65"/>
      <c r="AI991" s="65"/>
    </row>
    <row r="992" spans="1:35" x14ac:dyDescent="0.2">
      <c r="A992" s="74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9"/>
      <c r="N992" s="69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  <c r="AB992" s="65"/>
      <c r="AC992" s="65"/>
      <c r="AD992" s="65"/>
      <c r="AE992" s="65"/>
      <c r="AF992" s="65"/>
      <c r="AG992" s="65"/>
      <c r="AH992" s="65"/>
      <c r="AI992" s="65"/>
    </row>
    <row r="993" spans="1:35" x14ac:dyDescent="0.2">
      <c r="A993" s="74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9"/>
      <c r="N993" s="69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  <c r="AB993" s="65"/>
      <c r="AC993" s="65"/>
      <c r="AD993" s="65"/>
      <c r="AE993" s="65"/>
      <c r="AF993" s="65"/>
      <c r="AG993" s="65"/>
      <c r="AH993" s="65"/>
      <c r="AI993" s="65"/>
    </row>
    <row r="994" spans="1:35" x14ac:dyDescent="0.2">
      <c r="A994" s="74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9"/>
      <c r="N994" s="69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  <c r="AB994" s="65"/>
      <c r="AC994" s="65"/>
      <c r="AD994" s="65"/>
      <c r="AE994" s="65"/>
      <c r="AF994" s="65"/>
      <c r="AG994" s="65"/>
      <c r="AH994" s="65"/>
      <c r="AI994" s="65"/>
    </row>
    <row r="995" spans="1:35" x14ac:dyDescent="0.2">
      <c r="A995" s="74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9"/>
      <c r="N995" s="69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  <c r="AB995" s="65"/>
      <c r="AC995" s="65"/>
      <c r="AD995" s="65"/>
      <c r="AE995" s="65"/>
      <c r="AF995" s="65"/>
      <c r="AG995" s="65"/>
      <c r="AH995" s="65"/>
      <c r="AI995" s="65"/>
    </row>
  </sheetData>
  <mergeCells count="10">
    <mergeCell ref="Z20:AA20"/>
    <mergeCell ref="Z21:AA21"/>
    <mergeCell ref="Z22:AA22"/>
    <mergeCell ref="B1:AI1"/>
    <mergeCell ref="K3:O3"/>
    <mergeCell ref="P3:T3"/>
    <mergeCell ref="U3:Y3"/>
    <mergeCell ref="Z3:AD3"/>
    <mergeCell ref="AE3:AI3"/>
    <mergeCell ref="Z19:AA19"/>
  </mergeCells>
  <conditionalFormatting sqref="C4:J17">
    <cfRule type="containsText" dxfId="15" priority="1" operator="containsText" text="FALSE">
      <formula>NOT(ISERROR(SEARCH(("FALSE"),(C4))))</formula>
    </cfRule>
    <cfRule type="containsText" dxfId="14" priority="2" operator="containsText" text="TRUE">
      <formula>NOT(ISERROR(SEARCH(("TRUE"),(C4))))</formula>
    </cfRule>
  </conditionalFormatting>
  <conditionalFormatting sqref="K4:K18 P4:P18 U4:U18 Z4:Z18 AE4:AE18">
    <cfRule type="cellIs" dxfId="13" priority="3" operator="greaterThan">
      <formula>O4</formula>
    </cfRule>
    <cfRule type="cellIs" dxfId="12" priority="6" operator="lessThan">
      <formula>O4</formula>
    </cfRule>
  </conditionalFormatting>
  <conditionalFormatting sqref="O4:O17 T4:T17 Y4:Y17 AD4:AD17 AI4:AI17">
    <cfRule type="cellIs" dxfId="11" priority="4" operator="lessThan">
      <formula>K4</formula>
    </cfRule>
  </conditionalFormatting>
  <conditionalFormatting sqref="O4:O18 T4:T18 Y4:Y18 AD4:AD18 AI4:AI18">
    <cfRule type="cellIs" dxfId="10" priority="7" operator="greaterThan">
      <formula>K4</formula>
    </cfRule>
  </conditionalFormatting>
  <conditionalFormatting sqref="O18 T18 Y18 AD18 AI18">
    <cfRule type="cellIs" dxfId="9" priority="8" operator="lessThan">
      <formula>K18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Y1033"/>
  <sheetViews>
    <sheetView workbookViewId="0"/>
  </sheetViews>
  <sheetFormatPr defaultColWidth="11.21875" defaultRowHeight="15" customHeight="1" x14ac:dyDescent="0.2"/>
  <cols>
    <col min="1" max="1" width="16.27734375" customWidth="1"/>
    <col min="2" max="2" width="13.0703125" customWidth="1"/>
    <col min="3" max="4" width="9.86328125" customWidth="1"/>
    <col min="5" max="5" width="15.2890625" customWidth="1"/>
    <col min="6" max="6" width="12.453125" customWidth="1"/>
    <col min="7" max="7" width="14.30078125" customWidth="1"/>
    <col min="8" max="8" width="15.1640625" customWidth="1"/>
    <col min="9" max="9" width="11.09765625" customWidth="1"/>
    <col min="10" max="10" width="8.62890625" customWidth="1"/>
    <col min="11" max="11" width="10.7265625" customWidth="1"/>
    <col min="12" max="12" width="11.7109375" customWidth="1"/>
    <col min="16" max="16" width="13.6875" customWidth="1"/>
    <col min="18" max="18" width="14.0546875" customWidth="1"/>
    <col min="19" max="19" width="24.2890625" customWidth="1"/>
  </cols>
  <sheetData>
    <row r="1" spans="1:25" x14ac:dyDescent="0.2">
      <c r="A1" s="538" t="s">
        <v>429</v>
      </c>
      <c r="B1" s="537"/>
      <c r="C1" s="537"/>
      <c r="D1" s="537"/>
      <c r="E1" s="537"/>
      <c r="F1" s="537"/>
      <c r="G1" s="537"/>
      <c r="H1" s="531"/>
      <c r="I1" s="539" t="s">
        <v>199</v>
      </c>
      <c r="J1" s="537"/>
      <c r="K1" s="537"/>
      <c r="L1" s="537"/>
      <c r="M1" s="537"/>
      <c r="N1" s="537"/>
      <c r="O1" s="531"/>
    </row>
    <row r="2" spans="1:25" x14ac:dyDescent="0.2">
      <c r="A2" s="78" t="s">
        <v>200</v>
      </c>
      <c r="B2" s="78" t="s">
        <v>201</v>
      </c>
      <c r="C2" s="79" t="s">
        <v>119</v>
      </c>
      <c r="D2" s="79" t="s">
        <v>202</v>
      </c>
      <c r="E2" s="79" t="s">
        <v>121</v>
      </c>
      <c r="F2" s="79" t="s">
        <v>203</v>
      </c>
      <c r="G2" s="79" t="s">
        <v>125</v>
      </c>
      <c r="H2" s="79" t="s">
        <v>204</v>
      </c>
      <c r="I2" s="80" t="s">
        <v>205</v>
      </c>
      <c r="J2" s="80" t="s">
        <v>142</v>
      </c>
      <c r="K2" s="80" t="s">
        <v>206</v>
      </c>
      <c r="L2" s="80" t="s">
        <v>207</v>
      </c>
      <c r="M2" s="80" t="s">
        <v>143</v>
      </c>
      <c r="N2" s="80" t="s">
        <v>208</v>
      </c>
      <c r="O2" s="80" t="s">
        <v>209</v>
      </c>
      <c r="Q2" s="566" t="s">
        <v>430</v>
      </c>
      <c r="R2" s="537"/>
      <c r="S2" s="537"/>
      <c r="T2" s="537"/>
      <c r="U2" s="537"/>
      <c r="V2" s="537"/>
      <c r="W2" s="537"/>
      <c r="X2" s="537"/>
      <c r="Y2" s="531"/>
    </row>
    <row r="3" spans="1:25" x14ac:dyDescent="0.2">
      <c r="A3" s="97" t="s">
        <v>291</v>
      </c>
      <c r="B3" s="97" t="s">
        <v>292</v>
      </c>
      <c r="C3" s="98" t="b">
        <v>0</v>
      </c>
      <c r="D3" s="99" t="b">
        <v>0</v>
      </c>
      <c r="E3" s="98" t="b">
        <v>0</v>
      </c>
      <c r="F3" s="98" t="b">
        <v>0</v>
      </c>
      <c r="G3" s="99" t="b">
        <v>0</v>
      </c>
      <c r="H3" s="100" t="b">
        <v>0</v>
      </c>
      <c r="I3" s="101" t="b">
        <v>0</v>
      </c>
      <c r="J3" s="101" t="b">
        <v>0</v>
      </c>
      <c r="K3" s="101" t="b">
        <v>0</v>
      </c>
      <c r="L3" s="101" t="b">
        <v>0</v>
      </c>
      <c r="M3" s="98" t="b">
        <v>0</v>
      </c>
      <c r="N3" s="98" t="b">
        <v>0</v>
      </c>
      <c r="O3" s="101" t="b">
        <v>0</v>
      </c>
      <c r="Q3" s="22" t="s">
        <v>431</v>
      </c>
      <c r="R3" s="22">
        <v>4</v>
      </c>
      <c r="S3" s="72"/>
      <c r="T3" s="72"/>
      <c r="U3" s="151"/>
      <c r="V3" s="151"/>
      <c r="W3" s="151"/>
      <c r="X3" s="152"/>
      <c r="Y3" s="152"/>
    </row>
    <row r="4" spans="1:25" x14ac:dyDescent="0.2">
      <c r="A4" s="103" t="s">
        <v>293</v>
      </c>
      <c r="B4" s="103" t="s">
        <v>292</v>
      </c>
      <c r="C4" s="83" t="b">
        <v>1</v>
      </c>
      <c r="D4" s="86" t="b">
        <v>0</v>
      </c>
      <c r="E4" s="85" t="b">
        <v>0</v>
      </c>
      <c r="F4" s="85" t="b">
        <v>0</v>
      </c>
      <c r="G4" s="86" t="b">
        <v>0</v>
      </c>
      <c r="H4" s="86" t="b">
        <v>0</v>
      </c>
      <c r="I4" s="22" t="b">
        <v>1</v>
      </c>
      <c r="J4" s="23" t="b">
        <v>0</v>
      </c>
      <c r="K4" s="23" t="b">
        <v>0</v>
      </c>
      <c r="L4" s="23" t="b">
        <v>0</v>
      </c>
      <c r="M4" s="83" t="b">
        <v>1</v>
      </c>
      <c r="N4" s="85" t="b">
        <v>0</v>
      </c>
      <c r="O4" s="22" t="b">
        <v>1</v>
      </c>
      <c r="Q4" s="103" t="s">
        <v>433</v>
      </c>
      <c r="R4" s="103">
        <v>6</v>
      </c>
      <c r="S4" s="153"/>
      <c r="T4" s="153" t="s">
        <v>1431</v>
      </c>
      <c r="U4" s="153" t="s">
        <v>339</v>
      </c>
      <c r="V4" s="153" t="s">
        <v>867</v>
      </c>
      <c r="W4" s="153" t="s">
        <v>1432</v>
      </c>
      <c r="X4" s="153" t="s">
        <v>1433</v>
      </c>
      <c r="Y4" s="153" t="s">
        <v>483</v>
      </c>
    </row>
    <row r="5" spans="1:25" x14ac:dyDescent="0.2">
      <c r="A5" s="103" t="s">
        <v>210</v>
      </c>
      <c r="B5" s="103" t="s">
        <v>292</v>
      </c>
      <c r="C5" s="83" t="b">
        <v>1</v>
      </c>
      <c r="D5" s="86" t="b">
        <v>0</v>
      </c>
      <c r="E5" s="85" t="b">
        <v>0</v>
      </c>
      <c r="F5" s="85" t="b">
        <v>0</v>
      </c>
      <c r="G5" s="86" t="b">
        <v>0</v>
      </c>
      <c r="H5" s="86" t="b">
        <v>0</v>
      </c>
      <c r="I5" s="22" t="b">
        <v>1</v>
      </c>
      <c r="J5" s="23" t="b">
        <v>0</v>
      </c>
      <c r="K5" s="23" t="b">
        <v>0</v>
      </c>
      <c r="L5" s="23" t="b">
        <v>0</v>
      </c>
      <c r="M5" s="83" t="b">
        <v>1</v>
      </c>
      <c r="N5" s="85" t="b">
        <v>0</v>
      </c>
      <c r="O5" s="22" t="b">
        <v>1</v>
      </c>
      <c r="Q5" s="103" t="s">
        <v>434</v>
      </c>
      <c r="R5" s="103">
        <v>2</v>
      </c>
      <c r="S5" s="153"/>
      <c r="T5" s="153" t="s">
        <v>284</v>
      </c>
      <c r="U5" s="153" t="s">
        <v>594</v>
      </c>
      <c r="V5" s="153" t="s">
        <v>282</v>
      </c>
      <c r="W5" s="152"/>
      <c r="X5" s="152"/>
      <c r="Y5" s="152"/>
    </row>
    <row r="6" spans="1:25" x14ac:dyDescent="0.2">
      <c r="A6" s="103" t="s">
        <v>435</v>
      </c>
      <c r="B6" s="103" t="s">
        <v>1434</v>
      </c>
      <c r="C6" s="83" t="b">
        <v>1</v>
      </c>
      <c r="D6" s="86" t="b">
        <v>0</v>
      </c>
      <c r="E6" s="85" t="b">
        <v>0</v>
      </c>
      <c r="F6" s="85" t="b">
        <v>0</v>
      </c>
      <c r="G6" s="86" t="b">
        <v>0</v>
      </c>
      <c r="H6" s="86" t="b">
        <v>0</v>
      </c>
      <c r="I6" s="22" t="b">
        <v>1</v>
      </c>
      <c r="J6" s="23" t="b">
        <v>0</v>
      </c>
      <c r="K6" s="23" t="b">
        <v>0</v>
      </c>
      <c r="L6" s="23" t="b">
        <v>0</v>
      </c>
      <c r="M6" s="83" t="b">
        <v>1</v>
      </c>
      <c r="N6" s="85" t="b">
        <v>0</v>
      </c>
      <c r="O6" s="22" t="b">
        <v>1</v>
      </c>
      <c r="Q6" s="103" t="s">
        <v>436</v>
      </c>
      <c r="R6" s="103">
        <v>4</v>
      </c>
      <c r="S6" s="153"/>
      <c r="T6" s="153" t="s">
        <v>99</v>
      </c>
      <c r="U6" s="77" t="s">
        <v>1435</v>
      </c>
      <c r="V6" s="77" t="s">
        <v>1436</v>
      </c>
      <c r="W6" s="72"/>
      <c r="X6" s="402"/>
      <c r="Y6" s="402"/>
    </row>
    <row r="7" spans="1:25" x14ac:dyDescent="0.2">
      <c r="A7" s="103" t="s">
        <v>161</v>
      </c>
      <c r="B7" s="103" t="s">
        <v>1434</v>
      </c>
      <c r="C7" s="83" t="b">
        <v>1</v>
      </c>
      <c r="D7" s="86" t="b">
        <v>0</v>
      </c>
      <c r="E7" s="85" t="b">
        <v>0</v>
      </c>
      <c r="F7" s="85" t="b">
        <v>0</v>
      </c>
      <c r="G7" s="86" t="b">
        <v>0</v>
      </c>
      <c r="H7" s="86" t="b">
        <v>0</v>
      </c>
      <c r="I7" s="22" t="b">
        <v>1</v>
      </c>
      <c r="J7" s="23" t="b">
        <v>0</v>
      </c>
      <c r="K7" s="23" t="b">
        <v>0</v>
      </c>
      <c r="L7" s="23" t="b">
        <v>0</v>
      </c>
      <c r="M7" s="83" t="b">
        <v>1</v>
      </c>
      <c r="N7" s="85" t="b">
        <v>0</v>
      </c>
      <c r="O7" s="22" t="b">
        <v>1</v>
      </c>
      <c r="Q7" s="103" t="s">
        <v>437</v>
      </c>
      <c r="R7" s="103">
        <v>2</v>
      </c>
      <c r="S7" s="153"/>
      <c r="T7" s="153" t="s">
        <v>172</v>
      </c>
      <c r="U7" s="153" t="s">
        <v>308</v>
      </c>
      <c r="V7" s="153" t="s">
        <v>733</v>
      </c>
      <c r="W7" s="152"/>
      <c r="X7" s="152"/>
      <c r="Y7" s="152"/>
    </row>
    <row r="8" spans="1:25" x14ac:dyDescent="0.2">
      <c r="A8" s="103" t="s">
        <v>21</v>
      </c>
      <c r="B8" s="103" t="s">
        <v>1437</v>
      </c>
      <c r="C8" s="83" t="b">
        <v>1</v>
      </c>
      <c r="D8" s="86" t="b">
        <v>0</v>
      </c>
      <c r="E8" s="85" t="b">
        <v>0</v>
      </c>
      <c r="F8" s="85" t="b">
        <v>0</v>
      </c>
      <c r="G8" s="86" t="b">
        <v>0</v>
      </c>
      <c r="H8" s="86" t="b">
        <v>0</v>
      </c>
      <c r="I8" s="23" t="b">
        <v>0</v>
      </c>
      <c r="J8" s="23" t="b">
        <v>0</v>
      </c>
      <c r="K8" s="23" t="b">
        <v>0</v>
      </c>
      <c r="L8" s="23" t="b">
        <v>0</v>
      </c>
      <c r="M8" s="83" t="b">
        <v>1</v>
      </c>
      <c r="N8" s="85" t="b">
        <v>0</v>
      </c>
      <c r="O8" s="22" t="b">
        <v>1</v>
      </c>
      <c r="Q8" s="103" t="s">
        <v>438</v>
      </c>
      <c r="R8" s="103">
        <v>2</v>
      </c>
      <c r="S8" s="153"/>
      <c r="T8" s="153" t="s">
        <v>105</v>
      </c>
      <c r="U8" s="153" t="s">
        <v>1438</v>
      </c>
      <c r="V8" s="152"/>
      <c r="W8" s="152"/>
      <c r="X8" s="152"/>
      <c r="Y8" s="152"/>
    </row>
    <row r="9" spans="1:25" x14ac:dyDescent="0.2">
      <c r="A9" s="103" t="s">
        <v>439</v>
      </c>
      <c r="B9" s="103" t="s">
        <v>768</v>
      </c>
      <c r="C9" s="83" t="b">
        <v>1</v>
      </c>
      <c r="D9" s="86" t="b">
        <v>0</v>
      </c>
      <c r="E9" s="85" t="b">
        <v>0</v>
      </c>
      <c r="F9" s="85" t="b">
        <v>0</v>
      </c>
      <c r="G9" s="86" t="b">
        <v>0</v>
      </c>
      <c r="H9" s="86" t="b">
        <v>0</v>
      </c>
      <c r="I9" s="23" t="b">
        <v>0</v>
      </c>
      <c r="J9" s="23" t="b">
        <v>0</v>
      </c>
      <c r="K9" s="23" t="b">
        <v>0</v>
      </c>
      <c r="L9" s="23" t="b">
        <v>0</v>
      </c>
      <c r="M9" s="83" t="b">
        <v>1</v>
      </c>
      <c r="N9" s="85" t="b">
        <v>0</v>
      </c>
      <c r="O9" s="22" t="b">
        <v>1</v>
      </c>
      <c r="Q9" s="103" t="s">
        <v>440</v>
      </c>
      <c r="R9" s="103">
        <v>4</v>
      </c>
      <c r="S9" s="151"/>
      <c r="T9" s="151"/>
      <c r="U9" s="151"/>
      <c r="V9" s="151"/>
      <c r="W9" s="151"/>
      <c r="X9" s="152"/>
      <c r="Y9" s="152"/>
    </row>
    <row r="10" spans="1:25" x14ac:dyDescent="0.2">
      <c r="A10" s="103" t="s">
        <v>24</v>
      </c>
      <c r="B10" s="103" t="s">
        <v>768</v>
      </c>
      <c r="C10" s="83" t="b">
        <v>1</v>
      </c>
      <c r="D10" s="86" t="b">
        <v>0</v>
      </c>
      <c r="E10" s="85" t="b">
        <v>0</v>
      </c>
      <c r="F10" s="83" t="b">
        <v>0</v>
      </c>
      <c r="G10" s="86" t="b">
        <v>0</v>
      </c>
      <c r="H10" s="86" t="b">
        <v>0</v>
      </c>
      <c r="I10" s="23" t="b">
        <v>0</v>
      </c>
      <c r="J10" s="23" t="b">
        <v>0</v>
      </c>
      <c r="K10" s="23" t="b">
        <v>0</v>
      </c>
      <c r="L10" s="23" t="b">
        <v>0</v>
      </c>
      <c r="M10" s="83" t="b">
        <v>1</v>
      </c>
      <c r="N10" s="85" t="b">
        <v>0</v>
      </c>
      <c r="O10" s="22" t="b">
        <v>1</v>
      </c>
      <c r="Q10" s="103" t="s">
        <v>442</v>
      </c>
      <c r="R10" s="103">
        <v>2</v>
      </c>
      <c r="S10" s="153"/>
      <c r="T10" s="153" t="s">
        <v>1439</v>
      </c>
      <c r="U10" s="153" t="s">
        <v>1440</v>
      </c>
      <c r="V10" s="152"/>
      <c r="W10" s="152"/>
      <c r="X10" s="152"/>
      <c r="Y10" s="152"/>
    </row>
    <row r="11" spans="1:25" x14ac:dyDescent="0.2">
      <c r="A11" s="160" t="s">
        <v>444</v>
      </c>
      <c r="C11" s="85" t="b">
        <v>0</v>
      </c>
      <c r="D11" s="86" t="b">
        <v>0</v>
      </c>
      <c r="E11" s="85" t="b">
        <v>0</v>
      </c>
      <c r="F11" s="85" t="b">
        <v>0</v>
      </c>
      <c r="G11" s="86" t="b">
        <v>0</v>
      </c>
      <c r="H11" s="86" t="b">
        <v>0</v>
      </c>
      <c r="I11" s="23" t="b">
        <v>0</v>
      </c>
      <c r="J11" s="23" t="b">
        <v>0</v>
      </c>
      <c r="K11" s="23" t="b">
        <v>0</v>
      </c>
      <c r="L11" s="23" t="b">
        <v>0</v>
      </c>
      <c r="M11" s="83" t="b">
        <v>1</v>
      </c>
      <c r="N11" s="85" t="b">
        <v>0</v>
      </c>
      <c r="O11" s="22" t="b">
        <v>1</v>
      </c>
      <c r="Q11" s="93" t="s">
        <v>443</v>
      </c>
      <c r="R11" s="158">
        <f>SUM(R3:R10)</f>
        <v>26</v>
      </c>
    </row>
    <row r="12" spans="1:25" x14ac:dyDescent="0.2">
      <c r="A12" s="103" t="s">
        <v>445</v>
      </c>
      <c r="B12" s="103" t="s">
        <v>1441</v>
      </c>
      <c r="C12" s="85" t="b">
        <v>0</v>
      </c>
      <c r="D12" s="86" t="b">
        <v>0</v>
      </c>
      <c r="E12" s="85" t="b">
        <v>0</v>
      </c>
      <c r="F12" s="85" t="b">
        <v>0</v>
      </c>
      <c r="G12" s="86" t="b">
        <v>0</v>
      </c>
      <c r="H12" s="86" t="b">
        <v>0</v>
      </c>
      <c r="I12" s="23" t="b">
        <v>0</v>
      </c>
      <c r="J12" s="23" t="b">
        <v>0</v>
      </c>
      <c r="K12" s="23" t="b">
        <v>0</v>
      </c>
      <c r="L12" s="23" t="b">
        <v>0</v>
      </c>
      <c r="M12" s="83" t="b">
        <v>1</v>
      </c>
      <c r="N12" s="85" t="b">
        <v>0</v>
      </c>
      <c r="O12" s="22" t="b">
        <v>1</v>
      </c>
    </row>
    <row r="13" spans="1:25" x14ac:dyDescent="0.2">
      <c r="A13" s="103" t="s">
        <v>446</v>
      </c>
      <c r="B13" s="103" t="s">
        <v>1442</v>
      </c>
      <c r="C13" s="85" t="b">
        <v>0</v>
      </c>
      <c r="D13" s="86" t="b">
        <v>0</v>
      </c>
      <c r="E13" s="85" t="b">
        <v>0</v>
      </c>
      <c r="F13" s="85" t="b">
        <v>0</v>
      </c>
      <c r="G13" s="86" t="b">
        <v>0</v>
      </c>
      <c r="H13" s="86" t="b">
        <v>0</v>
      </c>
      <c r="I13" s="23" t="b">
        <v>0</v>
      </c>
      <c r="J13" s="23" t="b">
        <v>0</v>
      </c>
      <c r="K13" s="23" t="b">
        <v>0</v>
      </c>
      <c r="L13" s="23" t="b">
        <v>0</v>
      </c>
      <c r="M13" s="83" t="b">
        <v>1</v>
      </c>
      <c r="N13" s="85" t="b">
        <v>0</v>
      </c>
      <c r="O13" s="22" t="b">
        <v>1</v>
      </c>
    </row>
    <row r="14" spans="1:25" x14ac:dyDescent="0.2">
      <c r="A14" s="161" t="s">
        <v>447</v>
      </c>
      <c r="B14" s="103" t="s">
        <v>1443</v>
      </c>
      <c r="C14" s="85" t="b">
        <v>0</v>
      </c>
      <c r="D14" s="86" t="b">
        <v>0</v>
      </c>
      <c r="E14" s="85" t="b">
        <v>0</v>
      </c>
      <c r="F14" s="85" t="b">
        <v>0</v>
      </c>
      <c r="G14" s="86" t="b">
        <v>0</v>
      </c>
      <c r="H14" s="86" t="b">
        <v>0</v>
      </c>
      <c r="I14" s="23" t="b">
        <v>0</v>
      </c>
      <c r="J14" s="23" t="b">
        <v>0</v>
      </c>
      <c r="K14" s="23" t="b">
        <v>0</v>
      </c>
      <c r="L14" s="23" t="b">
        <v>0</v>
      </c>
      <c r="M14" s="83" t="b">
        <v>1</v>
      </c>
      <c r="N14" s="85" t="b">
        <v>0</v>
      </c>
      <c r="O14" s="22" t="b">
        <v>1</v>
      </c>
    </row>
    <row r="15" spans="1:25" x14ac:dyDescent="0.2">
      <c r="A15" s="103" t="s">
        <v>1444</v>
      </c>
      <c r="B15" s="103" t="s">
        <v>1445</v>
      </c>
      <c r="C15" s="85" t="b">
        <v>0</v>
      </c>
      <c r="D15" s="86" t="b">
        <v>0</v>
      </c>
      <c r="E15" s="85" t="b">
        <v>0</v>
      </c>
      <c r="F15" s="85" t="b">
        <v>0</v>
      </c>
      <c r="G15" s="86" t="b">
        <v>0</v>
      </c>
      <c r="H15" s="86" t="b">
        <v>0</v>
      </c>
      <c r="I15" s="23" t="b">
        <v>0</v>
      </c>
      <c r="J15" s="23" t="b">
        <v>0</v>
      </c>
      <c r="K15" s="23" t="b">
        <v>0</v>
      </c>
      <c r="L15" s="23" t="b">
        <v>0</v>
      </c>
      <c r="M15" s="83" t="b">
        <v>1</v>
      </c>
      <c r="N15" s="85" t="b">
        <v>0</v>
      </c>
      <c r="O15" s="22" t="b">
        <v>1</v>
      </c>
    </row>
    <row r="16" spans="1:25" x14ac:dyDescent="0.2">
      <c r="A16" s="103" t="s">
        <v>635</v>
      </c>
      <c r="B16" s="103" t="s">
        <v>1446</v>
      </c>
      <c r="C16" s="83" t="b">
        <v>1</v>
      </c>
      <c r="D16" s="86" t="b">
        <v>0</v>
      </c>
      <c r="E16" s="85" t="b">
        <v>0</v>
      </c>
      <c r="F16" s="85" t="b">
        <v>0</v>
      </c>
      <c r="G16" s="86" t="b">
        <v>0</v>
      </c>
      <c r="H16" s="86" t="b">
        <v>0</v>
      </c>
      <c r="I16" s="23" t="b">
        <v>0</v>
      </c>
      <c r="J16" s="23" t="b">
        <v>0</v>
      </c>
      <c r="K16" s="23" t="b">
        <v>0</v>
      </c>
      <c r="L16" s="23" t="b">
        <v>0</v>
      </c>
      <c r="M16" s="83" t="b">
        <v>1</v>
      </c>
      <c r="N16" s="85" t="b">
        <v>0</v>
      </c>
      <c r="O16" s="22" t="b">
        <v>1</v>
      </c>
    </row>
    <row r="18" spans="1:24" x14ac:dyDescent="0.2">
      <c r="C18" s="65"/>
      <c r="E18" s="65"/>
      <c r="F18" s="65"/>
    </row>
    <row r="19" spans="1:24" x14ac:dyDescent="0.2">
      <c r="C19" s="65"/>
      <c r="E19" s="65"/>
      <c r="F19" s="65"/>
      <c r="N19" s="559" t="s">
        <v>448</v>
      </c>
      <c r="O19" s="533"/>
      <c r="P19" s="533"/>
      <c r="Q19" s="533"/>
      <c r="R19" s="533"/>
      <c r="S19" s="533"/>
      <c r="T19" s="533"/>
      <c r="U19" s="533"/>
      <c r="V19" s="533"/>
      <c r="W19" s="533"/>
      <c r="X19" s="533"/>
    </row>
    <row r="20" spans="1:24" x14ac:dyDescent="0.2">
      <c r="A20" s="165" t="s">
        <v>457</v>
      </c>
      <c r="B20" s="166"/>
      <c r="C20" s="167"/>
      <c r="D20" s="559" t="s">
        <v>458</v>
      </c>
      <c r="E20" s="533"/>
      <c r="F20" s="533"/>
      <c r="G20" s="533"/>
      <c r="H20" s="533"/>
      <c r="I20" s="166"/>
      <c r="J20" s="166"/>
      <c r="K20" s="165" t="s">
        <v>201</v>
      </c>
      <c r="N20" s="119"/>
      <c r="O20" s="119"/>
      <c r="P20" s="119"/>
      <c r="Q20" s="119"/>
      <c r="R20" s="119"/>
      <c r="S20" s="119"/>
      <c r="T20" s="119"/>
      <c r="U20" s="119"/>
      <c r="V20" s="119"/>
      <c r="W20" s="119"/>
    </row>
    <row r="21" spans="1:24" x14ac:dyDescent="0.2">
      <c r="A21" s="119"/>
      <c r="B21" s="171" t="s">
        <v>459</v>
      </c>
      <c r="C21" s="171" t="s">
        <v>460</v>
      </c>
      <c r="D21" s="171" t="s">
        <v>459</v>
      </c>
      <c r="E21" s="171" t="s">
        <v>460</v>
      </c>
      <c r="F21" s="171" t="s">
        <v>459</v>
      </c>
      <c r="G21" s="171" t="s">
        <v>460</v>
      </c>
      <c r="H21" s="171" t="s">
        <v>459</v>
      </c>
      <c r="I21" s="171" t="s">
        <v>460</v>
      </c>
      <c r="J21" s="171" t="s">
        <v>459</v>
      </c>
      <c r="K21" s="119"/>
      <c r="N21" s="162" t="s">
        <v>449</v>
      </c>
      <c r="O21" s="163" t="s">
        <v>450</v>
      </c>
      <c r="P21" s="163" t="s">
        <v>451</v>
      </c>
      <c r="Q21" s="163" t="s">
        <v>452</v>
      </c>
      <c r="R21" s="163" t="s">
        <v>453</v>
      </c>
      <c r="S21" s="162" t="s">
        <v>454</v>
      </c>
      <c r="T21" s="163" t="s">
        <v>455</v>
      </c>
      <c r="U21" s="560" t="s">
        <v>456</v>
      </c>
      <c r="V21" s="533"/>
      <c r="W21" s="533"/>
      <c r="X21" s="533"/>
    </row>
    <row r="22" spans="1:24" x14ac:dyDescent="0.2">
      <c r="A22" s="119"/>
      <c r="B22" s="560" t="s">
        <v>156</v>
      </c>
      <c r="C22" s="533"/>
      <c r="D22" s="560" t="s">
        <v>464</v>
      </c>
      <c r="E22" s="533"/>
      <c r="F22" s="560" t="s">
        <v>132</v>
      </c>
      <c r="G22" s="533"/>
      <c r="H22" s="560" t="s">
        <v>136</v>
      </c>
      <c r="I22" s="533"/>
      <c r="J22" s="173" t="s">
        <v>465</v>
      </c>
      <c r="K22" s="119"/>
      <c r="O22" s="119"/>
      <c r="P22" s="119"/>
      <c r="Q22" s="119"/>
      <c r="R22" s="119"/>
      <c r="S22" s="119"/>
      <c r="T22" s="119"/>
      <c r="U22" s="164" t="s">
        <v>156</v>
      </c>
      <c r="V22" s="164" t="s">
        <v>126</v>
      </c>
      <c r="W22" s="164" t="s">
        <v>132</v>
      </c>
      <c r="X22" s="164" t="s">
        <v>136</v>
      </c>
    </row>
    <row r="23" spans="1:24" x14ac:dyDescent="0.2">
      <c r="A23" s="103" t="s">
        <v>291</v>
      </c>
      <c r="B23" s="175">
        <v>2</v>
      </c>
      <c r="C23" s="175">
        <v>2</v>
      </c>
      <c r="D23" s="175">
        <v>5</v>
      </c>
      <c r="E23" s="175">
        <v>12</v>
      </c>
      <c r="F23" s="175">
        <v>6</v>
      </c>
      <c r="G23" s="175">
        <v>15</v>
      </c>
      <c r="H23" s="175">
        <v>6</v>
      </c>
      <c r="I23" s="175">
        <v>15</v>
      </c>
      <c r="J23" s="176"/>
      <c r="K23" s="119" t="s">
        <v>467</v>
      </c>
      <c r="N23" s="215"/>
      <c r="O23" s="169" t="b">
        <v>0</v>
      </c>
      <c r="P23" s="119"/>
      <c r="Q23" s="119"/>
      <c r="R23" s="170"/>
      <c r="S23" s="119"/>
      <c r="T23" s="119"/>
      <c r="U23" s="169" t="b">
        <v>0</v>
      </c>
      <c r="V23" s="169" t="b">
        <v>0</v>
      </c>
      <c r="W23" s="169" t="b">
        <v>0</v>
      </c>
      <c r="X23" s="169" t="b">
        <v>0</v>
      </c>
    </row>
    <row r="24" spans="1:24" x14ac:dyDescent="0.2">
      <c r="A24" s="103" t="s">
        <v>293</v>
      </c>
      <c r="B24" s="175">
        <v>2</v>
      </c>
      <c r="C24" s="175">
        <v>2</v>
      </c>
      <c r="D24" s="175">
        <v>5</v>
      </c>
      <c r="E24" s="175">
        <v>12</v>
      </c>
      <c r="F24" s="175">
        <v>6</v>
      </c>
      <c r="G24" s="175">
        <v>15</v>
      </c>
      <c r="H24" s="175">
        <v>6</v>
      </c>
      <c r="I24" s="175">
        <v>15</v>
      </c>
      <c r="J24" s="176"/>
      <c r="K24" s="119" t="s">
        <v>467</v>
      </c>
      <c r="N24" s="215"/>
      <c r="O24" s="169" t="b">
        <v>0</v>
      </c>
      <c r="P24" s="119" t="s">
        <v>461</v>
      </c>
      <c r="Q24" s="119" t="s">
        <v>1447</v>
      </c>
      <c r="R24" s="123">
        <v>852402555</v>
      </c>
      <c r="S24" s="119"/>
      <c r="T24" s="119"/>
      <c r="U24" s="169" t="b">
        <v>0</v>
      </c>
      <c r="V24" s="169" t="b">
        <v>0</v>
      </c>
      <c r="W24" s="169" t="b">
        <v>0</v>
      </c>
      <c r="X24" s="169" t="b">
        <v>0</v>
      </c>
    </row>
    <row r="25" spans="1:24" x14ac:dyDescent="0.2">
      <c r="A25" s="103" t="s">
        <v>210</v>
      </c>
      <c r="B25" s="175">
        <v>2</v>
      </c>
      <c r="C25" s="175">
        <v>2</v>
      </c>
      <c r="D25" s="175">
        <v>5</v>
      </c>
      <c r="E25" s="175">
        <v>12</v>
      </c>
      <c r="F25" s="175">
        <v>6</v>
      </c>
      <c r="G25" s="175">
        <v>15</v>
      </c>
      <c r="H25" s="175">
        <v>6</v>
      </c>
      <c r="I25" s="175">
        <v>15</v>
      </c>
      <c r="J25" s="176"/>
      <c r="K25" s="119" t="s">
        <v>467</v>
      </c>
      <c r="N25" s="215"/>
      <c r="O25" s="169" t="b">
        <v>0</v>
      </c>
      <c r="P25" s="119" t="s">
        <v>461</v>
      </c>
      <c r="Q25" s="119" t="s">
        <v>1447</v>
      </c>
      <c r="R25" s="123">
        <v>862539642</v>
      </c>
      <c r="S25" s="119"/>
      <c r="T25" s="119"/>
      <c r="U25" s="172" t="b">
        <v>1</v>
      </c>
      <c r="V25" s="169" t="b">
        <v>0</v>
      </c>
      <c r="W25" s="169" t="b">
        <v>0</v>
      </c>
      <c r="X25" s="169" t="b">
        <v>0</v>
      </c>
    </row>
    <row r="26" spans="1:24" x14ac:dyDescent="0.2">
      <c r="A26" s="103" t="s">
        <v>435</v>
      </c>
      <c r="B26" s="175">
        <v>3</v>
      </c>
      <c r="C26" s="175">
        <v>4</v>
      </c>
      <c r="D26" s="175">
        <v>7</v>
      </c>
      <c r="E26" s="175">
        <v>12</v>
      </c>
      <c r="F26" s="175">
        <v>7</v>
      </c>
      <c r="G26" s="175">
        <v>15</v>
      </c>
      <c r="H26" s="175">
        <v>7</v>
      </c>
      <c r="I26" s="175">
        <v>15</v>
      </c>
      <c r="J26" s="176"/>
      <c r="K26" s="119" t="s">
        <v>467</v>
      </c>
      <c r="N26" s="215"/>
      <c r="O26" s="169" t="b">
        <v>0</v>
      </c>
      <c r="P26" s="119"/>
      <c r="Q26" s="119"/>
      <c r="R26" s="123"/>
      <c r="S26" s="119"/>
      <c r="T26" s="119"/>
      <c r="U26" s="169" t="b">
        <v>0</v>
      </c>
      <c r="V26" s="169" t="b">
        <v>0</v>
      </c>
      <c r="W26" s="169" t="b">
        <v>0</v>
      </c>
      <c r="X26" s="169" t="b">
        <v>0</v>
      </c>
    </row>
    <row r="27" spans="1:24" x14ac:dyDescent="0.2">
      <c r="A27" s="103" t="s">
        <v>161</v>
      </c>
      <c r="B27" s="175">
        <v>3</v>
      </c>
      <c r="C27" s="175">
        <v>2</v>
      </c>
      <c r="D27" s="175">
        <v>7</v>
      </c>
      <c r="E27" s="175">
        <v>12</v>
      </c>
      <c r="F27" s="175">
        <v>8</v>
      </c>
      <c r="G27" s="175">
        <v>15</v>
      </c>
      <c r="H27" s="175">
        <v>8</v>
      </c>
      <c r="I27" s="175">
        <v>15</v>
      </c>
      <c r="J27" s="176"/>
      <c r="K27" s="119" t="s">
        <v>467</v>
      </c>
      <c r="N27" s="215"/>
      <c r="O27" s="169" t="b">
        <v>0</v>
      </c>
      <c r="P27" s="119" t="s">
        <v>469</v>
      </c>
      <c r="Q27" s="119" t="s">
        <v>1447</v>
      </c>
      <c r="R27" s="123">
        <v>872416613</v>
      </c>
      <c r="S27" s="119"/>
      <c r="T27" s="119"/>
      <c r="U27" s="169" t="b">
        <v>0</v>
      </c>
      <c r="V27" s="169" t="b">
        <v>0</v>
      </c>
      <c r="W27" s="169" t="b">
        <v>0</v>
      </c>
      <c r="X27" s="169" t="b">
        <v>0</v>
      </c>
    </row>
    <row r="28" spans="1:24" x14ac:dyDescent="0.2">
      <c r="A28" s="103" t="s">
        <v>936</v>
      </c>
      <c r="B28" s="175">
        <v>2</v>
      </c>
      <c r="C28" s="175">
        <v>2</v>
      </c>
      <c r="D28" s="175">
        <v>6</v>
      </c>
      <c r="E28" s="175">
        <v>12</v>
      </c>
      <c r="F28" s="175">
        <v>7</v>
      </c>
      <c r="G28" s="175">
        <v>15</v>
      </c>
      <c r="H28" s="175">
        <v>7</v>
      </c>
      <c r="I28" s="175">
        <v>15</v>
      </c>
      <c r="J28" s="176"/>
      <c r="K28" s="119" t="s">
        <v>467</v>
      </c>
      <c r="N28" s="215"/>
      <c r="O28" s="169" t="b">
        <v>0</v>
      </c>
      <c r="P28" s="119" t="s">
        <v>1448</v>
      </c>
      <c r="Q28" s="119" t="s">
        <v>1447</v>
      </c>
      <c r="R28" s="123">
        <v>872539642</v>
      </c>
      <c r="S28" s="119"/>
      <c r="T28" s="119"/>
      <c r="U28" s="169" t="b">
        <v>0</v>
      </c>
      <c r="V28" s="169" t="b">
        <v>0</v>
      </c>
      <c r="W28" s="169" t="b">
        <v>0</v>
      </c>
      <c r="X28" s="169" t="b">
        <v>0</v>
      </c>
    </row>
    <row r="29" spans="1:24" x14ac:dyDescent="0.2">
      <c r="A29" s="103" t="s">
        <v>27</v>
      </c>
      <c r="B29" s="175">
        <v>2</v>
      </c>
      <c r="C29" s="175">
        <v>2</v>
      </c>
      <c r="D29" s="175">
        <v>6</v>
      </c>
      <c r="E29" s="175">
        <v>12</v>
      </c>
      <c r="F29" s="175">
        <v>7</v>
      </c>
      <c r="G29" s="175">
        <v>15</v>
      </c>
      <c r="H29" s="175">
        <v>7</v>
      </c>
      <c r="I29" s="175">
        <v>15</v>
      </c>
      <c r="J29" s="176"/>
      <c r="K29" s="119" t="s">
        <v>467</v>
      </c>
      <c r="N29" s="215"/>
      <c r="O29" s="169" t="b">
        <v>0</v>
      </c>
      <c r="P29" s="119" t="s">
        <v>1431</v>
      </c>
      <c r="Q29" s="119" t="s">
        <v>1447</v>
      </c>
      <c r="R29" s="123">
        <v>852154091</v>
      </c>
      <c r="S29" s="119"/>
      <c r="T29" s="119" t="s">
        <v>131</v>
      </c>
      <c r="U29" s="169" t="b">
        <v>0</v>
      </c>
      <c r="V29" s="169" t="b">
        <v>0</v>
      </c>
      <c r="W29" s="169" t="b">
        <v>0</v>
      </c>
      <c r="X29" s="169" t="b">
        <v>0</v>
      </c>
    </row>
    <row r="30" spans="1:24" x14ac:dyDescent="0.2">
      <c r="A30" s="103" t="s">
        <v>936</v>
      </c>
      <c r="B30" s="175">
        <v>2</v>
      </c>
      <c r="C30" s="175">
        <v>2</v>
      </c>
      <c r="D30" s="175">
        <v>6</v>
      </c>
      <c r="E30" s="175">
        <v>12</v>
      </c>
      <c r="F30" s="175">
        <v>7</v>
      </c>
      <c r="G30" s="175">
        <v>15</v>
      </c>
      <c r="H30" s="175">
        <v>7</v>
      </c>
      <c r="I30" s="175">
        <v>15</v>
      </c>
      <c r="J30" s="176"/>
      <c r="K30" s="119" t="s">
        <v>467</v>
      </c>
      <c r="N30" s="215"/>
      <c r="O30" s="169" t="b">
        <v>0</v>
      </c>
      <c r="P30" s="119" t="s">
        <v>1449</v>
      </c>
      <c r="Q30" s="119" t="s">
        <v>1447</v>
      </c>
      <c r="R30" s="123">
        <v>858740734</v>
      </c>
      <c r="S30" s="119"/>
      <c r="T30" s="119" t="s">
        <v>569</v>
      </c>
      <c r="U30" s="169" t="b">
        <v>0</v>
      </c>
      <c r="V30" s="169" t="b">
        <v>0</v>
      </c>
      <c r="W30" s="169" t="b">
        <v>0</v>
      </c>
      <c r="X30" s="169" t="b">
        <v>0</v>
      </c>
    </row>
    <row r="31" spans="1:24" x14ac:dyDescent="0.2">
      <c r="A31" s="160"/>
      <c r="B31" s="176"/>
      <c r="C31" s="176"/>
      <c r="D31" s="176"/>
      <c r="E31" s="176"/>
      <c r="F31" s="176"/>
      <c r="G31" s="176"/>
      <c r="H31" s="176"/>
      <c r="I31" s="176"/>
      <c r="J31" s="176"/>
      <c r="K31" s="119" t="s">
        <v>467</v>
      </c>
      <c r="N31" s="215"/>
      <c r="O31" s="169" t="b">
        <v>0</v>
      </c>
      <c r="P31" s="119" t="s">
        <v>1450</v>
      </c>
      <c r="Q31" s="119" t="s">
        <v>1447</v>
      </c>
      <c r="R31" s="123">
        <v>862539642</v>
      </c>
      <c r="S31" s="119"/>
      <c r="T31" s="119" t="s">
        <v>131</v>
      </c>
      <c r="U31" s="169" t="b">
        <v>0</v>
      </c>
      <c r="V31" s="169" t="b">
        <v>0</v>
      </c>
      <c r="W31" s="169" t="b">
        <v>0</v>
      </c>
      <c r="X31" s="169" t="b">
        <v>0</v>
      </c>
    </row>
    <row r="32" spans="1:24" x14ac:dyDescent="0.2">
      <c r="A32" s="103" t="s">
        <v>445</v>
      </c>
      <c r="B32" s="175">
        <v>1</v>
      </c>
      <c r="C32" s="175">
        <v>1</v>
      </c>
      <c r="D32" s="175">
        <v>2</v>
      </c>
      <c r="E32" s="175">
        <v>12</v>
      </c>
      <c r="F32" s="175">
        <v>2</v>
      </c>
      <c r="G32" s="175">
        <v>15</v>
      </c>
      <c r="H32" s="175">
        <v>2</v>
      </c>
      <c r="I32" s="175">
        <v>15</v>
      </c>
      <c r="J32" s="176"/>
      <c r="K32" s="119" t="s">
        <v>467</v>
      </c>
      <c r="N32" s="215"/>
      <c r="O32" s="169" t="b">
        <v>0</v>
      </c>
      <c r="P32" s="126" t="s">
        <v>1451</v>
      </c>
      <c r="Q32" s="126" t="s">
        <v>1452</v>
      </c>
      <c r="R32" s="123"/>
      <c r="S32" s="119"/>
      <c r="T32" s="119" t="s">
        <v>131</v>
      </c>
      <c r="U32" s="169" t="b">
        <v>0</v>
      </c>
      <c r="V32" s="169" t="b">
        <v>0</v>
      </c>
      <c r="W32" s="169" t="b">
        <v>0</v>
      </c>
      <c r="X32" s="169" t="b">
        <v>0</v>
      </c>
    </row>
    <row r="33" spans="1:24" x14ac:dyDescent="0.2">
      <c r="A33" s="103" t="s">
        <v>446</v>
      </c>
      <c r="B33" s="175">
        <v>1</v>
      </c>
      <c r="C33" s="175">
        <v>1</v>
      </c>
      <c r="D33" s="175">
        <v>2</v>
      </c>
      <c r="E33" s="175">
        <v>12</v>
      </c>
      <c r="F33" s="175">
        <v>2</v>
      </c>
      <c r="G33" s="175">
        <v>15</v>
      </c>
      <c r="H33" s="175">
        <v>2</v>
      </c>
      <c r="I33" s="175">
        <v>15</v>
      </c>
      <c r="J33" s="176"/>
      <c r="K33" s="119" t="s">
        <v>467</v>
      </c>
      <c r="N33" s="215"/>
      <c r="O33" s="169" t="b">
        <v>0</v>
      </c>
      <c r="P33" s="119" t="s">
        <v>1453</v>
      </c>
      <c r="Q33" s="119" t="s">
        <v>1454</v>
      </c>
      <c r="R33" s="123">
        <v>872227688</v>
      </c>
      <c r="S33" s="119"/>
      <c r="T33" s="119" t="s">
        <v>131</v>
      </c>
      <c r="U33" s="169" t="b">
        <v>0</v>
      </c>
      <c r="V33" s="169" t="b">
        <v>0</v>
      </c>
      <c r="W33" s="169" t="b">
        <v>0</v>
      </c>
      <c r="X33" s="169" t="b">
        <v>0</v>
      </c>
    </row>
    <row r="34" spans="1:24" x14ac:dyDescent="0.2">
      <c r="A34" s="161" t="s">
        <v>447</v>
      </c>
      <c r="B34" s="175">
        <v>1</v>
      </c>
      <c r="C34" s="175">
        <v>1</v>
      </c>
      <c r="D34" s="175">
        <v>1</v>
      </c>
      <c r="E34" s="175">
        <v>12</v>
      </c>
      <c r="F34" s="175">
        <v>2</v>
      </c>
      <c r="G34" s="175">
        <v>15</v>
      </c>
      <c r="H34" s="175">
        <v>2</v>
      </c>
      <c r="I34" s="175">
        <v>15</v>
      </c>
      <c r="J34" s="176"/>
      <c r="K34" s="119" t="s">
        <v>467</v>
      </c>
      <c r="N34" s="215"/>
      <c r="O34" s="169" t="b">
        <v>0</v>
      </c>
      <c r="P34" s="119" t="s">
        <v>1455</v>
      </c>
      <c r="Q34" s="119" t="s">
        <v>1454</v>
      </c>
      <c r="R34" s="123">
        <v>872588964</v>
      </c>
      <c r="S34" s="119"/>
      <c r="T34" s="119"/>
      <c r="U34" s="169" t="b">
        <v>0</v>
      </c>
      <c r="V34" s="169" t="b">
        <v>0</v>
      </c>
      <c r="W34" s="169" t="b">
        <v>0</v>
      </c>
      <c r="X34" s="169" t="b">
        <v>0</v>
      </c>
    </row>
    <row r="35" spans="1:24" x14ac:dyDescent="0.2">
      <c r="A35" s="103" t="s">
        <v>1444</v>
      </c>
      <c r="B35" s="175">
        <v>1</v>
      </c>
      <c r="C35" s="175">
        <v>1</v>
      </c>
      <c r="D35" s="175">
        <v>1</v>
      </c>
      <c r="E35" s="175">
        <v>12</v>
      </c>
      <c r="F35" s="175">
        <v>1</v>
      </c>
      <c r="G35" s="175">
        <v>15</v>
      </c>
      <c r="H35" s="175">
        <v>1</v>
      </c>
      <c r="I35" s="175">
        <v>15</v>
      </c>
      <c r="J35" s="176"/>
      <c r="K35" s="119" t="s">
        <v>467</v>
      </c>
      <c r="N35" s="215"/>
      <c r="O35" s="169" t="b">
        <v>0</v>
      </c>
      <c r="P35" s="119" t="s">
        <v>1456</v>
      </c>
      <c r="Q35" s="119" t="s">
        <v>1457</v>
      </c>
      <c r="R35" s="123">
        <v>833826017</v>
      </c>
      <c r="S35" s="119"/>
      <c r="T35" s="119" t="s">
        <v>131</v>
      </c>
      <c r="U35" s="169" t="b">
        <v>0</v>
      </c>
      <c r="V35" s="169" t="b">
        <v>0</v>
      </c>
      <c r="W35" s="169" t="b">
        <v>0</v>
      </c>
      <c r="X35" s="169" t="b">
        <v>0</v>
      </c>
    </row>
    <row r="36" spans="1:24" x14ac:dyDescent="0.2">
      <c r="A36" s="103" t="s">
        <v>635</v>
      </c>
      <c r="B36" s="177">
        <v>1</v>
      </c>
      <c r="C36" s="177">
        <v>1</v>
      </c>
      <c r="D36" s="177">
        <v>1</v>
      </c>
      <c r="E36" s="177">
        <v>12</v>
      </c>
      <c r="F36" s="177">
        <v>2</v>
      </c>
      <c r="G36" s="177">
        <v>15</v>
      </c>
      <c r="H36" s="177">
        <v>2</v>
      </c>
      <c r="I36" s="177">
        <v>15</v>
      </c>
      <c r="J36" s="178"/>
      <c r="K36" s="119" t="s">
        <v>467</v>
      </c>
      <c r="N36" s="215"/>
      <c r="O36" s="169" t="b">
        <v>0</v>
      </c>
      <c r="P36" s="119" t="s">
        <v>1458</v>
      </c>
      <c r="Q36" s="119" t="s">
        <v>781</v>
      </c>
      <c r="R36" s="123">
        <v>858321069</v>
      </c>
      <c r="S36" s="119"/>
      <c r="T36" s="119" t="s">
        <v>681</v>
      </c>
      <c r="U36" s="169" t="b">
        <v>0</v>
      </c>
      <c r="V36" s="169" t="b">
        <v>0</v>
      </c>
      <c r="W36" s="169" t="b">
        <v>0</v>
      </c>
      <c r="X36" s="169" t="b">
        <v>0</v>
      </c>
    </row>
    <row r="37" spans="1:24" x14ac:dyDescent="0.2">
      <c r="A37" s="179" t="s">
        <v>487</v>
      </c>
      <c r="B37" s="177">
        <v>4</v>
      </c>
      <c r="C37" s="177">
        <v>10</v>
      </c>
      <c r="D37" s="177">
        <v>5</v>
      </c>
      <c r="E37" s="177">
        <v>12</v>
      </c>
      <c r="F37" s="177">
        <v>5</v>
      </c>
      <c r="G37" s="177">
        <v>12</v>
      </c>
      <c r="H37" s="177">
        <v>5</v>
      </c>
      <c r="I37" s="177">
        <v>12</v>
      </c>
      <c r="J37" s="178"/>
      <c r="K37" s="119" t="s">
        <v>467</v>
      </c>
      <c r="N37" s="215"/>
      <c r="O37" s="169" t="b">
        <v>0</v>
      </c>
      <c r="P37" s="126" t="s">
        <v>189</v>
      </c>
      <c r="Q37" s="126" t="s">
        <v>1459</v>
      </c>
      <c r="R37" s="123"/>
      <c r="S37" s="119"/>
      <c r="T37" s="119" t="s">
        <v>681</v>
      </c>
      <c r="U37" s="169" t="b">
        <v>0</v>
      </c>
      <c r="V37" s="169" t="b">
        <v>0</v>
      </c>
      <c r="W37" s="169" t="b">
        <v>0</v>
      </c>
      <c r="X37" s="169" t="b">
        <v>0</v>
      </c>
    </row>
    <row r="38" spans="1:24" x14ac:dyDescent="0.2">
      <c r="N38" s="215"/>
      <c r="O38" s="169" t="b">
        <v>0</v>
      </c>
      <c r="P38" s="119" t="s">
        <v>1460</v>
      </c>
      <c r="Q38" s="119" t="s">
        <v>852</v>
      </c>
      <c r="R38" s="123">
        <v>857481740</v>
      </c>
      <c r="S38" s="119"/>
      <c r="T38" s="119" t="s">
        <v>131</v>
      </c>
      <c r="U38" s="169" t="b">
        <v>0</v>
      </c>
      <c r="V38" s="169" t="b">
        <v>0</v>
      </c>
      <c r="W38" s="169" t="b">
        <v>0</v>
      </c>
      <c r="X38" s="169" t="b">
        <v>0</v>
      </c>
    </row>
    <row r="39" spans="1:24" x14ac:dyDescent="0.2">
      <c r="A39" s="180"/>
      <c r="B39" s="180"/>
      <c r="C39" s="181"/>
      <c r="D39" s="180"/>
      <c r="E39" s="181"/>
      <c r="F39" s="181"/>
      <c r="G39" s="180"/>
      <c r="H39" s="180"/>
      <c r="I39" s="180"/>
      <c r="J39" s="180"/>
      <c r="K39" s="180"/>
      <c r="N39" s="215"/>
      <c r="O39" s="169" t="b">
        <v>0</v>
      </c>
      <c r="P39" s="119" t="s">
        <v>1461</v>
      </c>
      <c r="Q39" s="119" t="s">
        <v>1462</v>
      </c>
      <c r="R39" s="123">
        <v>871622026</v>
      </c>
      <c r="S39" s="119"/>
      <c r="T39" s="119" t="s">
        <v>131</v>
      </c>
      <c r="U39" s="169" t="b">
        <v>0</v>
      </c>
      <c r="V39" s="169" t="b">
        <v>0</v>
      </c>
      <c r="W39" s="169" t="b">
        <v>0</v>
      </c>
      <c r="X39" s="169" t="b">
        <v>0</v>
      </c>
    </row>
    <row r="40" spans="1:24" x14ac:dyDescent="0.2">
      <c r="A40" s="119"/>
      <c r="B40" s="119"/>
      <c r="C40" s="176"/>
      <c r="D40" s="176"/>
      <c r="E40" s="176"/>
      <c r="F40" s="176"/>
      <c r="G40" s="119"/>
      <c r="H40" s="176"/>
      <c r="I40" s="119"/>
      <c r="J40" s="119"/>
      <c r="K40" s="119"/>
      <c r="N40" s="215"/>
      <c r="O40" s="169" t="b">
        <v>0</v>
      </c>
      <c r="P40" s="126" t="s">
        <v>372</v>
      </c>
      <c r="Q40" s="126" t="s">
        <v>1463</v>
      </c>
      <c r="R40" s="123"/>
      <c r="S40" s="119"/>
      <c r="T40" s="119" t="s">
        <v>131</v>
      </c>
      <c r="U40" s="169" t="b">
        <v>0</v>
      </c>
      <c r="V40" s="169" t="b">
        <v>0</v>
      </c>
      <c r="W40" s="169" t="b">
        <v>0</v>
      </c>
      <c r="X40" s="169" t="b">
        <v>0</v>
      </c>
    </row>
    <row r="41" spans="1:24" x14ac:dyDescent="0.2">
      <c r="A41" s="182" t="s">
        <v>497</v>
      </c>
      <c r="B41" s="183">
        <f t="shared" ref="B41:J41" si="0">SUM(B23:B40)</f>
        <v>27</v>
      </c>
      <c r="C41" s="183">
        <f t="shared" si="0"/>
        <v>33</v>
      </c>
      <c r="D41" s="183">
        <f t="shared" si="0"/>
        <v>59</v>
      </c>
      <c r="E41" s="183">
        <f t="shared" si="0"/>
        <v>168</v>
      </c>
      <c r="F41" s="183">
        <f t="shared" si="0"/>
        <v>68</v>
      </c>
      <c r="G41" s="183">
        <f t="shared" si="0"/>
        <v>207</v>
      </c>
      <c r="H41" s="183">
        <f t="shared" si="0"/>
        <v>68</v>
      </c>
      <c r="I41" s="183">
        <f t="shared" si="0"/>
        <v>207</v>
      </c>
      <c r="J41" s="183">
        <f t="shared" si="0"/>
        <v>0</v>
      </c>
      <c r="K41" s="183"/>
      <c r="N41" s="215"/>
      <c r="O41" s="169" t="b">
        <v>0</v>
      </c>
      <c r="P41" s="119" t="s">
        <v>1464</v>
      </c>
      <c r="Q41" s="119" t="s">
        <v>882</v>
      </c>
      <c r="R41" s="123">
        <v>851203406</v>
      </c>
      <c r="S41" s="119"/>
      <c r="T41" s="119"/>
      <c r="U41" s="169" t="b">
        <v>0</v>
      </c>
      <c r="V41" s="169" t="b">
        <v>0</v>
      </c>
      <c r="W41" s="169" t="b">
        <v>0</v>
      </c>
      <c r="X41" s="169" t="b">
        <v>0</v>
      </c>
    </row>
    <row r="42" spans="1:24" x14ac:dyDescent="0.2">
      <c r="A42" s="119"/>
      <c r="B42" s="119"/>
      <c r="C42" s="176"/>
      <c r="D42" s="176"/>
      <c r="E42" s="176"/>
      <c r="F42" s="176"/>
      <c r="G42" s="119"/>
      <c r="H42" s="176"/>
      <c r="I42" s="119"/>
      <c r="J42" s="119"/>
      <c r="K42" s="119"/>
      <c r="N42" s="215"/>
      <c r="O42" s="169" t="b">
        <v>0</v>
      </c>
      <c r="P42" s="126" t="s">
        <v>1465</v>
      </c>
      <c r="Q42" s="126" t="s">
        <v>1466</v>
      </c>
      <c r="R42" s="123"/>
      <c r="S42" s="119"/>
      <c r="T42" s="119" t="s">
        <v>131</v>
      </c>
      <c r="U42" s="169" t="b">
        <v>0</v>
      </c>
      <c r="V42" s="169" t="b">
        <v>0</v>
      </c>
      <c r="W42" s="169" t="b">
        <v>0</v>
      </c>
      <c r="X42" s="169" t="b">
        <v>0</v>
      </c>
    </row>
    <row r="43" spans="1:24" x14ac:dyDescent="0.2">
      <c r="A43" s="563" t="s">
        <v>503</v>
      </c>
      <c r="B43" s="537"/>
      <c r="C43" s="531"/>
      <c r="D43" s="176"/>
      <c r="E43" s="564" t="s">
        <v>504</v>
      </c>
      <c r="F43" s="537"/>
      <c r="G43" s="537"/>
      <c r="H43" s="537"/>
      <c r="I43" s="537"/>
      <c r="J43" s="537"/>
      <c r="K43" s="537"/>
      <c r="L43" s="531"/>
      <c r="N43" s="215"/>
      <c r="O43" s="169" t="b">
        <v>0</v>
      </c>
      <c r="P43" s="126" t="s">
        <v>594</v>
      </c>
      <c r="Q43" s="126" t="s">
        <v>1466</v>
      </c>
      <c r="R43" s="123"/>
      <c r="S43" s="119"/>
      <c r="T43" s="119" t="s">
        <v>131</v>
      </c>
      <c r="U43" s="169" t="b">
        <v>0</v>
      </c>
      <c r="V43" s="169" t="b">
        <v>0</v>
      </c>
      <c r="W43" s="169" t="b">
        <v>0</v>
      </c>
      <c r="X43" s="169" t="b">
        <v>0</v>
      </c>
    </row>
    <row r="44" spans="1:24" x14ac:dyDescent="0.2">
      <c r="A44" s="184" t="s">
        <v>508</v>
      </c>
      <c r="B44" s="185" t="s">
        <v>509</v>
      </c>
      <c r="C44" s="186" t="s">
        <v>95</v>
      </c>
      <c r="D44" s="176"/>
      <c r="E44" s="78" t="s">
        <v>200</v>
      </c>
      <c r="F44" s="78" t="s">
        <v>201</v>
      </c>
      <c r="G44" s="207"/>
      <c r="H44" s="151"/>
      <c r="I44" s="565" t="s">
        <v>96</v>
      </c>
      <c r="J44" s="537"/>
      <c r="K44" s="531"/>
      <c r="L44" s="187" t="s">
        <v>153</v>
      </c>
      <c r="N44" s="215"/>
      <c r="O44" s="169" t="b">
        <v>0</v>
      </c>
      <c r="P44" s="126" t="s">
        <v>1467</v>
      </c>
      <c r="Q44" s="126" t="s">
        <v>797</v>
      </c>
      <c r="R44" s="123"/>
      <c r="S44" s="119"/>
      <c r="T44" s="119" t="s">
        <v>493</v>
      </c>
      <c r="U44" s="169" t="b">
        <v>0</v>
      </c>
      <c r="V44" s="169" t="b">
        <v>0</v>
      </c>
      <c r="W44" s="169" t="b">
        <v>0</v>
      </c>
      <c r="X44" s="169" t="b">
        <v>0</v>
      </c>
    </row>
    <row r="45" spans="1:24" x14ac:dyDescent="0.2">
      <c r="A45" s="103" t="s">
        <v>27</v>
      </c>
      <c r="B45" s="161" t="s">
        <v>570</v>
      </c>
      <c r="C45" s="161" t="s">
        <v>99</v>
      </c>
      <c r="D45" s="176"/>
      <c r="E45" s="97" t="s">
        <v>291</v>
      </c>
      <c r="F45" s="97" t="s">
        <v>292</v>
      </c>
      <c r="G45" s="207"/>
      <c r="H45" s="151"/>
      <c r="I45" s="103" t="s">
        <v>126</v>
      </c>
      <c r="J45" s="103" t="s">
        <v>132</v>
      </c>
      <c r="K45" s="103" t="s">
        <v>136</v>
      </c>
      <c r="L45" s="23"/>
      <c r="N45" s="215"/>
      <c r="O45" s="169" t="b">
        <v>0</v>
      </c>
      <c r="P45" s="126" t="s">
        <v>1468</v>
      </c>
      <c r="Q45" s="126" t="s">
        <v>468</v>
      </c>
      <c r="R45" s="123"/>
      <c r="S45" s="119"/>
      <c r="T45" s="119" t="s">
        <v>502</v>
      </c>
      <c r="U45" s="169" t="b">
        <v>0</v>
      </c>
      <c r="V45" s="169" t="b">
        <v>0</v>
      </c>
      <c r="W45" s="169" t="b">
        <v>0</v>
      </c>
      <c r="X45" s="169" t="b">
        <v>0</v>
      </c>
    </row>
    <row r="46" spans="1:24" x14ac:dyDescent="0.2">
      <c r="A46" s="103" t="s">
        <v>293</v>
      </c>
      <c r="B46" s="161">
        <v>152</v>
      </c>
      <c r="C46" s="161" t="s">
        <v>1469</v>
      </c>
      <c r="D46" s="176"/>
      <c r="E46" s="103" t="s">
        <v>293</v>
      </c>
      <c r="F46" s="103" t="s">
        <v>292</v>
      </c>
      <c r="G46" s="23"/>
      <c r="H46" s="23"/>
      <c r="I46" s="193">
        <v>7127</v>
      </c>
      <c r="J46" s="193">
        <v>10918.5</v>
      </c>
      <c r="K46" s="193">
        <v>10497.5</v>
      </c>
      <c r="L46" s="194">
        <f>SUM(I46:K46)</f>
        <v>28543</v>
      </c>
      <c r="N46" s="215"/>
      <c r="O46" s="169" t="b">
        <v>0</v>
      </c>
      <c r="P46" s="126" t="s">
        <v>1470</v>
      </c>
      <c r="Q46" s="119"/>
      <c r="R46" s="123"/>
      <c r="S46" s="119"/>
      <c r="T46" s="119" t="s">
        <v>493</v>
      </c>
      <c r="U46" s="169" t="b">
        <v>0</v>
      </c>
      <c r="V46" s="169" t="b">
        <v>0</v>
      </c>
      <c r="W46" s="169" t="b">
        <v>0</v>
      </c>
      <c r="X46" s="169" t="b">
        <v>0</v>
      </c>
    </row>
    <row r="47" spans="1:24" x14ac:dyDescent="0.2">
      <c r="A47" s="103" t="s">
        <v>210</v>
      </c>
      <c r="B47" s="161" t="s">
        <v>589</v>
      </c>
      <c r="C47" s="161" t="s">
        <v>1471</v>
      </c>
      <c r="D47" s="176"/>
      <c r="E47" s="103" t="s">
        <v>210</v>
      </c>
      <c r="F47" s="103" t="s">
        <v>292</v>
      </c>
      <c r="G47" s="23"/>
      <c r="H47" s="23"/>
      <c r="I47" s="196">
        <v>4285</v>
      </c>
      <c r="J47" s="196">
        <v>7737.5</v>
      </c>
      <c r="K47" s="196">
        <v>8971.5</v>
      </c>
      <c r="L47" s="194">
        <f t="shared" ref="L47:L58" si="1">SUM(I47:K47)</f>
        <v>20994</v>
      </c>
      <c r="N47" s="215"/>
      <c r="O47" s="169" t="b">
        <v>0</v>
      </c>
      <c r="P47" s="119" t="s">
        <v>1472</v>
      </c>
      <c r="Q47" s="119" t="s">
        <v>1473</v>
      </c>
      <c r="R47" s="123">
        <v>852270819</v>
      </c>
      <c r="S47" s="403"/>
      <c r="T47" s="403" t="s">
        <v>493</v>
      </c>
      <c r="U47" s="169" t="b">
        <v>0</v>
      </c>
      <c r="V47" s="169" t="b">
        <v>0</v>
      </c>
      <c r="W47" s="169" t="b">
        <v>0</v>
      </c>
      <c r="X47" s="169" t="b">
        <v>0</v>
      </c>
    </row>
    <row r="48" spans="1:24" x14ac:dyDescent="0.2">
      <c r="A48" s="103" t="s">
        <v>435</v>
      </c>
      <c r="B48" s="26" t="s">
        <v>1474</v>
      </c>
      <c r="C48" s="26" t="s">
        <v>105</v>
      </c>
      <c r="E48" s="103" t="s">
        <v>435</v>
      </c>
      <c r="F48" s="103" t="s">
        <v>1434</v>
      </c>
      <c r="G48" s="23"/>
      <c r="H48" s="23"/>
      <c r="I48" s="196">
        <v>17658.5</v>
      </c>
      <c r="J48" s="196">
        <v>28256</v>
      </c>
      <c r="K48" s="196">
        <v>24044</v>
      </c>
      <c r="L48" s="194">
        <f t="shared" si="1"/>
        <v>69958.5</v>
      </c>
      <c r="N48" s="215"/>
      <c r="O48" s="169" t="b">
        <v>0</v>
      </c>
      <c r="P48" s="189" t="s">
        <v>1475</v>
      </c>
      <c r="Q48" s="403"/>
      <c r="R48" s="404"/>
      <c r="S48" s="403"/>
      <c r="T48" s="403" t="s">
        <v>493</v>
      </c>
      <c r="U48" s="191" t="b">
        <v>0</v>
      </c>
      <c r="V48" s="191" t="b">
        <v>0</v>
      </c>
      <c r="W48" s="191" t="b">
        <v>0</v>
      </c>
      <c r="X48" s="191" t="b">
        <v>0</v>
      </c>
    </row>
    <row r="49" spans="1:24" x14ac:dyDescent="0.2">
      <c r="A49" s="103" t="s">
        <v>161</v>
      </c>
      <c r="B49" s="26" t="s">
        <v>1476</v>
      </c>
      <c r="C49" s="26" t="s">
        <v>110</v>
      </c>
      <c r="E49" s="103" t="s">
        <v>161</v>
      </c>
      <c r="F49" s="103" t="s">
        <v>292</v>
      </c>
      <c r="G49" s="23"/>
      <c r="H49" s="23"/>
      <c r="I49" s="196">
        <v>10319.5</v>
      </c>
      <c r="J49" s="196">
        <v>16766</v>
      </c>
      <c r="K49" s="196">
        <v>15961.5</v>
      </c>
      <c r="L49" s="194">
        <f t="shared" si="1"/>
        <v>43047</v>
      </c>
      <c r="N49" s="215"/>
      <c r="O49" s="169" t="b">
        <v>0</v>
      </c>
      <c r="P49" s="403" t="s">
        <v>1477</v>
      </c>
      <c r="Q49" s="403" t="s">
        <v>1447</v>
      </c>
      <c r="R49" s="404">
        <v>852825716</v>
      </c>
      <c r="S49" s="119"/>
      <c r="T49" s="119" t="s">
        <v>493</v>
      </c>
      <c r="U49" s="191" t="b">
        <v>0</v>
      </c>
      <c r="V49" s="191" t="b">
        <v>0</v>
      </c>
      <c r="W49" s="191" t="b">
        <v>0</v>
      </c>
      <c r="X49" s="191" t="b">
        <v>0</v>
      </c>
    </row>
    <row r="50" spans="1:24" x14ac:dyDescent="0.2">
      <c r="A50" s="103" t="s">
        <v>936</v>
      </c>
      <c r="B50" s="26" t="s">
        <v>1478</v>
      </c>
      <c r="C50" s="26" t="s">
        <v>513</v>
      </c>
      <c r="E50" s="103" t="s">
        <v>21</v>
      </c>
      <c r="F50" s="103" t="s">
        <v>1437</v>
      </c>
      <c r="G50" s="23"/>
      <c r="H50" s="23"/>
      <c r="I50" s="196">
        <v>6844.5</v>
      </c>
      <c r="J50" s="196">
        <v>12670.5</v>
      </c>
      <c r="K50" s="196">
        <v>11074.5</v>
      </c>
      <c r="L50" s="194">
        <f t="shared" si="1"/>
        <v>30589.5</v>
      </c>
      <c r="N50" s="215"/>
      <c r="O50" s="169" t="b">
        <v>0</v>
      </c>
      <c r="P50" s="126" t="s">
        <v>1479</v>
      </c>
      <c r="Q50" s="119"/>
      <c r="R50" s="123"/>
      <c r="S50" s="119"/>
      <c r="T50" s="119" t="s">
        <v>493</v>
      </c>
      <c r="U50" s="169" t="b">
        <v>0</v>
      </c>
      <c r="V50" s="169" t="b">
        <v>0</v>
      </c>
      <c r="W50" s="169" t="b">
        <v>0</v>
      </c>
      <c r="X50" s="169" t="b">
        <v>0</v>
      </c>
    </row>
    <row r="51" spans="1:24" x14ac:dyDescent="0.2">
      <c r="A51" s="103" t="s">
        <v>1480</v>
      </c>
      <c r="B51" s="26" t="s">
        <v>1481</v>
      </c>
      <c r="C51" s="26" t="s">
        <v>1431</v>
      </c>
      <c r="E51" s="103" t="s">
        <v>439</v>
      </c>
      <c r="F51" s="103" t="s">
        <v>768</v>
      </c>
      <c r="G51" s="23"/>
      <c r="H51" s="23"/>
      <c r="I51" s="196">
        <v>11906.5</v>
      </c>
      <c r="J51" s="196">
        <v>11749.5</v>
      </c>
      <c r="K51" s="196">
        <v>13173</v>
      </c>
      <c r="L51" s="194">
        <f t="shared" si="1"/>
        <v>36829</v>
      </c>
      <c r="N51" s="215"/>
      <c r="O51" s="169" t="b">
        <v>0</v>
      </c>
      <c r="P51" s="126" t="s">
        <v>1482</v>
      </c>
      <c r="Q51" s="119"/>
      <c r="R51" s="123"/>
      <c r="S51" s="119"/>
      <c r="T51" s="119" t="s">
        <v>493</v>
      </c>
      <c r="U51" s="169" t="b">
        <v>0</v>
      </c>
      <c r="V51" s="169" t="b">
        <v>0</v>
      </c>
      <c r="W51" s="169" t="b">
        <v>0</v>
      </c>
      <c r="X51" s="169" t="b">
        <v>0</v>
      </c>
    </row>
    <row r="52" spans="1:24" x14ac:dyDescent="0.2">
      <c r="A52" s="103" t="s">
        <v>936</v>
      </c>
      <c r="B52" s="26" t="s">
        <v>1483</v>
      </c>
      <c r="C52" s="25"/>
      <c r="E52" s="103" t="s">
        <v>24</v>
      </c>
      <c r="F52" s="103" t="s">
        <v>768</v>
      </c>
      <c r="G52" s="23"/>
      <c r="H52" s="23"/>
      <c r="I52" s="196">
        <v>11569</v>
      </c>
      <c r="J52" s="196">
        <v>17123</v>
      </c>
      <c r="K52" s="196">
        <v>21880.5</v>
      </c>
      <c r="L52" s="194">
        <f t="shared" si="1"/>
        <v>50572.5</v>
      </c>
      <c r="N52" s="215"/>
      <c r="O52" s="169" t="b">
        <v>0</v>
      </c>
      <c r="P52" s="126" t="s">
        <v>1484</v>
      </c>
      <c r="Q52" s="119"/>
      <c r="R52" s="123"/>
      <c r="S52" s="119"/>
      <c r="T52" s="119" t="s">
        <v>493</v>
      </c>
      <c r="U52" s="169" t="b">
        <v>0</v>
      </c>
      <c r="V52" s="169" t="b">
        <v>0</v>
      </c>
      <c r="W52" s="169" t="b">
        <v>0</v>
      </c>
      <c r="X52" s="169" t="b">
        <v>0</v>
      </c>
    </row>
    <row r="53" spans="1:24" x14ac:dyDescent="0.2">
      <c r="A53" s="103" t="s">
        <v>445</v>
      </c>
      <c r="B53" s="405" t="s">
        <v>92</v>
      </c>
      <c r="C53" s="406"/>
      <c r="E53" s="605" t="s">
        <v>444</v>
      </c>
      <c r="F53" s="537"/>
      <c r="G53" s="531"/>
      <c r="H53" s="23"/>
      <c r="I53" s="196"/>
      <c r="J53" s="200"/>
      <c r="K53" s="200"/>
      <c r="L53" s="194">
        <f t="shared" si="1"/>
        <v>0</v>
      </c>
      <c r="N53" s="215"/>
      <c r="O53" s="169" t="b">
        <v>0</v>
      </c>
      <c r="P53" s="126" t="s">
        <v>170</v>
      </c>
      <c r="Q53" s="126" t="s">
        <v>1485</v>
      </c>
      <c r="R53" s="123"/>
      <c r="S53" s="119"/>
      <c r="T53" s="119" t="s">
        <v>493</v>
      </c>
      <c r="U53" s="169" t="b">
        <v>0</v>
      </c>
      <c r="V53" s="169" t="b">
        <v>0</v>
      </c>
      <c r="W53" s="169" t="b">
        <v>0</v>
      </c>
      <c r="X53" s="169" t="b">
        <v>0</v>
      </c>
    </row>
    <row r="54" spans="1:24" x14ac:dyDescent="0.2">
      <c r="A54" s="103" t="s">
        <v>446</v>
      </c>
      <c r="B54" s="405" t="s">
        <v>92</v>
      </c>
      <c r="C54" s="406"/>
      <c r="E54" s="103" t="s">
        <v>445</v>
      </c>
      <c r="F54" s="103" t="s">
        <v>1441</v>
      </c>
      <c r="G54" s="23"/>
      <c r="H54" s="23"/>
      <c r="I54" s="196">
        <v>2362</v>
      </c>
      <c r="J54" s="196">
        <v>4733.5</v>
      </c>
      <c r="K54" s="196">
        <v>4396</v>
      </c>
      <c r="L54" s="194">
        <f t="shared" si="1"/>
        <v>11491.5</v>
      </c>
      <c r="N54" s="215"/>
      <c r="O54" s="169" t="b">
        <v>0</v>
      </c>
      <c r="P54" s="119" t="s">
        <v>1486</v>
      </c>
      <c r="Q54" s="119" t="s">
        <v>1487</v>
      </c>
      <c r="R54" s="123">
        <v>851331264</v>
      </c>
      <c r="S54" s="119"/>
      <c r="T54" s="119" t="s">
        <v>493</v>
      </c>
      <c r="U54" s="169" t="b">
        <v>0</v>
      </c>
      <c r="V54" s="169" t="b">
        <v>0</v>
      </c>
      <c r="W54" s="169" t="b">
        <v>0</v>
      </c>
      <c r="X54" s="169" t="b">
        <v>0</v>
      </c>
    </row>
    <row r="55" spans="1:24" x14ac:dyDescent="0.2">
      <c r="A55" s="161" t="s">
        <v>447</v>
      </c>
      <c r="B55" s="405" t="s">
        <v>92</v>
      </c>
      <c r="C55" s="406"/>
      <c r="E55" s="103" t="s">
        <v>446</v>
      </c>
      <c r="F55" s="103" t="s">
        <v>1442</v>
      </c>
      <c r="G55" s="23"/>
      <c r="H55" s="23"/>
      <c r="I55" s="193">
        <v>2519.5</v>
      </c>
      <c r="J55" s="193">
        <v>2308</v>
      </c>
      <c r="K55" s="193">
        <v>5228</v>
      </c>
      <c r="L55" s="194">
        <f t="shared" si="1"/>
        <v>10055.5</v>
      </c>
      <c r="N55" s="215"/>
      <c r="O55" s="169" t="b">
        <v>0</v>
      </c>
      <c r="P55" s="119" t="s">
        <v>1488</v>
      </c>
      <c r="Q55" s="119" t="s">
        <v>1489</v>
      </c>
      <c r="R55" s="123">
        <v>851331264</v>
      </c>
      <c r="S55" s="119"/>
      <c r="T55" s="119" t="s">
        <v>493</v>
      </c>
      <c r="U55" s="169" t="b">
        <v>0</v>
      </c>
      <c r="V55" s="169" t="b">
        <v>0</v>
      </c>
      <c r="W55" s="169" t="b">
        <v>0</v>
      </c>
      <c r="X55" s="169" t="b">
        <v>0</v>
      </c>
    </row>
    <row r="56" spans="1:24" x14ac:dyDescent="0.2">
      <c r="A56" s="103" t="s">
        <v>589</v>
      </c>
      <c r="B56" s="405" t="s">
        <v>92</v>
      </c>
      <c r="C56" s="406"/>
      <c r="E56" s="161" t="s">
        <v>447</v>
      </c>
      <c r="F56" s="103" t="s">
        <v>1443</v>
      </c>
      <c r="G56" s="23"/>
      <c r="H56" s="23"/>
      <c r="I56" s="196">
        <v>2473</v>
      </c>
      <c r="J56" s="196">
        <v>4016</v>
      </c>
      <c r="K56" s="196">
        <v>4242</v>
      </c>
      <c r="L56" s="194">
        <f t="shared" si="1"/>
        <v>10731</v>
      </c>
      <c r="N56" s="215"/>
      <c r="O56" s="169" t="b">
        <v>0</v>
      </c>
      <c r="P56" s="126" t="s">
        <v>1490</v>
      </c>
      <c r="Q56" s="126" t="s">
        <v>793</v>
      </c>
      <c r="R56" s="123"/>
      <c r="S56" s="119"/>
      <c r="T56" s="119" t="s">
        <v>569</v>
      </c>
      <c r="U56" s="169" t="b">
        <v>0</v>
      </c>
      <c r="V56" s="169" t="b">
        <v>0</v>
      </c>
      <c r="W56" s="169" t="b">
        <v>0</v>
      </c>
      <c r="X56" s="169" t="b">
        <v>0</v>
      </c>
    </row>
    <row r="57" spans="1:24" x14ac:dyDescent="0.2">
      <c r="A57" s="103" t="s">
        <v>635</v>
      </c>
      <c r="B57" s="26" t="s">
        <v>92</v>
      </c>
      <c r="C57" s="26" t="s">
        <v>536</v>
      </c>
      <c r="E57" s="103" t="s">
        <v>1444</v>
      </c>
      <c r="F57" s="103" t="s">
        <v>1491</v>
      </c>
      <c r="G57" s="23"/>
      <c r="H57" s="23"/>
      <c r="I57" s="196">
        <v>6091.5</v>
      </c>
      <c r="J57" s="196">
        <v>7576.5</v>
      </c>
      <c r="K57" s="196">
        <v>5483</v>
      </c>
      <c r="L57" s="194">
        <f t="shared" si="1"/>
        <v>19151</v>
      </c>
      <c r="N57" s="215"/>
      <c r="O57" s="169" t="b">
        <v>0</v>
      </c>
      <c r="P57" s="126" t="s">
        <v>1492</v>
      </c>
      <c r="Q57" s="126" t="s">
        <v>793</v>
      </c>
      <c r="R57" s="123"/>
      <c r="S57" s="119"/>
      <c r="T57" s="119" t="s">
        <v>131</v>
      </c>
      <c r="U57" s="169" t="b">
        <v>0</v>
      </c>
      <c r="V57" s="169" t="b">
        <v>0</v>
      </c>
      <c r="W57" s="169" t="b">
        <v>0</v>
      </c>
      <c r="X57" s="169" t="b">
        <v>0</v>
      </c>
    </row>
    <row r="58" spans="1:24" x14ac:dyDescent="0.2">
      <c r="A58" s="22" t="s">
        <v>551</v>
      </c>
      <c r="B58" s="26" t="s">
        <v>92</v>
      </c>
      <c r="C58" s="26" t="s">
        <v>1493</v>
      </c>
      <c r="E58" s="103" t="s">
        <v>635</v>
      </c>
      <c r="F58" s="103" t="s">
        <v>1494</v>
      </c>
      <c r="G58" s="23"/>
      <c r="H58" s="23"/>
      <c r="I58" s="196">
        <v>5199</v>
      </c>
      <c r="J58" s="196">
        <v>4436</v>
      </c>
      <c r="K58" s="196">
        <v>4868</v>
      </c>
      <c r="L58" s="194">
        <f t="shared" si="1"/>
        <v>14503</v>
      </c>
      <c r="N58" s="215"/>
      <c r="O58" s="169" t="b">
        <v>0</v>
      </c>
      <c r="P58" s="119" t="s">
        <v>483</v>
      </c>
      <c r="Q58" s="119" t="s">
        <v>1495</v>
      </c>
      <c r="R58" s="123">
        <v>852213053</v>
      </c>
      <c r="S58" s="119"/>
      <c r="T58" s="119" t="s">
        <v>493</v>
      </c>
      <c r="U58" s="169" t="b">
        <v>0</v>
      </c>
      <c r="V58" s="169" t="b">
        <v>0</v>
      </c>
      <c r="W58" s="169" t="b">
        <v>0</v>
      </c>
      <c r="X58" s="169" t="b">
        <v>0</v>
      </c>
    </row>
    <row r="59" spans="1:24" x14ac:dyDescent="0.2">
      <c r="A59" s="103" t="s">
        <v>552</v>
      </c>
      <c r="B59" s="405" t="s">
        <v>92</v>
      </c>
      <c r="C59" s="406"/>
      <c r="E59" s="23"/>
      <c r="F59" s="23"/>
      <c r="G59" s="23"/>
      <c r="H59" s="187" t="s">
        <v>153</v>
      </c>
      <c r="I59" s="200">
        <f t="shared" ref="I59:L59" si="2">SUM(I46:I58)</f>
        <v>88355</v>
      </c>
      <c r="J59" s="200">
        <f t="shared" si="2"/>
        <v>128291</v>
      </c>
      <c r="K59" s="200">
        <f t="shared" si="2"/>
        <v>129819.5</v>
      </c>
      <c r="L59" s="201">
        <f t="shared" si="2"/>
        <v>346465.5</v>
      </c>
      <c r="N59" s="215"/>
      <c r="O59" s="169" t="b">
        <v>0</v>
      </c>
      <c r="P59" s="126" t="s">
        <v>1496</v>
      </c>
      <c r="Q59" s="126" t="s">
        <v>785</v>
      </c>
      <c r="R59" s="123"/>
      <c r="S59" s="119"/>
      <c r="T59" s="119" t="s">
        <v>493</v>
      </c>
      <c r="U59" s="169" t="b">
        <v>0</v>
      </c>
      <c r="V59" s="169" t="b">
        <v>0</v>
      </c>
      <c r="W59" s="169" t="b">
        <v>0</v>
      </c>
      <c r="X59" s="169" t="b">
        <v>0</v>
      </c>
    </row>
    <row r="60" spans="1:24" x14ac:dyDescent="0.2">
      <c r="A60" s="103" t="s">
        <v>557</v>
      </c>
      <c r="B60" s="26" t="s">
        <v>92</v>
      </c>
      <c r="C60" s="25"/>
      <c r="E60" s="151"/>
      <c r="F60" s="151"/>
      <c r="G60" s="207"/>
      <c r="H60" s="202" t="s">
        <v>561</v>
      </c>
      <c r="I60" s="200">
        <f t="shared" ref="I60:L60" si="3">I59*22.5%</f>
        <v>19879.875</v>
      </c>
      <c r="J60" s="200">
        <f t="shared" si="3"/>
        <v>28865.475000000002</v>
      </c>
      <c r="K60" s="200">
        <f t="shared" si="3"/>
        <v>29209.387500000001</v>
      </c>
      <c r="L60" s="203">
        <f t="shared" si="3"/>
        <v>77954.737500000003</v>
      </c>
      <c r="N60" s="215"/>
      <c r="O60" s="169" t="b">
        <v>0</v>
      </c>
      <c r="P60" s="126" t="s">
        <v>1497</v>
      </c>
      <c r="Q60" s="126" t="s">
        <v>1498</v>
      </c>
      <c r="R60" s="123"/>
      <c r="S60" s="119"/>
      <c r="T60" s="119" t="s">
        <v>131</v>
      </c>
      <c r="U60" s="169" t="b">
        <v>0</v>
      </c>
      <c r="V60" s="169" t="b">
        <v>0</v>
      </c>
      <c r="W60" s="169" t="b">
        <v>0</v>
      </c>
      <c r="X60" s="169" t="b">
        <v>0</v>
      </c>
    </row>
    <row r="61" spans="1:24" x14ac:dyDescent="0.2">
      <c r="A61" s="103" t="s">
        <v>436</v>
      </c>
      <c r="B61" s="26" t="s">
        <v>1499</v>
      </c>
      <c r="C61" s="25"/>
      <c r="E61" s="151"/>
      <c r="F61" s="151"/>
      <c r="G61" s="207"/>
      <c r="H61" s="204" t="s">
        <v>565</v>
      </c>
      <c r="I61" s="200">
        <f t="shared" ref="I61:L61" si="4">I59-I60</f>
        <v>68475.125</v>
      </c>
      <c r="J61" s="200">
        <f t="shared" si="4"/>
        <v>99425.524999999994</v>
      </c>
      <c r="K61" s="200">
        <f t="shared" si="4"/>
        <v>100610.1125</v>
      </c>
      <c r="L61" s="205">
        <f t="shared" si="4"/>
        <v>268510.76250000001</v>
      </c>
      <c r="N61" s="215"/>
      <c r="O61" s="169" t="b">
        <v>0</v>
      </c>
      <c r="P61" s="119" t="s">
        <v>1500</v>
      </c>
      <c r="Q61" s="119" t="s">
        <v>1459</v>
      </c>
      <c r="R61" s="123">
        <v>868092185</v>
      </c>
      <c r="S61" s="119"/>
      <c r="T61" s="119" t="s">
        <v>493</v>
      </c>
      <c r="U61" s="169" t="b">
        <v>0</v>
      </c>
      <c r="V61" s="169" t="b">
        <v>0</v>
      </c>
      <c r="W61" s="169" t="b">
        <v>0</v>
      </c>
      <c r="X61" s="169" t="b">
        <v>0</v>
      </c>
    </row>
    <row r="62" spans="1:24" x14ac:dyDescent="0.2">
      <c r="A62" s="103" t="s">
        <v>437</v>
      </c>
      <c r="B62" s="161" t="s">
        <v>92</v>
      </c>
      <c r="C62" s="407"/>
      <c r="D62" s="119"/>
      <c r="E62" s="176"/>
      <c r="F62" s="176"/>
      <c r="G62" s="119"/>
      <c r="H62" s="206" t="s">
        <v>571</v>
      </c>
      <c r="I62" s="207"/>
      <c r="J62" s="207"/>
      <c r="K62" s="207"/>
      <c r="L62" s="208">
        <v>236629.72</v>
      </c>
      <c r="N62" s="215"/>
      <c r="O62" s="169" t="b">
        <v>0</v>
      </c>
      <c r="P62" s="119" t="s">
        <v>1501</v>
      </c>
      <c r="Q62" s="119" t="s">
        <v>1502</v>
      </c>
      <c r="R62" s="123">
        <v>857118027</v>
      </c>
      <c r="S62" s="119"/>
      <c r="T62" s="119" t="s">
        <v>131</v>
      </c>
      <c r="U62" s="169" t="b">
        <v>0</v>
      </c>
      <c r="V62" s="169" t="b">
        <v>0</v>
      </c>
      <c r="W62" s="169" t="b">
        <v>0</v>
      </c>
      <c r="X62" s="169" t="b">
        <v>0</v>
      </c>
    </row>
    <row r="63" spans="1:24" x14ac:dyDescent="0.2">
      <c r="A63" s="103" t="s">
        <v>438</v>
      </c>
      <c r="B63" s="408" t="s">
        <v>92</v>
      </c>
      <c r="C63" s="409"/>
      <c r="D63" s="119"/>
      <c r="H63" s="209" t="s">
        <v>577</v>
      </c>
      <c r="I63" s="23"/>
      <c r="J63" s="207"/>
      <c r="K63" s="207"/>
      <c r="L63" s="410">
        <f>L61-L62</f>
        <v>31881.04250000001</v>
      </c>
      <c r="N63" s="215"/>
      <c r="O63" s="169" t="b">
        <v>0</v>
      </c>
      <c r="P63" s="119" t="s">
        <v>1503</v>
      </c>
      <c r="Q63" s="119" t="s">
        <v>1504</v>
      </c>
      <c r="R63" s="123">
        <v>871497999</v>
      </c>
      <c r="S63" s="119"/>
      <c r="T63" s="119" t="s">
        <v>569</v>
      </c>
      <c r="U63" s="169" t="b">
        <v>0</v>
      </c>
      <c r="V63" s="169" t="b">
        <v>0</v>
      </c>
      <c r="W63" s="169" t="b">
        <v>0</v>
      </c>
      <c r="X63" s="169" t="b">
        <v>0</v>
      </c>
    </row>
    <row r="64" spans="1:24" x14ac:dyDescent="0.2">
      <c r="A64" s="103" t="s">
        <v>440</v>
      </c>
      <c r="B64" s="161" t="s">
        <v>92</v>
      </c>
      <c r="C64" s="407"/>
      <c r="D64" s="119"/>
      <c r="N64" s="215"/>
      <c r="O64" s="169" t="b">
        <v>0</v>
      </c>
      <c r="P64" s="119" t="s">
        <v>1505</v>
      </c>
      <c r="Q64" s="119" t="s">
        <v>1506</v>
      </c>
      <c r="R64" s="123">
        <v>851619098</v>
      </c>
      <c r="S64" s="119"/>
      <c r="T64" s="119" t="s">
        <v>569</v>
      </c>
      <c r="U64" s="169" t="b">
        <v>0</v>
      </c>
      <c r="V64" s="169" t="b">
        <v>0</v>
      </c>
      <c r="W64" s="169" t="b">
        <v>0</v>
      </c>
      <c r="X64" s="169" t="b">
        <v>0</v>
      </c>
    </row>
    <row r="65" spans="1:24" x14ac:dyDescent="0.2">
      <c r="A65" s="103" t="s">
        <v>442</v>
      </c>
      <c r="B65" s="26" t="s">
        <v>92</v>
      </c>
      <c r="C65" s="25"/>
      <c r="N65" s="215"/>
      <c r="O65" s="169" t="b">
        <v>0</v>
      </c>
      <c r="P65" s="119" t="s">
        <v>1507</v>
      </c>
      <c r="Q65" s="119" t="s">
        <v>1504</v>
      </c>
      <c r="R65" s="123">
        <v>862733958</v>
      </c>
      <c r="S65" s="126" t="s">
        <v>1508</v>
      </c>
      <c r="T65" s="119" t="s">
        <v>493</v>
      </c>
      <c r="U65" s="169" t="b">
        <v>0</v>
      </c>
      <c r="V65" s="169" t="b">
        <v>0</v>
      </c>
      <c r="W65" s="169" t="b">
        <v>0</v>
      </c>
      <c r="X65" s="169" t="b">
        <v>0</v>
      </c>
    </row>
    <row r="66" spans="1:24" x14ac:dyDescent="0.2">
      <c r="A66" s="22" t="s">
        <v>570</v>
      </c>
      <c r="B66" s="405" t="s">
        <v>92</v>
      </c>
      <c r="C66" s="406"/>
      <c r="J66" s="119"/>
      <c r="K66" s="119"/>
      <c r="N66" s="215"/>
      <c r="O66" s="169" t="b">
        <v>0</v>
      </c>
      <c r="P66" s="119" t="s">
        <v>1509</v>
      </c>
      <c r="Q66" s="119" t="s">
        <v>1510</v>
      </c>
      <c r="R66" s="123">
        <v>871237228</v>
      </c>
      <c r="S66" s="119"/>
      <c r="T66" s="119" t="s">
        <v>493</v>
      </c>
      <c r="U66" s="169" t="b">
        <v>0</v>
      </c>
      <c r="V66" s="169" t="b">
        <v>0</v>
      </c>
      <c r="W66" s="169" t="b">
        <v>0</v>
      </c>
      <c r="X66" s="169" t="b">
        <v>0</v>
      </c>
    </row>
    <row r="67" spans="1:24" x14ac:dyDescent="0.2">
      <c r="A67" s="22" t="s">
        <v>1476</v>
      </c>
      <c r="B67" s="405" t="s">
        <v>92</v>
      </c>
      <c r="C67" s="406"/>
      <c r="J67" s="126"/>
      <c r="K67" s="119"/>
      <c r="N67" s="215"/>
      <c r="O67" s="169" t="b">
        <v>0</v>
      </c>
      <c r="P67" s="126" t="s">
        <v>1511</v>
      </c>
      <c r="Q67" s="126" t="s">
        <v>1512</v>
      </c>
      <c r="R67" s="123"/>
      <c r="S67" s="119"/>
      <c r="T67" s="119" t="s">
        <v>493</v>
      </c>
      <c r="U67" s="169" t="b">
        <v>0</v>
      </c>
      <c r="V67" s="169" t="b">
        <v>0</v>
      </c>
      <c r="W67" s="169" t="b">
        <v>0</v>
      </c>
      <c r="X67" s="169" t="b">
        <v>0</v>
      </c>
    </row>
    <row r="68" spans="1:24" x14ac:dyDescent="0.2">
      <c r="A68" s="22" t="s">
        <v>1513</v>
      </c>
      <c r="B68" s="405" t="s">
        <v>92</v>
      </c>
      <c r="C68" s="406"/>
      <c r="J68" s="119"/>
      <c r="K68" s="119"/>
      <c r="N68" s="215"/>
      <c r="O68" s="169" t="b">
        <v>0</v>
      </c>
      <c r="P68" s="126" t="s">
        <v>1514</v>
      </c>
      <c r="Q68" s="126" t="s">
        <v>1515</v>
      </c>
      <c r="R68" s="123"/>
      <c r="S68" s="119"/>
      <c r="T68" s="119" t="s">
        <v>493</v>
      </c>
      <c r="U68" s="169" t="b">
        <v>0</v>
      </c>
      <c r="V68" s="169" t="b">
        <v>0</v>
      </c>
      <c r="W68" s="169" t="b">
        <v>0</v>
      </c>
      <c r="X68" s="169" t="b">
        <v>0</v>
      </c>
    </row>
    <row r="69" spans="1:24" x14ac:dyDescent="0.2">
      <c r="A69" s="22" t="s">
        <v>1516</v>
      </c>
      <c r="B69" s="22" t="s">
        <v>92</v>
      </c>
      <c r="C69" s="23"/>
      <c r="J69" s="119"/>
      <c r="K69" s="119"/>
      <c r="N69" s="215"/>
      <c r="O69" s="169" t="b">
        <v>0</v>
      </c>
      <c r="P69" s="126" t="s">
        <v>1517</v>
      </c>
      <c r="Q69" s="119"/>
      <c r="R69" s="123"/>
      <c r="S69" s="119"/>
      <c r="T69" s="119" t="s">
        <v>493</v>
      </c>
      <c r="U69" s="169" t="b">
        <v>0</v>
      </c>
      <c r="V69" s="169" t="b">
        <v>0</v>
      </c>
      <c r="W69" s="169" t="b">
        <v>0</v>
      </c>
      <c r="X69" s="169" t="b">
        <v>0</v>
      </c>
    </row>
    <row r="70" spans="1:24" x14ac:dyDescent="0.2">
      <c r="A70" s="544" t="s">
        <v>126</v>
      </c>
      <c r="B70" s="545"/>
      <c r="C70" s="545"/>
      <c r="D70" s="545"/>
      <c r="E70" s="545"/>
      <c r="F70" s="545"/>
      <c r="G70" s="545"/>
      <c r="H70" s="545"/>
      <c r="I70" s="545"/>
      <c r="J70" s="546"/>
      <c r="K70" s="119"/>
      <c r="N70" s="215"/>
      <c r="O70" s="169" t="b">
        <v>0</v>
      </c>
      <c r="P70" s="126" t="s">
        <v>586</v>
      </c>
      <c r="Q70" s="119"/>
      <c r="R70" s="123"/>
      <c r="S70" s="119"/>
      <c r="T70" s="119" t="s">
        <v>493</v>
      </c>
      <c r="U70" s="169" t="b">
        <v>0</v>
      </c>
      <c r="V70" s="169" t="b">
        <v>0</v>
      </c>
      <c r="W70" s="169" t="b">
        <v>0</v>
      </c>
      <c r="X70" s="169" t="b">
        <v>0</v>
      </c>
    </row>
    <row r="71" spans="1:24" x14ac:dyDescent="0.2">
      <c r="A71" s="547"/>
      <c r="B71" s="548"/>
      <c r="C71" s="548"/>
      <c r="D71" s="548"/>
      <c r="E71" s="548"/>
      <c r="F71" s="548"/>
      <c r="G71" s="548"/>
      <c r="H71" s="548"/>
      <c r="I71" s="548"/>
      <c r="J71" s="549"/>
      <c r="K71" s="119"/>
      <c r="N71" s="215"/>
      <c r="O71" s="169" t="b">
        <v>0</v>
      </c>
      <c r="P71" s="126" t="s">
        <v>590</v>
      </c>
      <c r="Q71" s="119"/>
      <c r="R71" s="123"/>
      <c r="S71" s="119"/>
      <c r="T71" s="119" t="s">
        <v>493</v>
      </c>
      <c r="U71" s="169" t="b">
        <v>0</v>
      </c>
      <c r="V71" s="169" t="b">
        <v>0</v>
      </c>
      <c r="W71" s="169" t="b">
        <v>0</v>
      </c>
      <c r="X71" s="169" t="b">
        <v>0</v>
      </c>
    </row>
    <row r="72" spans="1:24" x14ac:dyDescent="0.2">
      <c r="A72" s="23"/>
      <c r="B72" s="551" t="s">
        <v>1518</v>
      </c>
      <c r="C72" s="531"/>
      <c r="D72" s="211"/>
      <c r="E72" s="211"/>
      <c r="F72" s="561" t="s">
        <v>1519</v>
      </c>
      <c r="G72" s="531"/>
      <c r="H72" s="211"/>
      <c r="I72" s="562" t="s">
        <v>1520</v>
      </c>
      <c r="J72" s="531"/>
      <c r="K72" s="119"/>
      <c r="N72" s="215"/>
      <c r="O72" s="169" t="b">
        <v>0</v>
      </c>
      <c r="P72" s="126" t="s">
        <v>1521</v>
      </c>
      <c r="Q72" s="119"/>
      <c r="R72" s="123"/>
      <c r="S72" s="119"/>
      <c r="T72" s="119" t="s">
        <v>569</v>
      </c>
      <c r="U72" s="169" t="b">
        <v>0</v>
      </c>
      <c r="V72" s="169" t="b">
        <v>0</v>
      </c>
      <c r="W72" s="169" t="b">
        <v>0</v>
      </c>
      <c r="X72" s="169" t="b">
        <v>0</v>
      </c>
    </row>
    <row r="73" spans="1:24" x14ac:dyDescent="0.2">
      <c r="A73" s="78" t="s">
        <v>200</v>
      </c>
      <c r="B73" s="103">
        <v>1</v>
      </c>
      <c r="C73" s="103">
        <v>2</v>
      </c>
      <c r="D73" s="103">
        <v>3</v>
      </c>
      <c r="E73" s="103">
        <v>4</v>
      </c>
      <c r="F73" s="103">
        <v>5</v>
      </c>
      <c r="G73" s="103">
        <v>6</v>
      </c>
      <c r="H73" s="103">
        <v>7</v>
      </c>
      <c r="I73" s="103">
        <v>8</v>
      </c>
      <c r="J73" s="103">
        <v>9</v>
      </c>
      <c r="K73" s="119"/>
      <c r="N73" s="215"/>
      <c r="O73" s="169" t="b">
        <v>0</v>
      </c>
      <c r="P73" s="126" t="s">
        <v>1522</v>
      </c>
      <c r="Q73" s="119"/>
      <c r="R73" s="123"/>
      <c r="S73" s="119"/>
      <c r="T73" s="119" t="s">
        <v>493</v>
      </c>
      <c r="U73" s="169" t="b">
        <v>0</v>
      </c>
      <c r="V73" s="169" t="b">
        <v>0</v>
      </c>
      <c r="W73" s="169" t="b">
        <v>0</v>
      </c>
      <c r="X73" s="169" t="b">
        <v>0</v>
      </c>
    </row>
    <row r="74" spans="1:24" x14ac:dyDescent="0.2">
      <c r="A74" s="103"/>
      <c r="B74" s="103"/>
      <c r="C74" s="103"/>
      <c r="D74" s="207"/>
      <c r="E74" s="151"/>
      <c r="F74" s="153"/>
      <c r="G74" s="153"/>
      <c r="H74" s="153"/>
      <c r="I74" s="207"/>
      <c r="J74" s="207"/>
      <c r="K74" s="119"/>
      <c r="N74" s="215"/>
      <c r="O74" s="169" t="b">
        <v>0</v>
      </c>
      <c r="P74" s="126" t="s">
        <v>1523</v>
      </c>
      <c r="Q74" s="119"/>
      <c r="R74" s="123"/>
      <c r="S74" s="119"/>
      <c r="T74" s="119" t="s">
        <v>493</v>
      </c>
      <c r="U74" s="169" t="b">
        <v>0</v>
      </c>
      <c r="V74" s="169" t="b">
        <v>0</v>
      </c>
      <c r="W74" s="169" t="b">
        <v>0</v>
      </c>
      <c r="X74" s="169" t="b">
        <v>0</v>
      </c>
    </row>
    <row r="75" spans="1:24" x14ac:dyDescent="0.2">
      <c r="A75" s="103" t="s">
        <v>293</v>
      </c>
      <c r="B75" s="411" t="s">
        <v>860</v>
      </c>
      <c r="C75" s="411" t="s">
        <v>1524</v>
      </c>
      <c r="D75" s="411" t="s">
        <v>1525</v>
      </c>
      <c r="E75" s="407"/>
      <c r="F75" s="412" t="s">
        <v>1526</v>
      </c>
      <c r="G75" s="412" t="s">
        <v>1527</v>
      </c>
      <c r="H75" s="407"/>
      <c r="I75" s="407"/>
      <c r="J75" s="207"/>
      <c r="M75" s="215"/>
      <c r="O75" s="172" t="b">
        <v>0</v>
      </c>
      <c r="P75" s="126" t="s">
        <v>1528</v>
      </c>
      <c r="Q75" s="119"/>
      <c r="R75" s="123"/>
      <c r="S75" s="119"/>
      <c r="T75" s="119" t="s">
        <v>493</v>
      </c>
      <c r="U75" s="169" t="b">
        <v>0</v>
      </c>
      <c r="V75" s="169" t="b">
        <v>0</v>
      </c>
      <c r="W75" s="169" t="b">
        <v>0</v>
      </c>
      <c r="X75" s="169" t="b">
        <v>0</v>
      </c>
    </row>
    <row r="76" spans="1:24" x14ac:dyDescent="0.2">
      <c r="A76" s="103" t="s">
        <v>210</v>
      </c>
      <c r="B76" s="411" t="s">
        <v>250</v>
      </c>
      <c r="C76" s="411" t="s">
        <v>1529</v>
      </c>
      <c r="D76" s="161"/>
      <c r="E76" s="407"/>
      <c r="F76" s="412" t="s">
        <v>1530</v>
      </c>
      <c r="G76" s="412" t="s">
        <v>1531</v>
      </c>
      <c r="H76" s="412" t="s">
        <v>1532</v>
      </c>
      <c r="I76" s="407"/>
      <c r="J76" s="407"/>
      <c r="K76" s="119"/>
      <c r="N76" s="215"/>
      <c r="O76" s="169" t="b">
        <v>0</v>
      </c>
      <c r="P76" s="126" t="s">
        <v>1533</v>
      </c>
      <c r="Q76" s="119"/>
      <c r="R76" s="123"/>
      <c r="S76" s="119"/>
      <c r="T76" s="119" t="s">
        <v>681</v>
      </c>
      <c r="U76" s="169" t="b">
        <v>0</v>
      </c>
      <c r="V76" s="169" t="b">
        <v>0</v>
      </c>
      <c r="W76" s="169" t="b">
        <v>0</v>
      </c>
      <c r="X76" s="169" t="b">
        <v>0</v>
      </c>
    </row>
    <row r="77" spans="1:24" x14ac:dyDescent="0.2">
      <c r="A77" s="103" t="s">
        <v>435</v>
      </c>
      <c r="B77" s="411" t="s">
        <v>231</v>
      </c>
      <c r="C77" s="411" t="s">
        <v>1534</v>
      </c>
      <c r="D77" s="411" t="s">
        <v>1433</v>
      </c>
      <c r="E77" s="407"/>
      <c r="F77" s="412" t="s">
        <v>1439</v>
      </c>
      <c r="G77" s="412" t="s">
        <v>1440</v>
      </c>
      <c r="H77" s="412" t="s">
        <v>228</v>
      </c>
      <c r="I77" s="412" t="s">
        <v>1535</v>
      </c>
      <c r="J77" s="412" t="s">
        <v>1536</v>
      </c>
      <c r="K77" s="119"/>
      <c r="N77" s="215"/>
      <c r="O77" s="169" t="b">
        <v>0</v>
      </c>
      <c r="P77" s="126" t="s">
        <v>1537</v>
      </c>
      <c r="Q77" s="119"/>
      <c r="R77" s="123"/>
      <c r="S77" s="119"/>
      <c r="T77" s="119" t="s">
        <v>493</v>
      </c>
      <c r="U77" s="169" t="b">
        <v>0</v>
      </c>
      <c r="V77" s="169" t="b">
        <v>0</v>
      </c>
      <c r="W77" s="169" t="b">
        <v>0</v>
      </c>
      <c r="X77" s="169" t="b">
        <v>0</v>
      </c>
    </row>
    <row r="78" spans="1:24" x14ac:dyDescent="0.2">
      <c r="A78" s="103" t="s">
        <v>161</v>
      </c>
      <c r="B78" s="411" t="s">
        <v>1526</v>
      </c>
      <c r="C78" s="411" t="s">
        <v>1538</v>
      </c>
      <c r="D78" s="411" t="s">
        <v>1539</v>
      </c>
      <c r="E78" s="412" t="s">
        <v>1540</v>
      </c>
      <c r="F78" s="412" t="s">
        <v>1541</v>
      </c>
      <c r="G78" s="412" t="s">
        <v>813</v>
      </c>
      <c r="H78" s="412" t="s">
        <v>1542</v>
      </c>
      <c r="I78" s="412" t="s">
        <v>1543</v>
      </c>
      <c r="J78" s="412" t="s">
        <v>1544</v>
      </c>
      <c r="K78" s="119"/>
      <c r="N78" s="215"/>
      <c r="O78" s="169" t="b">
        <v>0</v>
      </c>
      <c r="P78" s="126" t="s">
        <v>1545</v>
      </c>
      <c r="Q78" s="119"/>
      <c r="R78" s="123"/>
      <c r="S78" s="119"/>
      <c r="T78" s="119" t="s">
        <v>493</v>
      </c>
      <c r="U78" s="169" t="b">
        <v>0</v>
      </c>
      <c r="V78" s="169" t="b">
        <v>0</v>
      </c>
      <c r="W78" s="169" t="b">
        <v>0</v>
      </c>
      <c r="X78" s="169" t="b">
        <v>0</v>
      </c>
    </row>
    <row r="79" spans="1:24" x14ac:dyDescent="0.2">
      <c r="A79" s="103" t="s">
        <v>24</v>
      </c>
      <c r="B79" s="411" t="s">
        <v>246</v>
      </c>
      <c r="C79" s="411" t="s">
        <v>1546</v>
      </c>
      <c r="D79" s="407"/>
      <c r="E79" s="407"/>
      <c r="G79" s="412" t="s">
        <v>1547</v>
      </c>
      <c r="H79" s="412" t="s">
        <v>1548</v>
      </c>
      <c r="I79" s="412" t="s">
        <v>1549</v>
      </c>
      <c r="J79" s="407"/>
      <c r="K79" s="119"/>
      <c r="N79" s="215"/>
      <c r="O79" s="169" t="b">
        <v>0</v>
      </c>
      <c r="P79" s="126" t="s">
        <v>1550</v>
      </c>
      <c r="Q79" s="119"/>
      <c r="R79" s="123"/>
      <c r="S79" s="119"/>
      <c r="T79" s="119" t="s">
        <v>131</v>
      </c>
      <c r="U79" s="169" t="b">
        <v>0</v>
      </c>
      <c r="V79" s="169" t="b">
        <v>0</v>
      </c>
      <c r="W79" s="169" t="b">
        <v>0</v>
      </c>
      <c r="X79" s="169" t="b">
        <v>0</v>
      </c>
    </row>
    <row r="80" spans="1:24" x14ac:dyDescent="0.2">
      <c r="A80" s="103" t="s">
        <v>439</v>
      </c>
      <c r="B80" s="411" t="s">
        <v>1551</v>
      </c>
      <c r="C80" s="411" t="s">
        <v>1552</v>
      </c>
      <c r="D80" s="407"/>
      <c r="E80" s="407"/>
      <c r="F80" s="412" t="s">
        <v>1553</v>
      </c>
      <c r="G80" s="412" t="s">
        <v>1554</v>
      </c>
      <c r="H80" s="412" t="s">
        <v>1555</v>
      </c>
      <c r="I80" s="161"/>
      <c r="J80" s="161"/>
      <c r="L80" s="215"/>
      <c r="O80" s="169" t="b">
        <v>0</v>
      </c>
      <c r="P80" s="126" t="s">
        <v>196</v>
      </c>
      <c r="Q80" s="126" t="s">
        <v>559</v>
      </c>
      <c r="R80" s="123"/>
      <c r="S80" s="119"/>
      <c r="T80" s="119" t="s">
        <v>569</v>
      </c>
      <c r="U80" s="169" t="b">
        <v>0</v>
      </c>
      <c r="V80" s="169" t="b">
        <v>0</v>
      </c>
      <c r="W80" s="169" t="b">
        <v>0</v>
      </c>
      <c r="X80" s="169" t="b">
        <v>0</v>
      </c>
    </row>
    <row r="81" spans="1:24" x14ac:dyDescent="0.2">
      <c r="A81" s="103" t="s">
        <v>1556</v>
      </c>
      <c r="B81" s="411" t="s">
        <v>513</v>
      </c>
      <c r="C81" s="411" t="s">
        <v>1557</v>
      </c>
      <c r="D81" s="411" t="s">
        <v>1558</v>
      </c>
      <c r="E81" s="407"/>
      <c r="F81" s="412" t="s">
        <v>562</v>
      </c>
      <c r="G81" s="161"/>
      <c r="H81" s="161"/>
      <c r="I81" s="413" t="s">
        <v>1559</v>
      </c>
      <c r="J81" s="413" t="s">
        <v>1560</v>
      </c>
      <c r="K81" s="119"/>
      <c r="N81" s="215"/>
      <c r="O81" s="169" t="b">
        <v>0</v>
      </c>
      <c r="P81" s="126" t="s">
        <v>1561</v>
      </c>
      <c r="Q81" s="126" t="s">
        <v>1562</v>
      </c>
      <c r="R81" s="123"/>
      <c r="S81" s="119"/>
      <c r="T81" s="119" t="s">
        <v>493</v>
      </c>
      <c r="U81" s="169" t="b">
        <v>0</v>
      </c>
      <c r="V81" s="169" t="b">
        <v>0</v>
      </c>
      <c r="W81" s="169" t="b">
        <v>0</v>
      </c>
      <c r="X81" s="169" t="b">
        <v>0</v>
      </c>
    </row>
    <row r="82" spans="1:24" x14ac:dyDescent="0.2">
      <c r="A82" s="217" t="s">
        <v>444</v>
      </c>
      <c r="B82" s="407"/>
      <c r="C82" s="407"/>
      <c r="D82" s="407"/>
      <c r="E82" s="407"/>
      <c r="F82" s="407"/>
      <c r="G82" s="407"/>
      <c r="H82" s="407"/>
      <c r="I82" s="407"/>
      <c r="J82" s="407"/>
      <c r="K82" s="119"/>
      <c r="N82" s="215"/>
      <c r="O82" s="169" t="b">
        <v>0</v>
      </c>
      <c r="P82" s="119" t="s">
        <v>1563</v>
      </c>
      <c r="Q82" s="119" t="s">
        <v>1564</v>
      </c>
      <c r="R82" s="123">
        <v>830742707</v>
      </c>
      <c r="S82" s="119"/>
      <c r="T82" s="119"/>
      <c r="U82" s="169" t="b">
        <v>0</v>
      </c>
      <c r="V82" s="169" t="b">
        <v>0</v>
      </c>
      <c r="W82" s="169" t="b">
        <v>0</v>
      </c>
      <c r="X82" s="169" t="b">
        <v>0</v>
      </c>
    </row>
    <row r="83" spans="1:24" x14ac:dyDescent="0.2">
      <c r="A83" s="103" t="s">
        <v>445</v>
      </c>
      <c r="B83" s="411" t="s">
        <v>1565</v>
      </c>
      <c r="C83" s="407"/>
      <c r="D83" s="407"/>
      <c r="E83" s="407"/>
      <c r="F83" s="412" t="s">
        <v>1566</v>
      </c>
      <c r="G83" s="412" t="s">
        <v>1567</v>
      </c>
      <c r="H83" s="407"/>
      <c r="I83" s="407"/>
      <c r="J83" s="407"/>
      <c r="K83" s="119"/>
      <c r="N83" s="215"/>
      <c r="O83" s="169" t="b">
        <v>0</v>
      </c>
      <c r="P83" s="119" t="s">
        <v>1568</v>
      </c>
      <c r="Q83" s="119" t="s">
        <v>1569</v>
      </c>
      <c r="R83" s="123">
        <v>851182744</v>
      </c>
      <c r="S83" s="119"/>
      <c r="T83" s="119"/>
      <c r="U83" s="169" t="b">
        <v>0</v>
      </c>
      <c r="V83" s="169" t="b">
        <v>0</v>
      </c>
      <c r="W83" s="169" t="b">
        <v>0</v>
      </c>
      <c r="X83" s="169" t="b">
        <v>0</v>
      </c>
    </row>
    <row r="84" spans="1:24" x14ac:dyDescent="0.2">
      <c r="A84" s="103" t="s">
        <v>446</v>
      </c>
      <c r="B84" s="161"/>
      <c r="C84" s="161"/>
      <c r="D84" s="407"/>
      <c r="E84" s="407"/>
      <c r="F84" s="412" t="s">
        <v>1570</v>
      </c>
      <c r="G84" s="412" t="s">
        <v>252</v>
      </c>
      <c r="H84" s="407"/>
      <c r="I84" s="407"/>
      <c r="J84" s="407"/>
      <c r="K84" s="119"/>
      <c r="N84" s="215"/>
      <c r="O84" s="169" t="b">
        <v>0</v>
      </c>
      <c r="P84" s="119" t="s">
        <v>1571</v>
      </c>
      <c r="Q84" s="119" t="s">
        <v>1572</v>
      </c>
      <c r="R84" s="123">
        <v>872569570</v>
      </c>
      <c r="S84" s="119"/>
      <c r="T84" s="119" t="s">
        <v>502</v>
      </c>
      <c r="U84" s="169" t="b">
        <v>0</v>
      </c>
      <c r="V84" s="169" t="b">
        <v>0</v>
      </c>
      <c r="W84" s="169" t="b">
        <v>0</v>
      </c>
      <c r="X84" s="169" t="b">
        <v>0</v>
      </c>
    </row>
    <row r="85" spans="1:24" x14ac:dyDescent="0.2">
      <c r="A85" s="161" t="s">
        <v>447</v>
      </c>
      <c r="B85" s="411" t="s">
        <v>92</v>
      </c>
      <c r="C85" s="407"/>
      <c r="D85" s="407"/>
      <c r="E85" s="407"/>
      <c r="F85" s="412" t="s">
        <v>1573</v>
      </c>
      <c r="G85" s="412" t="s">
        <v>1574</v>
      </c>
      <c r="H85" s="407"/>
      <c r="I85" s="407"/>
      <c r="J85" s="407"/>
      <c r="K85" s="543">
        <v>53</v>
      </c>
      <c r="L85" s="533"/>
      <c r="N85" s="215"/>
      <c r="O85" s="169" t="b">
        <v>0</v>
      </c>
      <c r="P85" s="126" t="s">
        <v>1575</v>
      </c>
      <c r="Q85" s="126" t="s">
        <v>1576</v>
      </c>
      <c r="R85" s="123"/>
      <c r="S85" s="119"/>
      <c r="T85" s="119"/>
      <c r="U85" s="169" t="b">
        <v>0</v>
      </c>
      <c r="V85" s="169" t="b">
        <v>0</v>
      </c>
      <c r="W85" s="169" t="b">
        <v>0</v>
      </c>
      <c r="X85" s="169" t="b">
        <v>0</v>
      </c>
    </row>
    <row r="86" spans="1:24" x14ac:dyDescent="0.2">
      <c r="A86" s="103" t="s">
        <v>1444</v>
      </c>
      <c r="B86" s="411" t="s">
        <v>92</v>
      </c>
      <c r="C86" s="407"/>
      <c r="D86" s="407"/>
      <c r="E86" s="407"/>
      <c r="F86" s="412" t="s">
        <v>1577</v>
      </c>
      <c r="G86" s="412" t="s">
        <v>1578</v>
      </c>
      <c r="H86" s="407"/>
      <c r="I86" s="407"/>
      <c r="J86" s="25"/>
      <c r="K86" s="533"/>
      <c r="L86" s="533"/>
      <c r="N86" s="215"/>
      <c r="O86" s="169" t="b">
        <v>0</v>
      </c>
      <c r="P86" s="126" t="s">
        <v>1579</v>
      </c>
      <c r="Q86" s="126" t="s">
        <v>1580</v>
      </c>
      <c r="R86" s="123"/>
      <c r="S86" s="119"/>
      <c r="T86" s="119"/>
      <c r="U86" s="169" t="b">
        <v>0</v>
      </c>
      <c r="V86" s="169" t="b">
        <v>0</v>
      </c>
      <c r="W86" s="169" t="b">
        <v>0</v>
      </c>
      <c r="X86" s="169" t="b">
        <v>0</v>
      </c>
    </row>
    <row r="87" spans="1:24" x14ac:dyDescent="0.2">
      <c r="A87" s="103" t="s">
        <v>635</v>
      </c>
      <c r="B87" s="411" t="s">
        <v>339</v>
      </c>
      <c r="C87" s="407"/>
      <c r="D87" s="407"/>
      <c r="E87" s="407"/>
      <c r="F87" s="412" t="s">
        <v>1581</v>
      </c>
      <c r="G87" s="412" t="s">
        <v>1582</v>
      </c>
      <c r="H87" s="407"/>
      <c r="I87" s="407"/>
      <c r="J87" s="25"/>
      <c r="N87" s="215"/>
      <c r="O87" s="169" t="b">
        <v>0</v>
      </c>
      <c r="P87" s="119" t="s">
        <v>1583</v>
      </c>
      <c r="Q87" s="119" t="s">
        <v>1584</v>
      </c>
      <c r="R87" s="123">
        <v>858381775</v>
      </c>
      <c r="S87" s="119"/>
      <c r="T87" s="119" t="s">
        <v>681</v>
      </c>
      <c r="U87" s="169" t="b">
        <v>0</v>
      </c>
      <c r="V87" s="169" t="b">
        <v>0</v>
      </c>
      <c r="W87" s="169" t="b">
        <v>0</v>
      </c>
      <c r="X87" s="169" t="b">
        <v>0</v>
      </c>
    </row>
    <row r="88" spans="1:24" x14ac:dyDescent="0.2">
      <c r="B88" s="119"/>
      <c r="C88" s="176"/>
      <c r="D88" s="119"/>
      <c r="E88" s="176"/>
      <c r="F88" s="176"/>
      <c r="G88" s="119"/>
      <c r="H88" s="119"/>
      <c r="I88" s="119"/>
      <c r="J88" s="119"/>
      <c r="K88" s="119"/>
      <c r="N88" s="215"/>
      <c r="O88" s="169" t="b">
        <v>0</v>
      </c>
      <c r="P88" s="119" t="s">
        <v>1585</v>
      </c>
      <c r="Q88" s="119" t="s">
        <v>1586</v>
      </c>
      <c r="R88" s="123">
        <v>833967134</v>
      </c>
      <c r="S88" s="119"/>
      <c r="T88" s="119" t="s">
        <v>681</v>
      </c>
      <c r="U88" s="169" t="b">
        <v>0</v>
      </c>
      <c r="V88" s="169" t="b">
        <v>0</v>
      </c>
      <c r="W88" s="169" t="b">
        <v>0</v>
      </c>
      <c r="X88" s="169" t="b">
        <v>0</v>
      </c>
    </row>
    <row r="89" spans="1:24" x14ac:dyDescent="0.2">
      <c r="A89" s="119"/>
      <c r="B89" s="119"/>
      <c r="C89" s="176"/>
      <c r="D89" s="119"/>
      <c r="E89" s="176"/>
      <c r="F89" s="176"/>
      <c r="G89" s="119"/>
      <c r="H89" s="119"/>
      <c r="I89" s="119"/>
      <c r="J89" s="119"/>
      <c r="K89" s="119"/>
      <c r="N89" s="215"/>
      <c r="O89" s="169" t="b">
        <v>0</v>
      </c>
      <c r="P89" s="126" t="s">
        <v>1587</v>
      </c>
      <c r="Q89" s="119"/>
      <c r="R89" s="123"/>
      <c r="S89" s="119"/>
      <c r="T89" s="119" t="s">
        <v>681</v>
      </c>
      <c r="U89" s="169" t="b">
        <v>0</v>
      </c>
      <c r="V89" s="169" t="b">
        <v>0</v>
      </c>
      <c r="W89" s="169" t="b">
        <v>0</v>
      </c>
      <c r="X89" s="169" t="b">
        <v>0</v>
      </c>
    </row>
    <row r="90" spans="1:24" x14ac:dyDescent="0.2">
      <c r="A90" s="544" t="s">
        <v>132</v>
      </c>
      <c r="B90" s="545"/>
      <c r="C90" s="545"/>
      <c r="D90" s="545"/>
      <c r="E90" s="545"/>
      <c r="F90" s="545"/>
      <c r="G90" s="545"/>
      <c r="H90" s="545"/>
      <c r="I90" s="545"/>
      <c r="J90" s="545"/>
      <c r="K90" s="546"/>
      <c r="N90" s="215"/>
      <c r="O90" s="169" t="b">
        <v>0</v>
      </c>
      <c r="P90" s="126" t="s">
        <v>1588</v>
      </c>
      <c r="Q90" s="119"/>
      <c r="R90" s="123"/>
      <c r="S90" s="119"/>
      <c r="T90" s="119" t="s">
        <v>493</v>
      </c>
      <c r="U90" s="169" t="b">
        <v>0</v>
      </c>
      <c r="V90" s="169" t="b">
        <v>0</v>
      </c>
      <c r="W90" s="169" t="b">
        <v>0</v>
      </c>
      <c r="X90" s="169" t="b">
        <v>0</v>
      </c>
    </row>
    <row r="91" spans="1:24" x14ac:dyDescent="0.2">
      <c r="A91" s="547"/>
      <c r="B91" s="548"/>
      <c r="C91" s="548"/>
      <c r="D91" s="548"/>
      <c r="E91" s="548"/>
      <c r="F91" s="548"/>
      <c r="G91" s="548"/>
      <c r="H91" s="548"/>
      <c r="I91" s="548"/>
      <c r="J91" s="548"/>
      <c r="K91" s="549"/>
      <c r="N91" s="215"/>
      <c r="O91" s="169" t="b">
        <v>0</v>
      </c>
      <c r="P91" s="126" t="s">
        <v>1468</v>
      </c>
      <c r="Q91" s="126" t="s">
        <v>1589</v>
      </c>
      <c r="R91" s="123"/>
      <c r="S91" s="119"/>
      <c r="T91" s="119" t="s">
        <v>493</v>
      </c>
      <c r="U91" s="169" t="b">
        <v>0</v>
      </c>
      <c r="V91" s="169" t="b">
        <v>0</v>
      </c>
      <c r="W91" s="169" t="b">
        <v>0</v>
      </c>
      <c r="X91" s="169" t="b">
        <v>0</v>
      </c>
    </row>
    <row r="92" spans="1:24" x14ac:dyDescent="0.2">
      <c r="A92" s="23"/>
      <c r="B92" s="604" t="s">
        <v>1590</v>
      </c>
      <c r="C92" s="531"/>
      <c r="D92" s="551" t="s">
        <v>1518</v>
      </c>
      <c r="E92" s="531"/>
      <c r="F92" s="552" t="s">
        <v>1519</v>
      </c>
      <c r="G92" s="531"/>
      <c r="H92" s="553" t="s">
        <v>1520</v>
      </c>
      <c r="I92" s="537"/>
      <c r="J92" s="537"/>
      <c r="K92" s="531"/>
      <c r="N92" s="215"/>
      <c r="O92" s="169" t="b">
        <v>0</v>
      </c>
      <c r="P92" s="119" t="s">
        <v>1591</v>
      </c>
      <c r="Q92" s="119" t="s">
        <v>1506</v>
      </c>
      <c r="R92" s="123">
        <v>858738670</v>
      </c>
      <c r="S92" s="119"/>
      <c r="T92" s="119" t="s">
        <v>493</v>
      </c>
      <c r="U92" s="169" t="b">
        <v>0</v>
      </c>
      <c r="V92" s="169" t="b">
        <v>0</v>
      </c>
      <c r="W92" s="169" t="b">
        <v>0</v>
      </c>
      <c r="X92" s="169" t="b">
        <v>0</v>
      </c>
    </row>
    <row r="93" spans="1:24" x14ac:dyDescent="0.2">
      <c r="A93" s="78" t="s">
        <v>200</v>
      </c>
      <c r="B93" s="103">
        <v>1</v>
      </c>
      <c r="C93" s="103">
        <v>2</v>
      </c>
      <c r="D93" s="103">
        <v>3</v>
      </c>
      <c r="E93" s="103">
        <v>4</v>
      </c>
      <c r="F93" s="103">
        <v>5</v>
      </c>
      <c r="G93" s="103">
        <v>6</v>
      </c>
      <c r="H93" s="103">
        <v>7</v>
      </c>
      <c r="I93" s="103">
        <v>8</v>
      </c>
      <c r="J93" s="103">
        <v>9</v>
      </c>
      <c r="K93" s="103">
        <v>10</v>
      </c>
      <c r="N93" s="215"/>
      <c r="O93" s="169" t="b">
        <v>0</v>
      </c>
      <c r="P93" s="119" t="s">
        <v>1592</v>
      </c>
      <c r="Q93" s="119" t="s">
        <v>1593</v>
      </c>
      <c r="R93" s="123">
        <v>896086306</v>
      </c>
      <c r="S93" s="119"/>
      <c r="T93" s="119" t="s">
        <v>493</v>
      </c>
      <c r="U93" s="169" t="b">
        <v>0</v>
      </c>
      <c r="V93" s="169" t="b">
        <v>0</v>
      </c>
      <c r="W93" s="169" t="b">
        <v>0</v>
      </c>
      <c r="X93" s="169" t="b">
        <v>0</v>
      </c>
    </row>
    <row r="94" spans="1:24" x14ac:dyDescent="0.2">
      <c r="A94" s="97" t="s">
        <v>291</v>
      </c>
      <c r="B94" s="97" t="s">
        <v>594</v>
      </c>
      <c r="C94" s="152"/>
      <c r="D94" s="414"/>
      <c r="E94" s="152"/>
      <c r="F94" s="152"/>
      <c r="G94" s="414"/>
      <c r="H94" s="414"/>
      <c r="I94" s="414"/>
      <c r="J94" s="414"/>
      <c r="K94" s="414"/>
      <c r="N94" s="215"/>
      <c r="O94" s="169" t="b">
        <v>0</v>
      </c>
      <c r="P94" s="119" t="s">
        <v>1594</v>
      </c>
      <c r="Q94" s="119" t="s">
        <v>1595</v>
      </c>
      <c r="R94" s="123">
        <v>858812360</v>
      </c>
      <c r="S94" s="119"/>
      <c r="T94" s="119" t="s">
        <v>493</v>
      </c>
      <c r="U94" s="169" t="b">
        <v>0</v>
      </c>
      <c r="V94" s="169" t="b">
        <v>0</v>
      </c>
      <c r="W94" s="169" t="b">
        <v>0</v>
      </c>
      <c r="X94" s="169" t="b">
        <v>0</v>
      </c>
    </row>
    <row r="95" spans="1:24" x14ac:dyDescent="0.2">
      <c r="A95" s="103" t="s">
        <v>293</v>
      </c>
      <c r="B95" s="411" t="s">
        <v>860</v>
      </c>
      <c r="C95" s="411" t="s">
        <v>1524</v>
      </c>
      <c r="D95" s="411" t="s">
        <v>1438</v>
      </c>
      <c r="E95" s="412" t="s">
        <v>1596</v>
      </c>
      <c r="F95" s="412" t="s">
        <v>1526</v>
      </c>
      <c r="G95" s="413" t="s">
        <v>1597</v>
      </c>
      <c r="H95" s="413" t="s">
        <v>228</v>
      </c>
      <c r="I95" s="413" t="s">
        <v>1525</v>
      </c>
      <c r="J95" s="415" t="s">
        <v>1596</v>
      </c>
      <c r="K95" s="207"/>
      <c r="N95" s="215"/>
      <c r="O95" s="169" t="b">
        <v>0</v>
      </c>
      <c r="P95" s="119" t="s">
        <v>1598</v>
      </c>
      <c r="Q95" s="119" t="s">
        <v>1599</v>
      </c>
      <c r="R95" s="123">
        <v>877081179</v>
      </c>
      <c r="S95" s="119"/>
      <c r="T95" s="119" t="s">
        <v>493</v>
      </c>
      <c r="U95" s="169" t="b">
        <v>0</v>
      </c>
      <c r="V95" s="169" t="b">
        <v>0</v>
      </c>
      <c r="W95" s="169" t="b">
        <v>0</v>
      </c>
      <c r="X95" s="169" t="b">
        <v>0</v>
      </c>
    </row>
    <row r="96" spans="1:24" x14ac:dyDescent="0.2">
      <c r="A96" s="103" t="s">
        <v>210</v>
      </c>
      <c r="B96" s="161" t="s">
        <v>250</v>
      </c>
      <c r="C96" s="161" t="s">
        <v>1529</v>
      </c>
      <c r="D96" s="161"/>
      <c r="E96" s="407"/>
      <c r="F96" s="161" t="s">
        <v>1530</v>
      </c>
      <c r="G96" s="161" t="s">
        <v>1531</v>
      </c>
      <c r="H96" s="161" t="s">
        <v>1532</v>
      </c>
      <c r="I96" s="407"/>
      <c r="J96" s="407"/>
      <c r="K96" s="207"/>
      <c r="N96" s="215"/>
      <c r="O96" s="169" t="b">
        <v>0</v>
      </c>
      <c r="P96" s="126" t="s">
        <v>288</v>
      </c>
      <c r="Q96" s="119"/>
      <c r="R96" s="123"/>
      <c r="S96" s="119"/>
      <c r="T96" s="119" t="s">
        <v>493</v>
      </c>
      <c r="U96" s="169" t="b">
        <v>0</v>
      </c>
      <c r="V96" s="169" t="b">
        <v>0</v>
      </c>
      <c r="W96" s="169" t="b">
        <v>0</v>
      </c>
      <c r="X96" s="169" t="b">
        <v>0</v>
      </c>
    </row>
    <row r="97" spans="1:24" x14ac:dyDescent="0.2">
      <c r="A97" s="103" t="s">
        <v>435</v>
      </c>
      <c r="B97" s="411" t="s">
        <v>231</v>
      </c>
      <c r="C97" s="411" t="s">
        <v>1433</v>
      </c>
      <c r="D97" s="411" t="s">
        <v>1600</v>
      </c>
      <c r="E97" s="411" t="s">
        <v>1601</v>
      </c>
      <c r="F97" s="412" t="s">
        <v>1534</v>
      </c>
      <c r="G97" s="413" t="s">
        <v>1440</v>
      </c>
      <c r="H97" s="413" t="s">
        <v>1602</v>
      </c>
      <c r="I97" s="413" t="s">
        <v>1535</v>
      </c>
      <c r="J97" s="413" t="s">
        <v>1536</v>
      </c>
      <c r="K97" s="415" t="s">
        <v>1603</v>
      </c>
      <c r="N97" s="215"/>
      <c r="O97" s="169" t="b">
        <v>0</v>
      </c>
      <c r="P97" s="119"/>
      <c r="Q97" s="119"/>
      <c r="R97" s="123"/>
      <c r="S97" s="119"/>
      <c r="T97" s="119" t="s">
        <v>493</v>
      </c>
      <c r="U97" s="169" t="b">
        <v>0</v>
      </c>
      <c r="V97" s="169" t="b">
        <v>0</v>
      </c>
      <c r="W97" s="169" t="b">
        <v>0</v>
      </c>
      <c r="X97" s="169" t="b">
        <v>0</v>
      </c>
    </row>
    <row r="98" spans="1:24" x14ac:dyDescent="0.2">
      <c r="A98" s="103" t="s">
        <v>161</v>
      </c>
      <c r="B98" s="411" t="s">
        <v>1526</v>
      </c>
      <c r="C98" s="411" t="s">
        <v>1538</v>
      </c>
      <c r="D98" s="411" t="s">
        <v>1539</v>
      </c>
      <c r="E98" s="412" t="s">
        <v>1540</v>
      </c>
      <c r="F98" s="412" t="s">
        <v>1541</v>
      </c>
      <c r="G98" s="412" t="s">
        <v>813</v>
      </c>
      <c r="H98" s="413" t="s">
        <v>1542</v>
      </c>
      <c r="I98" s="413" t="s">
        <v>1543</v>
      </c>
      <c r="J98" s="413" t="s">
        <v>1544</v>
      </c>
      <c r="K98" s="207"/>
      <c r="N98" s="215"/>
      <c r="O98" s="169" t="b">
        <v>0</v>
      </c>
      <c r="P98" s="119"/>
      <c r="Q98" s="119"/>
      <c r="R98" s="123"/>
      <c r="S98" s="119"/>
      <c r="T98" s="119" t="s">
        <v>493</v>
      </c>
      <c r="U98" s="169" t="b">
        <v>0</v>
      </c>
      <c r="V98" s="169" t="b">
        <v>0</v>
      </c>
      <c r="W98" s="169" t="b">
        <v>0</v>
      </c>
      <c r="X98" s="169" t="b">
        <v>0</v>
      </c>
    </row>
    <row r="99" spans="1:24" ht="15" customHeight="1" x14ac:dyDescent="0.25">
      <c r="A99" s="103" t="s">
        <v>24</v>
      </c>
      <c r="B99" s="411" t="s">
        <v>246</v>
      </c>
      <c r="C99" s="411" t="s">
        <v>1546</v>
      </c>
      <c r="D99" s="411" t="s">
        <v>1604</v>
      </c>
      <c r="E99" s="411" t="s">
        <v>1605</v>
      </c>
      <c r="F99" s="416" t="s">
        <v>1581</v>
      </c>
      <c r="G99" s="413" t="s">
        <v>1547</v>
      </c>
      <c r="H99" s="413" t="s">
        <v>1548</v>
      </c>
      <c r="I99" s="413" t="s">
        <v>1549</v>
      </c>
      <c r="J99" s="407"/>
      <c r="K99" s="207"/>
      <c r="N99" s="215"/>
      <c r="O99" s="169" t="b">
        <v>0</v>
      </c>
      <c r="P99" s="126" t="s">
        <v>1606</v>
      </c>
      <c r="Q99" s="119"/>
      <c r="R99" s="123"/>
      <c r="S99" s="119"/>
      <c r="T99" s="119"/>
      <c r="U99" s="169" t="b">
        <v>0</v>
      </c>
      <c r="V99" s="169" t="b">
        <v>0</v>
      </c>
      <c r="W99" s="169" t="b">
        <v>0</v>
      </c>
      <c r="X99" s="169" t="b">
        <v>0</v>
      </c>
    </row>
    <row r="100" spans="1:24" x14ac:dyDescent="0.2">
      <c r="A100" s="103" t="s">
        <v>439</v>
      </c>
      <c r="B100" s="417" t="s">
        <v>1607</v>
      </c>
      <c r="C100" s="417" t="s">
        <v>1608</v>
      </c>
      <c r="D100" s="417" t="s">
        <v>1609</v>
      </c>
      <c r="E100" s="417" t="s">
        <v>1610</v>
      </c>
      <c r="F100" s="412" t="s">
        <v>562</v>
      </c>
      <c r="G100" s="413" t="s">
        <v>1611</v>
      </c>
      <c r="H100" s="413" t="s">
        <v>1612</v>
      </c>
      <c r="I100" s="413" t="s">
        <v>1559</v>
      </c>
      <c r="J100" s="413" t="s">
        <v>1560</v>
      </c>
      <c r="K100" s="207"/>
      <c r="N100" s="215"/>
      <c r="O100" s="169" t="b">
        <v>0</v>
      </c>
      <c r="P100" s="126" t="s">
        <v>736</v>
      </c>
      <c r="Q100" s="126" t="s">
        <v>1613</v>
      </c>
      <c r="R100" s="174">
        <v>871497999</v>
      </c>
      <c r="S100" s="119"/>
      <c r="T100" s="119"/>
      <c r="U100" s="169" t="b">
        <v>0</v>
      </c>
      <c r="V100" s="169" t="b">
        <v>0</v>
      </c>
      <c r="W100" s="169" t="b">
        <v>0</v>
      </c>
      <c r="X100" s="169" t="b">
        <v>0</v>
      </c>
    </row>
    <row r="101" spans="1:24" x14ac:dyDescent="0.2">
      <c r="A101" s="103" t="s">
        <v>1556</v>
      </c>
      <c r="B101" s="417" t="s">
        <v>513</v>
      </c>
      <c r="C101" s="417" t="s">
        <v>1557</v>
      </c>
      <c r="D101" s="417" t="s">
        <v>1558</v>
      </c>
      <c r="E101" s="417" t="s">
        <v>1614</v>
      </c>
      <c r="F101" s="412" t="s">
        <v>1553</v>
      </c>
      <c r="G101" s="413" t="s">
        <v>1552</v>
      </c>
      <c r="H101" s="413" t="s">
        <v>1615</v>
      </c>
      <c r="I101" s="413" t="s">
        <v>1616</v>
      </c>
      <c r="J101" s="413" t="s">
        <v>1617</v>
      </c>
      <c r="K101" s="103"/>
      <c r="N101" s="215"/>
      <c r="O101" s="169" t="b">
        <v>0</v>
      </c>
      <c r="P101" s="119"/>
      <c r="Q101" s="119"/>
      <c r="R101" s="123"/>
      <c r="S101" s="119"/>
      <c r="T101" s="119"/>
      <c r="U101" s="169" t="b">
        <v>0</v>
      </c>
      <c r="V101" s="169" t="b">
        <v>0</v>
      </c>
      <c r="W101" s="169" t="b">
        <v>0</v>
      </c>
      <c r="X101" s="169" t="b">
        <v>0</v>
      </c>
    </row>
    <row r="102" spans="1:24" x14ac:dyDescent="0.2">
      <c r="A102" s="217" t="s">
        <v>444</v>
      </c>
      <c r="B102" s="407"/>
      <c r="C102" s="407"/>
      <c r="D102" s="407"/>
      <c r="E102" s="407"/>
      <c r="F102" s="407"/>
      <c r="G102" s="407"/>
      <c r="H102" s="407"/>
      <c r="I102" s="407"/>
      <c r="J102" s="407"/>
      <c r="K102" s="207"/>
      <c r="N102" s="215"/>
      <c r="O102" s="169" t="b">
        <v>0</v>
      </c>
      <c r="P102" s="119"/>
      <c r="Q102" s="119"/>
      <c r="R102" s="123"/>
      <c r="S102" s="119"/>
      <c r="T102" s="119"/>
      <c r="U102" s="169" t="b">
        <v>0</v>
      </c>
      <c r="V102" s="169" t="b">
        <v>0</v>
      </c>
      <c r="W102" s="169" t="b">
        <v>0</v>
      </c>
      <c r="X102" s="169" t="b">
        <v>0</v>
      </c>
    </row>
    <row r="103" spans="1:24" x14ac:dyDescent="0.2">
      <c r="A103" s="103" t="s">
        <v>445</v>
      </c>
      <c r="B103" s="411" t="s">
        <v>1565</v>
      </c>
      <c r="C103" s="407"/>
      <c r="D103" s="407"/>
      <c r="E103" s="407"/>
      <c r="F103" s="412" t="s">
        <v>1566</v>
      </c>
      <c r="G103" s="412" t="s">
        <v>1567</v>
      </c>
      <c r="H103" s="407"/>
      <c r="I103" s="407"/>
      <c r="J103" s="407"/>
      <c r="K103" s="207"/>
      <c r="N103" s="215"/>
      <c r="O103" s="169" t="b">
        <v>0</v>
      </c>
      <c r="P103" s="119"/>
      <c r="Q103" s="119"/>
      <c r="R103" s="123"/>
      <c r="S103" s="119"/>
      <c r="T103" s="119" t="s">
        <v>681</v>
      </c>
      <c r="U103" s="169" t="b">
        <v>0</v>
      </c>
      <c r="V103" s="169" t="b">
        <v>0</v>
      </c>
      <c r="W103" s="169" t="b">
        <v>0</v>
      </c>
      <c r="X103" s="169" t="b">
        <v>0</v>
      </c>
    </row>
    <row r="104" spans="1:24" x14ac:dyDescent="0.2">
      <c r="A104" s="103" t="s">
        <v>446</v>
      </c>
      <c r="B104" s="161"/>
      <c r="C104" s="161"/>
      <c r="D104" s="407"/>
      <c r="E104" s="407"/>
      <c r="F104" s="412" t="s">
        <v>1570</v>
      </c>
      <c r="G104" s="412" t="s">
        <v>252</v>
      </c>
      <c r="H104" s="407"/>
      <c r="I104" s="407"/>
      <c r="J104" s="407"/>
      <c r="K104" s="207"/>
      <c r="L104" s="543">
        <v>72</v>
      </c>
      <c r="M104" s="533"/>
      <c r="N104" s="215"/>
      <c r="O104" s="169" t="b">
        <v>0</v>
      </c>
      <c r="P104" s="119"/>
      <c r="Q104" s="119"/>
      <c r="R104" s="123"/>
      <c r="S104" s="119"/>
      <c r="T104" s="119" t="s">
        <v>681</v>
      </c>
      <c r="U104" s="169" t="b">
        <v>0</v>
      </c>
      <c r="V104" s="169" t="b">
        <v>0</v>
      </c>
      <c r="W104" s="169" t="b">
        <v>0</v>
      </c>
      <c r="X104" s="169" t="b">
        <v>0</v>
      </c>
    </row>
    <row r="105" spans="1:24" x14ac:dyDescent="0.2">
      <c r="A105" s="161" t="s">
        <v>447</v>
      </c>
      <c r="B105" s="411" t="s">
        <v>1618</v>
      </c>
      <c r="C105" s="407"/>
      <c r="D105" s="407"/>
      <c r="E105" s="407"/>
      <c r="F105" s="412" t="s">
        <v>1573</v>
      </c>
      <c r="G105" s="412" t="s">
        <v>1574</v>
      </c>
      <c r="H105" s="407"/>
      <c r="I105" s="407"/>
      <c r="J105" s="407"/>
      <c r="K105" s="23"/>
      <c r="L105" s="533"/>
      <c r="M105" s="533"/>
      <c r="N105" s="215"/>
      <c r="O105" s="169" t="b">
        <v>0</v>
      </c>
      <c r="P105" s="119"/>
      <c r="Q105" s="119"/>
      <c r="R105" s="123"/>
      <c r="S105" s="119"/>
      <c r="T105" s="119" t="s">
        <v>681</v>
      </c>
      <c r="U105" s="169" t="b">
        <v>0</v>
      </c>
      <c r="V105" s="169" t="b">
        <v>0</v>
      </c>
      <c r="W105" s="169" t="b">
        <v>0</v>
      </c>
      <c r="X105" s="169" t="b">
        <v>0</v>
      </c>
    </row>
    <row r="106" spans="1:24" x14ac:dyDescent="0.2">
      <c r="A106" s="103" t="s">
        <v>1444</v>
      </c>
      <c r="B106" s="411" t="s">
        <v>92</v>
      </c>
      <c r="C106" s="407"/>
      <c r="D106" s="407"/>
      <c r="E106" s="407"/>
      <c r="F106" s="412" t="s">
        <v>1577</v>
      </c>
      <c r="G106" s="412" t="s">
        <v>1578</v>
      </c>
      <c r="H106" s="407"/>
      <c r="I106" s="407"/>
      <c r="J106" s="25"/>
      <c r="K106" s="23"/>
      <c r="N106" s="215"/>
      <c r="O106" s="169" t="b">
        <v>0</v>
      </c>
      <c r="P106" s="119"/>
      <c r="Q106" s="119"/>
      <c r="R106" s="123"/>
      <c r="S106" s="119"/>
      <c r="T106" s="119" t="s">
        <v>681</v>
      </c>
      <c r="U106" s="169" t="b">
        <v>0</v>
      </c>
      <c r="V106" s="169" t="b">
        <v>0</v>
      </c>
      <c r="W106" s="169" t="b">
        <v>0</v>
      </c>
      <c r="X106" s="169" t="b">
        <v>0</v>
      </c>
    </row>
    <row r="107" spans="1:24" x14ac:dyDescent="0.2">
      <c r="A107" s="103" t="s">
        <v>635</v>
      </c>
      <c r="B107" s="411"/>
      <c r="C107" s="407"/>
      <c r="D107" s="407"/>
      <c r="E107" s="407"/>
      <c r="F107" s="412" t="s">
        <v>339</v>
      </c>
      <c r="G107" s="412" t="s">
        <v>1582</v>
      </c>
      <c r="H107" s="407"/>
      <c r="I107" s="407"/>
      <c r="J107" s="25"/>
      <c r="K107" s="207"/>
      <c r="N107" s="215"/>
      <c r="O107" s="169" t="b">
        <v>0</v>
      </c>
      <c r="P107" s="119"/>
      <c r="Q107" s="119"/>
      <c r="R107" s="123"/>
      <c r="S107" s="119"/>
      <c r="T107" s="119" t="s">
        <v>131</v>
      </c>
      <c r="U107" s="169" t="b">
        <v>0</v>
      </c>
      <c r="V107" s="169" t="b">
        <v>0</v>
      </c>
      <c r="W107" s="169" t="b">
        <v>0</v>
      </c>
      <c r="X107" s="169" t="b">
        <v>0</v>
      </c>
    </row>
    <row r="108" spans="1:24" x14ac:dyDescent="0.2">
      <c r="A108" s="119"/>
      <c r="K108" s="119"/>
      <c r="N108" s="215"/>
      <c r="O108" s="169" t="b">
        <v>0</v>
      </c>
      <c r="P108" s="119"/>
      <c r="Q108" s="119"/>
      <c r="R108" s="123"/>
      <c r="S108" s="119"/>
      <c r="T108" s="119" t="s">
        <v>131</v>
      </c>
      <c r="U108" s="169" t="b">
        <v>0</v>
      </c>
      <c r="V108" s="169" t="b">
        <v>0</v>
      </c>
      <c r="W108" s="169" t="b">
        <v>0</v>
      </c>
      <c r="X108" s="169" t="b">
        <v>0</v>
      </c>
    </row>
    <row r="109" spans="1:24" x14ac:dyDescent="0.2">
      <c r="A109" s="119"/>
      <c r="B109" s="119"/>
      <c r="C109" s="176"/>
      <c r="D109" s="119"/>
      <c r="E109" s="176"/>
      <c r="F109" s="176"/>
      <c r="G109" s="119"/>
      <c r="H109" s="119"/>
      <c r="I109" s="119"/>
      <c r="J109" s="119"/>
      <c r="K109" s="119"/>
      <c r="N109" s="215"/>
      <c r="O109" s="169" t="b">
        <v>0</v>
      </c>
      <c r="P109" s="119"/>
      <c r="Q109" s="119"/>
      <c r="R109" s="123"/>
      <c r="S109" s="119"/>
      <c r="T109" s="119" t="s">
        <v>681</v>
      </c>
      <c r="U109" s="169" t="b">
        <v>0</v>
      </c>
      <c r="V109" s="169" t="b">
        <v>0</v>
      </c>
      <c r="W109" s="169" t="b">
        <v>0</v>
      </c>
      <c r="X109" s="169" t="b">
        <v>0</v>
      </c>
    </row>
    <row r="110" spans="1:24" x14ac:dyDescent="0.2">
      <c r="A110" s="544" t="s">
        <v>136</v>
      </c>
      <c r="B110" s="545"/>
      <c r="C110" s="545"/>
      <c r="D110" s="545"/>
      <c r="E110" s="545"/>
      <c r="F110" s="545"/>
      <c r="G110" s="545"/>
      <c r="H110" s="545"/>
      <c r="I110" s="545"/>
      <c r="J110" s="545"/>
      <c r="K110" s="546"/>
      <c r="N110" s="215"/>
      <c r="O110" s="169" t="b">
        <v>0</v>
      </c>
      <c r="P110" s="119"/>
      <c r="Q110" s="119"/>
      <c r="R110" s="123"/>
      <c r="S110" s="119"/>
      <c r="T110" s="119" t="s">
        <v>681</v>
      </c>
      <c r="U110" s="169" t="b">
        <v>0</v>
      </c>
      <c r="V110" s="169" t="b">
        <v>0</v>
      </c>
      <c r="W110" s="169" t="b">
        <v>0</v>
      </c>
      <c r="X110" s="169" t="b">
        <v>0</v>
      </c>
    </row>
    <row r="111" spans="1:24" x14ac:dyDescent="0.2">
      <c r="A111" s="547"/>
      <c r="B111" s="548"/>
      <c r="C111" s="548"/>
      <c r="D111" s="548"/>
      <c r="E111" s="548"/>
      <c r="F111" s="548"/>
      <c r="G111" s="548"/>
      <c r="H111" s="548"/>
      <c r="I111" s="548"/>
      <c r="J111" s="548"/>
      <c r="K111" s="549"/>
      <c r="N111" s="215"/>
      <c r="O111" s="169" t="b">
        <v>0</v>
      </c>
      <c r="P111" s="119"/>
      <c r="Q111" s="119"/>
      <c r="R111" s="123"/>
      <c r="S111" s="119"/>
      <c r="T111" s="119" t="s">
        <v>131</v>
      </c>
      <c r="U111" s="169" t="b">
        <v>0</v>
      </c>
      <c r="V111" s="169" t="b">
        <v>0</v>
      </c>
      <c r="W111" s="169" t="b">
        <v>0</v>
      </c>
      <c r="X111" s="169" t="b">
        <v>0</v>
      </c>
    </row>
    <row r="112" spans="1:24" x14ac:dyDescent="0.2">
      <c r="A112" s="23"/>
      <c r="B112" s="551" t="s">
        <v>1590</v>
      </c>
      <c r="C112" s="531"/>
      <c r="D112" s="555" t="s">
        <v>1619</v>
      </c>
      <c r="E112" s="537"/>
      <c r="F112" s="537"/>
      <c r="G112" s="553" t="s">
        <v>1620</v>
      </c>
      <c r="H112" s="537"/>
      <c r="I112" s="537"/>
      <c r="J112" s="537"/>
      <c r="K112" s="531"/>
      <c r="N112" s="215"/>
      <c r="O112" s="169" t="b">
        <v>0</v>
      </c>
      <c r="P112" s="119"/>
      <c r="Q112" s="119"/>
      <c r="R112" s="123"/>
      <c r="S112" s="119"/>
      <c r="T112" s="119" t="s">
        <v>131</v>
      </c>
      <c r="U112" s="169" t="b">
        <v>0</v>
      </c>
      <c r="V112" s="169" t="b">
        <v>0</v>
      </c>
      <c r="W112" s="169" t="b">
        <v>0</v>
      </c>
      <c r="X112" s="169" t="b">
        <v>0</v>
      </c>
    </row>
    <row r="113" spans="1:24" x14ac:dyDescent="0.2">
      <c r="A113" s="78" t="s">
        <v>200</v>
      </c>
      <c r="B113" s="103">
        <v>1</v>
      </c>
      <c r="C113" s="103">
        <v>2</v>
      </c>
      <c r="D113" s="103">
        <v>3</v>
      </c>
      <c r="E113" s="103">
        <v>4</v>
      </c>
      <c r="F113" s="103">
        <v>5</v>
      </c>
      <c r="G113" s="103">
        <v>6</v>
      </c>
      <c r="H113" s="103">
        <v>7</v>
      </c>
      <c r="I113" s="103">
        <v>8</v>
      </c>
      <c r="J113" s="103">
        <v>9</v>
      </c>
      <c r="K113" s="103">
        <v>10</v>
      </c>
      <c r="N113" s="215"/>
      <c r="O113" s="169" t="b">
        <v>0</v>
      </c>
      <c r="P113" s="119"/>
      <c r="Q113" s="119"/>
      <c r="R113" s="123"/>
      <c r="S113" s="119"/>
      <c r="T113" s="119" t="s">
        <v>681</v>
      </c>
      <c r="U113" s="169" t="b">
        <v>0</v>
      </c>
      <c r="V113" s="169" t="b">
        <v>0</v>
      </c>
      <c r="W113" s="169" t="b">
        <v>0</v>
      </c>
      <c r="X113" s="169" t="b">
        <v>0</v>
      </c>
    </row>
    <row r="114" spans="1:24" x14ac:dyDescent="0.2">
      <c r="A114" s="97" t="s">
        <v>291</v>
      </c>
      <c r="B114" s="97" t="s">
        <v>594</v>
      </c>
      <c r="C114" s="152"/>
      <c r="D114" s="414"/>
      <c r="E114" s="152"/>
      <c r="F114" s="152"/>
      <c r="G114" s="414"/>
      <c r="H114" s="414"/>
      <c r="I114" s="414"/>
      <c r="J114" s="414"/>
      <c r="K114" s="414"/>
      <c r="N114" s="215"/>
      <c r="O114" s="169" t="b">
        <v>0</v>
      </c>
      <c r="P114" s="119"/>
      <c r="Q114" s="119"/>
      <c r="R114" s="123"/>
      <c r="S114" s="119"/>
      <c r="T114" s="119" t="s">
        <v>681</v>
      </c>
      <c r="U114" s="169" t="b">
        <v>0</v>
      </c>
      <c r="V114" s="169" t="b">
        <v>0</v>
      </c>
      <c r="W114" s="169" t="b">
        <v>0</v>
      </c>
      <c r="X114" s="169" t="b">
        <v>0</v>
      </c>
    </row>
    <row r="115" spans="1:24" x14ac:dyDescent="0.2">
      <c r="A115" s="103" t="s">
        <v>293</v>
      </c>
      <c r="B115" s="412" t="s">
        <v>860</v>
      </c>
      <c r="C115" s="412" t="s">
        <v>1597</v>
      </c>
      <c r="D115" s="412" t="s">
        <v>1438</v>
      </c>
      <c r="E115" s="212"/>
      <c r="F115" s="413" t="s">
        <v>1526</v>
      </c>
      <c r="G115" s="413" t="s">
        <v>1524</v>
      </c>
      <c r="H115" s="413" t="s">
        <v>1559</v>
      </c>
      <c r="I115" s="212"/>
      <c r="J115" s="219"/>
      <c r="K115" s="207"/>
      <c r="N115" s="215"/>
      <c r="O115" s="169" t="b">
        <v>0</v>
      </c>
      <c r="P115" s="119"/>
      <c r="Q115" s="119"/>
      <c r="R115" s="123"/>
      <c r="S115" s="119"/>
      <c r="T115" s="119" t="s">
        <v>681</v>
      </c>
      <c r="U115" s="169" t="b">
        <v>0</v>
      </c>
      <c r="V115" s="169" t="b">
        <v>0</v>
      </c>
      <c r="W115" s="169" t="b">
        <v>0</v>
      </c>
      <c r="X115" s="169" t="b">
        <v>0</v>
      </c>
    </row>
    <row r="116" spans="1:24" x14ac:dyDescent="0.2">
      <c r="A116" s="103" t="s">
        <v>210</v>
      </c>
      <c r="B116" s="161" t="s">
        <v>250</v>
      </c>
      <c r="C116" s="161" t="s">
        <v>1529</v>
      </c>
      <c r="D116" s="161"/>
      <c r="E116" s="407"/>
      <c r="F116" s="161" t="s">
        <v>1530</v>
      </c>
      <c r="G116" s="161" t="s">
        <v>1531</v>
      </c>
      <c r="H116" s="161" t="s">
        <v>1532</v>
      </c>
      <c r="I116" s="407"/>
      <c r="J116" s="407"/>
      <c r="K116" s="207"/>
      <c r="N116" s="215"/>
      <c r="O116" s="169" t="b">
        <v>0</v>
      </c>
      <c r="P116" s="119"/>
      <c r="Q116" s="119"/>
      <c r="R116" s="123"/>
      <c r="S116" s="119"/>
      <c r="T116" s="119" t="s">
        <v>681</v>
      </c>
      <c r="U116" s="169" t="b">
        <v>0</v>
      </c>
      <c r="V116" s="169" t="b">
        <v>0</v>
      </c>
      <c r="W116" s="169" t="b">
        <v>0</v>
      </c>
      <c r="X116" s="169" t="b">
        <v>0</v>
      </c>
    </row>
    <row r="117" spans="1:24" x14ac:dyDescent="0.2">
      <c r="A117" s="103" t="s">
        <v>435</v>
      </c>
      <c r="B117" s="412" t="s">
        <v>1440</v>
      </c>
      <c r="C117" s="412" t="s">
        <v>1439</v>
      </c>
      <c r="D117" s="412" t="s">
        <v>1534</v>
      </c>
      <c r="E117" s="412"/>
      <c r="F117" s="413" t="s">
        <v>228</v>
      </c>
      <c r="G117" s="413" t="s">
        <v>231</v>
      </c>
      <c r="H117" s="413" t="s">
        <v>1433</v>
      </c>
      <c r="I117" s="413" t="s">
        <v>1535</v>
      </c>
      <c r="J117" s="413" t="s">
        <v>1536</v>
      </c>
      <c r="K117" s="219"/>
      <c r="N117" s="215"/>
      <c r="O117" s="169" t="b">
        <v>0</v>
      </c>
      <c r="P117" s="119"/>
      <c r="Q117" s="119"/>
      <c r="R117" s="123"/>
      <c r="S117" s="119"/>
      <c r="T117" s="119" t="s">
        <v>681</v>
      </c>
      <c r="U117" s="169" t="b">
        <v>0</v>
      </c>
      <c r="V117" s="169" t="b">
        <v>0</v>
      </c>
      <c r="W117" s="169" t="b">
        <v>0</v>
      </c>
      <c r="X117" s="169" t="b">
        <v>0</v>
      </c>
    </row>
    <row r="118" spans="1:24" x14ac:dyDescent="0.2">
      <c r="A118" s="103" t="s">
        <v>161</v>
      </c>
      <c r="B118" s="412" t="s">
        <v>1526</v>
      </c>
      <c r="C118" s="412" t="s">
        <v>1538</v>
      </c>
      <c r="D118" s="412" t="s">
        <v>1539</v>
      </c>
      <c r="E118" s="412" t="s">
        <v>1540</v>
      </c>
      <c r="F118" s="413" t="s">
        <v>1541</v>
      </c>
      <c r="G118" s="413" t="s">
        <v>813</v>
      </c>
      <c r="H118" s="413" t="s">
        <v>1542</v>
      </c>
      <c r="I118" s="413" t="s">
        <v>1543</v>
      </c>
      <c r="J118" s="413" t="s">
        <v>1544</v>
      </c>
      <c r="K118" s="207"/>
      <c r="N118" s="215"/>
      <c r="O118" s="169" t="b">
        <v>0</v>
      </c>
      <c r="P118" s="119"/>
      <c r="Q118" s="119"/>
      <c r="R118" s="123"/>
      <c r="S118" s="119"/>
      <c r="T118" s="119" t="s">
        <v>493</v>
      </c>
      <c r="U118" s="169" t="b">
        <v>0</v>
      </c>
      <c r="V118" s="169" t="b">
        <v>0</v>
      </c>
      <c r="W118" s="169" t="b">
        <v>0</v>
      </c>
      <c r="X118" s="169" t="b">
        <v>0</v>
      </c>
    </row>
    <row r="119" spans="1:24" ht="18" x14ac:dyDescent="0.25">
      <c r="A119" s="103" t="s">
        <v>24</v>
      </c>
      <c r="B119" s="412" t="s">
        <v>1547</v>
      </c>
      <c r="C119" s="412" t="s">
        <v>1548</v>
      </c>
      <c r="D119" s="412" t="s">
        <v>1549</v>
      </c>
      <c r="E119" s="212"/>
      <c r="F119" s="416" t="s">
        <v>1581</v>
      </c>
      <c r="G119" s="413" t="s">
        <v>246</v>
      </c>
      <c r="H119" s="413" t="s">
        <v>1546</v>
      </c>
      <c r="I119" s="413" t="s">
        <v>1621</v>
      </c>
      <c r="J119" s="407"/>
      <c r="K119" s="207"/>
      <c r="N119" s="215"/>
      <c r="O119" s="169" t="b">
        <v>0</v>
      </c>
      <c r="P119" s="119"/>
      <c r="Q119" s="119"/>
      <c r="R119" s="123"/>
      <c r="S119" s="119"/>
      <c r="T119" s="119" t="s">
        <v>493</v>
      </c>
      <c r="U119" s="169" t="b">
        <v>0</v>
      </c>
      <c r="V119" s="169" t="b">
        <v>0</v>
      </c>
      <c r="W119" s="169" t="b">
        <v>0</v>
      </c>
      <c r="X119" s="169" t="b">
        <v>0</v>
      </c>
    </row>
    <row r="120" spans="1:24" x14ac:dyDescent="0.2">
      <c r="A120" s="103" t="s">
        <v>439</v>
      </c>
      <c r="B120" s="411" t="s">
        <v>1607</v>
      </c>
      <c r="C120" s="411" t="s">
        <v>1611</v>
      </c>
      <c r="D120" s="411" t="s">
        <v>1610</v>
      </c>
      <c r="E120" s="411" t="s">
        <v>1609</v>
      </c>
      <c r="F120" s="413" t="s">
        <v>562</v>
      </c>
      <c r="G120" s="413" t="s">
        <v>1525</v>
      </c>
      <c r="H120" s="413" t="s">
        <v>1596</v>
      </c>
      <c r="I120" s="413" t="s">
        <v>1559</v>
      </c>
      <c r="J120" s="413" t="s">
        <v>1560</v>
      </c>
      <c r="K120" s="207"/>
      <c r="N120" s="215"/>
      <c r="O120" s="169" t="b">
        <v>0</v>
      </c>
      <c r="P120" s="126"/>
      <c r="Q120" s="119"/>
      <c r="R120" s="123"/>
      <c r="S120" s="119"/>
      <c r="T120" s="119" t="s">
        <v>493</v>
      </c>
      <c r="U120" s="169" t="b">
        <v>0</v>
      </c>
      <c r="V120" s="169" t="b">
        <v>0</v>
      </c>
      <c r="W120" s="169" t="b">
        <v>0</v>
      </c>
      <c r="X120" s="169" t="b">
        <v>0</v>
      </c>
    </row>
    <row r="121" spans="1:24" x14ac:dyDescent="0.2">
      <c r="A121" s="103" t="s">
        <v>1556</v>
      </c>
      <c r="B121" s="411" t="s">
        <v>1615</v>
      </c>
      <c r="C121" s="411" t="s">
        <v>1616</v>
      </c>
      <c r="D121" s="411" t="s">
        <v>1617</v>
      </c>
      <c r="E121" s="411" t="s">
        <v>1612</v>
      </c>
      <c r="F121" s="413" t="s">
        <v>1553</v>
      </c>
      <c r="G121" s="413" t="s">
        <v>1622</v>
      </c>
      <c r="H121" s="413" t="s">
        <v>513</v>
      </c>
      <c r="I121" s="413" t="s">
        <v>1557</v>
      </c>
      <c r="J121" s="413" t="s">
        <v>1558</v>
      </c>
      <c r="K121" s="103"/>
      <c r="N121" s="215"/>
      <c r="O121" s="169" t="b">
        <v>0</v>
      </c>
      <c r="P121" s="126"/>
      <c r="Q121" s="126"/>
      <c r="R121" s="123"/>
      <c r="S121" s="119"/>
      <c r="T121" s="119" t="s">
        <v>493</v>
      </c>
      <c r="U121" s="169" t="b">
        <v>0</v>
      </c>
      <c r="V121" s="169" t="b">
        <v>0</v>
      </c>
      <c r="W121" s="169" t="b">
        <v>0</v>
      </c>
      <c r="X121" s="169" t="b">
        <v>0</v>
      </c>
    </row>
    <row r="122" spans="1:24" x14ac:dyDescent="0.2">
      <c r="A122" s="217" t="s">
        <v>444</v>
      </c>
      <c r="B122" s="407"/>
      <c r="C122" s="407"/>
      <c r="D122" s="407"/>
      <c r="E122" s="407"/>
      <c r="F122" s="407"/>
      <c r="G122" s="407"/>
      <c r="H122" s="212"/>
      <c r="I122" s="212"/>
      <c r="J122" s="212"/>
      <c r="K122" s="207"/>
      <c r="N122" s="215"/>
      <c r="O122" s="169" t="b">
        <v>0</v>
      </c>
      <c r="P122" s="119"/>
      <c r="Q122" s="119"/>
      <c r="R122" s="123"/>
      <c r="S122" s="119"/>
      <c r="T122" s="119" t="s">
        <v>131</v>
      </c>
      <c r="U122" s="169" t="b">
        <v>0</v>
      </c>
      <c r="V122" s="169" t="b">
        <v>0</v>
      </c>
      <c r="W122" s="169" t="b">
        <v>0</v>
      </c>
      <c r="X122" s="169" t="b">
        <v>0</v>
      </c>
    </row>
    <row r="123" spans="1:24" x14ac:dyDescent="0.2">
      <c r="A123" s="103" t="s">
        <v>445</v>
      </c>
      <c r="B123" s="212" t="s">
        <v>1573</v>
      </c>
      <c r="C123" s="407"/>
      <c r="D123" s="407"/>
      <c r="E123" s="407"/>
      <c r="F123" s="418" t="s">
        <v>1623</v>
      </c>
      <c r="G123" s="418" t="s">
        <v>1567</v>
      </c>
      <c r="H123" s="161" t="s">
        <v>1624</v>
      </c>
      <c r="I123" s="407"/>
      <c r="J123" s="407"/>
      <c r="K123" s="207"/>
      <c r="N123" s="215"/>
      <c r="O123" s="169" t="b">
        <v>0</v>
      </c>
      <c r="P123" s="119"/>
      <c r="Q123" s="119"/>
      <c r="R123" s="123"/>
      <c r="S123" s="119"/>
      <c r="T123" s="119" t="s">
        <v>131</v>
      </c>
      <c r="U123" s="169" t="b">
        <v>0</v>
      </c>
      <c r="V123" s="169" t="b">
        <v>0</v>
      </c>
      <c r="W123" s="169" t="b">
        <v>0</v>
      </c>
      <c r="X123" s="169" t="b">
        <v>0</v>
      </c>
    </row>
    <row r="124" spans="1:24" x14ac:dyDescent="0.2">
      <c r="A124" s="103" t="s">
        <v>446</v>
      </c>
      <c r="B124" s="212" t="s">
        <v>1574</v>
      </c>
      <c r="C124" s="161"/>
      <c r="D124" s="407"/>
      <c r="E124" s="407"/>
      <c r="F124" s="413" t="s">
        <v>252</v>
      </c>
      <c r="G124" s="413" t="s">
        <v>1570</v>
      </c>
      <c r="H124" s="407"/>
      <c r="I124" s="407"/>
      <c r="J124" s="407"/>
      <c r="K124" s="207"/>
      <c r="L124" s="543">
        <v>72</v>
      </c>
      <c r="M124" s="533"/>
      <c r="N124" s="215"/>
      <c r="O124" s="169" t="b">
        <v>0</v>
      </c>
      <c r="P124" s="119"/>
      <c r="Q124" s="119"/>
      <c r="R124" s="123"/>
      <c r="S124" s="119"/>
      <c r="T124" s="119" t="s">
        <v>681</v>
      </c>
      <c r="U124" s="169" t="b">
        <v>0</v>
      </c>
      <c r="V124" s="169" t="b">
        <v>0</v>
      </c>
      <c r="W124" s="169" t="b">
        <v>0</v>
      </c>
      <c r="X124" s="169" t="b">
        <v>0</v>
      </c>
    </row>
    <row r="125" spans="1:24" x14ac:dyDescent="0.2">
      <c r="A125" s="161" t="s">
        <v>447</v>
      </c>
      <c r="B125" s="212" t="s">
        <v>1493</v>
      </c>
      <c r="C125" s="407"/>
      <c r="D125" s="407"/>
      <c r="E125" s="407"/>
      <c r="F125" s="413" t="s">
        <v>1565</v>
      </c>
      <c r="G125" s="413" t="s">
        <v>1618</v>
      </c>
      <c r="H125" s="407"/>
      <c r="I125" s="407"/>
      <c r="J125" s="407"/>
      <c r="K125" s="23"/>
      <c r="L125" s="533"/>
      <c r="M125" s="533"/>
      <c r="N125" s="215"/>
      <c r="O125" s="169" t="b">
        <v>0</v>
      </c>
      <c r="P125" s="119"/>
      <c r="Q125" s="119"/>
      <c r="R125" s="123"/>
      <c r="S125" s="119"/>
      <c r="T125" s="119" t="s">
        <v>681</v>
      </c>
      <c r="U125" s="169" t="b">
        <v>0</v>
      </c>
      <c r="V125" s="169" t="b">
        <v>0</v>
      </c>
      <c r="W125" s="169" t="b">
        <v>0</v>
      </c>
      <c r="X125" s="169" t="b">
        <v>0</v>
      </c>
    </row>
    <row r="126" spans="1:24" x14ac:dyDescent="0.2">
      <c r="A126" s="103" t="s">
        <v>1444</v>
      </c>
      <c r="B126" s="212"/>
      <c r="C126" s="407"/>
      <c r="D126" s="407"/>
      <c r="E126" s="407"/>
      <c r="F126" s="413" t="s">
        <v>1577</v>
      </c>
      <c r="G126" s="413" t="s">
        <v>1578</v>
      </c>
      <c r="H126" s="407"/>
      <c r="I126" s="407"/>
      <c r="J126" s="25"/>
      <c r="K126" s="23"/>
      <c r="N126" s="215"/>
      <c r="O126" s="169" t="b">
        <v>0</v>
      </c>
      <c r="P126" s="119"/>
      <c r="Q126" s="119"/>
      <c r="R126" s="123"/>
      <c r="S126" s="119"/>
      <c r="T126" s="119" t="s">
        <v>131</v>
      </c>
      <c r="U126" s="169" t="b">
        <v>0</v>
      </c>
      <c r="V126" s="169" t="b">
        <v>0</v>
      </c>
      <c r="W126" s="169" t="b">
        <v>0</v>
      </c>
      <c r="X126" s="169" t="b">
        <v>0</v>
      </c>
    </row>
    <row r="127" spans="1:24" x14ac:dyDescent="0.2">
      <c r="A127" s="103" t="s">
        <v>635</v>
      </c>
      <c r="B127" s="212"/>
      <c r="C127" s="407"/>
      <c r="D127" s="407"/>
      <c r="E127" s="407"/>
      <c r="F127" s="413" t="s">
        <v>339</v>
      </c>
      <c r="G127" s="413" t="s">
        <v>1582</v>
      </c>
      <c r="H127" s="407"/>
      <c r="I127" s="407"/>
      <c r="J127" s="25"/>
      <c r="K127" s="207"/>
      <c r="N127" s="215"/>
      <c r="O127" s="169" t="b">
        <v>0</v>
      </c>
      <c r="P127" s="119"/>
      <c r="Q127" s="119"/>
      <c r="R127" s="123"/>
      <c r="S127" s="119"/>
      <c r="T127" s="119" t="s">
        <v>131</v>
      </c>
      <c r="U127" s="169" t="b">
        <v>0</v>
      </c>
      <c r="V127" s="169" t="b">
        <v>0</v>
      </c>
      <c r="W127" s="169" t="b">
        <v>0</v>
      </c>
      <c r="X127" s="169" t="b">
        <v>0</v>
      </c>
    </row>
    <row r="128" spans="1:24" x14ac:dyDescent="0.2">
      <c r="A128" s="119"/>
      <c r="B128" s="119"/>
      <c r="C128" s="176"/>
      <c r="D128" s="119"/>
      <c r="E128" s="176"/>
      <c r="F128" s="176"/>
      <c r="G128" s="119"/>
      <c r="H128" s="119"/>
      <c r="I128" s="119"/>
      <c r="J128" s="119"/>
      <c r="K128" s="119"/>
      <c r="N128" s="215"/>
      <c r="O128" s="169" t="b">
        <v>0</v>
      </c>
      <c r="P128" s="119"/>
      <c r="Q128" s="119"/>
      <c r="R128" s="123"/>
      <c r="S128" s="119"/>
      <c r="T128" s="119" t="s">
        <v>681</v>
      </c>
      <c r="U128" s="169" t="b">
        <v>0</v>
      </c>
      <c r="V128" s="169" t="b">
        <v>0</v>
      </c>
      <c r="W128" s="169" t="b">
        <v>0</v>
      </c>
      <c r="X128" s="169" t="b">
        <v>0</v>
      </c>
    </row>
    <row r="129" spans="1:24" x14ac:dyDescent="0.2">
      <c r="A129" s="119"/>
      <c r="B129" s="119"/>
      <c r="C129" s="176"/>
      <c r="D129" s="119"/>
      <c r="E129" s="176"/>
      <c r="F129" s="176"/>
      <c r="G129" s="119"/>
      <c r="H129" s="119"/>
      <c r="I129" s="119"/>
      <c r="J129" s="119"/>
      <c r="K129" s="119"/>
      <c r="N129" s="215"/>
      <c r="O129" s="169" t="b">
        <v>0</v>
      </c>
      <c r="P129" s="119"/>
      <c r="Q129" s="119"/>
      <c r="R129" s="123"/>
      <c r="S129" s="119"/>
      <c r="T129" s="119" t="s">
        <v>681</v>
      </c>
      <c r="U129" s="169" t="b">
        <v>0</v>
      </c>
      <c r="V129" s="169" t="b">
        <v>0</v>
      </c>
      <c r="W129" s="169" t="b">
        <v>0</v>
      </c>
      <c r="X129" s="169" t="b">
        <v>0</v>
      </c>
    </row>
    <row r="130" spans="1:24" ht="25.5" x14ac:dyDescent="0.35">
      <c r="A130" s="556" t="s">
        <v>678</v>
      </c>
      <c r="B130" s="537"/>
      <c r="C130" s="537"/>
      <c r="D130" s="537"/>
      <c r="E130" s="537"/>
      <c r="F130" s="537"/>
      <c r="G130" s="537"/>
      <c r="H130" s="537"/>
      <c r="I130" s="531"/>
      <c r="J130" s="557">
        <v>45530</v>
      </c>
      <c r="K130" s="119"/>
      <c r="N130" s="215"/>
      <c r="O130" s="169" t="b">
        <v>0</v>
      </c>
      <c r="P130" s="119"/>
      <c r="Q130" s="119"/>
      <c r="R130" s="123"/>
      <c r="S130" s="119"/>
      <c r="T130" s="119" t="s">
        <v>681</v>
      </c>
      <c r="U130" s="169" t="b">
        <v>0</v>
      </c>
      <c r="V130" s="169" t="b">
        <v>0</v>
      </c>
      <c r="W130" s="169" t="b">
        <v>0</v>
      </c>
      <c r="X130" s="169" t="b">
        <v>0</v>
      </c>
    </row>
    <row r="131" spans="1:24" x14ac:dyDescent="0.2">
      <c r="A131" s="222" t="s">
        <v>679</v>
      </c>
      <c r="B131" s="223"/>
      <c r="C131" s="223"/>
      <c r="D131" s="224" t="s">
        <v>156</v>
      </c>
      <c r="E131" s="225" t="s">
        <v>126</v>
      </c>
      <c r="F131" s="225" t="s">
        <v>132</v>
      </c>
      <c r="G131" s="225" t="s">
        <v>136</v>
      </c>
      <c r="H131" s="225" t="s">
        <v>103</v>
      </c>
      <c r="I131" s="225" t="s">
        <v>153</v>
      </c>
      <c r="J131" s="558"/>
      <c r="K131" s="119"/>
      <c r="N131" s="215"/>
      <c r="O131" s="169" t="b">
        <v>0</v>
      </c>
      <c r="P131" s="119"/>
      <c r="Q131" s="119"/>
      <c r="R131" s="123"/>
      <c r="S131" s="119"/>
      <c r="T131" s="119" t="s">
        <v>131</v>
      </c>
      <c r="U131" s="169" t="b">
        <v>0</v>
      </c>
      <c r="V131" s="169" t="b">
        <v>0</v>
      </c>
      <c r="W131" s="169" t="b">
        <v>0</v>
      </c>
      <c r="X131" s="169" t="b">
        <v>0</v>
      </c>
    </row>
    <row r="132" spans="1:24" x14ac:dyDescent="0.2">
      <c r="A132" s="226" t="s">
        <v>1625</v>
      </c>
      <c r="B132" s="227"/>
      <c r="C132" s="227"/>
      <c r="D132" s="228" t="s">
        <v>1626</v>
      </c>
      <c r="E132" s="228" t="s">
        <v>1627</v>
      </c>
      <c r="F132" s="228" t="s">
        <v>1628</v>
      </c>
      <c r="G132" s="228" t="s">
        <v>1629</v>
      </c>
      <c r="H132" s="227"/>
      <c r="I132" s="229"/>
      <c r="J132" s="419"/>
      <c r="K132" s="119"/>
      <c r="N132" s="215"/>
      <c r="O132" s="169" t="b">
        <v>0</v>
      </c>
      <c r="P132" s="119"/>
      <c r="Q132" s="119"/>
      <c r="R132" s="123"/>
      <c r="S132" s="119"/>
      <c r="T132" s="119"/>
      <c r="U132" s="169" t="b">
        <v>0</v>
      </c>
      <c r="V132" s="169" t="b">
        <v>0</v>
      </c>
      <c r="W132" s="169" t="b">
        <v>0</v>
      </c>
      <c r="X132" s="169" t="b">
        <v>0</v>
      </c>
    </row>
    <row r="133" spans="1:24" x14ac:dyDescent="0.2">
      <c r="A133" s="226" t="s">
        <v>1529</v>
      </c>
      <c r="B133" s="227"/>
      <c r="C133" s="227"/>
      <c r="D133" s="228" t="s">
        <v>1626</v>
      </c>
      <c r="E133" s="228" t="s">
        <v>1627</v>
      </c>
      <c r="F133" s="231" t="s">
        <v>1628</v>
      </c>
      <c r="G133" s="231" t="s">
        <v>1629</v>
      </c>
      <c r="H133" s="232"/>
      <c r="I133" s="229"/>
      <c r="J133" s="227"/>
      <c r="K133" s="119"/>
      <c r="N133" s="215"/>
      <c r="O133" s="169" t="b">
        <v>0</v>
      </c>
      <c r="P133" s="119"/>
      <c r="Q133" s="119"/>
      <c r="R133" s="123"/>
      <c r="S133" s="119"/>
      <c r="T133" s="119"/>
      <c r="U133" s="169" t="b">
        <v>0</v>
      </c>
      <c r="V133" s="169" t="b">
        <v>0</v>
      </c>
      <c r="W133" s="169" t="b">
        <v>0</v>
      </c>
      <c r="X133" s="169" t="b">
        <v>0</v>
      </c>
    </row>
    <row r="134" spans="1:24" x14ac:dyDescent="0.2">
      <c r="A134" s="226" t="s">
        <v>1531</v>
      </c>
      <c r="B134" s="227"/>
      <c r="C134" s="227"/>
      <c r="D134" s="228" t="s">
        <v>1630</v>
      </c>
      <c r="E134" s="228" t="s">
        <v>1627</v>
      </c>
      <c r="F134" s="231" t="s">
        <v>1628</v>
      </c>
      <c r="G134" s="231" t="s">
        <v>1629</v>
      </c>
      <c r="H134" s="227"/>
      <c r="I134" s="229"/>
      <c r="J134" s="227"/>
      <c r="K134" s="119"/>
      <c r="N134" s="215"/>
      <c r="O134" s="169" t="b">
        <v>0</v>
      </c>
      <c r="P134" s="119"/>
      <c r="Q134" s="119"/>
      <c r="R134" s="123"/>
      <c r="S134" s="119"/>
      <c r="T134" s="119"/>
      <c r="U134" s="169" t="b">
        <v>0</v>
      </c>
      <c r="V134" s="169" t="b">
        <v>0</v>
      </c>
      <c r="W134" s="169" t="b">
        <v>0</v>
      </c>
      <c r="X134" s="169" t="b">
        <v>0</v>
      </c>
    </row>
    <row r="135" spans="1:24" x14ac:dyDescent="0.2">
      <c r="A135" s="226" t="s">
        <v>1530</v>
      </c>
      <c r="B135" s="227"/>
      <c r="C135" s="227"/>
      <c r="D135" s="228" t="s">
        <v>1630</v>
      </c>
      <c r="E135" s="228" t="s">
        <v>1627</v>
      </c>
      <c r="F135" s="228" t="s">
        <v>1628</v>
      </c>
      <c r="G135" s="228" t="s">
        <v>1629</v>
      </c>
      <c r="H135" s="227"/>
      <c r="I135" s="229"/>
      <c r="J135" s="227"/>
      <c r="K135" s="119"/>
      <c r="N135" s="215"/>
      <c r="O135" s="169" t="b">
        <v>0</v>
      </c>
      <c r="P135" s="119"/>
      <c r="Q135" s="119"/>
      <c r="R135" s="123"/>
      <c r="S135" s="119"/>
      <c r="T135" s="119" t="s">
        <v>681</v>
      </c>
      <c r="U135" s="169" t="b">
        <v>0</v>
      </c>
      <c r="V135" s="169" t="b">
        <v>0</v>
      </c>
      <c r="W135" s="169" t="b">
        <v>0</v>
      </c>
      <c r="X135" s="169" t="b">
        <v>0</v>
      </c>
    </row>
    <row r="136" spans="1:24" x14ac:dyDescent="0.2">
      <c r="A136" s="226" t="s">
        <v>1532</v>
      </c>
      <c r="B136" s="227"/>
      <c r="C136" s="227"/>
      <c r="D136" s="228" t="s">
        <v>1630</v>
      </c>
      <c r="E136" s="228" t="s">
        <v>1627</v>
      </c>
      <c r="F136" s="228" t="s">
        <v>1628</v>
      </c>
      <c r="G136" s="228" t="s">
        <v>1629</v>
      </c>
      <c r="H136" s="227"/>
      <c r="I136" s="229"/>
      <c r="J136" s="227"/>
      <c r="K136" s="119"/>
      <c r="N136" s="215"/>
      <c r="O136" s="169" t="b">
        <v>0</v>
      </c>
      <c r="P136" s="119"/>
      <c r="Q136" s="119"/>
      <c r="R136" s="123"/>
      <c r="S136" s="119"/>
      <c r="T136" s="119" t="s">
        <v>493</v>
      </c>
      <c r="U136" s="169" t="b">
        <v>0</v>
      </c>
      <c r="V136" s="169" t="b">
        <v>0</v>
      </c>
      <c r="W136" s="169" t="b">
        <v>0</v>
      </c>
      <c r="X136" s="169" t="b">
        <v>0</v>
      </c>
    </row>
    <row r="137" spans="1:24" x14ac:dyDescent="0.2">
      <c r="A137" s="226" t="s">
        <v>860</v>
      </c>
      <c r="B137" s="227"/>
      <c r="C137" s="227"/>
      <c r="D137" s="228" t="s">
        <v>1631</v>
      </c>
      <c r="E137" s="228" t="s">
        <v>1632</v>
      </c>
      <c r="F137" s="228" t="s">
        <v>1633</v>
      </c>
      <c r="G137" s="228" t="s">
        <v>1619</v>
      </c>
      <c r="H137" s="227"/>
      <c r="I137" s="229"/>
      <c r="J137" s="227"/>
      <c r="K137" s="119"/>
      <c r="N137" s="215"/>
      <c r="O137" s="169" t="b">
        <v>0</v>
      </c>
      <c r="P137" s="119"/>
      <c r="Q137" s="119"/>
      <c r="R137" s="123"/>
      <c r="S137" s="119"/>
      <c r="T137" s="119"/>
      <c r="U137" s="169" t="b">
        <v>0</v>
      </c>
      <c r="V137" s="169" t="b">
        <v>0</v>
      </c>
      <c r="W137" s="169" t="b">
        <v>0</v>
      </c>
      <c r="X137" s="169" t="b">
        <v>0</v>
      </c>
    </row>
    <row r="138" spans="1:24" x14ac:dyDescent="0.2">
      <c r="A138" s="226" t="s">
        <v>1634</v>
      </c>
      <c r="B138" s="227"/>
      <c r="C138" s="227"/>
      <c r="D138" s="228" t="s">
        <v>1630</v>
      </c>
      <c r="E138" s="228" t="s">
        <v>1635</v>
      </c>
      <c r="F138" s="228" t="s">
        <v>1636</v>
      </c>
      <c r="G138" s="228" t="s">
        <v>1637</v>
      </c>
      <c r="H138" s="227"/>
      <c r="I138" s="229"/>
      <c r="J138" s="227"/>
      <c r="K138" s="119"/>
      <c r="N138" s="215"/>
      <c r="O138" s="169" t="b">
        <v>0</v>
      </c>
      <c r="P138" s="119"/>
      <c r="Q138" s="119"/>
      <c r="R138" s="123"/>
      <c r="S138" s="119"/>
      <c r="T138" s="119"/>
      <c r="U138" s="169" t="b">
        <v>0</v>
      </c>
      <c r="V138" s="169" t="b">
        <v>0</v>
      </c>
      <c r="W138" s="169" t="b">
        <v>0</v>
      </c>
      <c r="X138" s="169" t="b">
        <v>0</v>
      </c>
    </row>
    <row r="139" spans="1:24" x14ac:dyDescent="0.2">
      <c r="A139" s="226" t="s">
        <v>1525</v>
      </c>
      <c r="B139" s="227"/>
      <c r="C139" s="227"/>
      <c r="D139" s="228" t="s">
        <v>1630</v>
      </c>
      <c r="E139" s="228" t="s">
        <v>1638</v>
      </c>
      <c r="F139" s="228" t="s">
        <v>1639</v>
      </c>
      <c r="G139" s="228" t="s">
        <v>1640</v>
      </c>
      <c r="H139" s="227"/>
      <c r="I139" s="229"/>
      <c r="J139" s="227"/>
      <c r="K139" s="119"/>
      <c r="N139" s="215"/>
      <c r="O139" s="169" t="b">
        <v>0</v>
      </c>
      <c r="P139" s="119"/>
      <c r="Q139" s="119"/>
      <c r="R139" s="123"/>
      <c r="S139" s="119"/>
      <c r="T139" s="119"/>
      <c r="U139" s="169" t="b">
        <v>0</v>
      </c>
      <c r="V139" s="169" t="b">
        <v>0</v>
      </c>
      <c r="W139" s="169" t="b">
        <v>0</v>
      </c>
      <c r="X139" s="169" t="b">
        <v>0</v>
      </c>
    </row>
    <row r="140" spans="1:24" x14ac:dyDescent="0.2">
      <c r="A140" s="226" t="s">
        <v>1526</v>
      </c>
      <c r="B140" s="227"/>
      <c r="C140" s="227"/>
      <c r="D140" s="228" t="s">
        <v>1631</v>
      </c>
      <c r="E140" s="228" t="s">
        <v>1641</v>
      </c>
      <c r="F140" s="228" t="s">
        <v>1642</v>
      </c>
      <c r="G140" s="228" t="s">
        <v>1643</v>
      </c>
      <c r="H140" s="227"/>
      <c r="I140" s="229"/>
      <c r="J140" s="227"/>
      <c r="K140" s="119"/>
      <c r="N140" s="215"/>
      <c r="O140" s="169" t="b">
        <v>0</v>
      </c>
      <c r="P140" s="119"/>
      <c r="Q140" s="119"/>
      <c r="R140" s="123"/>
      <c r="S140" s="119"/>
      <c r="T140" s="119"/>
      <c r="U140" s="169" t="b">
        <v>0</v>
      </c>
      <c r="V140" s="169" t="b">
        <v>0</v>
      </c>
      <c r="W140" s="169" t="b">
        <v>0</v>
      </c>
      <c r="X140" s="169" t="b">
        <v>0</v>
      </c>
    </row>
    <row r="141" spans="1:24" x14ac:dyDescent="0.2">
      <c r="A141" s="226" t="s">
        <v>1527</v>
      </c>
      <c r="B141" s="227"/>
      <c r="C141" s="227"/>
      <c r="D141" s="228" t="s">
        <v>1630</v>
      </c>
      <c r="E141" s="228" t="s">
        <v>1644</v>
      </c>
      <c r="F141" s="228" t="s">
        <v>1645</v>
      </c>
      <c r="G141" s="228" t="s">
        <v>1640</v>
      </c>
      <c r="H141" s="227"/>
      <c r="I141" s="229"/>
      <c r="J141" s="227"/>
      <c r="K141" s="119"/>
      <c r="N141" s="215"/>
      <c r="O141" s="169" t="b">
        <v>0</v>
      </c>
      <c r="P141" s="119"/>
      <c r="Q141" s="119"/>
      <c r="R141" s="123"/>
      <c r="S141" s="119"/>
      <c r="T141" s="119" t="s">
        <v>681</v>
      </c>
      <c r="U141" s="169" t="b">
        <v>0</v>
      </c>
      <c r="V141" s="169" t="b">
        <v>0</v>
      </c>
      <c r="W141" s="169" t="b">
        <v>0</v>
      </c>
      <c r="X141" s="169" t="b">
        <v>0</v>
      </c>
    </row>
    <row r="142" spans="1:24" x14ac:dyDescent="0.2">
      <c r="A142" s="226" t="s">
        <v>231</v>
      </c>
      <c r="B142" s="227"/>
      <c r="C142" s="227"/>
      <c r="D142" s="228" t="s">
        <v>1631</v>
      </c>
      <c r="E142" s="228" t="s">
        <v>1641</v>
      </c>
      <c r="F142" s="228" t="s">
        <v>1633</v>
      </c>
      <c r="G142" s="228" t="s">
        <v>1646</v>
      </c>
      <c r="H142" s="227"/>
      <c r="I142" s="229"/>
      <c r="J142" s="227"/>
      <c r="K142" s="119"/>
      <c r="N142" s="215"/>
      <c r="O142" s="169" t="b">
        <v>0</v>
      </c>
      <c r="P142" s="119"/>
      <c r="Q142" s="119"/>
      <c r="R142" s="123"/>
      <c r="S142" s="119"/>
      <c r="T142" s="119" t="s">
        <v>681</v>
      </c>
      <c r="U142" s="169" t="b">
        <v>0</v>
      </c>
      <c r="V142" s="169" t="b">
        <v>0</v>
      </c>
      <c r="W142" s="169" t="b">
        <v>0</v>
      </c>
      <c r="X142" s="169" t="b">
        <v>0</v>
      </c>
    </row>
    <row r="143" spans="1:24" x14ac:dyDescent="0.2">
      <c r="A143" s="226" t="s">
        <v>1534</v>
      </c>
      <c r="B143" s="227"/>
      <c r="C143" s="227"/>
      <c r="D143" s="228" t="s">
        <v>1630</v>
      </c>
      <c r="E143" s="228" t="s">
        <v>1647</v>
      </c>
      <c r="F143" s="228" t="s">
        <v>1648</v>
      </c>
      <c r="G143" s="228" t="s">
        <v>1649</v>
      </c>
      <c r="H143" s="227"/>
      <c r="I143" s="229"/>
      <c r="J143" s="227"/>
      <c r="K143" s="119"/>
      <c r="N143" s="215"/>
      <c r="O143" s="169" t="b">
        <v>0</v>
      </c>
      <c r="P143" s="119"/>
      <c r="Q143" s="119"/>
      <c r="R143" s="123"/>
      <c r="S143" s="119"/>
      <c r="T143" s="119" t="s">
        <v>493</v>
      </c>
      <c r="U143" s="169" t="b">
        <v>0</v>
      </c>
      <c r="V143" s="169" t="b">
        <v>0</v>
      </c>
      <c r="W143" s="169" t="b">
        <v>0</v>
      </c>
      <c r="X143" s="169" t="b">
        <v>0</v>
      </c>
    </row>
    <row r="144" spans="1:24" x14ac:dyDescent="0.2">
      <c r="A144" s="226" t="s">
        <v>1433</v>
      </c>
      <c r="B144" s="227"/>
      <c r="C144" s="227"/>
      <c r="D144" s="228" t="s">
        <v>1631</v>
      </c>
      <c r="E144" s="228" t="s">
        <v>1641</v>
      </c>
      <c r="F144" s="228" t="s">
        <v>1633</v>
      </c>
      <c r="G144" s="228" t="s">
        <v>1650</v>
      </c>
      <c r="H144" s="227"/>
      <c r="I144" s="229"/>
      <c r="J144" s="227"/>
      <c r="K144" s="119"/>
      <c r="N144" s="215"/>
      <c r="O144" s="169" t="b">
        <v>0</v>
      </c>
      <c r="P144" s="119"/>
      <c r="Q144" s="119"/>
      <c r="R144" s="123"/>
      <c r="S144" s="119"/>
      <c r="T144" s="119" t="s">
        <v>131</v>
      </c>
      <c r="U144" s="169" t="b">
        <v>0</v>
      </c>
      <c r="V144" s="169" t="b">
        <v>0</v>
      </c>
      <c r="W144" s="169" t="b">
        <v>0</v>
      </c>
      <c r="X144" s="169" t="b">
        <v>0</v>
      </c>
    </row>
    <row r="145" spans="1:24" x14ac:dyDescent="0.2">
      <c r="A145" s="226" t="s">
        <v>1439</v>
      </c>
      <c r="B145" s="227"/>
      <c r="C145" s="227"/>
      <c r="D145" s="227"/>
      <c r="E145" s="228" t="s">
        <v>1651</v>
      </c>
      <c r="F145" s="228" t="s">
        <v>1652</v>
      </c>
      <c r="G145" s="228" t="s">
        <v>1641</v>
      </c>
      <c r="H145" s="227"/>
      <c r="I145" s="229"/>
      <c r="J145" s="227"/>
      <c r="K145" s="119"/>
      <c r="N145" s="215"/>
      <c r="O145" s="169" t="b">
        <v>0</v>
      </c>
      <c r="P145" s="119"/>
      <c r="Q145" s="119"/>
      <c r="R145" s="123"/>
      <c r="S145" s="119"/>
      <c r="T145" s="119"/>
      <c r="U145" s="169" t="b">
        <v>0</v>
      </c>
      <c r="V145" s="169" t="b">
        <v>0</v>
      </c>
      <c r="W145" s="169" t="b">
        <v>0</v>
      </c>
      <c r="X145" s="169" t="b">
        <v>0</v>
      </c>
    </row>
    <row r="146" spans="1:24" x14ac:dyDescent="0.2">
      <c r="A146" s="226" t="s">
        <v>1440</v>
      </c>
      <c r="B146" s="227"/>
      <c r="C146" s="227"/>
      <c r="D146" s="227"/>
      <c r="E146" s="228" t="s">
        <v>1651</v>
      </c>
      <c r="F146" s="228" t="s">
        <v>1652</v>
      </c>
      <c r="G146" s="228" t="s">
        <v>1641</v>
      </c>
      <c r="H146" s="227"/>
      <c r="I146" s="229"/>
      <c r="J146" s="227"/>
      <c r="K146" s="119"/>
      <c r="N146" s="215"/>
      <c r="O146" s="169" t="b">
        <v>0</v>
      </c>
      <c r="P146" s="119"/>
      <c r="Q146" s="119"/>
      <c r="R146" s="123"/>
      <c r="S146" s="119"/>
      <c r="T146" s="119"/>
      <c r="U146" s="169" t="b">
        <v>0</v>
      </c>
      <c r="V146" s="169" t="b">
        <v>0</v>
      </c>
      <c r="W146" s="169" t="b">
        <v>0</v>
      </c>
      <c r="X146" s="169" t="b">
        <v>0</v>
      </c>
    </row>
    <row r="147" spans="1:24" x14ac:dyDescent="0.2">
      <c r="A147" s="226" t="s">
        <v>228</v>
      </c>
      <c r="B147" s="227"/>
      <c r="C147" s="227"/>
      <c r="D147" s="227"/>
      <c r="E147" s="228" t="s">
        <v>1653</v>
      </c>
      <c r="F147" s="228" t="s">
        <v>1520</v>
      </c>
      <c r="G147" s="228" t="s">
        <v>1654</v>
      </c>
      <c r="H147" s="227"/>
      <c r="I147" s="229"/>
      <c r="J147" s="227"/>
      <c r="K147" s="119"/>
      <c r="N147" s="215"/>
      <c r="O147" s="169" t="b">
        <v>0</v>
      </c>
      <c r="P147" s="119"/>
      <c r="Q147" s="119"/>
      <c r="R147" s="123"/>
      <c r="S147" s="119"/>
      <c r="T147" s="119"/>
      <c r="U147" s="169" t="b">
        <v>0</v>
      </c>
      <c r="V147" s="169" t="b">
        <v>0</v>
      </c>
      <c r="W147" s="169" t="b">
        <v>0</v>
      </c>
      <c r="X147" s="169" t="b">
        <v>0</v>
      </c>
    </row>
    <row r="148" spans="1:24" x14ac:dyDescent="0.2">
      <c r="A148" s="226" t="s">
        <v>1535</v>
      </c>
      <c r="B148" s="227"/>
      <c r="C148" s="227"/>
      <c r="D148" s="227"/>
      <c r="E148" s="228" t="s">
        <v>1653</v>
      </c>
      <c r="F148" s="228" t="s">
        <v>1520</v>
      </c>
      <c r="G148" s="228" t="s">
        <v>1654</v>
      </c>
      <c r="H148" s="227"/>
      <c r="I148" s="229"/>
      <c r="J148" s="227"/>
      <c r="K148" s="119"/>
      <c r="N148" s="215"/>
      <c r="O148" s="169" t="b">
        <v>0</v>
      </c>
      <c r="P148" s="119"/>
      <c r="Q148" s="119"/>
      <c r="R148" s="123"/>
      <c r="S148" s="119"/>
      <c r="T148" s="119"/>
      <c r="U148" s="169" t="b">
        <v>0</v>
      </c>
      <c r="V148" s="169" t="b">
        <v>0</v>
      </c>
      <c r="W148" s="169" t="b">
        <v>0</v>
      </c>
      <c r="X148" s="169" t="b">
        <v>0</v>
      </c>
    </row>
    <row r="149" spans="1:24" x14ac:dyDescent="0.2">
      <c r="A149" s="226" t="s">
        <v>1536</v>
      </c>
      <c r="B149" s="227"/>
      <c r="C149" s="227"/>
      <c r="D149" s="227"/>
      <c r="E149" s="228" t="s">
        <v>1653</v>
      </c>
      <c r="F149" s="228" t="s">
        <v>1520</v>
      </c>
      <c r="G149" s="228" t="s">
        <v>1654</v>
      </c>
      <c r="H149" s="227"/>
      <c r="I149" s="229"/>
      <c r="J149" s="227"/>
      <c r="K149" s="119"/>
      <c r="N149" s="215"/>
      <c r="O149" s="169" t="b">
        <v>0</v>
      </c>
      <c r="P149" s="119"/>
      <c r="Q149" s="119"/>
      <c r="R149" s="123"/>
      <c r="S149" s="119"/>
      <c r="T149" s="119"/>
      <c r="U149" s="169" t="b">
        <v>0</v>
      </c>
      <c r="V149" s="169" t="b">
        <v>0</v>
      </c>
      <c r="W149" s="169" t="b">
        <v>0</v>
      </c>
      <c r="X149" s="169" t="b">
        <v>0</v>
      </c>
    </row>
    <row r="150" spans="1:24" x14ac:dyDescent="0.2">
      <c r="A150" s="232"/>
      <c r="B150" s="227"/>
      <c r="C150" s="227"/>
      <c r="D150" s="227"/>
      <c r="E150" s="227"/>
      <c r="F150" s="227"/>
      <c r="G150" s="227"/>
      <c r="H150" s="227"/>
      <c r="I150" s="229"/>
      <c r="J150" s="227"/>
      <c r="K150" s="119"/>
      <c r="N150" s="215"/>
      <c r="O150" s="169" t="b">
        <v>0</v>
      </c>
      <c r="P150" s="119"/>
      <c r="Q150" s="119"/>
      <c r="R150" s="123"/>
      <c r="S150" s="119"/>
      <c r="T150" s="119"/>
      <c r="U150" s="169" t="b">
        <v>0</v>
      </c>
      <c r="V150" s="169" t="b">
        <v>0</v>
      </c>
      <c r="W150" s="169" t="b">
        <v>0</v>
      </c>
      <c r="X150" s="169" t="b">
        <v>0</v>
      </c>
    </row>
    <row r="151" spans="1:24" x14ac:dyDescent="0.2">
      <c r="A151" s="226" t="s">
        <v>1538</v>
      </c>
      <c r="B151" s="227"/>
      <c r="C151" s="227"/>
      <c r="D151" s="227"/>
      <c r="E151" s="228" t="s">
        <v>1655</v>
      </c>
      <c r="F151" s="228" t="s">
        <v>1656</v>
      </c>
      <c r="G151" s="228" t="s">
        <v>1657</v>
      </c>
      <c r="H151" s="227"/>
      <c r="I151" s="229"/>
      <c r="J151" s="227"/>
      <c r="K151" s="119"/>
      <c r="N151" s="215"/>
      <c r="O151" s="169" t="b">
        <v>0</v>
      </c>
      <c r="P151" s="119"/>
      <c r="Q151" s="119"/>
      <c r="R151" s="123"/>
      <c r="S151" s="119"/>
      <c r="T151" s="119"/>
      <c r="U151" s="169" t="b">
        <v>0</v>
      </c>
      <c r="V151" s="169" t="b">
        <v>0</v>
      </c>
      <c r="W151" s="169" t="b">
        <v>0</v>
      </c>
      <c r="X151" s="169" t="b">
        <v>0</v>
      </c>
    </row>
    <row r="152" spans="1:24" x14ac:dyDescent="0.2">
      <c r="A152" s="226" t="s">
        <v>1539</v>
      </c>
      <c r="B152" s="227"/>
      <c r="C152" s="227"/>
      <c r="D152" s="227"/>
      <c r="E152" s="228" t="s">
        <v>1655</v>
      </c>
      <c r="F152" s="228" t="s">
        <v>1656</v>
      </c>
      <c r="G152" s="228" t="s">
        <v>1657</v>
      </c>
      <c r="H152" s="227"/>
      <c r="I152" s="229"/>
      <c r="J152" s="227"/>
      <c r="K152" s="119"/>
      <c r="N152" s="215"/>
      <c r="O152" s="169" t="b">
        <v>0</v>
      </c>
      <c r="P152" s="119"/>
      <c r="Q152" s="119"/>
      <c r="R152" s="123"/>
      <c r="S152" s="119"/>
      <c r="T152" s="119"/>
      <c r="U152" s="169" t="b">
        <v>0</v>
      </c>
      <c r="V152" s="169" t="b">
        <v>0</v>
      </c>
      <c r="W152" s="169" t="b">
        <v>0</v>
      </c>
      <c r="X152" s="169" t="b">
        <v>0</v>
      </c>
    </row>
    <row r="153" spans="1:24" x14ac:dyDescent="0.2">
      <c r="A153" s="226" t="s">
        <v>1540</v>
      </c>
      <c r="B153" s="227"/>
      <c r="C153" s="227"/>
      <c r="D153" s="227"/>
      <c r="E153" s="228" t="s">
        <v>1655</v>
      </c>
      <c r="F153" s="228" t="s">
        <v>1656</v>
      </c>
      <c r="G153" s="228" t="s">
        <v>1657</v>
      </c>
      <c r="H153" s="227"/>
      <c r="I153" s="229"/>
      <c r="J153" s="227"/>
      <c r="K153" s="119"/>
      <c r="N153" s="215"/>
      <c r="O153" s="169" t="b">
        <v>0</v>
      </c>
      <c r="P153" s="119"/>
      <c r="Q153" s="119"/>
      <c r="R153" s="123"/>
      <c r="S153" s="119"/>
      <c r="T153" s="119" t="s">
        <v>131</v>
      </c>
      <c r="U153" s="169" t="b">
        <v>0</v>
      </c>
      <c r="V153" s="169" t="b">
        <v>0</v>
      </c>
      <c r="W153" s="169" t="b">
        <v>0</v>
      </c>
      <c r="X153" s="169" t="b">
        <v>0</v>
      </c>
    </row>
    <row r="154" spans="1:24" x14ac:dyDescent="0.2">
      <c r="A154" s="226" t="s">
        <v>1541</v>
      </c>
      <c r="B154" s="227"/>
      <c r="C154" s="227"/>
      <c r="D154" s="227"/>
      <c r="E154" s="228" t="s">
        <v>1655</v>
      </c>
      <c r="F154" s="228" t="s">
        <v>1656</v>
      </c>
      <c r="G154" s="228" t="s">
        <v>1657</v>
      </c>
      <c r="H154" s="227"/>
      <c r="I154" s="229"/>
      <c r="J154" s="227"/>
      <c r="K154" s="119"/>
      <c r="N154" s="215"/>
      <c r="O154" s="169" t="b">
        <v>0</v>
      </c>
      <c r="P154" s="119"/>
      <c r="Q154" s="119"/>
      <c r="R154" s="123"/>
      <c r="S154" s="119"/>
      <c r="T154" s="119" t="s">
        <v>681</v>
      </c>
      <c r="U154" s="169" t="b">
        <v>0</v>
      </c>
      <c r="V154" s="169" t="b">
        <v>0</v>
      </c>
      <c r="W154" s="169" t="b">
        <v>0</v>
      </c>
      <c r="X154" s="169" t="b">
        <v>0</v>
      </c>
    </row>
    <row r="155" spans="1:24" x14ac:dyDescent="0.2">
      <c r="A155" s="226" t="s">
        <v>813</v>
      </c>
      <c r="B155" s="227"/>
      <c r="C155" s="227"/>
      <c r="D155" s="227"/>
      <c r="E155" s="228" t="s">
        <v>1655</v>
      </c>
      <c r="F155" s="228" t="s">
        <v>1656</v>
      </c>
      <c r="G155" s="228" t="s">
        <v>1657</v>
      </c>
      <c r="H155" s="227"/>
      <c r="I155" s="229"/>
      <c r="J155" s="227"/>
      <c r="K155" s="119"/>
      <c r="N155" s="215"/>
      <c r="O155" s="169" t="b">
        <v>0</v>
      </c>
      <c r="P155" s="119"/>
      <c r="Q155" s="119"/>
      <c r="R155" s="123"/>
      <c r="S155" s="119"/>
      <c r="T155" s="119" t="s">
        <v>681</v>
      </c>
      <c r="U155" s="169" t="b">
        <v>0</v>
      </c>
      <c r="V155" s="169" t="b">
        <v>0</v>
      </c>
      <c r="W155" s="169" t="b">
        <v>0</v>
      </c>
      <c r="X155" s="169" t="b">
        <v>0</v>
      </c>
    </row>
    <row r="156" spans="1:24" x14ac:dyDescent="0.2">
      <c r="A156" s="226" t="s">
        <v>1542</v>
      </c>
      <c r="B156" s="227"/>
      <c r="C156" s="227"/>
      <c r="D156" s="227"/>
      <c r="E156" s="228" t="s">
        <v>1652</v>
      </c>
      <c r="F156" s="228" t="s">
        <v>1656</v>
      </c>
      <c r="G156" s="228" t="s">
        <v>1657</v>
      </c>
      <c r="H156" s="227"/>
      <c r="I156" s="229"/>
      <c r="J156" s="227"/>
      <c r="K156" s="119"/>
      <c r="N156" s="215"/>
      <c r="O156" s="169" t="b">
        <v>0</v>
      </c>
      <c r="P156" s="119"/>
      <c r="Q156" s="119"/>
      <c r="R156" s="123"/>
      <c r="S156" s="119"/>
      <c r="T156" s="119" t="s">
        <v>681</v>
      </c>
      <c r="U156" s="169" t="b">
        <v>0</v>
      </c>
      <c r="V156" s="169" t="b">
        <v>0</v>
      </c>
      <c r="W156" s="169" t="b">
        <v>0</v>
      </c>
      <c r="X156" s="169" t="b">
        <v>0</v>
      </c>
    </row>
    <row r="157" spans="1:24" x14ac:dyDescent="0.2">
      <c r="A157" s="226" t="s">
        <v>1543</v>
      </c>
      <c r="B157" s="227"/>
      <c r="C157" s="227"/>
      <c r="D157" s="227"/>
      <c r="E157" s="228" t="s">
        <v>1652</v>
      </c>
      <c r="F157" s="228" t="s">
        <v>1656</v>
      </c>
      <c r="G157" s="228" t="s">
        <v>1657</v>
      </c>
      <c r="H157" s="227"/>
      <c r="I157" s="229"/>
      <c r="J157" s="227"/>
      <c r="K157" s="119"/>
      <c r="N157" s="215"/>
      <c r="O157" s="169" t="b">
        <v>0</v>
      </c>
      <c r="P157" s="119"/>
      <c r="Q157" s="119"/>
      <c r="R157" s="123"/>
      <c r="S157" s="119"/>
      <c r="T157" s="119"/>
      <c r="U157" s="169" t="b">
        <v>0</v>
      </c>
      <c r="V157" s="169" t="b">
        <v>0</v>
      </c>
      <c r="W157" s="169" t="b">
        <v>0</v>
      </c>
      <c r="X157" s="169" t="b">
        <v>0</v>
      </c>
    </row>
    <row r="158" spans="1:24" x14ac:dyDescent="0.2">
      <c r="A158" s="226" t="s">
        <v>1544</v>
      </c>
      <c r="B158" s="227"/>
      <c r="C158" s="227"/>
      <c r="D158" s="227"/>
      <c r="E158" s="228" t="s">
        <v>1652</v>
      </c>
      <c r="F158" s="228" t="s">
        <v>1656</v>
      </c>
      <c r="G158" s="228" t="s">
        <v>1657</v>
      </c>
      <c r="H158" s="227"/>
      <c r="I158" s="229"/>
      <c r="J158" s="227"/>
      <c r="K158" s="119"/>
      <c r="N158" s="215"/>
      <c r="O158" s="169" t="b">
        <v>0</v>
      </c>
      <c r="P158" s="119"/>
      <c r="Q158" s="119"/>
      <c r="R158" s="123"/>
      <c r="S158" s="119"/>
      <c r="T158" s="119"/>
      <c r="U158" s="169" t="b">
        <v>0</v>
      </c>
      <c r="V158" s="169" t="b">
        <v>0</v>
      </c>
      <c r="W158" s="169" t="b">
        <v>0</v>
      </c>
      <c r="X158" s="169" t="b">
        <v>0</v>
      </c>
    </row>
    <row r="159" spans="1:24" x14ac:dyDescent="0.2">
      <c r="A159" s="226" t="s">
        <v>246</v>
      </c>
      <c r="B159" s="227"/>
      <c r="C159" s="227"/>
      <c r="D159" s="227"/>
      <c r="E159" s="228" t="s">
        <v>1658</v>
      </c>
      <c r="F159" s="228" t="s">
        <v>1641</v>
      </c>
      <c r="G159" s="228" t="s">
        <v>1643</v>
      </c>
      <c r="H159" s="227"/>
      <c r="I159" s="229"/>
      <c r="J159" s="227"/>
      <c r="K159" s="119"/>
      <c r="N159" s="215"/>
      <c r="O159" s="169" t="b">
        <v>0</v>
      </c>
      <c r="P159" s="119"/>
      <c r="Q159" s="119"/>
      <c r="R159" s="123"/>
      <c r="S159" s="119"/>
      <c r="T159" s="119"/>
      <c r="U159" s="169" t="b">
        <v>0</v>
      </c>
      <c r="V159" s="169" t="b">
        <v>0</v>
      </c>
      <c r="W159" s="169" t="b">
        <v>0</v>
      </c>
      <c r="X159" s="169" t="b">
        <v>0</v>
      </c>
    </row>
    <row r="160" spans="1:24" x14ac:dyDescent="0.2">
      <c r="A160" s="226" t="s">
        <v>1546</v>
      </c>
      <c r="B160" s="227"/>
      <c r="C160" s="227"/>
      <c r="D160" s="227"/>
      <c r="E160" s="228" t="s">
        <v>1658</v>
      </c>
      <c r="F160" s="228" t="s">
        <v>1641</v>
      </c>
      <c r="G160" s="228" t="s">
        <v>1643</v>
      </c>
      <c r="H160" s="227"/>
      <c r="I160" s="229"/>
      <c r="J160" s="227"/>
      <c r="K160" s="119"/>
      <c r="N160" s="215"/>
      <c r="O160" s="169" t="b">
        <v>0</v>
      </c>
      <c r="P160" s="119"/>
      <c r="Q160" s="119"/>
      <c r="R160" s="123"/>
      <c r="S160" s="119"/>
      <c r="T160" s="119" t="s">
        <v>493</v>
      </c>
      <c r="U160" s="169" t="b">
        <v>0</v>
      </c>
      <c r="V160" s="169" t="b">
        <v>0</v>
      </c>
      <c r="W160" s="169" t="b">
        <v>0</v>
      </c>
      <c r="X160" s="169" t="b">
        <v>0</v>
      </c>
    </row>
    <row r="161" spans="1:24" x14ac:dyDescent="0.2">
      <c r="A161" s="226" t="s">
        <v>1547</v>
      </c>
      <c r="B161" s="227"/>
      <c r="C161" s="227"/>
      <c r="D161" s="227"/>
      <c r="E161" s="228" t="s">
        <v>1659</v>
      </c>
      <c r="F161" s="228" t="s">
        <v>1520</v>
      </c>
      <c r="G161" s="228" t="s">
        <v>1641</v>
      </c>
      <c r="H161" s="227"/>
      <c r="I161" s="229"/>
      <c r="J161" s="227"/>
      <c r="K161" s="119"/>
      <c r="N161" s="215"/>
      <c r="O161" s="169" t="b">
        <v>0</v>
      </c>
      <c r="P161" s="119"/>
      <c r="Q161" s="119"/>
      <c r="R161" s="123"/>
      <c r="S161" s="119"/>
      <c r="T161" s="119"/>
      <c r="U161" s="169" t="b">
        <v>0</v>
      </c>
      <c r="V161" s="169" t="b">
        <v>0</v>
      </c>
      <c r="W161" s="169" t="b">
        <v>0</v>
      </c>
      <c r="X161" s="169" t="b">
        <v>0</v>
      </c>
    </row>
    <row r="162" spans="1:24" x14ac:dyDescent="0.2">
      <c r="A162" s="226" t="s">
        <v>1548</v>
      </c>
      <c r="B162" s="227"/>
      <c r="C162" s="227"/>
      <c r="D162" s="227"/>
      <c r="E162" s="228" t="s">
        <v>1660</v>
      </c>
      <c r="F162" s="228" t="s">
        <v>1520</v>
      </c>
      <c r="G162" s="228" t="s">
        <v>1641</v>
      </c>
      <c r="H162" s="227"/>
      <c r="I162" s="229"/>
      <c r="J162" s="227"/>
      <c r="K162" s="119"/>
      <c r="N162" s="215"/>
      <c r="O162" s="169" t="b">
        <v>0</v>
      </c>
      <c r="P162" s="119"/>
      <c r="Q162" s="119"/>
      <c r="R162" s="119"/>
      <c r="S162" s="119"/>
      <c r="T162" s="119" t="s">
        <v>502</v>
      </c>
      <c r="U162" s="169" t="b">
        <v>0</v>
      </c>
      <c r="V162" s="169" t="b">
        <v>0</v>
      </c>
      <c r="W162" s="169" t="b">
        <v>0</v>
      </c>
      <c r="X162" s="169" t="b">
        <v>0</v>
      </c>
    </row>
    <row r="163" spans="1:24" x14ac:dyDescent="0.2">
      <c r="A163" s="226" t="s">
        <v>1549</v>
      </c>
      <c r="B163" s="227"/>
      <c r="C163" s="227"/>
      <c r="D163" s="227"/>
      <c r="E163" s="228" t="s">
        <v>1661</v>
      </c>
      <c r="F163" s="228" t="s">
        <v>1520</v>
      </c>
      <c r="G163" s="228" t="s">
        <v>1641</v>
      </c>
      <c r="H163" s="227"/>
      <c r="I163" s="229"/>
      <c r="J163" s="227"/>
      <c r="K163" s="119"/>
      <c r="N163" s="215"/>
      <c r="O163" s="169" t="b">
        <v>0</v>
      </c>
      <c r="P163" s="119"/>
      <c r="Q163" s="119"/>
      <c r="R163" s="119"/>
      <c r="S163" s="119"/>
      <c r="T163" s="119" t="s">
        <v>502</v>
      </c>
      <c r="U163" s="169" t="b">
        <v>0</v>
      </c>
      <c r="V163" s="169" t="b">
        <v>0</v>
      </c>
      <c r="W163" s="169" t="b">
        <v>0</v>
      </c>
      <c r="X163" s="169" t="b">
        <v>0</v>
      </c>
    </row>
    <row r="164" spans="1:24" x14ac:dyDescent="0.2">
      <c r="A164" s="226" t="s">
        <v>1551</v>
      </c>
      <c r="B164" s="227"/>
      <c r="C164" s="227"/>
      <c r="D164" s="227"/>
      <c r="E164" s="228" t="s">
        <v>1662</v>
      </c>
      <c r="F164" s="228" t="s">
        <v>1662</v>
      </c>
      <c r="G164" s="228" t="s">
        <v>1663</v>
      </c>
      <c r="H164" s="227"/>
      <c r="I164" s="229"/>
      <c r="J164" s="227"/>
      <c r="K164" s="119"/>
      <c r="N164" s="215"/>
      <c r="O164" s="169" t="b">
        <v>0</v>
      </c>
      <c r="P164" s="119"/>
      <c r="Q164" s="119"/>
      <c r="R164" s="123"/>
      <c r="S164" s="119"/>
      <c r="T164" s="119" t="s">
        <v>681</v>
      </c>
      <c r="U164" s="169" t="b">
        <v>0</v>
      </c>
      <c r="V164" s="169" t="b">
        <v>0</v>
      </c>
      <c r="W164" s="169" t="b">
        <v>0</v>
      </c>
      <c r="X164" s="169" t="b">
        <v>0</v>
      </c>
    </row>
    <row r="165" spans="1:24" x14ac:dyDescent="0.2">
      <c r="A165" s="226" t="s">
        <v>1552</v>
      </c>
      <c r="B165" s="227"/>
      <c r="C165" s="227"/>
      <c r="D165" s="227"/>
      <c r="E165" s="228" t="s">
        <v>1662</v>
      </c>
      <c r="F165" s="228" t="s">
        <v>1662</v>
      </c>
      <c r="G165" s="228" t="s">
        <v>1630</v>
      </c>
      <c r="H165" s="227"/>
      <c r="I165" s="229"/>
      <c r="J165" s="227"/>
      <c r="K165" s="119"/>
      <c r="N165" s="215"/>
      <c r="O165" s="169" t="b">
        <v>0</v>
      </c>
      <c r="P165" s="119"/>
      <c r="Q165" s="119"/>
      <c r="R165" s="123"/>
      <c r="S165" s="119"/>
      <c r="T165" s="119" t="s">
        <v>681</v>
      </c>
      <c r="U165" s="169" t="b">
        <v>0</v>
      </c>
      <c r="V165" s="169" t="b">
        <v>0</v>
      </c>
      <c r="W165" s="169" t="b">
        <v>0</v>
      </c>
      <c r="X165" s="169" t="b">
        <v>0</v>
      </c>
    </row>
    <row r="166" spans="1:24" x14ac:dyDescent="0.2">
      <c r="A166" s="226" t="s">
        <v>1553</v>
      </c>
      <c r="B166" s="227"/>
      <c r="C166" s="227"/>
      <c r="D166" s="228" t="s">
        <v>1664</v>
      </c>
      <c r="E166" s="228" t="s">
        <v>1665</v>
      </c>
      <c r="F166" s="228" t="s">
        <v>1637</v>
      </c>
      <c r="G166" s="228" t="s">
        <v>1640</v>
      </c>
      <c r="H166" s="227"/>
      <c r="I166" s="229"/>
      <c r="J166" s="227"/>
      <c r="K166" s="119"/>
      <c r="N166" s="215"/>
      <c r="O166" s="169" t="b">
        <v>0</v>
      </c>
      <c r="P166" s="119"/>
      <c r="Q166" s="119"/>
      <c r="R166" s="123"/>
      <c r="S166" s="119"/>
      <c r="T166" s="119" t="s">
        <v>502</v>
      </c>
      <c r="U166" s="169" t="b">
        <v>0</v>
      </c>
      <c r="V166" s="169" t="b">
        <v>0</v>
      </c>
      <c r="W166" s="169" t="b">
        <v>0</v>
      </c>
      <c r="X166" s="169" t="b">
        <v>0</v>
      </c>
    </row>
    <row r="167" spans="1:24" x14ac:dyDescent="0.2">
      <c r="A167" s="226" t="s">
        <v>1554</v>
      </c>
      <c r="B167" s="227"/>
      <c r="C167" s="227"/>
      <c r="D167" s="227"/>
      <c r="E167" s="228" t="s">
        <v>1630</v>
      </c>
      <c r="F167" s="228" t="s">
        <v>1590</v>
      </c>
      <c r="G167" s="228" t="s">
        <v>1649</v>
      </c>
      <c r="H167" s="227"/>
      <c r="I167" s="229"/>
      <c r="J167" s="227"/>
      <c r="K167" s="119"/>
      <c r="N167" s="215"/>
      <c r="O167" s="169" t="b">
        <v>0</v>
      </c>
      <c r="P167" s="119"/>
      <c r="Q167" s="119"/>
      <c r="R167" s="123"/>
      <c r="S167" s="119"/>
      <c r="T167" s="119"/>
      <c r="U167" s="169" t="b">
        <v>0</v>
      </c>
      <c r="V167" s="169" t="b">
        <v>0</v>
      </c>
      <c r="W167" s="169" t="b">
        <v>0</v>
      </c>
      <c r="X167" s="169" t="b">
        <v>0</v>
      </c>
    </row>
    <row r="168" spans="1:24" x14ac:dyDescent="0.2">
      <c r="A168" s="226" t="s">
        <v>1555</v>
      </c>
      <c r="B168" s="227"/>
      <c r="C168" s="227"/>
      <c r="D168" s="227"/>
      <c r="E168" s="228" t="s">
        <v>1630</v>
      </c>
      <c r="F168" s="228" t="s">
        <v>1590</v>
      </c>
      <c r="G168" s="228" t="s">
        <v>1649</v>
      </c>
      <c r="H168" s="227"/>
      <c r="I168" s="229"/>
      <c r="J168" s="227"/>
      <c r="K168" s="119"/>
      <c r="N168" s="215"/>
      <c r="O168" s="169" t="b">
        <v>0</v>
      </c>
      <c r="P168" s="119"/>
      <c r="Q168" s="119"/>
      <c r="R168" s="123"/>
      <c r="S168" s="119"/>
      <c r="T168" s="119" t="s">
        <v>131</v>
      </c>
      <c r="U168" s="169" t="b">
        <v>0</v>
      </c>
      <c r="V168" s="169" t="b">
        <v>0</v>
      </c>
      <c r="W168" s="169" t="b">
        <v>0</v>
      </c>
      <c r="X168" s="169" t="b">
        <v>0</v>
      </c>
    </row>
    <row r="169" spans="1:24" x14ac:dyDescent="0.2">
      <c r="A169" s="226" t="s">
        <v>513</v>
      </c>
      <c r="B169" s="227"/>
      <c r="C169" s="228" t="s">
        <v>1666</v>
      </c>
      <c r="D169" s="228" t="s">
        <v>1667</v>
      </c>
      <c r="E169" s="228" t="s">
        <v>1668</v>
      </c>
      <c r="F169" s="228" t="s">
        <v>1590</v>
      </c>
      <c r="G169" s="228" t="s">
        <v>1669</v>
      </c>
      <c r="H169" s="227"/>
      <c r="I169" s="229"/>
      <c r="J169" s="227"/>
      <c r="K169" s="119"/>
      <c r="N169" s="215"/>
      <c r="O169" s="169" t="b">
        <v>0</v>
      </c>
      <c r="P169" s="119"/>
      <c r="Q169" s="119"/>
      <c r="R169" s="123"/>
      <c r="S169" s="119"/>
      <c r="T169" s="119" t="s">
        <v>131</v>
      </c>
      <c r="U169" s="169" t="b">
        <v>0</v>
      </c>
      <c r="V169" s="169" t="b">
        <v>0</v>
      </c>
      <c r="W169" s="169" t="b">
        <v>0</v>
      </c>
      <c r="X169" s="169" t="b">
        <v>0</v>
      </c>
    </row>
    <row r="170" spans="1:24" x14ac:dyDescent="0.2">
      <c r="A170" s="420" t="s">
        <v>1557</v>
      </c>
      <c r="B170" s="227"/>
      <c r="C170" s="227"/>
      <c r="D170" s="227"/>
      <c r="E170" s="228" t="s">
        <v>1627</v>
      </c>
      <c r="F170" s="228" t="s">
        <v>1590</v>
      </c>
      <c r="G170" s="228" t="s">
        <v>1669</v>
      </c>
      <c r="H170" s="227"/>
      <c r="I170" s="229"/>
      <c r="J170" s="227"/>
      <c r="K170" s="119"/>
      <c r="N170" s="215"/>
      <c r="O170" s="169" t="b">
        <v>0</v>
      </c>
      <c r="P170" s="119"/>
      <c r="Q170" s="119"/>
      <c r="R170" s="123"/>
      <c r="S170" s="119"/>
      <c r="T170" s="119" t="s">
        <v>131</v>
      </c>
      <c r="U170" s="169" t="b">
        <v>0</v>
      </c>
      <c r="V170" s="169" t="b">
        <v>0</v>
      </c>
      <c r="W170" s="169" t="b">
        <v>0</v>
      </c>
      <c r="X170" s="169" t="b">
        <v>0</v>
      </c>
    </row>
    <row r="171" spans="1:24" x14ac:dyDescent="0.2">
      <c r="A171" s="421" t="s">
        <v>1558</v>
      </c>
      <c r="B171" s="227"/>
      <c r="C171" s="227"/>
      <c r="D171" s="227"/>
      <c r="E171" s="228" t="s">
        <v>1627</v>
      </c>
      <c r="F171" s="228" t="s">
        <v>1590</v>
      </c>
      <c r="G171" s="228" t="s">
        <v>1669</v>
      </c>
      <c r="H171" s="227"/>
      <c r="I171" s="229"/>
      <c r="J171" s="227"/>
      <c r="K171" s="119"/>
      <c r="N171" s="215"/>
      <c r="O171" s="169" t="b">
        <v>0</v>
      </c>
      <c r="P171" s="119"/>
      <c r="Q171" s="119"/>
      <c r="R171" s="123"/>
      <c r="S171" s="119"/>
      <c r="T171" s="119" t="s">
        <v>131</v>
      </c>
      <c r="U171" s="169" t="b">
        <v>0</v>
      </c>
      <c r="V171" s="169" t="b">
        <v>0</v>
      </c>
      <c r="W171" s="169" t="b">
        <v>0</v>
      </c>
      <c r="X171" s="169" t="b">
        <v>0</v>
      </c>
    </row>
    <row r="172" spans="1:24" x14ac:dyDescent="0.2">
      <c r="A172" s="226" t="s">
        <v>562</v>
      </c>
      <c r="B172" s="227"/>
      <c r="C172" s="227"/>
      <c r="D172" s="227"/>
      <c r="E172" s="227"/>
      <c r="F172" s="227"/>
      <c r="G172" s="227"/>
      <c r="H172" s="227"/>
      <c r="I172" s="229"/>
      <c r="J172" s="227"/>
      <c r="K172" s="119"/>
      <c r="N172" s="215"/>
      <c r="O172" s="169" t="b">
        <v>0</v>
      </c>
      <c r="P172" s="119"/>
      <c r="Q172" s="119"/>
      <c r="R172" s="123"/>
      <c r="S172" s="119"/>
      <c r="T172" s="119"/>
      <c r="U172" s="169" t="b">
        <v>0</v>
      </c>
      <c r="V172" s="169" t="b">
        <v>0</v>
      </c>
      <c r="W172" s="169" t="b">
        <v>0</v>
      </c>
      <c r="X172" s="169" t="b">
        <v>0</v>
      </c>
    </row>
    <row r="173" spans="1:24" x14ac:dyDescent="0.2">
      <c r="A173" s="226" t="s">
        <v>1559</v>
      </c>
      <c r="B173" s="227"/>
      <c r="C173" s="227"/>
      <c r="D173" s="227"/>
      <c r="E173" s="228" t="s">
        <v>1670</v>
      </c>
      <c r="F173" s="228" t="s">
        <v>1652</v>
      </c>
      <c r="G173" s="228" t="s">
        <v>1664</v>
      </c>
      <c r="H173" s="227"/>
      <c r="I173" s="229"/>
      <c r="J173" s="227"/>
      <c r="K173" s="119"/>
      <c r="N173" s="215"/>
      <c r="O173" s="169" t="b">
        <v>0</v>
      </c>
      <c r="P173" s="119"/>
      <c r="Q173" s="119"/>
      <c r="R173" s="123"/>
      <c r="S173" s="119"/>
      <c r="T173" s="119"/>
      <c r="U173" s="169" t="b">
        <v>0</v>
      </c>
      <c r="V173" s="169" t="b">
        <v>0</v>
      </c>
      <c r="W173" s="169" t="b">
        <v>0</v>
      </c>
      <c r="X173" s="169" t="b">
        <v>0</v>
      </c>
    </row>
    <row r="174" spans="1:24" x14ac:dyDescent="0.2">
      <c r="A174" s="226" t="s">
        <v>1560</v>
      </c>
      <c r="B174" s="227"/>
      <c r="C174" s="227"/>
      <c r="D174" s="227"/>
      <c r="E174" s="228" t="s">
        <v>1630</v>
      </c>
      <c r="F174" s="228" t="s">
        <v>1671</v>
      </c>
      <c r="G174" s="228" t="s">
        <v>1640</v>
      </c>
      <c r="H174" s="227"/>
      <c r="I174" s="229"/>
      <c r="J174" s="227"/>
      <c r="K174" s="119"/>
      <c r="N174" s="215"/>
      <c r="O174" s="169" t="b">
        <v>0</v>
      </c>
      <c r="P174" s="119"/>
      <c r="Q174" s="119"/>
      <c r="R174" s="123"/>
      <c r="S174" s="119"/>
      <c r="T174" s="119"/>
      <c r="U174" s="169" t="b">
        <v>0</v>
      </c>
      <c r="V174" s="169" t="b">
        <v>0</v>
      </c>
      <c r="W174" s="169" t="b">
        <v>0</v>
      </c>
      <c r="X174" s="169" t="b">
        <v>0</v>
      </c>
    </row>
    <row r="175" spans="1:24" x14ac:dyDescent="0.2">
      <c r="A175" s="226" t="s">
        <v>1565</v>
      </c>
      <c r="B175" s="227"/>
      <c r="C175" s="227"/>
      <c r="D175" s="228" t="s">
        <v>1626</v>
      </c>
      <c r="E175" s="228" t="s">
        <v>1637</v>
      </c>
      <c r="F175" s="228" t="s">
        <v>1659</v>
      </c>
      <c r="G175" s="228" t="s">
        <v>1672</v>
      </c>
      <c r="H175" s="227"/>
      <c r="I175" s="229"/>
      <c r="J175" s="227"/>
      <c r="K175" s="119"/>
      <c r="N175" s="215"/>
      <c r="O175" s="169" t="b">
        <v>0</v>
      </c>
      <c r="P175" s="119"/>
      <c r="Q175" s="119"/>
      <c r="R175" s="123"/>
      <c r="S175" s="119"/>
      <c r="T175" s="119"/>
      <c r="U175" s="169" t="b">
        <v>0</v>
      </c>
      <c r="V175" s="169" t="b">
        <v>0</v>
      </c>
      <c r="W175" s="169" t="b">
        <v>0</v>
      </c>
      <c r="X175" s="169" t="b">
        <v>0</v>
      </c>
    </row>
    <row r="176" spans="1:24" x14ac:dyDescent="0.2">
      <c r="A176" s="226" t="s">
        <v>339</v>
      </c>
      <c r="B176" s="227"/>
      <c r="C176" s="227"/>
      <c r="D176" s="228" t="s">
        <v>1626</v>
      </c>
      <c r="E176" s="228" t="s">
        <v>1637</v>
      </c>
      <c r="F176" s="228" t="s">
        <v>1659</v>
      </c>
      <c r="G176" s="228" t="s">
        <v>1672</v>
      </c>
      <c r="H176" s="227"/>
      <c r="I176" s="229"/>
      <c r="J176" s="227"/>
      <c r="K176" s="119"/>
      <c r="N176" s="215"/>
      <c r="O176" s="169" t="b">
        <v>0</v>
      </c>
      <c r="P176" s="119"/>
      <c r="Q176" s="119"/>
      <c r="R176" s="123"/>
      <c r="S176" s="119"/>
      <c r="T176" s="119"/>
      <c r="U176" s="169" t="b">
        <v>0</v>
      </c>
      <c r="V176" s="169" t="b">
        <v>0</v>
      </c>
      <c r="W176" s="169" t="b">
        <v>0</v>
      </c>
      <c r="X176" s="169" t="b">
        <v>0</v>
      </c>
    </row>
    <row r="177" spans="1:24" x14ac:dyDescent="0.2">
      <c r="A177" s="226" t="s">
        <v>1623</v>
      </c>
      <c r="B177" s="227"/>
      <c r="C177" s="227"/>
      <c r="D177" s="227"/>
      <c r="E177" s="228" t="s">
        <v>1673</v>
      </c>
      <c r="F177" s="228" t="s">
        <v>1641</v>
      </c>
      <c r="G177" s="228" t="s">
        <v>1624</v>
      </c>
      <c r="H177" s="227"/>
      <c r="I177" s="422" t="s">
        <v>1674</v>
      </c>
      <c r="J177" s="227"/>
      <c r="K177" s="119"/>
      <c r="N177" s="215"/>
      <c r="O177" s="169" t="b">
        <v>0</v>
      </c>
      <c r="P177" s="119"/>
      <c r="Q177" s="119"/>
      <c r="R177" s="123"/>
      <c r="S177" s="119"/>
      <c r="T177" s="119"/>
      <c r="U177" s="169" t="b">
        <v>0</v>
      </c>
      <c r="V177" s="169" t="b">
        <v>0</v>
      </c>
      <c r="W177" s="169" t="b">
        <v>0</v>
      </c>
      <c r="X177" s="169" t="b">
        <v>0</v>
      </c>
    </row>
    <row r="178" spans="1:24" x14ac:dyDescent="0.2">
      <c r="A178" s="226" t="s">
        <v>1567</v>
      </c>
      <c r="B178" s="227"/>
      <c r="C178" s="227"/>
      <c r="D178" s="227"/>
      <c r="E178" s="228" t="s">
        <v>1673</v>
      </c>
      <c r="F178" s="228" t="s">
        <v>1641</v>
      </c>
      <c r="G178" s="228" t="s">
        <v>1624</v>
      </c>
      <c r="H178" s="227"/>
      <c r="I178" s="229"/>
      <c r="J178" s="227"/>
      <c r="K178" s="119"/>
      <c r="N178" s="215"/>
      <c r="O178" s="169" t="b">
        <v>0</v>
      </c>
      <c r="P178" s="119"/>
      <c r="Q178" s="119"/>
      <c r="R178" s="123"/>
      <c r="S178" s="119"/>
      <c r="T178" s="119"/>
      <c r="U178" s="169" t="b">
        <v>0</v>
      </c>
      <c r="V178" s="169" t="b">
        <v>0</v>
      </c>
      <c r="W178" s="169" t="b">
        <v>0</v>
      </c>
      <c r="X178" s="169" t="b">
        <v>0</v>
      </c>
    </row>
    <row r="179" spans="1:24" x14ac:dyDescent="0.2">
      <c r="A179" s="226" t="s">
        <v>1675</v>
      </c>
      <c r="B179" s="227"/>
      <c r="C179" s="227"/>
      <c r="D179" s="228" t="s">
        <v>1626</v>
      </c>
      <c r="E179" s="228" t="s">
        <v>1637</v>
      </c>
      <c r="F179" s="228" t="s">
        <v>1676</v>
      </c>
      <c r="G179" s="228" t="s">
        <v>1672</v>
      </c>
      <c r="H179" s="227"/>
      <c r="I179" s="229"/>
      <c r="J179" s="227"/>
      <c r="K179" s="119"/>
      <c r="N179" s="215"/>
      <c r="O179" s="169" t="b">
        <v>0</v>
      </c>
      <c r="P179" s="119"/>
      <c r="Q179" s="119"/>
      <c r="R179" s="123"/>
      <c r="S179" s="119"/>
      <c r="T179" s="119"/>
      <c r="U179" s="169" t="b">
        <v>0</v>
      </c>
      <c r="V179" s="169" t="b">
        <v>0</v>
      </c>
      <c r="W179" s="169" t="b">
        <v>0</v>
      </c>
      <c r="X179" s="169" t="b">
        <v>0</v>
      </c>
    </row>
    <row r="180" spans="1:24" x14ac:dyDescent="0.2">
      <c r="A180" s="226" t="s">
        <v>252</v>
      </c>
      <c r="B180" s="227"/>
      <c r="C180" s="227"/>
      <c r="D180" s="228" t="s">
        <v>1626</v>
      </c>
      <c r="E180" s="228" t="s">
        <v>1637</v>
      </c>
      <c r="F180" s="228" t="s">
        <v>1676</v>
      </c>
      <c r="G180" s="228" t="s">
        <v>1672</v>
      </c>
      <c r="H180" s="227"/>
      <c r="I180" s="229"/>
      <c r="J180" s="227"/>
      <c r="K180" s="119"/>
      <c r="N180" s="215"/>
      <c r="O180" s="169" t="b">
        <v>0</v>
      </c>
      <c r="P180" s="119"/>
      <c r="Q180" s="119"/>
      <c r="R180" s="123"/>
      <c r="S180" s="119"/>
      <c r="T180" s="119"/>
      <c r="U180" s="169" t="b">
        <v>0</v>
      </c>
      <c r="V180" s="169" t="b">
        <v>0</v>
      </c>
      <c r="W180" s="169" t="b">
        <v>0</v>
      </c>
      <c r="X180" s="169" t="b">
        <v>0</v>
      </c>
    </row>
    <row r="181" spans="1:24" x14ac:dyDescent="0.2">
      <c r="A181" s="226" t="s">
        <v>1573</v>
      </c>
      <c r="B181" s="227"/>
      <c r="C181" s="227"/>
      <c r="D181" s="228" t="s">
        <v>1666</v>
      </c>
      <c r="E181" s="228" t="s">
        <v>1637</v>
      </c>
      <c r="F181" s="228" t="s">
        <v>1659</v>
      </c>
      <c r="G181" s="228" t="s">
        <v>1672</v>
      </c>
      <c r="H181" s="227"/>
      <c r="I181" s="422" t="s">
        <v>1674</v>
      </c>
      <c r="J181" s="227"/>
      <c r="K181" s="119"/>
      <c r="N181" s="215"/>
      <c r="O181" s="169" t="b">
        <v>0</v>
      </c>
      <c r="P181" s="119"/>
      <c r="Q181" s="119"/>
      <c r="R181" s="119"/>
      <c r="S181" s="119"/>
      <c r="T181" s="119"/>
      <c r="U181" s="169" t="b">
        <v>0</v>
      </c>
      <c r="V181" s="169" t="b">
        <v>0</v>
      </c>
      <c r="W181" s="169" t="b">
        <v>0</v>
      </c>
      <c r="X181" s="169" t="b">
        <v>0</v>
      </c>
    </row>
    <row r="182" spans="1:24" x14ac:dyDescent="0.2">
      <c r="A182" s="226" t="s">
        <v>1574</v>
      </c>
      <c r="B182" s="227"/>
      <c r="C182" s="227"/>
      <c r="D182" s="227"/>
      <c r="E182" s="228" t="s">
        <v>1677</v>
      </c>
      <c r="F182" s="228" t="s">
        <v>1659</v>
      </c>
      <c r="G182" s="228" t="s">
        <v>1659</v>
      </c>
      <c r="H182" s="227"/>
      <c r="I182" s="422" t="s">
        <v>1674</v>
      </c>
      <c r="J182" s="227"/>
      <c r="K182" s="119"/>
      <c r="N182" s="215"/>
      <c r="O182" s="169" t="b">
        <v>0</v>
      </c>
      <c r="P182" s="119"/>
      <c r="Q182" s="119"/>
      <c r="R182" s="119"/>
      <c r="S182" s="119"/>
      <c r="T182" s="119"/>
      <c r="U182" s="169" t="b">
        <v>0</v>
      </c>
      <c r="V182" s="169" t="b">
        <v>0</v>
      </c>
      <c r="W182" s="169" t="b">
        <v>0</v>
      </c>
      <c r="X182" s="169" t="b">
        <v>0</v>
      </c>
    </row>
    <row r="183" spans="1:24" x14ac:dyDescent="0.2">
      <c r="A183" s="226" t="s">
        <v>1678</v>
      </c>
      <c r="B183" s="227"/>
      <c r="C183" s="227"/>
      <c r="D183" s="227"/>
      <c r="E183" s="228" t="s">
        <v>1637</v>
      </c>
      <c r="F183" s="228" t="s">
        <v>1659</v>
      </c>
      <c r="G183" s="228" t="s">
        <v>1637</v>
      </c>
      <c r="H183" s="227"/>
      <c r="I183" s="229"/>
      <c r="J183" s="227"/>
      <c r="K183" s="119"/>
      <c r="N183" s="215"/>
      <c r="O183" s="169" t="b">
        <v>0</v>
      </c>
      <c r="P183" s="119"/>
      <c r="Q183" s="119"/>
      <c r="R183" s="123"/>
      <c r="S183" s="119"/>
      <c r="T183" s="119" t="s">
        <v>131</v>
      </c>
      <c r="U183" s="169" t="b">
        <v>0</v>
      </c>
      <c r="V183" s="169" t="b">
        <v>0</v>
      </c>
      <c r="W183" s="169" t="b">
        <v>0</v>
      </c>
      <c r="X183" s="169" t="b">
        <v>0</v>
      </c>
    </row>
    <row r="184" spans="1:24" x14ac:dyDescent="0.2">
      <c r="A184" s="226" t="s">
        <v>1578</v>
      </c>
      <c r="B184" s="227"/>
      <c r="C184" s="227"/>
      <c r="D184" s="227"/>
      <c r="E184" s="228" t="s">
        <v>1637</v>
      </c>
      <c r="F184" s="228" t="s">
        <v>1659</v>
      </c>
      <c r="G184" s="228" t="s">
        <v>1630</v>
      </c>
      <c r="H184" s="227"/>
      <c r="I184" s="229"/>
      <c r="J184" s="227"/>
      <c r="K184" s="119"/>
      <c r="N184" s="215"/>
      <c r="O184" s="169" t="b">
        <v>0</v>
      </c>
      <c r="P184" s="119"/>
      <c r="Q184" s="119"/>
      <c r="R184" s="123"/>
      <c r="S184" s="119"/>
      <c r="T184" s="119" t="s">
        <v>681</v>
      </c>
      <c r="U184" s="169" t="b">
        <v>0</v>
      </c>
      <c r="V184" s="169" t="b">
        <v>0</v>
      </c>
      <c r="W184" s="169" t="b">
        <v>0</v>
      </c>
      <c r="X184" s="169" t="b">
        <v>0</v>
      </c>
    </row>
    <row r="185" spans="1:24" x14ac:dyDescent="0.2">
      <c r="A185" s="226" t="s">
        <v>1581</v>
      </c>
      <c r="B185" s="227"/>
      <c r="C185" s="227"/>
      <c r="D185" s="227"/>
      <c r="E185" s="228" t="s">
        <v>1651</v>
      </c>
      <c r="F185" s="228" t="s">
        <v>1520</v>
      </c>
      <c r="G185" s="228" t="s">
        <v>1679</v>
      </c>
      <c r="H185" s="227"/>
      <c r="I185" s="229"/>
      <c r="J185" s="227"/>
      <c r="K185" s="119"/>
      <c r="N185" s="215"/>
      <c r="O185" s="169" t="b">
        <v>0</v>
      </c>
      <c r="P185" s="119"/>
      <c r="Q185" s="119"/>
      <c r="R185" s="123"/>
      <c r="S185" s="119"/>
      <c r="T185" s="119" t="s">
        <v>131</v>
      </c>
      <c r="U185" s="169" t="b">
        <v>0</v>
      </c>
      <c r="V185" s="169" t="b">
        <v>0</v>
      </c>
      <c r="W185" s="169" t="b">
        <v>0</v>
      </c>
      <c r="X185" s="169" t="b">
        <v>0</v>
      </c>
    </row>
    <row r="186" spans="1:24" x14ac:dyDescent="0.2">
      <c r="A186" s="226" t="s">
        <v>1582</v>
      </c>
      <c r="B186" s="227"/>
      <c r="C186" s="227"/>
      <c r="D186" s="227"/>
      <c r="E186" s="228" t="s">
        <v>1677</v>
      </c>
      <c r="F186" s="228" t="s">
        <v>1659</v>
      </c>
      <c r="G186" s="228" t="s">
        <v>1659</v>
      </c>
      <c r="H186" s="227"/>
      <c r="I186" s="229"/>
      <c r="J186" s="227"/>
      <c r="K186" s="119"/>
      <c r="N186" s="215"/>
      <c r="O186" s="169" t="b">
        <v>0</v>
      </c>
      <c r="P186" s="119"/>
      <c r="Q186" s="119"/>
      <c r="R186" s="123"/>
      <c r="S186" s="119"/>
      <c r="T186" s="119"/>
      <c r="U186" s="169" t="b">
        <v>0</v>
      </c>
      <c r="V186" s="169" t="b">
        <v>0</v>
      </c>
      <c r="W186" s="169" t="b">
        <v>0</v>
      </c>
      <c r="X186" s="169" t="b">
        <v>0</v>
      </c>
    </row>
    <row r="187" spans="1:24" x14ac:dyDescent="0.2">
      <c r="A187" s="226" t="s">
        <v>1438</v>
      </c>
      <c r="B187" s="227"/>
      <c r="C187" s="227"/>
      <c r="D187" s="227"/>
      <c r="E187" s="227"/>
      <c r="F187" s="227"/>
      <c r="G187" s="227"/>
      <c r="H187" s="227"/>
      <c r="I187" s="229"/>
      <c r="J187" s="227"/>
      <c r="K187" s="119"/>
      <c r="N187" s="215"/>
      <c r="O187" s="169" t="b">
        <v>0</v>
      </c>
      <c r="P187" s="119"/>
      <c r="Q187" s="119"/>
      <c r="R187" s="123"/>
      <c r="S187" s="119"/>
      <c r="T187" s="119"/>
      <c r="U187" s="169" t="b">
        <v>0</v>
      </c>
      <c r="V187" s="169" t="b">
        <v>0</v>
      </c>
      <c r="W187" s="169" t="b">
        <v>0</v>
      </c>
      <c r="X187" s="169" t="b">
        <v>0</v>
      </c>
    </row>
    <row r="188" spans="1:24" x14ac:dyDescent="0.2">
      <c r="A188" s="226" t="s">
        <v>1596</v>
      </c>
      <c r="B188" s="227"/>
      <c r="C188" s="227"/>
      <c r="D188" s="227"/>
      <c r="E188" s="228" t="s">
        <v>1630</v>
      </c>
      <c r="F188" s="228" t="s">
        <v>1520</v>
      </c>
      <c r="G188" s="228" t="s">
        <v>1680</v>
      </c>
      <c r="H188" s="227"/>
      <c r="I188" s="229"/>
      <c r="J188" s="227"/>
      <c r="K188" s="119"/>
      <c r="N188" s="215"/>
      <c r="O188" s="169" t="b">
        <v>0</v>
      </c>
      <c r="P188" s="119"/>
      <c r="Q188" s="119"/>
      <c r="R188" s="123"/>
      <c r="S188" s="119"/>
      <c r="T188" s="119"/>
      <c r="U188" s="169" t="b">
        <v>0</v>
      </c>
      <c r="V188" s="169" t="b">
        <v>0</v>
      </c>
      <c r="W188" s="169" t="b">
        <v>0</v>
      </c>
      <c r="X188" s="169" t="b">
        <v>0</v>
      </c>
    </row>
    <row r="189" spans="1:24" x14ac:dyDescent="0.2">
      <c r="A189" s="226" t="s">
        <v>1597</v>
      </c>
      <c r="B189" s="227"/>
      <c r="C189" s="227"/>
      <c r="D189" s="227"/>
      <c r="E189" s="228" t="s">
        <v>1670</v>
      </c>
      <c r="F189" s="228" t="s">
        <v>1656</v>
      </c>
      <c r="G189" s="228" t="s">
        <v>1636</v>
      </c>
      <c r="H189" s="227"/>
      <c r="I189" s="229"/>
      <c r="J189" s="227"/>
      <c r="K189" s="119"/>
      <c r="N189" s="215"/>
      <c r="O189" s="169" t="b">
        <v>0</v>
      </c>
      <c r="P189" s="119"/>
      <c r="Q189" s="119"/>
      <c r="R189" s="123"/>
      <c r="S189" s="119"/>
      <c r="T189" s="119"/>
      <c r="U189" s="169" t="b">
        <v>0</v>
      </c>
      <c r="V189" s="169" t="b">
        <v>0</v>
      </c>
      <c r="W189" s="169" t="b">
        <v>0</v>
      </c>
      <c r="X189" s="169" t="b">
        <v>0</v>
      </c>
    </row>
    <row r="190" spans="1:24" x14ac:dyDescent="0.2">
      <c r="A190" s="226" t="s">
        <v>1681</v>
      </c>
      <c r="B190" s="227"/>
      <c r="C190" s="227"/>
      <c r="D190" s="227"/>
      <c r="E190" s="228" t="s">
        <v>1630</v>
      </c>
      <c r="F190" s="228" t="s">
        <v>1590</v>
      </c>
      <c r="G190" s="228" t="s">
        <v>1649</v>
      </c>
      <c r="H190" s="227"/>
      <c r="I190" s="229"/>
      <c r="J190" s="227"/>
      <c r="K190" s="119"/>
      <c r="N190" s="215"/>
      <c r="O190" s="169" t="b">
        <v>0</v>
      </c>
      <c r="P190" s="119"/>
      <c r="Q190" s="119"/>
      <c r="R190" s="123"/>
      <c r="S190" s="119"/>
      <c r="T190" s="119"/>
      <c r="U190" s="169" t="b">
        <v>0</v>
      </c>
      <c r="V190" s="169" t="b">
        <v>0</v>
      </c>
      <c r="W190" s="169" t="b">
        <v>0</v>
      </c>
      <c r="X190" s="169" t="b">
        <v>0</v>
      </c>
    </row>
    <row r="191" spans="1:24" x14ac:dyDescent="0.2">
      <c r="A191" s="226" t="s">
        <v>1612</v>
      </c>
      <c r="B191" s="227"/>
      <c r="C191" s="227"/>
      <c r="D191" s="227"/>
      <c r="E191" s="228" t="s">
        <v>1630</v>
      </c>
      <c r="F191" s="228" t="s">
        <v>1520</v>
      </c>
      <c r="G191" s="228" t="s">
        <v>1590</v>
      </c>
      <c r="H191" s="227"/>
      <c r="I191" s="229"/>
      <c r="J191" s="227"/>
      <c r="K191" s="119"/>
      <c r="N191" s="215"/>
      <c r="O191" s="169" t="b">
        <v>0</v>
      </c>
      <c r="P191" s="119"/>
      <c r="Q191" s="119"/>
      <c r="R191" s="123"/>
      <c r="S191" s="119"/>
      <c r="T191" s="119"/>
      <c r="U191" s="169" t="b">
        <v>0</v>
      </c>
      <c r="V191" s="169" t="b">
        <v>0</v>
      </c>
      <c r="W191" s="169" t="b">
        <v>0</v>
      </c>
      <c r="X191" s="169" t="b">
        <v>0</v>
      </c>
    </row>
    <row r="192" spans="1:24" x14ac:dyDescent="0.2">
      <c r="A192" s="226" t="s">
        <v>1615</v>
      </c>
      <c r="B192" s="227"/>
      <c r="C192" s="227"/>
      <c r="D192" s="227"/>
      <c r="E192" s="228" t="s">
        <v>1630</v>
      </c>
      <c r="F192" s="228" t="s">
        <v>1520</v>
      </c>
      <c r="G192" s="228" t="s">
        <v>1590</v>
      </c>
      <c r="H192" s="227"/>
      <c r="I192" s="229"/>
      <c r="J192" s="227"/>
      <c r="K192" s="119"/>
      <c r="N192" s="215"/>
      <c r="O192" s="169" t="b">
        <v>0</v>
      </c>
      <c r="P192" s="119"/>
      <c r="Q192" s="119"/>
      <c r="R192" s="123"/>
      <c r="S192" s="119"/>
      <c r="T192" s="119"/>
      <c r="U192" s="169" t="b">
        <v>0</v>
      </c>
      <c r="V192" s="169" t="b">
        <v>0</v>
      </c>
      <c r="W192" s="169" t="b">
        <v>0</v>
      </c>
      <c r="X192" s="169" t="b">
        <v>0</v>
      </c>
    </row>
    <row r="193" spans="1:24" x14ac:dyDescent="0.2">
      <c r="A193" s="226" t="s">
        <v>1682</v>
      </c>
      <c r="B193" s="227"/>
      <c r="C193" s="227"/>
      <c r="D193" s="227"/>
      <c r="E193" s="228" t="s">
        <v>1630</v>
      </c>
      <c r="F193" s="228" t="s">
        <v>1520</v>
      </c>
      <c r="G193" s="228" t="s">
        <v>1590</v>
      </c>
      <c r="H193" s="227"/>
      <c r="I193" s="229"/>
      <c r="J193" s="227"/>
      <c r="K193" s="119"/>
      <c r="N193" s="215"/>
      <c r="O193" s="169" t="b">
        <v>0</v>
      </c>
      <c r="P193" s="119"/>
      <c r="Q193" s="119"/>
      <c r="R193" s="123"/>
      <c r="S193" s="119"/>
      <c r="T193" s="119"/>
      <c r="U193" s="169" t="b">
        <v>0</v>
      </c>
      <c r="V193" s="169" t="b">
        <v>0</v>
      </c>
      <c r="W193" s="169" t="b">
        <v>0</v>
      </c>
      <c r="X193" s="169" t="b">
        <v>0</v>
      </c>
    </row>
    <row r="194" spans="1:24" x14ac:dyDescent="0.2">
      <c r="A194" s="226" t="s">
        <v>1617</v>
      </c>
      <c r="B194" s="227"/>
      <c r="C194" s="227"/>
      <c r="D194" s="227"/>
      <c r="E194" s="228" t="s">
        <v>1630</v>
      </c>
      <c r="F194" s="228" t="s">
        <v>1520</v>
      </c>
      <c r="G194" s="228" t="s">
        <v>1590</v>
      </c>
      <c r="H194" s="227"/>
      <c r="I194" s="229"/>
      <c r="J194" s="227"/>
      <c r="K194" s="119"/>
      <c r="N194" s="215"/>
      <c r="O194" s="169" t="b">
        <v>0</v>
      </c>
      <c r="P194" s="119"/>
      <c r="Q194" s="119"/>
      <c r="R194" s="123"/>
      <c r="S194" s="119"/>
      <c r="T194" s="119" t="s">
        <v>131</v>
      </c>
      <c r="U194" s="169" t="b">
        <v>0</v>
      </c>
      <c r="V194" s="169" t="b">
        <v>0</v>
      </c>
      <c r="W194" s="169" t="b">
        <v>0</v>
      </c>
      <c r="X194" s="169" t="b">
        <v>0</v>
      </c>
    </row>
    <row r="195" spans="1:24" x14ac:dyDescent="0.2">
      <c r="A195" s="226" t="s">
        <v>1493</v>
      </c>
      <c r="B195" s="227"/>
      <c r="C195" s="227"/>
      <c r="D195" s="228" t="s">
        <v>1630</v>
      </c>
      <c r="E195" s="228" t="s">
        <v>1630</v>
      </c>
      <c r="F195" s="228" t="s">
        <v>1683</v>
      </c>
      <c r="G195" s="228" t="s">
        <v>1684</v>
      </c>
      <c r="H195" s="227"/>
      <c r="I195" s="229"/>
      <c r="J195" s="227"/>
      <c r="K195" s="119"/>
      <c r="N195" s="215"/>
      <c r="O195" s="169" t="b">
        <v>0</v>
      </c>
      <c r="P195" s="119"/>
      <c r="Q195" s="119"/>
      <c r="R195" s="123"/>
      <c r="S195" s="119"/>
      <c r="T195" s="119"/>
      <c r="U195" s="169" t="b">
        <v>0</v>
      </c>
      <c r="V195" s="169" t="b">
        <v>0</v>
      </c>
      <c r="W195" s="169" t="b">
        <v>0</v>
      </c>
      <c r="X195" s="169" t="b">
        <v>0</v>
      </c>
    </row>
    <row r="196" spans="1:24" x14ac:dyDescent="0.2">
      <c r="A196" s="232"/>
      <c r="B196" s="227"/>
      <c r="C196" s="227"/>
      <c r="D196" s="227"/>
      <c r="E196" s="227"/>
      <c r="F196" s="227"/>
      <c r="G196" s="227"/>
      <c r="H196" s="227"/>
      <c r="I196" s="229"/>
      <c r="J196" s="227"/>
      <c r="K196" s="119"/>
      <c r="N196" s="215"/>
      <c r="O196" s="169" t="b">
        <v>0</v>
      </c>
      <c r="P196" s="119"/>
      <c r="Q196" s="119"/>
      <c r="R196" s="123"/>
      <c r="S196" s="119"/>
      <c r="T196" s="119"/>
      <c r="U196" s="169" t="b">
        <v>0</v>
      </c>
      <c r="V196" s="169" t="b">
        <v>0</v>
      </c>
      <c r="W196" s="169" t="b">
        <v>0</v>
      </c>
      <c r="X196" s="169" t="b">
        <v>0</v>
      </c>
    </row>
    <row r="197" spans="1:24" x14ac:dyDescent="0.2">
      <c r="A197" s="226" t="s">
        <v>1621</v>
      </c>
      <c r="B197" s="227"/>
      <c r="C197" s="227"/>
      <c r="D197" s="227"/>
      <c r="E197" s="228" t="s">
        <v>1630</v>
      </c>
      <c r="F197" s="228" t="s">
        <v>1520</v>
      </c>
      <c r="G197" s="228" t="s">
        <v>1680</v>
      </c>
      <c r="H197" s="227"/>
      <c r="I197" s="229"/>
      <c r="J197" s="227"/>
      <c r="K197" s="119"/>
      <c r="N197" s="215"/>
      <c r="O197" s="169" t="b">
        <v>0</v>
      </c>
      <c r="P197" s="119"/>
      <c r="Q197" s="119"/>
      <c r="R197" s="123"/>
      <c r="S197" s="119"/>
      <c r="T197" s="119"/>
      <c r="U197" s="169" t="b">
        <v>0</v>
      </c>
      <c r="V197" s="169" t="b">
        <v>0</v>
      </c>
      <c r="W197" s="169" t="b">
        <v>0</v>
      </c>
      <c r="X197" s="169" t="b">
        <v>0</v>
      </c>
    </row>
    <row r="198" spans="1:24" x14ac:dyDescent="0.2">
      <c r="A198" s="226" t="s">
        <v>1525</v>
      </c>
      <c r="B198" s="227"/>
      <c r="C198" s="227"/>
      <c r="D198" s="227"/>
      <c r="E198" s="228" t="s">
        <v>1640</v>
      </c>
      <c r="F198" s="228" t="s">
        <v>1520</v>
      </c>
      <c r="G198" s="228" t="s">
        <v>1680</v>
      </c>
      <c r="H198" s="227"/>
      <c r="I198" s="229"/>
      <c r="J198" s="227"/>
      <c r="K198" s="119"/>
      <c r="N198" s="215"/>
      <c r="O198" s="169" t="b">
        <v>0</v>
      </c>
      <c r="P198" s="119"/>
      <c r="Q198" s="119"/>
      <c r="R198" s="123"/>
      <c r="S198" s="119"/>
      <c r="T198" s="119"/>
      <c r="U198" s="169" t="b">
        <v>0</v>
      </c>
      <c r="V198" s="169" t="b">
        <v>0</v>
      </c>
      <c r="W198" s="169" t="b">
        <v>0</v>
      </c>
      <c r="X198" s="169" t="b">
        <v>0</v>
      </c>
    </row>
    <row r="199" spans="1:24" x14ac:dyDescent="0.2">
      <c r="A199" s="232"/>
      <c r="B199" s="227"/>
      <c r="C199" s="227"/>
      <c r="D199" s="227"/>
      <c r="E199" s="227"/>
      <c r="F199" s="227"/>
      <c r="G199" s="227"/>
      <c r="H199" s="227"/>
      <c r="I199" s="229"/>
      <c r="J199" s="227"/>
      <c r="K199" s="119"/>
      <c r="N199" s="215"/>
      <c r="O199" s="169" t="b">
        <v>0</v>
      </c>
      <c r="P199" s="119"/>
      <c r="Q199" s="119"/>
      <c r="R199" s="123"/>
      <c r="S199" s="119"/>
      <c r="T199" s="119"/>
      <c r="U199" s="169" t="b">
        <v>0</v>
      </c>
      <c r="V199" s="169" t="b">
        <v>0</v>
      </c>
      <c r="W199" s="169" t="b">
        <v>0</v>
      </c>
      <c r="X199" s="169" t="b">
        <v>0</v>
      </c>
    </row>
    <row r="200" spans="1:24" x14ac:dyDescent="0.2">
      <c r="A200" s="232"/>
      <c r="B200" s="227"/>
      <c r="C200" s="227"/>
      <c r="D200" s="227"/>
      <c r="E200" s="227"/>
      <c r="F200" s="227"/>
      <c r="G200" s="227"/>
      <c r="H200" s="227"/>
      <c r="I200" s="229"/>
      <c r="J200" s="227"/>
      <c r="K200" s="119"/>
      <c r="N200" s="215"/>
      <c r="O200" s="169" t="b">
        <v>0</v>
      </c>
      <c r="P200" s="119"/>
      <c r="Q200" s="119"/>
      <c r="R200" s="123"/>
      <c r="S200" s="119"/>
      <c r="T200" s="119"/>
      <c r="U200" s="169" t="b">
        <v>0</v>
      </c>
      <c r="V200" s="169" t="b">
        <v>0</v>
      </c>
      <c r="W200" s="169" t="b">
        <v>0</v>
      </c>
      <c r="X200" s="169" t="b">
        <v>0</v>
      </c>
    </row>
    <row r="201" spans="1:24" x14ac:dyDescent="0.2">
      <c r="A201" s="232"/>
      <c r="B201" s="227"/>
      <c r="C201" s="227"/>
      <c r="D201" s="227"/>
      <c r="E201" s="227"/>
      <c r="F201" s="227"/>
      <c r="G201" s="227"/>
      <c r="H201" s="227"/>
      <c r="I201" s="229"/>
      <c r="J201" s="227"/>
      <c r="K201" s="119"/>
      <c r="N201" s="215"/>
      <c r="O201" s="169" t="b">
        <v>0</v>
      </c>
      <c r="P201" s="119"/>
      <c r="Q201" s="119"/>
      <c r="R201" s="123"/>
      <c r="S201" s="119"/>
      <c r="T201" s="119"/>
      <c r="U201" s="119" t="b">
        <v>0</v>
      </c>
      <c r="V201" s="119" t="b">
        <v>0</v>
      </c>
      <c r="W201" s="119" t="b">
        <v>0</v>
      </c>
      <c r="X201" s="119" t="b">
        <v>0</v>
      </c>
    </row>
    <row r="202" spans="1:24" x14ac:dyDescent="0.2">
      <c r="A202" s="232"/>
      <c r="B202" s="227"/>
      <c r="C202" s="227"/>
      <c r="D202" s="227"/>
      <c r="E202" s="227"/>
      <c r="F202" s="227"/>
      <c r="G202" s="227"/>
      <c r="H202" s="227"/>
      <c r="I202" s="229"/>
      <c r="J202" s="227"/>
      <c r="K202" s="119"/>
      <c r="N202" s="215"/>
      <c r="O202" s="169" t="b">
        <v>0</v>
      </c>
      <c r="P202" s="119"/>
      <c r="Q202" s="119"/>
      <c r="R202" s="123"/>
      <c r="S202" s="119"/>
      <c r="T202" s="119"/>
      <c r="U202" s="119" t="b">
        <v>0</v>
      </c>
      <c r="V202" s="119" t="b">
        <v>0</v>
      </c>
      <c r="W202" s="119" t="b">
        <v>0</v>
      </c>
      <c r="X202" s="119" t="b">
        <v>0</v>
      </c>
    </row>
    <row r="203" spans="1:24" x14ac:dyDescent="0.2">
      <c r="A203" s="232"/>
      <c r="B203" s="227"/>
      <c r="C203" s="227"/>
      <c r="D203" s="227"/>
      <c r="E203" s="227"/>
      <c r="F203" s="227"/>
      <c r="G203" s="227"/>
      <c r="H203" s="227"/>
      <c r="I203" s="229"/>
      <c r="J203" s="227"/>
      <c r="K203" s="119"/>
      <c r="N203" s="215"/>
      <c r="O203" s="169" t="b">
        <v>0</v>
      </c>
      <c r="P203" s="119"/>
      <c r="Q203" s="119"/>
      <c r="R203" s="123"/>
      <c r="S203" s="119"/>
      <c r="T203" s="119"/>
      <c r="U203" s="119" t="b">
        <v>0</v>
      </c>
      <c r="V203" s="119" t="b">
        <v>0</v>
      </c>
      <c r="W203" s="119" t="b">
        <v>0</v>
      </c>
      <c r="X203" s="119" t="b">
        <v>0</v>
      </c>
    </row>
    <row r="204" spans="1:24" x14ac:dyDescent="0.2">
      <c r="A204" s="232"/>
      <c r="B204" s="227"/>
      <c r="C204" s="227"/>
      <c r="D204" s="227"/>
      <c r="E204" s="227"/>
      <c r="F204" s="227"/>
      <c r="G204" s="227"/>
      <c r="H204" s="227"/>
      <c r="I204" s="229"/>
      <c r="J204" s="227"/>
      <c r="K204" s="119"/>
      <c r="N204" s="215"/>
      <c r="O204" s="169" t="b">
        <v>0</v>
      </c>
      <c r="P204" s="119"/>
      <c r="Q204" s="119"/>
      <c r="R204" s="123"/>
      <c r="S204" s="119"/>
      <c r="T204" s="119"/>
      <c r="U204" s="119" t="b">
        <v>0</v>
      </c>
      <c r="V204" s="119" t="b">
        <v>0</v>
      </c>
      <c r="W204" s="119" t="b">
        <v>0</v>
      </c>
      <c r="X204" s="119" t="b">
        <v>0</v>
      </c>
    </row>
    <row r="205" spans="1:24" x14ac:dyDescent="0.2">
      <c r="A205" s="232"/>
      <c r="B205" s="227"/>
      <c r="C205" s="227"/>
      <c r="D205" s="227"/>
      <c r="E205" s="227"/>
      <c r="F205" s="227"/>
      <c r="G205" s="227"/>
      <c r="H205" s="227"/>
      <c r="I205" s="229"/>
      <c r="J205" s="227"/>
      <c r="K205" s="119"/>
      <c r="N205" s="215"/>
      <c r="O205" s="169" t="b">
        <v>0</v>
      </c>
      <c r="P205" s="119"/>
      <c r="Q205" s="119"/>
      <c r="R205" s="123"/>
      <c r="S205" s="119"/>
      <c r="T205" s="119"/>
      <c r="U205" s="119" t="b">
        <v>0</v>
      </c>
      <c r="V205" s="119" t="b">
        <v>0</v>
      </c>
      <c r="W205" s="119" t="b">
        <v>0</v>
      </c>
      <c r="X205" s="119" t="b">
        <v>0</v>
      </c>
    </row>
    <row r="206" spans="1:24" x14ac:dyDescent="0.2">
      <c r="A206" s="232"/>
      <c r="B206" s="227"/>
      <c r="C206" s="227"/>
      <c r="D206" s="227"/>
      <c r="E206" s="227"/>
      <c r="F206" s="227"/>
      <c r="G206" s="227"/>
      <c r="H206" s="227"/>
      <c r="I206" s="229"/>
      <c r="J206" s="227"/>
      <c r="K206" s="119"/>
      <c r="N206" s="215"/>
      <c r="O206" s="169" t="b">
        <v>0</v>
      </c>
      <c r="P206" s="119"/>
      <c r="Q206" s="119"/>
      <c r="R206" s="123"/>
      <c r="S206" s="119"/>
      <c r="T206" s="119"/>
      <c r="U206" s="119" t="b">
        <v>0</v>
      </c>
      <c r="V206" s="119" t="b">
        <v>0</v>
      </c>
      <c r="W206" s="119" t="b">
        <v>0</v>
      </c>
      <c r="X206" s="119" t="b">
        <v>0</v>
      </c>
    </row>
    <row r="207" spans="1:24" x14ac:dyDescent="0.2">
      <c r="A207" s="232"/>
      <c r="B207" s="227"/>
      <c r="C207" s="227"/>
      <c r="D207" s="227"/>
      <c r="E207" s="227"/>
      <c r="F207" s="227"/>
      <c r="G207" s="227"/>
      <c r="H207" s="227"/>
      <c r="I207" s="229"/>
      <c r="J207" s="227"/>
      <c r="K207" s="119"/>
      <c r="N207" s="215"/>
      <c r="O207" s="169" t="b">
        <v>0</v>
      </c>
      <c r="P207" s="119"/>
      <c r="Q207" s="119"/>
      <c r="R207" s="123"/>
      <c r="S207" s="119"/>
      <c r="T207" s="119"/>
      <c r="U207" s="119" t="b">
        <v>0</v>
      </c>
      <c r="V207" s="119" t="b">
        <v>0</v>
      </c>
      <c r="W207" s="119" t="b">
        <v>0</v>
      </c>
      <c r="X207" s="119" t="b">
        <v>0</v>
      </c>
    </row>
    <row r="208" spans="1:24" x14ac:dyDescent="0.2">
      <c r="A208" s="232"/>
      <c r="B208" s="227"/>
      <c r="C208" s="227"/>
      <c r="D208" s="227"/>
      <c r="E208" s="227"/>
      <c r="F208" s="227"/>
      <c r="G208" s="227"/>
      <c r="H208" s="227"/>
      <c r="I208" s="229"/>
      <c r="J208" s="227"/>
      <c r="K208" s="119"/>
      <c r="N208" s="215"/>
      <c r="O208" s="169" t="b">
        <v>0</v>
      </c>
      <c r="P208" s="119"/>
      <c r="Q208" s="119"/>
      <c r="R208" s="123"/>
      <c r="S208" s="119"/>
      <c r="T208" s="119"/>
      <c r="U208" s="119" t="b">
        <v>0</v>
      </c>
      <c r="V208" s="119" t="b">
        <v>0</v>
      </c>
      <c r="W208" s="119" t="b">
        <v>0</v>
      </c>
      <c r="X208" s="119" t="b">
        <v>0</v>
      </c>
    </row>
    <row r="209" spans="1:24" x14ac:dyDescent="0.2">
      <c r="A209" s="232"/>
      <c r="B209" s="227"/>
      <c r="C209" s="227"/>
      <c r="D209" s="227"/>
      <c r="E209" s="227"/>
      <c r="F209" s="227"/>
      <c r="G209" s="227"/>
      <c r="H209" s="227"/>
      <c r="I209" s="229"/>
      <c r="J209" s="227"/>
      <c r="K209" s="119"/>
      <c r="N209" s="215"/>
      <c r="O209" s="169" t="b">
        <v>0</v>
      </c>
      <c r="P209" s="119"/>
      <c r="Q209" s="119"/>
      <c r="R209" s="123"/>
      <c r="S209" s="119"/>
      <c r="T209" s="119"/>
      <c r="U209" s="119" t="b">
        <v>0</v>
      </c>
      <c r="V209" s="119" t="b">
        <v>0</v>
      </c>
      <c r="W209" s="119" t="b">
        <v>0</v>
      </c>
      <c r="X209" s="119" t="b">
        <v>0</v>
      </c>
    </row>
    <row r="210" spans="1:24" x14ac:dyDescent="0.2">
      <c r="A210" s="232"/>
      <c r="B210" s="227"/>
      <c r="C210" s="227"/>
      <c r="D210" s="227"/>
      <c r="E210" s="227"/>
      <c r="F210" s="227"/>
      <c r="G210" s="227"/>
      <c r="H210" s="227"/>
      <c r="I210" s="229"/>
      <c r="J210" s="227"/>
      <c r="K210" s="119"/>
      <c r="L210" s="119"/>
      <c r="N210" s="215"/>
      <c r="O210" s="169" t="b">
        <v>0</v>
      </c>
      <c r="P210" s="119"/>
      <c r="Q210" s="119"/>
      <c r="R210" s="123"/>
      <c r="S210" s="119"/>
      <c r="T210" s="119"/>
      <c r="U210" s="119" t="b">
        <v>0</v>
      </c>
      <c r="V210" s="119" t="b">
        <v>0</v>
      </c>
      <c r="W210" s="119" t="b">
        <v>0</v>
      </c>
      <c r="X210" s="119" t="b">
        <v>0</v>
      </c>
    </row>
    <row r="211" spans="1:24" x14ac:dyDescent="0.2">
      <c r="A211" s="232"/>
      <c r="B211" s="227"/>
      <c r="C211" s="227"/>
      <c r="D211" s="227"/>
      <c r="E211" s="227"/>
      <c r="F211" s="227"/>
      <c r="G211" s="227"/>
      <c r="H211" s="227"/>
      <c r="I211" s="229"/>
      <c r="J211" s="227"/>
      <c r="K211" s="119"/>
      <c r="L211" s="119"/>
      <c r="N211" s="215"/>
      <c r="O211" s="169" t="b">
        <v>0</v>
      </c>
      <c r="P211" s="119"/>
      <c r="Q211" s="119"/>
      <c r="R211" s="123"/>
      <c r="S211" s="119"/>
      <c r="T211" s="119"/>
      <c r="U211" s="119" t="b">
        <v>0</v>
      </c>
      <c r="V211" s="119" t="b">
        <v>0</v>
      </c>
      <c r="W211" s="119" t="b">
        <v>0</v>
      </c>
      <c r="X211" s="119" t="b">
        <v>0</v>
      </c>
    </row>
    <row r="212" spans="1:24" x14ac:dyDescent="0.2">
      <c r="A212" s="232"/>
      <c r="B212" s="227"/>
      <c r="C212" s="227"/>
      <c r="D212" s="227"/>
      <c r="E212" s="227"/>
      <c r="F212" s="227"/>
      <c r="G212" s="227"/>
      <c r="H212" s="227"/>
      <c r="I212" s="229"/>
      <c r="J212" s="227"/>
      <c r="K212" s="119"/>
      <c r="L212" s="119"/>
      <c r="N212" s="215"/>
      <c r="O212" s="169" t="b">
        <v>0</v>
      </c>
      <c r="P212" s="119"/>
      <c r="Q212" s="119"/>
      <c r="R212" s="123"/>
      <c r="S212" s="119"/>
      <c r="T212" s="119"/>
      <c r="U212" s="119" t="b">
        <v>0</v>
      </c>
      <c r="V212" s="119" t="b">
        <v>0</v>
      </c>
      <c r="W212" s="119" t="b">
        <v>0</v>
      </c>
      <c r="X212" s="119" t="b">
        <v>0</v>
      </c>
    </row>
    <row r="213" spans="1:24" x14ac:dyDescent="0.2">
      <c r="A213" s="232"/>
      <c r="B213" s="227"/>
      <c r="C213" s="227"/>
      <c r="D213" s="227"/>
      <c r="E213" s="227"/>
      <c r="F213" s="227"/>
      <c r="G213" s="227"/>
      <c r="H213" s="227"/>
      <c r="I213" s="229"/>
      <c r="J213" s="227"/>
      <c r="K213" s="119"/>
      <c r="L213" s="119"/>
      <c r="N213" s="215"/>
      <c r="O213" s="169" t="b">
        <v>0</v>
      </c>
      <c r="P213" s="119"/>
      <c r="Q213" s="119"/>
      <c r="R213" s="123"/>
      <c r="S213" s="119"/>
      <c r="T213" s="119"/>
      <c r="U213" s="119" t="b">
        <v>0</v>
      </c>
      <c r="V213" s="119" t="b">
        <v>0</v>
      </c>
      <c r="W213" s="119" t="b">
        <v>0</v>
      </c>
      <c r="X213" s="119" t="b">
        <v>0</v>
      </c>
    </row>
    <row r="214" spans="1:24" x14ac:dyDescent="0.2">
      <c r="A214" s="232"/>
      <c r="B214" s="227"/>
      <c r="C214" s="227"/>
      <c r="D214" s="227"/>
      <c r="E214" s="227"/>
      <c r="F214" s="227"/>
      <c r="G214" s="227"/>
      <c r="H214" s="227"/>
      <c r="I214" s="229"/>
      <c r="J214" s="227"/>
      <c r="K214" s="119"/>
      <c r="L214" s="119"/>
      <c r="N214" s="215"/>
      <c r="O214" s="169" t="b">
        <v>0</v>
      </c>
      <c r="P214" s="119"/>
      <c r="Q214" s="119"/>
      <c r="R214" s="123"/>
      <c r="S214" s="119"/>
      <c r="T214" s="119"/>
      <c r="U214" s="119" t="b">
        <v>0</v>
      </c>
      <c r="V214" s="119" t="b">
        <v>0</v>
      </c>
      <c r="W214" s="119" t="b">
        <v>0</v>
      </c>
      <c r="X214" s="119" t="b">
        <v>0</v>
      </c>
    </row>
    <row r="215" spans="1:24" x14ac:dyDescent="0.2">
      <c r="A215" s="232"/>
      <c r="B215" s="227"/>
      <c r="C215" s="227"/>
      <c r="D215" s="227"/>
      <c r="E215" s="227"/>
      <c r="F215" s="227"/>
      <c r="G215" s="227"/>
      <c r="H215" s="227"/>
      <c r="I215" s="229"/>
      <c r="J215" s="227"/>
      <c r="K215" s="119"/>
      <c r="L215" s="119"/>
    </row>
    <row r="216" spans="1:24" x14ac:dyDescent="0.2">
      <c r="A216" s="232"/>
      <c r="B216" s="227"/>
      <c r="C216" s="227"/>
      <c r="D216" s="227"/>
      <c r="E216" s="227"/>
      <c r="F216" s="227"/>
      <c r="G216" s="227"/>
      <c r="H216" s="227"/>
      <c r="I216" s="229"/>
      <c r="J216" s="227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</row>
    <row r="217" spans="1:24" x14ac:dyDescent="0.2">
      <c r="A217" s="232"/>
      <c r="B217" s="227"/>
      <c r="C217" s="227"/>
      <c r="D217" s="227"/>
      <c r="E217" s="227"/>
      <c r="F217" s="227"/>
      <c r="G217" s="227"/>
      <c r="H217" s="227"/>
      <c r="I217" s="229"/>
      <c r="J217" s="227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</row>
    <row r="218" spans="1:24" x14ac:dyDescent="0.2">
      <c r="A218" s="232"/>
      <c r="B218" s="227"/>
      <c r="C218" s="227"/>
      <c r="D218" s="227"/>
      <c r="E218" s="227"/>
      <c r="F218" s="227"/>
      <c r="G218" s="227"/>
      <c r="H218" s="227"/>
      <c r="I218" s="229"/>
      <c r="J218" s="227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</row>
    <row r="219" spans="1:24" x14ac:dyDescent="0.2">
      <c r="A219" s="232"/>
      <c r="B219" s="227"/>
      <c r="C219" s="227"/>
      <c r="D219" s="227"/>
      <c r="E219" s="227"/>
      <c r="F219" s="227"/>
      <c r="G219" s="227"/>
      <c r="H219" s="227"/>
      <c r="I219" s="229"/>
      <c r="J219" s="227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</row>
    <row r="220" spans="1:24" x14ac:dyDescent="0.2">
      <c r="A220" s="232"/>
      <c r="B220" s="227"/>
      <c r="C220" s="227"/>
      <c r="D220" s="227"/>
      <c r="E220" s="227"/>
      <c r="F220" s="227"/>
      <c r="G220" s="227"/>
      <c r="H220" s="227"/>
      <c r="I220" s="229"/>
      <c r="J220" s="227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</row>
    <row r="221" spans="1:24" x14ac:dyDescent="0.2">
      <c r="A221" s="232"/>
      <c r="B221" s="227"/>
      <c r="C221" s="227"/>
      <c r="D221" s="227"/>
      <c r="E221" s="227"/>
      <c r="F221" s="227"/>
      <c r="G221" s="227"/>
      <c r="H221" s="227"/>
      <c r="I221" s="229"/>
      <c r="J221" s="227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</row>
    <row r="222" spans="1:24" x14ac:dyDescent="0.2">
      <c r="A222" s="232"/>
      <c r="B222" s="227"/>
      <c r="C222" s="227"/>
      <c r="D222" s="227"/>
      <c r="E222" s="227"/>
      <c r="F222" s="227"/>
      <c r="G222" s="227"/>
      <c r="H222" s="227"/>
      <c r="I222" s="229"/>
      <c r="J222" s="227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</row>
    <row r="223" spans="1:24" x14ac:dyDescent="0.2">
      <c r="A223" s="232"/>
      <c r="B223" s="227"/>
      <c r="C223" s="227"/>
      <c r="D223" s="227"/>
      <c r="E223" s="227"/>
      <c r="F223" s="227"/>
      <c r="G223" s="227"/>
      <c r="H223" s="227"/>
      <c r="I223" s="229"/>
      <c r="J223" s="227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</row>
    <row r="224" spans="1:24" x14ac:dyDescent="0.2">
      <c r="A224" s="232"/>
      <c r="B224" s="227"/>
      <c r="C224" s="227"/>
      <c r="D224" s="227"/>
      <c r="E224" s="227"/>
      <c r="F224" s="227"/>
      <c r="G224" s="227"/>
      <c r="H224" s="227"/>
      <c r="I224" s="229"/>
      <c r="J224" s="227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</row>
    <row r="225" spans="1:21" x14ac:dyDescent="0.2">
      <c r="A225" s="232"/>
      <c r="B225" s="227"/>
      <c r="C225" s="227"/>
      <c r="D225" s="227"/>
      <c r="E225" s="227"/>
      <c r="F225" s="227"/>
      <c r="G225" s="227"/>
      <c r="H225" s="227"/>
      <c r="I225" s="229"/>
      <c r="J225" s="227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</row>
    <row r="226" spans="1:21" x14ac:dyDescent="0.2">
      <c r="A226" s="232"/>
      <c r="B226" s="227"/>
      <c r="C226" s="227"/>
      <c r="D226" s="227"/>
      <c r="E226" s="227"/>
      <c r="F226" s="227"/>
      <c r="G226" s="227"/>
      <c r="H226" s="227"/>
      <c r="I226" s="229"/>
      <c r="J226" s="227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</row>
    <row r="227" spans="1:21" x14ac:dyDescent="0.2">
      <c r="A227" s="232"/>
      <c r="B227" s="227"/>
      <c r="C227" s="227"/>
      <c r="D227" s="227"/>
      <c r="E227" s="227"/>
      <c r="F227" s="227"/>
      <c r="G227" s="227"/>
      <c r="H227" s="227"/>
      <c r="I227" s="229"/>
      <c r="J227" s="227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</row>
    <row r="228" spans="1:21" x14ac:dyDescent="0.2">
      <c r="A228" s="232"/>
      <c r="B228" s="227"/>
      <c r="C228" s="227"/>
      <c r="D228" s="227"/>
      <c r="E228" s="227"/>
      <c r="F228" s="227"/>
      <c r="G228" s="227"/>
      <c r="H228" s="227"/>
      <c r="I228" s="229"/>
      <c r="J228" s="227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</row>
    <row r="229" spans="1:21" x14ac:dyDescent="0.2">
      <c r="A229" s="232"/>
      <c r="B229" s="227"/>
      <c r="C229" s="227"/>
      <c r="D229" s="227"/>
      <c r="E229" s="227"/>
      <c r="F229" s="227"/>
      <c r="G229" s="227"/>
      <c r="H229" s="227"/>
      <c r="I229" s="229"/>
      <c r="J229" s="227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</row>
    <row r="230" spans="1:21" x14ac:dyDescent="0.2">
      <c r="A230" s="233"/>
      <c r="B230" s="233"/>
      <c r="C230" s="233"/>
      <c r="D230" s="233"/>
      <c r="E230" s="233"/>
      <c r="F230" s="233"/>
      <c r="G230" s="233"/>
      <c r="H230" s="233"/>
      <c r="I230" s="233"/>
      <c r="J230" s="233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</row>
    <row r="231" spans="1:21" x14ac:dyDescent="0.2">
      <c r="A231" s="119"/>
      <c r="B231" s="119"/>
      <c r="C231" s="176"/>
      <c r="D231" s="119"/>
      <c r="E231" s="176"/>
      <c r="F231" s="176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</row>
    <row r="232" spans="1:21" x14ac:dyDescent="0.2">
      <c r="A232" s="119"/>
      <c r="B232" s="119"/>
      <c r="C232" s="176"/>
      <c r="D232" s="119"/>
      <c r="E232" s="176"/>
      <c r="F232" s="176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</row>
    <row r="233" spans="1:21" x14ac:dyDescent="0.2">
      <c r="A233" s="119"/>
      <c r="B233" s="119"/>
      <c r="C233" s="176"/>
      <c r="D233" s="119"/>
      <c r="E233" s="176"/>
      <c r="F233" s="176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</row>
    <row r="234" spans="1:21" x14ac:dyDescent="0.2">
      <c r="A234" s="119"/>
      <c r="B234" s="119"/>
      <c r="C234" s="176"/>
      <c r="D234" s="119"/>
      <c r="E234" s="176"/>
      <c r="F234" s="176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</row>
    <row r="235" spans="1:21" x14ac:dyDescent="0.2">
      <c r="A235" s="119"/>
      <c r="B235" s="119"/>
      <c r="C235" s="176"/>
      <c r="D235" s="119"/>
      <c r="E235" s="176"/>
      <c r="F235" s="176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</row>
    <row r="236" spans="1:21" x14ac:dyDescent="0.2">
      <c r="A236" s="119"/>
      <c r="B236" s="119"/>
      <c r="C236" s="176"/>
      <c r="D236" s="119"/>
      <c r="E236" s="176"/>
      <c r="F236" s="176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</row>
    <row r="237" spans="1:21" x14ac:dyDescent="0.2">
      <c r="A237" s="119"/>
      <c r="B237" s="119"/>
      <c r="C237" s="176"/>
      <c r="D237" s="119"/>
      <c r="E237" s="176"/>
      <c r="F237" s="176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</row>
    <row r="238" spans="1:21" x14ac:dyDescent="0.2">
      <c r="A238" s="119"/>
      <c r="B238" s="119"/>
      <c r="C238" s="176"/>
      <c r="D238" s="119"/>
      <c r="E238" s="176"/>
      <c r="F238" s="176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</row>
    <row r="239" spans="1:21" x14ac:dyDescent="0.2">
      <c r="A239" s="119"/>
      <c r="B239" s="119"/>
      <c r="C239" s="176"/>
      <c r="D239" s="119"/>
      <c r="E239" s="176"/>
      <c r="F239" s="176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</row>
    <row r="240" spans="1:21" x14ac:dyDescent="0.2">
      <c r="A240" s="119"/>
      <c r="B240" s="119"/>
      <c r="C240" s="176"/>
      <c r="D240" s="119"/>
      <c r="E240" s="176"/>
      <c r="F240" s="176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</row>
    <row r="241" spans="1:21" x14ac:dyDescent="0.2">
      <c r="A241" s="119"/>
      <c r="B241" s="119"/>
      <c r="C241" s="176"/>
      <c r="D241" s="119"/>
      <c r="E241" s="176"/>
      <c r="F241" s="176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</row>
    <row r="242" spans="1:21" x14ac:dyDescent="0.2">
      <c r="A242" s="119"/>
      <c r="B242" s="119"/>
      <c r="C242" s="176"/>
      <c r="D242" s="119"/>
      <c r="E242" s="176"/>
      <c r="F242" s="176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</row>
    <row r="243" spans="1:21" x14ac:dyDescent="0.2">
      <c r="A243" s="119"/>
      <c r="B243" s="119"/>
      <c r="C243" s="176"/>
      <c r="D243" s="119"/>
      <c r="E243" s="176"/>
      <c r="F243" s="176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</row>
    <row r="244" spans="1:21" x14ac:dyDescent="0.2">
      <c r="A244" s="119"/>
      <c r="B244" s="119"/>
      <c r="C244" s="176"/>
      <c r="D244" s="119"/>
      <c r="E244" s="176"/>
      <c r="F244" s="176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</row>
    <row r="245" spans="1:21" x14ac:dyDescent="0.2">
      <c r="A245" s="119"/>
      <c r="B245" s="119"/>
      <c r="C245" s="176"/>
      <c r="D245" s="119"/>
      <c r="E245" s="176"/>
      <c r="F245" s="176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</row>
    <row r="246" spans="1:21" x14ac:dyDescent="0.2">
      <c r="A246" s="119"/>
      <c r="B246" s="119"/>
      <c r="C246" s="176"/>
      <c r="D246" s="119"/>
      <c r="E246" s="176"/>
      <c r="F246" s="176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</row>
    <row r="247" spans="1:21" x14ac:dyDescent="0.2">
      <c r="A247" s="119"/>
      <c r="B247" s="119"/>
      <c r="C247" s="176"/>
      <c r="D247" s="119"/>
      <c r="E247" s="176"/>
      <c r="F247" s="176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</row>
    <row r="248" spans="1:21" x14ac:dyDescent="0.2">
      <c r="A248" s="119"/>
      <c r="B248" s="119"/>
      <c r="C248" s="176"/>
      <c r="D248" s="119"/>
      <c r="E248" s="176"/>
      <c r="F248" s="176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</row>
    <row r="249" spans="1:21" x14ac:dyDescent="0.2">
      <c r="A249" s="119"/>
      <c r="B249" s="119"/>
      <c r="C249" s="176"/>
      <c r="D249" s="119"/>
      <c r="E249" s="176"/>
      <c r="F249" s="176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</row>
    <row r="250" spans="1:21" x14ac:dyDescent="0.2">
      <c r="A250" s="119"/>
      <c r="B250" s="119"/>
      <c r="C250" s="176"/>
      <c r="D250" s="119"/>
      <c r="E250" s="176"/>
      <c r="F250" s="176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</row>
    <row r="251" spans="1:21" x14ac:dyDescent="0.2">
      <c r="A251" s="119"/>
      <c r="B251" s="119"/>
      <c r="C251" s="176"/>
      <c r="D251" s="119"/>
      <c r="E251" s="176"/>
      <c r="F251" s="176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</row>
    <row r="252" spans="1:21" x14ac:dyDescent="0.2">
      <c r="A252" s="119"/>
      <c r="B252" s="119"/>
      <c r="C252" s="176"/>
      <c r="D252" s="119"/>
      <c r="E252" s="176"/>
      <c r="F252" s="176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</row>
    <row r="253" spans="1:21" x14ac:dyDescent="0.2">
      <c r="A253" s="119"/>
      <c r="B253" s="119"/>
      <c r="C253" s="176"/>
      <c r="D253" s="119"/>
      <c r="E253" s="176"/>
      <c r="F253" s="176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</row>
    <row r="254" spans="1:21" x14ac:dyDescent="0.2">
      <c r="A254" s="119"/>
      <c r="B254" s="119"/>
      <c r="C254" s="176"/>
      <c r="D254" s="119"/>
      <c r="E254" s="176"/>
      <c r="F254" s="176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</row>
    <row r="255" spans="1:21" x14ac:dyDescent="0.2">
      <c r="A255" s="119"/>
      <c r="B255" s="119"/>
      <c r="C255" s="176"/>
      <c r="D255" s="119"/>
      <c r="E255" s="176"/>
      <c r="F255" s="176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</row>
    <row r="256" spans="1:21" x14ac:dyDescent="0.2">
      <c r="A256" s="119"/>
      <c r="B256" s="119"/>
      <c r="C256" s="176"/>
      <c r="D256" s="119"/>
      <c r="E256" s="176"/>
      <c r="F256" s="176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</row>
    <row r="257" spans="1:21" x14ac:dyDescent="0.2">
      <c r="A257" s="119"/>
      <c r="B257" s="119"/>
      <c r="C257" s="176"/>
      <c r="D257" s="119"/>
      <c r="E257" s="176"/>
      <c r="F257" s="176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</row>
    <row r="258" spans="1:21" x14ac:dyDescent="0.2">
      <c r="A258" s="119"/>
      <c r="B258" s="119"/>
      <c r="C258" s="176"/>
      <c r="D258" s="119"/>
      <c r="E258" s="176"/>
      <c r="F258" s="176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</row>
    <row r="259" spans="1:21" x14ac:dyDescent="0.2">
      <c r="A259" s="119"/>
      <c r="B259" s="119"/>
      <c r="C259" s="176"/>
      <c r="D259" s="119"/>
      <c r="E259" s="176"/>
      <c r="F259" s="176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</row>
    <row r="260" spans="1:21" x14ac:dyDescent="0.2">
      <c r="A260" s="119"/>
      <c r="B260" s="119"/>
      <c r="C260" s="176"/>
      <c r="D260" s="119"/>
      <c r="E260" s="176"/>
      <c r="F260" s="176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</row>
    <row r="261" spans="1:21" x14ac:dyDescent="0.2">
      <c r="A261" s="119"/>
      <c r="B261" s="119"/>
      <c r="C261" s="176"/>
      <c r="D261" s="119"/>
      <c r="E261" s="176"/>
      <c r="F261" s="176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</row>
    <row r="262" spans="1:21" x14ac:dyDescent="0.2">
      <c r="A262" s="119"/>
      <c r="B262" s="119"/>
      <c r="C262" s="176"/>
      <c r="D262" s="119"/>
      <c r="E262" s="176"/>
      <c r="F262" s="176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</row>
    <row r="263" spans="1:21" x14ac:dyDescent="0.2">
      <c r="A263" s="119"/>
      <c r="B263" s="119"/>
      <c r="C263" s="176"/>
      <c r="D263" s="119"/>
      <c r="E263" s="176"/>
      <c r="F263" s="176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</row>
    <row r="264" spans="1:21" x14ac:dyDescent="0.2">
      <c r="A264" s="119"/>
      <c r="B264" s="119"/>
      <c r="C264" s="176"/>
      <c r="D264" s="119"/>
      <c r="E264" s="176"/>
      <c r="F264" s="176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</row>
    <row r="265" spans="1:21" x14ac:dyDescent="0.2">
      <c r="A265" s="119"/>
      <c r="B265" s="119"/>
      <c r="C265" s="176"/>
      <c r="D265" s="119"/>
      <c r="E265" s="176"/>
      <c r="F265" s="176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</row>
    <row r="266" spans="1:21" x14ac:dyDescent="0.2">
      <c r="A266" s="119"/>
      <c r="B266" s="119"/>
      <c r="C266" s="176"/>
      <c r="D266" s="119"/>
      <c r="E266" s="176"/>
      <c r="F266" s="176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</row>
    <row r="267" spans="1:21" x14ac:dyDescent="0.2">
      <c r="A267" s="119"/>
      <c r="B267" s="119"/>
      <c r="C267" s="176"/>
      <c r="D267" s="119"/>
      <c r="E267" s="176"/>
      <c r="F267" s="176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</row>
    <row r="268" spans="1:21" x14ac:dyDescent="0.2">
      <c r="A268" s="119"/>
      <c r="B268" s="119"/>
      <c r="C268" s="176"/>
      <c r="D268" s="119"/>
      <c r="E268" s="176"/>
      <c r="F268" s="176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</row>
    <row r="269" spans="1:21" x14ac:dyDescent="0.2">
      <c r="A269" s="119"/>
      <c r="B269" s="119"/>
      <c r="C269" s="176"/>
      <c r="D269" s="119"/>
      <c r="E269" s="176"/>
      <c r="F269" s="176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</row>
    <row r="270" spans="1:21" x14ac:dyDescent="0.2">
      <c r="A270" s="119"/>
      <c r="B270" s="119"/>
      <c r="C270" s="176"/>
      <c r="D270" s="119"/>
      <c r="E270" s="176"/>
      <c r="F270" s="176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</row>
    <row r="271" spans="1:21" x14ac:dyDescent="0.2">
      <c r="A271" s="119"/>
      <c r="B271" s="119"/>
      <c r="C271" s="176"/>
      <c r="D271" s="119"/>
      <c r="E271" s="176"/>
      <c r="F271" s="176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</row>
    <row r="272" spans="1:21" x14ac:dyDescent="0.2">
      <c r="A272" s="119"/>
      <c r="B272" s="119"/>
      <c r="C272" s="176"/>
      <c r="D272" s="119"/>
      <c r="E272" s="176"/>
      <c r="F272" s="176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</row>
    <row r="273" spans="1:21" x14ac:dyDescent="0.2">
      <c r="A273" s="119"/>
      <c r="B273" s="119"/>
      <c r="C273" s="176"/>
      <c r="D273" s="119"/>
      <c r="E273" s="176"/>
      <c r="F273" s="176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</row>
    <row r="274" spans="1:21" x14ac:dyDescent="0.2">
      <c r="A274" s="119"/>
      <c r="B274" s="119"/>
      <c r="C274" s="176"/>
      <c r="D274" s="119"/>
      <c r="E274" s="176"/>
      <c r="F274" s="176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</row>
    <row r="275" spans="1:21" x14ac:dyDescent="0.2">
      <c r="A275" s="119"/>
      <c r="B275" s="119"/>
      <c r="C275" s="176"/>
      <c r="D275" s="119"/>
      <c r="E275" s="176"/>
      <c r="F275" s="176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</row>
    <row r="276" spans="1:21" x14ac:dyDescent="0.2">
      <c r="A276" s="119"/>
      <c r="B276" s="119"/>
      <c r="C276" s="176"/>
      <c r="D276" s="119"/>
      <c r="E276" s="176"/>
      <c r="F276" s="176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</row>
    <row r="277" spans="1:21" x14ac:dyDescent="0.2">
      <c r="A277" s="119"/>
      <c r="B277" s="119"/>
      <c r="C277" s="176"/>
      <c r="D277" s="119"/>
      <c r="E277" s="176"/>
      <c r="F277" s="176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</row>
    <row r="278" spans="1:21" x14ac:dyDescent="0.2">
      <c r="A278" s="119"/>
      <c r="B278" s="119"/>
      <c r="C278" s="176"/>
      <c r="D278" s="119"/>
      <c r="E278" s="176"/>
      <c r="F278" s="176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</row>
    <row r="279" spans="1:21" x14ac:dyDescent="0.2">
      <c r="A279" s="119"/>
      <c r="B279" s="119"/>
      <c r="C279" s="176"/>
      <c r="D279" s="119"/>
      <c r="E279" s="176"/>
      <c r="F279" s="176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</row>
    <row r="280" spans="1:21" x14ac:dyDescent="0.2">
      <c r="A280" s="119"/>
      <c r="B280" s="119"/>
      <c r="C280" s="176"/>
      <c r="D280" s="119"/>
      <c r="E280" s="176"/>
      <c r="F280" s="176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</row>
    <row r="281" spans="1:21" x14ac:dyDescent="0.2">
      <c r="A281" s="119"/>
      <c r="B281" s="119"/>
      <c r="C281" s="176"/>
      <c r="D281" s="119"/>
      <c r="E281" s="176"/>
      <c r="F281" s="176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</row>
    <row r="282" spans="1:21" x14ac:dyDescent="0.2">
      <c r="A282" s="119"/>
      <c r="B282" s="119"/>
      <c r="C282" s="176"/>
      <c r="D282" s="119"/>
      <c r="E282" s="176"/>
      <c r="F282" s="176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</row>
    <row r="283" spans="1:21" x14ac:dyDescent="0.2">
      <c r="A283" s="119"/>
      <c r="B283" s="119"/>
      <c r="C283" s="176"/>
      <c r="D283" s="119"/>
      <c r="E283" s="176"/>
      <c r="F283" s="176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</row>
    <row r="284" spans="1:21" x14ac:dyDescent="0.2">
      <c r="A284" s="119"/>
      <c r="B284" s="119"/>
      <c r="C284" s="176"/>
      <c r="D284" s="119"/>
      <c r="E284" s="176"/>
      <c r="F284" s="176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</row>
    <row r="285" spans="1:21" x14ac:dyDescent="0.2">
      <c r="A285" s="119"/>
      <c r="B285" s="119"/>
      <c r="C285" s="176"/>
      <c r="D285" s="119"/>
      <c r="E285" s="176"/>
      <c r="F285" s="176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</row>
    <row r="286" spans="1:21" x14ac:dyDescent="0.2">
      <c r="A286" s="119"/>
      <c r="B286" s="119"/>
      <c r="C286" s="176"/>
      <c r="D286" s="119"/>
      <c r="E286" s="176"/>
      <c r="F286" s="176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</row>
    <row r="287" spans="1:21" x14ac:dyDescent="0.2">
      <c r="A287" s="119"/>
      <c r="B287" s="119"/>
      <c r="C287" s="176"/>
      <c r="D287" s="119"/>
      <c r="E287" s="176"/>
      <c r="F287" s="176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</row>
    <row r="288" spans="1:21" x14ac:dyDescent="0.2">
      <c r="A288" s="119"/>
      <c r="B288" s="119"/>
      <c r="C288" s="176"/>
      <c r="D288" s="119"/>
      <c r="E288" s="176"/>
      <c r="F288" s="176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</row>
    <row r="289" spans="1:21" x14ac:dyDescent="0.2">
      <c r="A289" s="119"/>
      <c r="B289" s="119"/>
      <c r="C289" s="176"/>
      <c r="D289" s="119"/>
      <c r="E289" s="176"/>
      <c r="F289" s="176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</row>
    <row r="290" spans="1:21" x14ac:dyDescent="0.2">
      <c r="A290" s="119"/>
      <c r="B290" s="119"/>
      <c r="C290" s="176"/>
      <c r="D290" s="119"/>
      <c r="E290" s="176"/>
      <c r="F290" s="176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</row>
    <row r="291" spans="1:21" x14ac:dyDescent="0.2">
      <c r="A291" s="119"/>
      <c r="B291" s="119"/>
      <c r="C291" s="176"/>
      <c r="D291" s="119"/>
      <c r="E291" s="176"/>
      <c r="F291" s="176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</row>
    <row r="292" spans="1:21" x14ac:dyDescent="0.2">
      <c r="A292" s="119"/>
      <c r="B292" s="119"/>
      <c r="C292" s="176"/>
      <c r="D292" s="119"/>
      <c r="E292" s="176"/>
      <c r="F292" s="176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</row>
    <row r="293" spans="1:21" x14ac:dyDescent="0.2">
      <c r="A293" s="119"/>
      <c r="B293" s="119"/>
      <c r="C293" s="176"/>
      <c r="D293" s="119"/>
      <c r="E293" s="176"/>
      <c r="F293" s="176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</row>
    <row r="294" spans="1:21" x14ac:dyDescent="0.2">
      <c r="A294" s="119"/>
      <c r="B294" s="119"/>
      <c r="C294" s="176"/>
      <c r="D294" s="119"/>
      <c r="E294" s="176"/>
      <c r="F294" s="176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</row>
    <row r="295" spans="1:21" x14ac:dyDescent="0.2">
      <c r="A295" s="119"/>
      <c r="B295" s="119"/>
      <c r="C295" s="176"/>
      <c r="D295" s="119"/>
      <c r="E295" s="176"/>
      <c r="F295" s="176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</row>
    <row r="296" spans="1:21" x14ac:dyDescent="0.2">
      <c r="A296" s="119"/>
      <c r="B296" s="119"/>
      <c r="C296" s="176"/>
      <c r="D296" s="119"/>
      <c r="E296" s="176"/>
      <c r="F296" s="176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</row>
    <row r="297" spans="1:21" x14ac:dyDescent="0.2">
      <c r="A297" s="119"/>
      <c r="B297" s="119"/>
      <c r="C297" s="176"/>
      <c r="D297" s="119"/>
      <c r="E297" s="176"/>
      <c r="F297" s="176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</row>
    <row r="298" spans="1:21" x14ac:dyDescent="0.2">
      <c r="A298" s="119"/>
      <c r="B298" s="119"/>
      <c r="C298" s="176"/>
      <c r="D298" s="119"/>
      <c r="E298" s="176"/>
      <c r="F298" s="176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</row>
    <row r="299" spans="1:21" x14ac:dyDescent="0.2">
      <c r="A299" s="119"/>
      <c r="B299" s="119"/>
      <c r="C299" s="176"/>
      <c r="D299" s="119"/>
      <c r="E299" s="176"/>
      <c r="F299" s="176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</row>
    <row r="300" spans="1:21" x14ac:dyDescent="0.2">
      <c r="A300" s="119"/>
      <c r="B300" s="119"/>
      <c r="C300" s="176"/>
      <c r="D300" s="119"/>
      <c r="E300" s="176"/>
      <c r="F300" s="176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</row>
    <row r="301" spans="1:21" x14ac:dyDescent="0.2">
      <c r="A301" s="119"/>
      <c r="B301" s="119"/>
      <c r="C301" s="176"/>
      <c r="D301" s="119"/>
      <c r="E301" s="176"/>
      <c r="F301" s="176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</row>
    <row r="302" spans="1:21" x14ac:dyDescent="0.2">
      <c r="A302" s="119"/>
      <c r="B302" s="119"/>
      <c r="C302" s="176"/>
      <c r="D302" s="119"/>
      <c r="E302" s="176"/>
      <c r="F302" s="176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</row>
    <row r="303" spans="1:21" x14ac:dyDescent="0.2">
      <c r="A303" s="119"/>
      <c r="B303" s="119"/>
      <c r="C303" s="176"/>
      <c r="D303" s="119"/>
      <c r="E303" s="176"/>
      <c r="F303" s="176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</row>
    <row r="304" spans="1:21" x14ac:dyDescent="0.2">
      <c r="A304" s="119"/>
      <c r="B304" s="119"/>
      <c r="C304" s="176"/>
      <c r="D304" s="119"/>
      <c r="E304" s="176"/>
      <c r="F304" s="176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</row>
    <row r="305" spans="1:21" x14ac:dyDescent="0.2">
      <c r="A305" s="119"/>
      <c r="B305" s="119"/>
      <c r="C305" s="176"/>
      <c r="D305" s="119"/>
      <c r="E305" s="176"/>
      <c r="F305" s="176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</row>
    <row r="306" spans="1:21" x14ac:dyDescent="0.2">
      <c r="A306" s="119"/>
      <c r="B306" s="119"/>
      <c r="C306" s="176"/>
      <c r="D306" s="119"/>
      <c r="E306" s="176"/>
      <c r="F306" s="176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</row>
    <row r="307" spans="1:21" x14ac:dyDescent="0.2">
      <c r="A307" s="119"/>
      <c r="B307" s="119"/>
      <c r="C307" s="176"/>
      <c r="D307" s="119"/>
      <c r="E307" s="176"/>
      <c r="F307" s="176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</row>
    <row r="308" spans="1:21" x14ac:dyDescent="0.2">
      <c r="A308" s="119"/>
      <c r="B308" s="119"/>
      <c r="C308" s="176"/>
      <c r="D308" s="119"/>
      <c r="E308" s="176"/>
      <c r="F308" s="176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</row>
    <row r="309" spans="1:21" x14ac:dyDescent="0.2">
      <c r="A309" s="119"/>
      <c r="B309" s="119"/>
      <c r="C309" s="176"/>
      <c r="D309" s="119"/>
      <c r="E309" s="176"/>
      <c r="F309" s="176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</row>
    <row r="310" spans="1:21" x14ac:dyDescent="0.2">
      <c r="A310" s="119"/>
      <c r="B310" s="119"/>
      <c r="C310" s="176"/>
      <c r="D310" s="119"/>
      <c r="E310" s="176"/>
      <c r="F310" s="176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</row>
    <row r="311" spans="1:21" x14ac:dyDescent="0.2">
      <c r="A311" s="119"/>
      <c r="B311" s="119"/>
      <c r="C311" s="176"/>
      <c r="D311" s="119"/>
      <c r="E311" s="176"/>
      <c r="F311" s="176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</row>
    <row r="312" spans="1:21" x14ac:dyDescent="0.2">
      <c r="A312" s="119"/>
      <c r="B312" s="119"/>
      <c r="C312" s="176"/>
      <c r="D312" s="119"/>
      <c r="E312" s="176"/>
      <c r="F312" s="176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</row>
    <row r="313" spans="1:21" x14ac:dyDescent="0.2">
      <c r="A313" s="119"/>
      <c r="B313" s="119"/>
      <c r="C313" s="176"/>
      <c r="D313" s="119"/>
      <c r="E313" s="176"/>
      <c r="F313" s="176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</row>
    <row r="314" spans="1:21" x14ac:dyDescent="0.2">
      <c r="A314" s="119"/>
      <c r="B314" s="119"/>
      <c r="C314" s="176"/>
      <c r="D314" s="119"/>
      <c r="E314" s="176"/>
      <c r="F314" s="176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</row>
    <row r="315" spans="1:21" x14ac:dyDescent="0.2">
      <c r="A315" s="119"/>
      <c r="B315" s="119"/>
      <c r="C315" s="176"/>
      <c r="D315" s="119"/>
      <c r="E315" s="176"/>
      <c r="F315" s="176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</row>
    <row r="316" spans="1:21" x14ac:dyDescent="0.2">
      <c r="A316" s="119"/>
      <c r="B316" s="119"/>
      <c r="C316" s="176"/>
      <c r="D316" s="119"/>
      <c r="E316" s="176"/>
      <c r="F316" s="176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</row>
    <row r="317" spans="1:21" x14ac:dyDescent="0.2">
      <c r="A317" s="119"/>
      <c r="B317" s="119"/>
      <c r="C317" s="176"/>
      <c r="D317" s="119"/>
      <c r="E317" s="176"/>
      <c r="F317" s="176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</row>
    <row r="318" spans="1:21" x14ac:dyDescent="0.2">
      <c r="A318" s="119"/>
      <c r="B318" s="119"/>
      <c r="C318" s="176"/>
      <c r="D318" s="119"/>
      <c r="E318" s="176"/>
      <c r="F318" s="176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</row>
    <row r="319" spans="1:21" x14ac:dyDescent="0.2">
      <c r="A319" s="119"/>
      <c r="B319" s="119"/>
      <c r="C319" s="176"/>
      <c r="D319" s="119"/>
      <c r="E319" s="176"/>
      <c r="F319" s="176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</row>
    <row r="320" spans="1:21" x14ac:dyDescent="0.2">
      <c r="A320" s="119"/>
      <c r="B320" s="119"/>
      <c r="C320" s="176"/>
      <c r="D320" s="119"/>
      <c r="E320" s="176"/>
      <c r="F320" s="176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</row>
    <row r="321" spans="1:21" x14ac:dyDescent="0.2">
      <c r="A321" s="119"/>
      <c r="B321" s="119"/>
      <c r="C321" s="176"/>
      <c r="D321" s="119"/>
      <c r="E321" s="176"/>
      <c r="F321" s="176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</row>
    <row r="322" spans="1:21" x14ac:dyDescent="0.2">
      <c r="A322" s="119"/>
      <c r="B322" s="119"/>
      <c r="C322" s="176"/>
      <c r="D322" s="119"/>
      <c r="E322" s="176"/>
      <c r="F322" s="176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</row>
    <row r="323" spans="1:21" x14ac:dyDescent="0.2">
      <c r="A323" s="119"/>
      <c r="B323" s="119"/>
      <c r="C323" s="176"/>
      <c r="D323" s="119"/>
      <c r="E323" s="176"/>
      <c r="F323" s="176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</row>
    <row r="324" spans="1:21" x14ac:dyDescent="0.2">
      <c r="A324" s="119"/>
      <c r="B324" s="119"/>
      <c r="C324" s="176"/>
      <c r="D324" s="119"/>
      <c r="E324" s="176"/>
      <c r="F324" s="176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</row>
    <row r="325" spans="1:21" x14ac:dyDescent="0.2">
      <c r="A325" s="119"/>
      <c r="B325" s="119"/>
      <c r="C325" s="176"/>
      <c r="D325" s="119"/>
      <c r="E325" s="176"/>
      <c r="F325" s="176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</row>
    <row r="326" spans="1:21" x14ac:dyDescent="0.2">
      <c r="A326" s="119"/>
      <c r="B326" s="119"/>
      <c r="C326" s="176"/>
      <c r="D326" s="119"/>
      <c r="E326" s="176"/>
      <c r="F326" s="176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</row>
    <row r="327" spans="1:21" x14ac:dyDescent="0.2">
      <c r="A327" s="119"/>
      <c r="B327" s="119"/>
      <c r="C327" s="176"/>
      <c r="D327" s="119"/>
      <c r="E327" s="176"/>
      <c r="F327" s="176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</row>
    <row r="328" spans="1:21" x14ac:dyDescent="0.2">
      <c r="A328" s="119"/>
      <c r="B328" s="119"/>
      <c r="C328" s="176"/>
      <c r="D328" s="119"/>
      <c r="E328" s="176"/>
      <c r="F328" s="176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</row>
    <row r="329" spans="1:21" x14ac:dyDescent="0.2">
      <c r="A329" s="119"/>
      <c r="B329" s="119"/>
      <c r="C329" s="176"/>
      <c r="D329" s="119"/>
      <c r="E329" s="176"/>
      <c r="F329" s="176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</row>
    <row r="330" spans="1:21" x14ac:dyDescent="0.2">
      <c r="A330" s="119"/>
      <c r="B330" s="119"/>
      <c r="C330" s="176"/>
      <c r="D330" s="119"/>
      <c r="E330" s="176"/>
      <c r="F330" s="176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</row>
    <row r="331" spans="1:21" x14ac:dyDescent="0.2">
      <c r="A331" s="119"/>
      <c r="B331" s="119"/>
      <c r="C331" s="176"/>
      <c r="D331" s="119"/>
      <c r="E331" s="176"/>
      <c r="F331" s="176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</row>
    <row r="332" spans="1:21" x14ac:dyDescent="0.2">
      <c r="A332" s="119"/>
      <c r="B332" s="119"/>
      <c r="C332" s="176"/>
      <c r="D332" s="119"/>
      <c r="E332" s="176"/>
      <c r="F332" s="176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</row>
    <row r="333" spans="1:21" x14ac:dyDescent="0.2">
      <c r="A333" s="119"/>
      <c r="B333" s="119"/>
      <c r="C333" s="176"/>
      <c r="D333" s="119"/>
      <c r="E333" s="176"/>
      <c r="F333" s="176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</row>
    <row r="334" spans="1:21" x14ac:dyDescent="0.2">
      <c r="A334" s="119"/>
      <c r="B334" s="119"/>
      <c r="C334" s="176"/>
      <c r="D334" s="119"/>
      <c r="E334" s="176"/>
      <c r="F334" s="176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</row>
    <row r="335" spans="1:21" x14ac:dyDescent="0.2">
      <c r="A335" s="119"/>
      <c r="B335" s="119"/>
      <c r="C335" s="176"/>
      <c r="D335" s="119"/>
      <c r="E335" s="176"/>
      <c r="F335" s="176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</row>
    <row r="336" spans="1:21" x14ac:dyDescent="0.2">
      <c r="A336" s="119"/>
      <c r="B336" s="119"/>
      <c r="C336" s="176"/>
      <c r="D336" s="119"/>
      <c r="E336" s="176"/>
      <c r="F336" s="176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</row>
    <row r="337" spans="1:21" x14ac:dyDescent="0.2">
      <c r="A337" s="119"/>
      <c r="B337" s="119"/>
      <c r="C337" s="176"/>
      <c r="D337" s="119"/>
      <c r="E337" s="176"/>
      <c r="F337" s="176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</row>
    <row r="338" spans="1:21" x14ac:dyDescent="0.2">
      <c r="A338" s="119"/>
      <c r="B338" s="119"/>
      <c r="C338" s="176"/>
      <c r="D338" s="119"/>
      <c r="E338" s="176"/>
      <c r="F338" s="176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</row>
    <row r="339" spans="1:21" x14ac:dyDescent="0.2">
      <c r="A339" s="119"/>
      <c r="B339" s="119"/>
      <c r="C339" s="176"/>
      <c r="D339" s="119"/>
      <c r="E339" s="176"/>
      <c r="F339" s="176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</row>
    <row r="340" spans="1:21" x14ac:dyDescent="0.2">
      <c r="A340" s="119"/>
      <c r="B340" s="119"/>
      <c r="C340" s="176"/>
      <c r="D340" s="119"/>
      <c r="E340" s="176"/>
      <c r="F340" s="176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</row>
    <row r="341" spans="1:21" x14ac:dyDescent="0.2">
      <c r="A341" s="119"/>
      <c r="B341" s="119"/>
      <c r="C341" s="176"/>
      <c r="D341" s="119"/>
      <c r="E341" s="176"/>
      <c r="F341" s="176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</row>
    <row r="342" spans="1:21" x14ac:dyDescent="0.2">
      <c r="A342" s="119"/>
      <c r="B342" s="119"/>
      <c r="C342" s="176"/>
      <c r="D342" s="119"/>
      <c r="E342" s="176"/>
      <c r="F342" s="176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</row>
    <row r="343" spans="1:21" x14ac:dyDescent="0.2">
      <c r="A343" s="119"/>
      <c r="B343" s="119"/>
      <c r="C343" s="176"/>
      <c r="D343" s="119"/>
      <c r="E343" s="176"/>
      <c r="F343" s="176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</row>
    <row r="344" spans="1:21" x14ac:dyDescent="0.2">
      <c r="A344" s="119"/>
      <c r="B344" s="119"/>
      <c r="C344" s="176"/>
      <c r="D344" s="119"/>
      <c r="E344" s="176"/>
      <c r="F344" s="176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</row>
    <row r="345" spans="1:21" x14ac:dyDescent="0.2">
      <c r="A345" s="119"/>
      <c r="B345" s="119"/>
      <c r="C345" s="176"/>
      <c r="D345" s="119"/>
      <c r="E345" s="176"/>
      <c r="F345" s="176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</row>
    <row r="346" spans="1:21" x14ac:dyDescent="0.2">
      <c r="A346" s="119"/>
      <c r="B346" s="119"/>
      <c r="C346" s="176"/>
      <c r="D346" s="119"/>
      <c r="E346" s="176"/>
      <c r="F346" s="176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</row>
    <row r="347" spans="1:21" x14ac:dyDescent="0.2">
      <c r="A347" s="119"/>
      <c r="B347" s="119"/>
      <c r="C347" s="176"/>
      <c r="D347" s="119"/>
      <c r="E347" s="176"/>
      <c r="F347" s="176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</row>
    <row r="348" spans="1:21" x14ac:dyDescent="0.2">
      <c r="A348" s="119"/>
      <c r="B348" s="119"/>
      <c r="C348" s="176"/>
      <c r="D348" s="119"/>
      <c r="E348" s="176"/>
      <c r="F348" s="176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</row>
    <row r="349" spans="1:21" x14ac:dyDescent="0.2">
      <c r="A349" s="119"/>
      <c r="B349" s="119"/>
      <c r="C349" s="176"/>
      <c r="D349" s="119"/>
      <c r="E349" s="176"/>
      <c r="F349" s="176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</row>
    <row r="350" spans="1:21" x14ac:dyDescent="0.2">
      <c r="A350" s="119"/>
      <c r="B350" s="119"/>
      <c r="C350" s="176"/>
      <c r="D350" s="119"/>
      <c r="E350" s="176"/>
      <c r="F350" s="176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</row>
    <row r="351" spans="1:21" x14ac:dyDescent="0.2">
      <c r="A351" s="119"/>
      <c r="B351" s="119"/>
      <c r="C351" s="176"/>
      <c r="D351" s="119"/>
      <c r="E351" s="176"/>
      <c r="F351" s="176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</row>
    <row r="352" spans="1:21" x14ac:dyDescent="0.2">
      <c r="A352" s="119"/>
      <c r="B352" s="119"/>
      <c r="C352" s="176"/>
      <c r="D352" s="119"/>
      <c r="E352" s="176"/>
      <c r="F352" s="176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</row>
    <row r="353" spans="1:21" x14ac:dyDescent="0.2">
      <c r="A353" s="119"/>
      <c r="B353" s="119"/>
      <c r="C353" s="176"/>
      <c r="D353" s="119"/>
      <c r="E353" s="176"/>
      <c r="F353" s="176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</row>
    <row r="354" spans="1:21" x14ac:dyDescent="0.2">
      <c r="A354" s="119"/>
      <c r="B354" s="119"/>
      <c r="C354" s="176"/>
      <c r="D354" s="119"/>
      <c r="E354" s="176"/>
      <c r="F354" s="176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</row>
    <row r="355" spans="1:21" x14ac:dyDescent="0.2">
      <c r="A355" s="119"/>
      <c r="B355" s="119"/>
      <c r="C355" s="176"/>
      <c r="D355" s="119"/>
      <c r="E355" s="176"/>
      <c r="F355" s="176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</row>
    <row r="356" spans="1:21" x14ac:dyDescent="0.2">
      <c r="A356" s="119"/>
      <c r="B356" s="119"/>
      <c r="C356" s="176"/>
      <c r="D356" s="119"/>
      <c r="E356" s="176"/>
      <c r="F356" s="176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</row>
    <row r="357" spans="1:21" x14ac:dyDescent="0.2">
      <c r="A357" s="119"/>
      <c r="B357" s="119"/>
      <c r="C357" s="176"/>
      <c r="D357" s="119"/>
      <c r="E357" s="176"/>
      <c r="F357" s="176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</row>
    <row r="358" spans="1:21" x14ac:dyDescent="0.2">
      <c r="A358" s="119"/>
      <c r="B358" s="119"/>
      <c r="C358" s="176"/>
      <c r="D358" s="119"/>
      <c r="E358" s="176"/>
      <c r="F358" s="176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</row>
    <row r="359" spans="1:21" x14ac:dyDescent="0.2">
      <c r="A359" s="119"/>
      <c r="B359" s="119"/>
      <c r="C359" s="176"/>
      <c r="D359" s="119"/>
      <c r="E359" s="176"/>
      <c r="F359" s="176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</row>
    <row r="360" spans="1:21" x14ac:dyDescent="0.2">
      <c r="A360" s="119"/>
      <c r="B360" s="119"/>
      <c r="C360" s="176"/>
      <c r="D360" s="119"/>
      <c r="E360" s="176"/>
      <c r="F360" s="176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</row>
    <row r="361" spans="1:21" x14ac:dyDescent="0.2">
      <c r="A361" s="119"/>
      <c r="B361" s="119"/>
      <c r="C361" s="176"/>
      <c r="D361" s="119"/>
      <c r="E361" s="176"/>
      <c r="F361" s="176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</row>
    <row r="362" spans="1:21" x14ac:dyDescent="0.2">
      <c r="A362" s="119"/>
      <c r="B362" s="119"/>
      <c r="C362" s="176"/>
      <c r="D362" s="119"/>
      <c r="E362" s="176"/>
      <c r="F362" s="176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</row>
    <row r="363" spans="1:21" x14ac:dyDescent="0.2">
      <c r="A363" s="119"/>
      <c r="B363" s="119"/>
      <c r="C363" s="176"/>
      <c r="D363" s="119"/>
      <c r="E363" s="176"/>
      <c r="F363" s="176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</row>
    <row r="364" spans="1:21" x14ac:dyDescent="0.2">
      <c r="A364" s="119"/>
      <c r="B364" s="119"/>
      <c r="C364" s="176"/>
      <c r="D364" s="119"/>
      <c r="E364" s="176"/>
      <c r="F364" s="176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</row>
    <row r="365" spans="1:21" x14ac:dyDescent="0.2">
      <c r="A365" s="119"/>
      <c r="B365" s="119"/>
      <c r="C365" s="176"/>
      <c r="D365" s="119"/>
      <c r="E365" s="176"/>
      <c r="F365" s="176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</row>
    <row r="366" spans="1:21" x14ac:dyDescent="0.2">
      <c r="A366" s="119"/>
      <c r="B366" s="119"/>
      <c r="C366" s="176"/>
      <c r="D366" s="119"/>
      <c r="E366" s="176"/>
      <c r="F366" s="176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</row>
    <row r="367" spans="1:21" x14ac:dyDescent="0.2">
      <c r="A367" s="119"/>
      <c r="B367" s="119"/>
      <c r="C367" s="176"/>
      <c r="D367" s="119"/>
      <c r="E367" s="176"/>
      <c r="F367" s="176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</row>
    <row r="368" spans="1:21" x14ac:dyDescent="0.2">
      <c r="A368" s="119"/>
      <c r="B368" s="119"/>
      <c r="C368" s="176"/>
      <c r="D368" s="119"/>
      <c r="E368" s="176"/>
      <c r="F368" s="176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</row>
    <row r="369" spans="1:21" x14ac:dyDescent="0.2">
      <c r="A369" s="119"/>
      <c r="B369" s="119"/>
      <c r="C369" s="176"/>
      <c r="D369" s="119"/>
      <c r="E369" s="176"/>
      <c r="F369" s="176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</row>
    <row r="370" spans="1:21" x14ac:dyDescent="0.2">
      <c r="A370" s="119"/>
      <c r="B370" s="119"/>
      <c r="C370" s="176"/>
      <c r="D370" s="119"/>
      <c r="E370" s="176"/>
      <c r="F370" s="176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</row>
    <row r="371" spans="1:21" x14ac:dyDescent="0.2">
      <c r="A371" s="119"/>
      <c r="B371" s="119"/>
      <c r="C371" s="176"/>
      <c r="D371" s="119"/>
      <c r="E371" s="176"/>
      <c r="F371" s="176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</row>
    <row r="372" spans="1:21" x14ac:dyDescent="0.2">
      <c r="A372" s="119"/>
      <c r="B372" s="119"/>
      <c r="C372" s="176"/>
      <c r="D372" s="119"/>
      <c r="E372" s="176"/>
      <c r="F372" s="176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</row>
    <row r="373" spans="1:21" x14ac:dyDescent="0.2">
      <c r="A373" s="119"/>
      <c r="B373" s="119"/>
      <c r="C373" s="176"/>
      <c r="D373" s="119"/>
      <c r="E373" s="176"/>
      <c r="F373" s="176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</row>
    <row r="374" spans="1:21" x14ac:dyDescent="0.2">
      <c r="A374" s="119"/>
      <c r="B374" s="119"/>
      <c r="C374" s="176"/>
      <c r="D374" s="119"/>
      <c r="E374" s="176"/>
      <c r="F374" s="176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</row>
    <row r="375" spans="1:21" x14ac:dyDescent="0.2">
      <c r="A375" s="119"/>
      <c r="B375" s="119"/>
      <c r="C375" s="176"/>
      <c r="D375" s="119"/>
      <c r="E375" s="176"/>
      <c r="F375" s="176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</row>
    <row r="376" spans="1:21" x14ac:dyDescent="0.2">
      <c r="A376" s="119"/>
      <c r="B376" s="119"/>
      <c r="C376" s="176"/>
      <c r="D376" s="119"/>
      <c r="E376" s="176"/>
      <c r="F376" s="176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</row>
    <row r="377" spans="1:21" x14ac:dyDescent="0.2">
      <c r="A377" s="119"/>
      <c r="B377" s="119"/>
      <c r="C377" s="176"/>
      <c r="D377" s="119"/>
      <c r="E377" s="176"/>
      <c r="F377" s="176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</row>
    <row r="378" spans="1:21" x14ac:dyDescent="0.2">
      <c r="A378" s="119"/>
      <c r="B378" s="119"/>
      <c r="C378" s="176"/>
      <c r="D378" s="119"/>
      <c r="E378" s="176"/>
      <c r="F378" s="176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</row>
    <row r="379" spans="1:21" x14ac:dyDescent="0.2">
      <c r="A379" s="119"/>
      <c r="B379" s="119"/>
      <c r="C379" s="176"/>
      <c r="D379" s="119"/>
      <c r="E379" s="176"/>
      <c r="F379" s="176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</row>
    <row r="380" spans="1:21" x14ac:dyDescent="0.2">
      <c r="A380" s="119"/>
      <c r="B380" s="119"/>
      <c r="C380" s="176"/>
      <c r="D380" s="119"/>
      <c r="E380" s="176"/>
      <c r="F380" s="176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</row>
    <row r="381" spans="1:21" x14ac:dyDescent="0.2">
      <c r="A381" s="119"/>
      <c r="B381" s="119"/>
      <c r="C381" s="176"/>
      <c r="D381" s="119"/>
      <c r="E381" s="176"/>
      <c r="F381" s="176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</row>
    <row r="382" spans="1:21" x14ac:dyDescent="0.2">
      <c r="A382" s="119"/>
      <c r="B382" s="119"/>
      <c r="C382" s="176"/>
      <c r="D382" s="119"/>
      <c r="E382" s="176"/>
      <c r="F382" s="176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</row>
    <row r="383" spans="1:21" x14ac:dyDescent="0.2">
      <c r="A383" s="119"/>
      <c r="B383" s="119"/>
      <c r="C383" s="176"/>
      <c r="D383" s="119"/>
      <c r="E383" s="176"/>
      <c r="F383" s="176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</row>
    <row r="384" spans="1:21" x14ac:dyDescent="0.2">
      <c r="A384" s="119"/>
      <c r="B384" s="119"/>
      <c r="C384" s="176"/>
      <c r="D384" s="119"/>
      <c r="E384" s="176"/>
      <c r="F384" s="176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</row>
    <row r="385" spans="1:21" x14ac:dyDescent="0.2">
      <c r="A385" s="119"/>
      <c r="B385" s="119"/>
      <c r="C385" s="176"/>
      <c r="D385" s="119"/>
      <c r="E385" s="176"/>
      <c r="F385" s="176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</row>
    <row r="386" spans="1:21" x14ac:dyDescent="0.2">
      <c r="A386" s="119"/>
      <c r="B386" s="119"/>
      <c r="C386" s="176"/>
      <c r="D386" s="119"/>
      <c r="E386" s="176"/>
      <c r="F386" s="176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</row>
    <row r="387" spans="1:21" x14ac:dyDescent="0.2">
      <c r="A387" s="119"/>
      <c r="B387" s="119"/>
      <c r="C387" s="176"/>
      <c r="D387" s="119"/>
      <c r="E387" s="176"/>
      <c r="F387" s="176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</row>
    <row r="388" spans="1:21" x14ac:dyDescent="0.2">
      <c r="A388" s="119"/>
      <c r="B388" s="119"/>
      <c r="C388" s="176"/>
      <c r="D388" s="119"/>
      <c r="E388" s="176"/>
      <c r="F388" s="176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</row>
    <row r="389" spans="1:21" x14ac:dyDescent="0.2">
      <c r="A389" s="119"/>
      <c r="B389" s="119"/>
      <c r="C389" s="176"/>
      <c r="D389" s="119"/>
      <c r="E389" s="176"/>
      <c r="F389" s="176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</row>
    <row r="390" spans="1:21" x14ac:dyDescent="0.2">
      <c r="A390" s="119"/>
      <c r="B390" s="119"/>
      <c r="C390" s="176"/>
      <c r="D390" s="119"/>
      <c r="E390" s="176"/>
      <c r="F390" s="176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</row>
    <row r="391" spans="1:21" x14ac:dyDescent="0.2">
      <c r="A391" s="119"/>
      <c r="B391" s="119"/>
      <c r="C391" s="176"/>
      <c r="D391" s="119"/>
      <c r="E391" s="176"/>
      <c r="F391" s="176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</row>
    <row r="392" spans="1:21" x14ac:dyDescent="0.2">
      <c r="A392" s="119"/>
      <c r="B392" s="119"/>
      <c r="C392" s="176"/>
      <c r="D392" s="119"/>
      <c r="E392" s="176"/>
      <c r="F392" s="176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</row>
    <row r="393" spans="1:21" x14ac:dyDescent="0.2">
      <c r="A393" s="119"/>
      <c r="B393" s="119"/>
      <c r="C393" s="176"/>
      <c r="D393" s="119"/>
      <c r="E393" s="176"/>
      <c r="F393" s="176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</row>
    <row r="394" spans="1:21" x14ac:dyDescent="0.2">
      <c r="A394" s="119"/>
      <c r="B394" s="119"/>
      <c r="C394" s="176"/>
      <c r="D394" s="119"/>
      <c r="E394" s="176"/>
      <c r="F394" s="176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</row>
    <row r="395" spans="1:21" x14ac:dyDescent="0.2">
      <c r="A395" s="119"/>
      <c r="B395" s="119"/>
      <c r="C395" s="176"/>
      <c r="D395" s="119"/>
      <c r="E395" s="176"/>
      <c r="F395" s="176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</row>
    <row r="396" spans="1:21" x14ac:dyDescent="0.2">
      <c r="A396" s="119"/>
      <c r="B396" s="119"/>
      <c r="C396" s="176"/>
      <c r="D396" s="119"/>
      <c r="E396" s="176"/>
      <c r="F396" s="176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</row>
    <row r="397" spans="1:21" x14ac:dyDescent="0.2">
      <c r="A397" s="119"/>
      <c r="B397" s="119"/>
      <c r="C397" s="176"/>
      <c r="D397" s="119"/>
      <c r="E397" s="176"/>
      <c r="F397" s="176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</row>
    <row r="398" spans="1:21" x14ac:dyDescent="0.2">
      <c r="A398" s="119"/>
      <c r="B398" s="119"/>
      <c r="C398" s="176"/>
      <c r="D398" s="119"/>
      <c r="E398" s="176"/>
      <c r="F398" s="176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</row>
    <row r="399" spans="1:21" x14ac:dyDescent="0.2">
      <c r="A399" s="119"/>
      <c r="B399" s="119"/>
      <c r="C399" s="176"/>
      <c r="D399" s="119"/>
      <c r="E399" s="176"/>
      <c r="F399" s="176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</row>
    <row r="400" spans="1:21" x14ac:dyDescent="0.2">
      <c r="A400" s="119"/>
      <c r="B400" s="119"/>
      <c r="C400" s="176"/>
      <c r="D400" s="119"/>
      <c r="E400" s="176"/>
      <c r="F400" s="176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</row>
    <row r="401" spans="1:21" x14ac:dyDescent="0.2">
      <c r="A401" s="119"/>
      <c r="B401" s="119"/>
      <c r="C401" s="176"/>
      <c r="D401" s="119"/>
      <c r="E401" s="176"/>
      <c r="F401" s="176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</row>
    <row r="402" spans="1:21" x14ac:dyDescent="0.2">
      <c r="A402" s="119"/>
      <c r="B402" s="119"/>
      <c r="C402" s="176"/>
      <c r="D402" s="119"/>
      <c r="E402" s="176"/>
      <c r="F402" s="176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</row>
    <row r="403" spans="1:21" x14ac:dyDescent="0.2">
      <c r="A403" s="119"/>
      <c r="B403" s="119"/>
      <c r="C403" s="176"/>
      <c r="D403" s="119"/>
      <c r="E403" s="176"/>
      <c r="F403" s="176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</row>
    <row r="404" spans="1:21" x14ac:dyDescent="0.2">
      <c r="A404" s="119"/>
      <c r="B404" s="119"/>
      <c r="C404" s="176"/>
      <c r="D404" s="119"/>
      <c r="E404" s="176"/>
      <c r="F404" s="176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</row>
    <row r="405" spans="1:21" x14ac:dyDescent="0.2">
      <c r="A405" s="119"/>
      <c r="B405" s="119"/>
      <c r="C405" s="176"/>
      <c r="D405" s="119"/>
      <c r="E405" s="176"/>
      <c r="F405" s="176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</row>
    <row r="406" spans="1:21" x14ac:dyDescent="0.2">
      <c r="A406" s="119"/>
      <c r="B406" s="119"/>
      <c r="C406" s="176"/>
      <c r="D406" s="119"/>
      <c r="E406" s="176"/>
      <c r="F406" s="176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</row>
    <row r="407" spans="1:21" x14ac:dyDescent="0.2">
      <c r="A407" s="119"/>
      <c r="B407" s="119"/>
      <c r="C407" s="176"/>
      <c r="D407" s="119"/>
      <c r="E407" s="176"/>
      <c r="F407" s="176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</row>
    <row r="408" spans="1:21" x14ac:dyDescent="0.2">
      <c r="A408" s="119"/>
      <c r="B408" s="119"/>
      <c r="C408" s="176"/>
      <c r="D408" s="119"/>
      <c r="E408" s="176"/>
      <c r="F408" s="176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</row>
    <row r="409" spans="1:21" x14ac:dyDescent="0.2">
      <c r="A409" s="119"/>
      <c r="B409" s="119"/>
      <c r="C409" s="176"/>
      <c r="D409" s="119"/>
      <c r="E409" s="176"/>
      <c r="F409" s="176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</row>
    <row r="410" spans="1:21" x14ac:dyDescent="0.2">
      <c r="A410" s="119"/>
      <c r="B410" s="119"/>
      <c r="C410" s="176"/>
      <c r="D410" s="119"/>
      <c r="E410" s="176"/>
      <c r="F410" s="176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</row>
    <row r="411" spans="1:21" x14ac:dyDescent="0.2">
      <c r="A411" s="119"/>
      <c r="B411" s="119"/>
      <c r="C411" s="176"/>
      <c r="D411" s="119"/>
      <c r="E411" s="176"/>
      <c r="F411" s="176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</row>
    <row r="412" spans="1:21" x14ac:dyDescent="0.2">
      <c r="A412" s="119"/>
      <c r="B412" s="119"/>
      <c r="C412" s="176"/>
      <c r="D412" s="119"/>
      <c r="E412" s="176"/>
      <c r="F412" s="176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</row>
    <row r="413" spans="1:21" x14ac:dyDescent="0.2">
      <c r="A413" s="119"/>
      <c r="B413" s="119"/>
      <c r="C413" s="176"/>
      <c r="D413" s="119"/>
      <c r="E413" s="176"/>
      <c r="F413" s="176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</row>
    <row r="414" spans="1:21" x14ac:dyDescent="0.2">
      <c r="A414" s="119"/>
      <c r="B414" s="119"/>
      <c r="C414" s="176"/>
      <c r="D414" s="119"/>
      <c r="E414" s="176"/>
      <c r="F414" s="176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</row>
    <row r="415" spans="1:21" x14ac:dyDescent="0.2">
      <c r="A415" s="119"/>
      <c r="B415" s="119"/>
      <c r="C415" s="176"/>
      <c r="D415" s="119"/>
      <c r="E415" s="176"/>
      <c r="F415" s="176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</row>
    <row r="416" spans="1:21" x14ac:dyDescent="0.2">
      <c r="A416" s="119"/>
      <c r="B416" s="119"/>
      <c r="C416" s="176"/>
      <c r="D416" s="119"/>
      <c r="E416" s="176"/>
      <c r="F416" s="176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</row>
    <row r="417" spans="1:21" x14ac:dyDescent="0.2">
      <c r="A417" s="119"/>
      <c r="B417" s="119"/>
      <c r="C417" s="176"/>
      <c r="D417" s="119"/>
      <c r="E417" s="176"/>
      <c r="F417" s="176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</row>
    <row r="418" spans="1:21" x14ac:dyDescent="0.2">
      <c r="A418" s="119"/>
      <c r="B418" s="119"/>
      <c r="C418" s="176"/>
      <c r="D418" s="119"/>
      <c r="E418" s="176"/>
      <c r="F418" s="176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</row>
    <row r="419" spans="1:21" x14ac:dyDescent="0.2">
      <c r="A419" s="119"/>
      <c r="B419" s="119"/>
      <c r="C419" s="176"/>
      <c r="D419" s="119"/>
      <c r="E419" s="176"/>
      <c r="F419" s="176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</row>
    <row r="420" spans="1:21" x14ac:dyDescent="0.2">
      <c r="A420" s="119"/>
      <c r="B420" s="119"/>
      <c r="C420" s="176"/>
      <c r="D420" s="119"/>
      <c r="E420" s="176"/>
      <c r="F420" s="176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</row>
    <row r="421" spans="1:21" x14ac:dyDescent="0.2">
      <c r="A421" s="119"/>
      <c r="B421" s="119"/>
      <c r="C421" s="176"/>
      <c r="D421" s="119"/>
      <c r="E421" s="176"/>
      <c r="F421" s="176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</row>
    <row r="422" spans="1:21" x14ac:dyDescent="0.2">
      <c r="A422" s="119"/>
      <c r="B422" s="119"/>
      <c r="C422" s="176"/>
      <c r="D422" s="119"/>
      <c r="E422" s="176"/>
      <c r="F422" s="176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</row>
    <row r="423" spans="1:21" x14ac:dyDescent="0.2">
      <c r="A423" s="119"/>
      <c r="B423" s="119"/>
      <c r="C423" s="176"/>
      <c r="D423" s="119"/>
      <c r="E423" s="176"/>
      <c r="F423" s="176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</row>
    <row r="424" spans="1:21" x14ac:dyDescent="0.2">
      <c r="A424" s="119"/>
      <c r="B424" s="119"/>
      <c r="C424" s="176"/>
      <c r="D424" s="119"/>
      <c r="E424" s="176"/>
      <c r="F424" s="176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</row>
    <row r="425" spans="1:21" x14ac:dyDescent="0.2">
      <c r="A425" s="119"/>
      <c r="B425" s="119"/>
      <c r="C425" s="176"/>
      <c r="D425" s="119"/>
      <c r="E425" s="176"/>
      <c r="F425" s="176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</row>
    <row r="426" spans="1:21" x14ac:dyDescent="0.2">
      <c r="A426" s="119"/>
      <c r="B426" s="119"/>
      <c r="C426" s="176"/>
      <c r="D426" s="119"/>
      <c r="E426" s="176"/>
      <c r="F426" s="176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</row>
    <row r="427" spans="1:21" x14ac:dyDescent="0.2">
      <c r="A427" s="119"/>
      <c r="B427" s="119"/>
      <c r="C427" s="176"/>
      <c r="D427" s="119"/>
      <c r="E427" s="176"/>
      <c r="F427" s="176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</row>
    <row r="428" spans="1:21" x14ac:dyDescent="0.2">
      <c r="A428" s="119"/>
      <c r="B428" s="119"/>
      <c r="C428" s="176"/>
      <c r="D428" s="119"/>
      <c r="E428" s="176"/>
      <c r="F428" s="176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</row>
    <row r="429" spans="1:21" x14ac:dyDescent="0.2">
      <c r="A429" s="119"/>
      <c r="B429" s="119"/>
      <c r="C429" s="176"/>
      <c r="D429" s="119"/>
      <c r="E429" s="176"/>
      <c r="F429" s="176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</row>
    <row r="430" spans="1:21" x14ac:dyDescent="0.2">
      <c r="A430" s="119"/>
      <c r="B430" s="119"/>
      <c r="C430" s="176"/>
      <c r="D430" s="119"/>
      <c r="E430" s="176"/>
      <c r="F430" s="176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</row>
    <row r="431" spans="1:21" x14ac:dyDescent="0.2">
      <c r="A431" s="119"/>
      <c r="B431" s="119"/>
      <c r="C431" s="176"/>
      <c r="D431" s="119"/>
      <c r="E431" s="176"/>
      <c r="F431" s="176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</row>
    <row r="432" spans="1:21" x14ac:dyDescent="0.2">
      <c r="A432" s="119"/>
      <c r="B432" s="119"/>
      <c r="C432" s="176"/>
      <c r="D432" s="119"/>
      <c r="E432" s="176"/>
      <c r="F432" s="176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</row>
    <row r="433" spans="1:21" x14ac:dyDescent="0.2">
      <c r="A433" s="119"/>
      <c r="B433" s="119"/>
      <c r="C433" s="176"/>
      <c r="D433" s="119"/>
      <c r="E433" s="176"/>
      <c r="F433" s="176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</row>
    <row r="434" spans="1:21" x14ac:dyDescent="0.2">
      <c r="A434" s="119"/>
      <c r="B434" s="119"/>
      <c r="C434" s="176"/>
      <c r="D434" s="119"/>
      <c r="E434" s="176"/>
      <c r="F434" s="176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</row>
    <row r="435" spans="1:21" x14ac:dyDescent="0.2">
      <c r="A435" s="119"/>
      <c r="B435" s="119"/>
      <c r="C435" s="176"/>
      <c r="D435" s="119"/>
      <c r="E435" s="176"/>
      <c r="F435" s="176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</row>
    <row r="436" spans="1:21" x14ac:dyDescent="0.2">
      <c r="A436" s="119"/>
      <c r="B436" s="119"/>
      <c r="C436" s="176"/>
      <c r="D436" s="119"/>
      <c r="E436" s="176"/>
      <c r="F436" s="176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</row>
    <row r="437" spans="1:21" x14ac:dyDescent="0.2">
      <c r="A437" s="119"/>
      <c r="B437" s="119"/>
      <c r="C437" s="176"/>
      <c r="D437" s="119"/>
      <c r="E437" s="176"/>
      <c r="F437" s="176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</row>
    <row r="438" spans="1:21" x14ac:dyDescent="0.2">
      <c r="A438" s="119"/>
      <c r="B438" s="119"/>
      <c r="C438" s="176"/>
      <c r="D438" s="119"/>
      <c r="E438" s="176"/>
      <c r="F438" s="176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</row>
    <row r="439" spans="1:21" x14ac:dyDescent="0.2">
      <c r="A439" s="119"/>
      <c r="B439" s="119"/>
      <c r="C439" s="176"/>
      <c r="D439" s="119"/>
      <c r="E439" s="176"/>
      <c r="F439" s="176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</row>
    <row r="440" spans="1:21" x14ac:dyDescent="0.2">
      <c r="A440" s="119"/>
      <c r="B440" s="119"/>
      <c r="C440" s="176"/>
      <c r="D440" s="119"/>
      <c r="E440" s="176"/>
      <c r="F440" s="176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</row>
    <row r="441" spans="1:21" x14ac:dyDescent="0.2">
      <c r="A441" s="119"/>
      <c r="B441" s="119"/>
      <c r="C441" s="176"/>
      <c r="D441" s="119"/>
      <c r="E441" s="176"/>
      <c r="F441" s="176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</row>
    <row r="442" spans="1:21" x14ac:dyDescent="0.2">
      <c r="A442" s="119"/>
      <c r="B442" s="119"/>
      <c r="C442" s="176"/>
      <c r="D442" s="119"/>
      <c r="E442" s="176"/>
      <c r="F442" s="176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</row>
    <row r="443" spans="1:21" x14ac:dyDescent="0.2">
      <c r="A443" s="119"/>
      <c r="B443" s="119"/>
      <c r="C443" s="176"/>
      <c r="D443" s="119"/>
      <c r="E443" s="176"/>
      <c r="F443" s="176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</row>
    <row r="444" spans="1:21" x14ac:dyDescent="0.2">
      <c r="A444" s="119"/>
      <c r="B444" s="119"/>
      <c r="C444" s="176"/>
      <c r="D444" s="119"/>
      <c r="E444" s="176"/>
      <c r="F444" s="176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</row>
    <row r="445" spans="1:21" x14ac:dyDescent="0.2">
      <c r="A445" s="119"/>
      <c r="B445" s="119"/>
      <c r="C445" s="176"/>
      <c r="D445" s="119"/>
      <c r="E445" s="176"/>
      <c r="F445" s="176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</row>
    <row r="446" spans="1:21" x14ac:dyDescent="0.2">
      <c r="A446" s="119"/>
      <c r="B446" s="119"/>
      <c r="C446" s="176"/>
      <c r="D446" s="119"/>
      <c r="E446" s="176"/>
      <c r="F446" s="176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</row>
    <row r="447" spans="1:21" x14ac:dyDescent="0.2">
      <c r="A447" s="119"/>
      <c r="B447" s="119"/>
      <c r="C447" s="176"/>
      <c r="D447" s="119"/>
      <c r="E447" s="176"/>
      <c r="F447" s="176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</row>
    <row r="448" spans="1:21" x14ac:dyDescent="0.2">
      <c r="A448" s="119"/>
      <c r="B448" s="119"/>
      <c r="C448" s="176"/>
      <c r="D448" s="119"/>
      <c r="E448" s="176"/>
      <c r="F448" s="176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</row>
    <row r="449" spans="1:21" x14ac:dyDescent="0.2">
      <c r="A449" s="119"/>
      <c r="B449" s="119"/>
      <c r="C449" s="176"/>
      <c r="D449" s="119"/>
      <c r="E449" s="176"/>
      <c r="F449" s="176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</row>
    <row r="450" spans="1:21" x14ac:dyDescent="0.2">
      <c r="A450" s="119"/>
      <c r="B450" s="119"/>
      <c r="C450" s="176"/>
      <c r="D450" s="119"/>
      <c r="E450" s="176"/>
      <c r="F450" s="176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</row>
    <row r="451" spans="1:21" x14ac:dyDescent="0.2">
      <c r="A451" s="119"/>
      <c r="B451" s="119"/>
      <c r="C451" s="176"/>
      <c r="D451" s="119"/>
      <c r="E451" s="176"/>
      <c r="F451" s="176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</row>
    <row r="452" spans="1:21" x14ac:dyDescent="0.2">
      <c r="A452" s="119"/>
      <c r="B452" s="119"/>
      <c r="C452" s="176"/>
      <c r="D452" s="119"/>
      <c r="E452" s="176"/>
      <c r="F452" s="176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</row>
    <row r="453" spans="1:21" x14ac:dyDescent="0.2">
      <c r="A453" s="119"/>
      <c r="B453" s="119"/>
      <c r="C453" s="176"/>
      <c r="D453" s="119"/>
      <c r="E453" s="176"/>
      <c r="F453" s="176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</row>
    <row r="454" spans="1:21" x14ac:dyDescent="0.2">
      <c r="A454" s="119"/>
      <c r="B454" s="119"/>
      <c r="C454" s="176"/>
      <c r="D454" s="119"/>
      <c r="E454" s="176"/>
      <c r="F454" s="176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</row>
    <row r="455" spans="1:21" x14ac:dyDescent="0.2">
      <c r="A455" s="119"/>
      <c r="B455" s="119"/>
      <c r="C455" s="176"/>
      <c r="D455" s="119"/>
      <c r="E455" s="176"/>
      <c r="F455" s="176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</row>
    <row r="456" spans="1:21" x14ac:dyDescent="0.2">
      <c r="A456" s="119"/>
      <c r="B456" s="119"/>
      <c r="C456" s="176"/>
      <c r="D456" s="119"/>
      <c r="E456" s="176"/>
      <c r="F456" s="176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</row>
    <row r="457" spans="1:21" x14ac:dyDescent="0.2">
      <c r="A457" s="119"/>
      <c r="B457" s="119"/>
      <c r="C457" s="176"/>
      <c r="D457" s="119"/>
      <c r="E457" s="176"/>
      <c r="F457" s="176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</row>
    <row r="458" spans="1:21" x14ac:dyDescent="0.2">
      <c r="A458" s="119"/>
      <c r="B458" s="119"/>
      <c r="C458" s="176"/>
      <c r="D458" s="119"/>
      <c r="E458" s="176"/>
      <c r="F458" s="176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</row>
    <row r="459" spans="1:21" x14ac:dyDescent="0.2">
      <c r="A459" s="119"/>
      <c r="B459" s="119"/>
      <c r="C459" s="176"/>
      <c r="D459" s="119"/>
      <c r="E459" s="176"/>
      <c r="F459" s="176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</row>
    <row r="460" spans="1:21" x14ac:dyDescent="0.2">
      <c r="A460" s="119"/>
      <c r="B460" s="119"/>
      <c r="C460" s="176"/>
      <c r="D460" s="119"/>
      <c r="E460" s="176"/>
      <c r="F460" s="176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</row>
    <row r="461" spans="1:21" x14ac:dyDescent="0.2">
      <c r="A461" s="119"/>
      <c r="B461" s="119"/>
      <c r="C461" s="176"/>
      <c r="D461" s="119"/>
      <c r="E461" s="176"/>
      <c r="F461" s="176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</row>
    <row r="462" spans="1:21" x14ac:dyDescent="0.2">
      <c r="A462" s="119"/>
      <c r="B462" s="119"/>
      <c r="C462" s="176"/>
      <c r="D462" s="119"/>
      <c r="E462" s="176"/>
      <c r="F462" s="176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</row>
    <row r="463" spans="1:21" x14ac:dyDescent="0.2">
      <c r="A463" s="119"/>
      <c r="B463" s="119"/>
      <c r="C463" s="176"/>
      <c r="D463" s="119"/>
      <c r="E463" s="176"/>
      <c r="F463" s="176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</row>
    <row r="464" spans="1:21" x14ac:dyDescent="0.2">
      <c r="A464" s="119"/>
      <c r="B464" s="119"/>
      <c r="C464" s="176"/>
      <c r="D464" s="119"/>
      <c r="E464" s="176"/>
      <c r="F464" s="176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</row>
    <row r="465" spans="1:21" x14ac:dyDescent="0.2">
      <c r="A465" s="119"/>
      <c r="B465" s="119"/>
      <c r="C465" s="176"/>
      <c r="D465" s="119"/>
      <c r="E465" s="176"/>
      <c r="F465" s="176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</row>
    <row r="466" spans="1:21" x14ac:dyDescent="0.2">
      <c r="A466" s="119"/>
      <c r="B466" s="119"/>
      <c r="C466" s="176"/>
      <c r="D466" s="119"/>
      <c r="E466" s="176"/>
      <c r="F466" s="176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</row>
    <row r="467" spans="1:21" x14ac:dyDescent="0.2">
      <c r="A467" s="119"/>
      <c r="B467" s="119"/>
      <c r="C467" s="176"/>
      <c r="D467" s="119"/>
      <c r="E467" s="176"/>
      <c r="F467" s="176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</row>
    <row r="468" spans="1:21" x14ac:dyDescent="0.2">
      <c r="A468" s="119"/>
      <c r="B468" s="119"/>
      <c r="C468" s="176"/>
      <c r="D468" s="119"/>
      <c r="E468" s="176"/>
      <c r="F468" s="176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</row>
    <row r="469" spans="1:21" x14ac:dyDescent="0.2">
      <c r="A469" s="119"/>
      <c r="B469" s="119"/>
      <c r="C469" s="176"/>
      <c r="D469" s="119"/>
      <c r="E469" s="176"/>
      <c r="F469" s="176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</row>
    <row r="470" spans="1:21" x14ac:dyDescent="0.2">
      <c r="A470" s="119"/>
      <c r="B470" s="119"/>
      <c r="C470" s="176"/>
      <c r="D470" s="119"/>
      <c r="E470" s="176"/>
      <c r="F470" s="176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</row>
    <row r="471" spans="1:21" x14ac:dyDescent="0.2">
      <c r="A471" s="119"/>
      <c r="B471" s="119"/>
      <c r="C471" s="176"/>
      <c r="D471" s="119"/>
      <c r="E471" s="176"/>
      <c r="F471" s="176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</row>
    <row r="472" spans="1:21" x14ac:dyDescent="0.2">
      <c r="A472" s="119"/>
      <c r="B472" s="119"/>
      <c r="C472" s="176"/>
      <c r="D472" s="119"/>
      <c r="E472" s="176"/>
      <c r="F472" s="176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</row>
    <row r="473" spans="1:21" x14ac:dyDescent="0.2">
      <c r="A473" s="119"/>
      <c r="B473" s="119"/>
      <c r="C473" s="176"/>
      <c r="D473" s="119"/>
      <c r="E473" s="176"/>
      <c r="F473" s="176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</row>
    <row r="474" spans="1:21" x14ac:dyDescent="0.2">
      <c r="A474" s="119"/>
      <c r="B474" s="119"/>
      <c r="C474" s="176"/>
      <c r="D474" s="119"/>
      <c r="E474" s="176"/>
      <c r="F474" s="176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</row>
    <row r="475" spans="1:21" x14ac:dyDescent="0.2">
      <c r="A475" s="119"/>
      <c r="B475" s="119"/>
      <c r="C475" s="176"/>
      <c r="D475" s="119"/>
      <c r="E475" s="176"/>
      <c r="F475" s="176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</row>
    <row r="476" spans="1:21" x14ac:dyDescent="0.2">
      <c r="A476" s="119"/>
      <c r="B476" s="119"/>
      <c r="C476" s="176"/>
      <c r="D476" s="119"/>
      <c r="E476" s="176"/>
      <c r="F476" s="176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</row>
    <row r="477" spans="1:21" x14ac:dyDescent="0.2">
      <c r="A477" s="119"/>
      <c r="B477" s="119"/>
      <c r="C477" s="176"/>
      <c r="D477" s="119"/>
      <c r="E477" s="176"/>
      <c r="F477" s="176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</row>
    <row r="478" spans="1:21" x14ac:dyDescent="0.2">
      <c r="A478" s="119"/>
      <c r="B478" s="119"/>
      <c r="C478" s="176"/>
      <c r="D478" s="119"/>
      <c r="E478" s="176"/>
      <c r="F478" s="176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</row>
    <row r="479" spans="1:21" x14ac:dyDescent="0.2">
      <c r="A479" s="119"/>
      <c r="B479" s="119"/>
      <c r="C479" s="176"/>
      <c r="D479" s="119"/>
      <c r="E479" s="176"/>
      <c r="F479" s="176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</row>
    <row r="480" spans="1:21" x14ac:dyDescent="0.2">
      <c r="A480" s="119"/>
      <c r="B480" s="119"/>
      <c r="C480" s="176"/>
      <c r="D480" s="119"/>
      <c r="E480" s="176"/>
      <c r="F480" s="176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</row>
    <row r="481" spans="1:21" x14ac:dyDescent="0.2">
      <c r="A481" s="119"/>
      <c r="B481" s="119"/>
      <c r="C481" s="176"/>
      <c r="D481" s="119"/>
      <c r="E481" s="176"/>
      <c r="F481" s="176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</row>
    <row r="482" spans="1:21" x14ac:dyDescent="0.2">
      <c r="A482" s="119"/>
      <c r="B482" s="119"/>
      <c r="C482" s="176"/>
      <c r="D482" s="119"/>
      <c r="E482" s="176"/>
      <c r="F482" s="176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</row>
    <row r="483" spans="1:21" x14ac:dyDescent="0.2">
      <c r="A483" s="119"/>
      <c r="B483" s="119"/>
      <c r="C483" s="176"/>
      <c r="D483" s="119"/>
      <c r="E483" s="176"/>
      <c r="F483" s="176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</row>
    <row r="484" spans="1:21" x14ac:dyDescent="0.2">
      <c r="A484" s="119"/>
      <c r="B484" s="119"/>
      <c r="C484" s="176"/>
      <c r="D484" s="119"/>
      <c r="E484" s="176"/>
      <c r="F484" s="176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</row>
    <row r="485" spans="1:21" x14ac:dyDescent="0.2">
      <c r="A485" s="119"/>
      <c r="B485" s="119"/>
      <c r="C485" s="176"/>
      <c r="D485" s="119"/>
      <c r="E485" s="176"/>
      <c r="F485" s="176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</row>
    <row r="486" spans="1:21" x14ac:dyDescent="0.2">
      <c r="A486" s="119"/>
      <c r="B486" s="119"/>
      <c r="C486" s="176"/>
      <c r="D486" s="119"/>
      <c r="E486" s="176"/>
      <c r="F486" s="176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</row>
    <row r="487" spans="1:21" x14ac:dyDescent="0.2">
      <c r="A487" s="119"/>
      <c r="B487" s="119"/>
      <c r="C487" s="176"/>
      <c r="D487" s="119"/>
      <c r="E487" s="176"/>
      <c r="F487" s="176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</row>
    <row r="488" spans="1:21" x14ac:dyDescent="0.2">
      <c r="A488" s="119"/>
      <c r="B488" s="119"/>
      <c r="C488" s="176"/>
      <c r="D488" s="119"/>
      <c r="E488" s="176"/>
      <c r="F488" s="176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</row>
    <row r="489" spans="1:21" x14ac:dyDescent="0.2">
      <c r="A489" s="119"/>
      <c r="B489" s="119"/>
      <c r="C489" s="176"/>
      <c r="D489" s="119"/>
      <c r="E489" s="176"/>
      <c r="F489" s="176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</row>
    <row r="490" spans="1:21" x14ac:dyDescent="0.2">
      <c r="A490" s="119"/>
      <c r="B490" s="119"/>
      <c r="C490" s="176"/>
      <c r="D490" s="119"/>
      <c r="E490" s="176"/>
      <c r="F490" s="176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</row>
    <row r="491" spans="1:21" x14ac:dyDescent="0.2">
      <c r="A491" s="119"/>
      <c r="B491" s="119"/>
      <c r="C491" s="176"/>
      <c r="D491" s="119"/>
      <c r="E491" s="176"/>
      <c r="F491" s="176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</row>
    <row r="492" spans="1:21" x14ac:dyDescent="0.2">
      <c r="A492" s="119"/>
      <c r="B492" s="119"/>
      <c r="C492" s="176"/>
      <c r="D492" s="119"/>
      <c r="E492" s="176"/>
      <c r="F492" s="176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</row>
    <row r="493" spans="1:21" x14ac:dyDescent="0.2">
      <c r="A493" s="119"/>
      <c r="B493" s="119"/>
      <c r="C493" s="176"/>
      <c r="D493" s="119"/>
      <c r="E493" s="176"/>
      <c r="F493" s="176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</row>
    <row r="494" spans="1:21" x14ac:dyDescent="0.2">
      <c r="A494" s="119"/>
      <c r="B494" s="119"/>
      <c r="C494" s="176"/>
      <c r="D494" s="119"/>
      <c r="E494" s="176"/>
      <c r="F494" s="176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</row>
    <row r="495" spans="1:21" x14ac:dyDescent="0.2">
      <c r="A495" s="119"/>
      <c r="B495" s="119"/>
      <c r="C495" s="176"/>
      <c r="D495" s="119"/>
      <c r="E495" s="176"/>
      <c r="F495" s="176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</row>
    <row r="496" spans="1:21" x14ac:dyDescent="0.2">
      <c r="A496" s="119"/>
      <c r="B496" s="119"/>
      <c r="C496" s="176"/>
      <c r="D496" s="119"/>
      <c r="E496" s="176"/>
      <c r="F496" s="176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</row>
    <row r="497" spans="1:21" x14ac:dyDescent="0.2">
      <c r="A497" s="119"/>
      <c r="B497" s="119"/>
      <c r="C497" s="176"/>
      <c r="D497" s="119"/>
      <c r="E497" s="176"/>
      <c r="F497" s="176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</row>
    <row r="498" spans="1:21" x14ac:dyDescent="0.2">
      <c r="A498" s="119"/>
      <c r="B498" s="119"/>
      <c r="C498" s="176"/>
      <c r="D498" s="119"/>
      <c r="E498" s="176"/>
      <c r="F498" s="176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</row>
    <row r="499" spans="1:21" x14ac:dyDescent="0.2">
      <c r="A499" s="119"/>
      <c r="B499" s="119"/>
      <c r="C499" s="176"/>
      <c r="D499" s="119"/>
      <c r="E499" s="176"/>
      <c r="F499" s="176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</row>
    <row r="500" spans="1:21" x14ac:dyDescent="0.2">
      <c r="A500" s="119"/>
      <c r="B500" s="119"/>
      <c r="C500" s="176"/>
      <c r="D500" s="119"/>
      <c r="E500" s="176"/>
      <c r="F500" s="176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</row>
    <row r="501" spans="1:21" x14ac:dyDescent="0.2">
      <c r="A501" s="119"/>
      <c r="B501" s="119"/>
      <c r="C501" s="176"/>
      <c r="D501" s="119"/>
      <c r="E501" s="176"/>
      <c r="F501" s="176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</row>
    <row r="502" spans="1:21" x14ac:dyDescent="0.2">
      <c r="A502" s="119"/>
      <c r="B502" s="119"/>
      <c r="C502" s="176"/>
      <c r="D502" s="119"/>
      <c r="E502" s="176"/>
      <c r="F502" s="176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</row>
    <row r="503" spans="1:21" x14ac:dyDescent="0.2">
      <c r="A503" s="119"/>
      <c r="B503" s="119"/>
      <c r="C503" s="176"/>
      <c r="D503" s="119"/>
      <c r="E503" s="176"/>
      <c r="F503" s="176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</row>
    <row r="504" spans="1:21" x14ac:dyDescent="0.2">
      <c r="A504" s="119"/>
      <c r="B504" s="119"/>
      <c r="C504" s="176"/>
      <c r="D504" s="119"/>
      <c r="E504" s="176"/>
      <c r="F504" s="176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</row>
    <row r="505" spans="1:21" x14ac:dyDescent="0.2">
      <c r="A505" s="119"/>
      <c r="B505" s="119"/>
      <c r="C505" s="176"/>
      <c r="D505" s="119"/>
      <c r="E505" s="176"/>
      <c r="F505" s="176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</row>
    <row r="506" spans="1:21" x14ac:dyDescent="0.2">
      <c r="A506" s="119"/>
      <c r="B506" s="119"/>
      <c r="C506" s="176"/>
      <c r="D506" s="119"/>
      <c r="E506" s="176"/>
      <c r="F506" s="176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</row>
    <row r="507" spans="1:21" x14ac:dyDescent="0.2">
      <c r="A507" s="119"/>
      <c r="B507" s="119"/>
      <c r="C507" s="176"/>
      <c r="D507" s="119"/>
      <c r="E507" s="176"/>
      <c r="F507" s="176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</row>
    <row r="508" spans="1:21" x14ac:dyDescent="0.2">
      <c r="A508" s="119"/>
      <c r="B508" s="119"/>
      <c r="C508" s="176"/>
      <c r="D508" s="119"/>
      <c r="E508" s="176"/>
      <c r="F508" s="176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</row>
    <row r="509" spans="1:21" x14ac:dyDescent="0.2">
      <c r="A509" s="119"/>
      <c r="B509" s="119"/>
      <c r="C509" s="176"/>
      <c r="D509" s="119"/>
      <c r="E509" s="176"/>
      <c r="F509" s="176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</row>
    <row r="510" spans="1:21" x14ac:dyDescent="0.2">
      <c r="A510" s="119"/>
      <c r="B510" s="119"/>
      <c r="C510" s="176"/>
      <c r="D510" s="119"/>
      <c r="E510" s="176"/>
      <c r="F510" s="176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</row>
    <row r="511" spans="1:21" x14ac:dyDescent="0.2">
      <c r="A511" s="119"/>
      <c r="B511" s="119"/>
      <c r="C511" s="176"/>
      <c r="D511" s="119"/>
      <c r="E511" s="176"/>
      <c r="F511" s="176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</row>
    <row r="512" spans="1:21" x14ac:dyDescent="0.2">
      <c r="A512" s="119"/>
      <c r="B512" s="119"/>
      <c r="C512" s="176"/>
      <c r="D512" s="119"/>
      <c r="E512" s="176"/>
      <c r="F512" s="176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</row>
    <row r="513" spans="1:21" x14ac:dyDescent="0.2">
      <c r="A513" s="119"/>
      <c r="B513" s="119"/>
      <c r="C513" s="176"/>
      <c r="D513" s="119"/>
      <c r="E513" s="176"/>
      <c r="F513" s="176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</row>
    <row r="514" spans="1:21" x14ac:dyDescent="0.2">
      <c r="A514" s="119"/>
      <c r="B514" s="119"/>
      <c r="C514" s="176"/>
      <c r="D514" s="119"/>
      <c r="E514" s="176"/>
      <c r="F514" s="176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</row>
    <row r="515" spans="1:21" x14ac:dyDescent="0.2">
      <c r="A515" s="119"/>
      <c r="B515" s="119"/>
      <c r="C515" s="176"/>
      <c r="D515" s="119"/>
      <c r="E515" s="176"/>
      <c r="F515" s="176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</row>
    <row r="516" spans="1:21" x14ac:dyDescent="0.2">
      <c r="A516" s="119"/>
      <c r="B516" s="119"/>
      <c r="C516" s="176"/>
      <c r="D516" s="119"/>
      <c r="E516" s="176"/>
      <c r="F516" s="176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</row>
    <row r="517" spans="1:21" x14ac:dyDescent="0.2">
      <c r="A517" s="119"/>
      <c r="B517" s="119"/>
      <c r="C517" s="176"/>
      <c r="D517" s="119"/>
      <c r="E517" s="176"/>
      <c r="F517" s="176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</row>
    <row r="518" spans="1:21" x14ac:dyDescent="0.2">
      <c r="A518" s="119"/>
      <c r="B518" s="119"/>
      <c r="C518" s="176"/>
      <c r="D518" s="119"/>
      <c r="E518" s="176"/>
      <c r="F518" s="176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</row>
    <row r="519" spans="1:21" x14ac:dyDescent="0.2">
      <c r="A519" s="119"/>
      <c r="B519" s="119"/>
      <c r="C519" s="176"/>
      <c r="D519" s="119"/>
      <c r="E519" s="176"/>
      <c r="F519" s="176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</row>
    <row r="520" spans="1:21" x14ac:dyDescent="0.2">
      <c r="A520" s="119"/>
      <c r="B520" s="119"/>
      <c r="C520" s="176"/>
      <c r="D520" s="119"/>
      <c r="E520" s="176"/>
      <c r="F520" s="176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</row>
    <row r="521" spans="1:21" x14ac:dyDescent="0.2">
      <c r="A521" s="119"/>
      <c r="B521" s="119"/>
      <c r="C521" s="176"/>
      <c r="D521" s="119"/>
      <c r="E521" s="176"/>
      <c r="F521" s="176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</row>
    <row r="522" spans="1:21" x14ac:dyDescent="0.2">
      <c r="A522" s="119"/>
      <c r="B522" s="119"/>
      <c r="C522" s="176"/>
      <c r="D522" s="119"/>
      <c r="E522" s="176"/>
      <c r="F522" s="176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</row>
    <row r="523" spans="1:21" x14ac:dyDescent="0.2">
      <c r="A523" s="119"/>
      <c r="B523" s="119"/>
      <c r="C523" s="176"/>
      <c r="D523" s="119"/>
      <c r="E523" s="176"/>
      <c r="F523" s="176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</row>
    <row r="524" spans="1:21" x14ac:dyDescent="0.2">
      <c r="A524" s="119"/>
      <c r="B524" s="119"/>
      <c r="C524" s="176"/>
      <c r="D524" s="119"/>
      <c r="E524" s="176"/>
      <c r="F524" s="176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</row>
    <row r="525" spans="1:21" x14ac:dyDescent="0.2">
      <c r="A525" s="119"/>
      <c r="B525" s="119"/>
      <c r="C525" s="176"/>
      <c r="D525" s="119"/>
      <c r="E525" s="176"/>
      <c r="F525" s="176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</row>
    <row r="526" spans="1:21" x14ac:dyDescent="0.2">
      <c r="A526" s="119"/>
      <c r="B526" s="119"/>
      <c r="C526" s="176"/>
      <c r="D526" s="119"/>
      <c r="E526" s="176"/>
      <c r="F526" s="176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</row>
    <row r="527" spans="1:21" x14ac:dyDescent="0.2">
      <c r="A527" s="119"/>
      <c r="B527" s="119"/>
      <c r="C527" s="176"/>
      <c r="D527" s="119"/>
      <c r="E527" s="176"/>
      <c r="F527" s="176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</row>
    <row r="528" spans="1:21" x14ac:dyDescent="0.2">
      <c r="A528" s="119"/>
      <c r="B528" s="119"/>
      <c r="C528" s="176"/>
      <c r="D528" s="119"/>
      <c r="E528" s="176"/>
      <c r="F528" s="176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</row>
    <row r="529" spans="1:21" x14ac:dyDescent="0.2">
      <c r="A529" s="119"/>
      <c r="B529" s="119"/>
      <c r="C529" s="176"/>
      <c r="D529" s="119"/>
      <c r="E529" s="176"/>
      <c r="F529" s="176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</row>
    <row r="530" spans="1:21" x14ac:dyDescent="0.2">
      <c r="A530" s="119"/>
      <c r="B530" s="119"/>
      <c r="C530" s="176"/>
      <c r="D530" s="119"/>
      <c r="E530" s="176"/>
      <c r="F530" s="176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</row>
    <row r="531" spans="1:21" x14ac:dyDescent="0.2">
      <c r="A531" s="119"/>
      <c r="B531" s="119"/>
      <c r="C531" s="176"/>
      <c r="D531" s="119"/>
      <c r="E531" s="176"/>
      <c r="F531" s="176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</row>
    <row r="532" spans="1:21" x14ac:dyDescent="0.2">
      <c r="A532" s="119"/>
      <c r="B532" s="119"/>
      <c r="C532" s="176"/>
      <c r="D532" s="119"/>
      <c r="E532" s="176"/>
      <c r="F532" s="176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</row>
    <row r="533" spans="1:21" x14ac:dyDescent="0.2">
      <c r="A533" s="119"/>
      <c r="B533" s="119"/>
      <c r="C533" s="176"/>
      <c r="D533" s="119"/>
      <c r="E533" s="176"/>
      <c r="F533" s="176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</row>
    <row r="534" spans="1:21" x14ac:dyDescent="0.2">
      <c r="A534" s="119"/>
      <c r="B534" s="119"/>
      <c r="C534" s="176"/>
      <c r="D534" s="119"/>
      <c r="E534" s="176"/>
      <c r="F534" s="176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</row>
    <row r="535" spans="1:21" x14ac:dyDescent="0.2">
      <c r="A535" s="119"/>
      <c r="B535" s="119"/>
      <c r="C535" s="176"/>
      <c r="D535" s="119"/>
      <c r="E535" s="176"/>
      <c r="F535" s="176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</row>
    <row r="536" spans="1:21" x14ac:dyDescent="0.2">
      <c r="A536" s="119"/>
      <c r="B536" s="119"/>
      <c r="C536" s="176"/>
      <c r="D536" s="119"/>
      <c r="E536" s="176"/>
      <c r="F536" s="176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</row>
    <row r="537" spans="1:21" x14ac:dyDescent="0.2">
      <c r="A537" s="119"/>
      <c r="B537" s="119"/>
      <c r="C537" s="176"/>
      <c r="D537" s="119"/>
      <c r="E537" s="176"/>
      <c r="F537" s="176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</row>
    <row r="538" spans="1:21" x14ac:dyDescent="0.2">
      <c r="A538" s="119"/>
      <c r="B538" s="119"/>
      <c r="C538" s="176"/>
      <c r="D538" s="119"/>
      <c r="E538" s="176"/>
      <c r="F538" s="176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</row>
    <row r="539" spans="1:21" x14ac:dyDescent="0.2">
      <c r="A539" s="119"/>
      <c r="B539" s="119"/>
      <c r="C539" s="176"/>
      <c r="D539" s="119"/>
      <c r="E539" s="176"/>
      <c r="F539" s="176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</row>
    <row r="540" spans="1:21" x14ac:dyDescent="0.2">
      <c r="A540" s="119"/>
      <c r="B540" s="119"/>
      <c r="C540" s="176"/>
      <c r="D540" s="119"/>
      <c r="E540" s="176"/>
      <c r="F540" s="176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</row>
    <row r="541" spans="1:21" x14ac:dyDescent="0.2">
      <c r="A541" s="119"/>
      <c r="B541" s="119"/>
      <c r="C541" s="176"/>
      <c r="D541" s="119"/>
      <c r="E541" s="176"/>
      <c r="F541" s="176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</row>
    <row r="542" spans="1:21" x14ac:dyDescent="0.2">
      <c r="A542" s="119"/>
      <c r="B542" s="119"/>
      <c r="C542" s="176"/>
      <c r="D542" s="119"/>
      <c r="E542" s="176"/>
      <c r="F542" s="176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</row>
    <row r="543" spans="1:21" x14ac:dyDescent="0.2">
      <c r="A543" s="119"/>
      <c r="B543" s="119"/>
      <c r="C543" s="176"/>
      <c r="D543" s="119"/>
      <c r="E543" s="176"/>
      <c r="F543" s="176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</row>
    <row r="544" spans="1:21" x14ac:dyDescent="0.2">
      <c r="A544" s="119"/>
      <c r="B544" s="119"/>
      <c r="C544" s="176"/>
      <c r="D544" s="119"/>
      <c r="E544" s="176"/>
      <c r="F544" s="176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</row>
    <row r="545" spans="1:21" x14ac:dyDescent="0.2">
      <c r="A545" s="119"/>
      <c r="B545" s="119"/>
      <c r="C545" s="176"/>
      <c r="D545" s="119"/>
      <c r="E545" s="176"/>
      <c r="F545" s="176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</row>
    <row r="546" spans="1:21" x14ac:dyDescent="0.2">
      <c r="A546" s="119"/>
      <c r="B546" s="119"/>
      <c r="C546" s="176"/>
      <c r="D546" s="119"/>
      <c r="E546" s="176"/>
      <c r="F546" s="176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</row>
    <row r="547" spans="1:21" x14ac:dyDescent="0.2">
      <c r="A547" s="119"/>
      <c r="B547" s="119"/>
      <c r="C547" s="176"/>
      <c r="D547" s="119"/>
      <c r="E547" s="176"/>
      <c r="F547" s="176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</row>
    <row r="548" spans="1:21" x14ac:dyDescent="0.2">
      <c r="A548" s="119"/>
      <c r="B548" s="119"/>
      <c r="C548" s="176"/>
      <c r="D548" s="119"/>
      <c r="E548" s="176"/>
      <c r="F548" s="176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</row>
    <row r="549" spans="1:21" x14ac:dyDescent="0.2">
      <c r="A549" s="119"/>
      <c r="B549" s="119"/>
      <c r="C549" s="176"/>
      <c r="D549" s="119"/>
      <c r="E549" s="176"/>
      <c r="F549" s="176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</row>
    <row r="550" spans="1:21" x14ac:dyDescent="0.2">
      <c r="A550" s="119"/>
      <c r="B550" s="119"/>
      <c r="C550" s="176"/>
      <c r="D550" s="119"/>
      <c r="E550" s="176"/>
      <c r="F550" s="176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</row>
    <row r="551" spans="1:21" x14ac:dyDescent="0.2">
      <c r="A551" s="119"/>
      <c r="B551" s="119"/>
      <c r="C551" s="176"/>
      <c r="D551" s="119"/>
      <c r="E551" s="176"/>
      <c r="F551" s="176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</row>
    <row r="552" spans="1:21" x14ac:dyDescent="0.2">
      <c r="A552" s="119"/>
      <c r="B552" s="119"/>
      <c r="C552" s="176"/>
      <c r="D552" s="119"/>
      <c r="E552" s="176"/>
      <c r="F552" s="176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</row>
    <row r="553" spans="1:21" x14ac:dyDescent="0.2">
      <c r="A553" s="119"/>
      <c r="B553" s="119"/>
      <c r="C553" s="176"/>
      <c r="D553" s="119"/>
      <c r="E553" s="176"/>
      <c r="F553" s="176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</row>
    <row r="554" spans="1:21" x14ac:dyDescent="0.2">
      <c r="A554" s="119"/>
      <c r="B554" s="119"/>
      <c r="C554" s="176"/>
      <c r="D554" s="119"/>
      <c r="E554" s="176"/>
      <c r="F554" s="176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</row>
    <row r="555" spans="1:21" x14ac:dyDescent="0.2">
      <c r="A555" s="119"/>
      <c r="B555" s="119"/>
      <c r="C555" s="176"/>
      <c r="D555" s="119"/>
      <c r="E555" s="176"/>
      <c r="F555" s="176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</row>
    <row r="556" spans="1:21" x14ac:dyDescent="0.2">
      <c r="A556" s="119"/>
      <c r="B556" s="119"/>
      <c r="C556" s="176"/>
      <c r="D556" s="119"/>
      <c r="E556" s="176"/>
      <c r="F556" s="176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</row>
    <row r="557" spans="1:21" x14ac:dyDescent="0.2">
      <c r="A557" s="119"/>
      <c r="B557" s="119"/>
      <c r="C557" s="176"/>
      <c r="D557" s="119"/>
      <c r="E557" s="176"/>
      <c r="F557" s="176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</row>
    <row r="558" spans="1:21" x14ac:dyDescent="0.2">
      <c r="A558" s="119"/>
      <c r="B558" s="119"/>
      <c r="C558" s="176"/>
      <c r="D558" s="119"/>
      <c r="E558" s="176"/>
      <c r="F558" s="176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</row>
    <row r="559" spans="1:21" x14ac:dyDescent="0.2">
      <c r="A559" s="119"/>
      <c r="B559" s="119"/>
      <c r="C559" s="176"/>
      <c r="D559" s="119"/>
      <c r="E559" s="176"/>
      <c r="F559" s="176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</row>
    <row r="560" spans="1:21" x14ac:dyDescent="0.2">
      <c r="A560" s="119"/>
      <c r="B560" s="119"/>
      <c r="C560" s="176"/>
      <c r="D560" s="119"/>
      <c r="E560" s="176"/>
      <c r="F560" s="176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</row>
    <row r="561" spans="1:21" x14ac:dyDescent="0.2">
      <c r="A561" s="119"/>
      <c r="B561" s="119"/>
      <c r="C561" s="176"/>
      <c r="D561" s="119"/>
      <c r="E561" s="176"/>
      <c r="F561" s="176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</row>
    <row r="562" spans="1:21" x14ac:dyDescent="0.2">
      <c r="A562" s="119"/>
      <c r="B562" s="119"/>
      <c r="C562" s="176"/>
      <c r="D562" s="119"/>
      <c r="E562" s="176"/>
      <c r="F562" s="176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</row>
    <row r="563" spans="1:21" x14ac:dyDescent="0.2">
      <c r="A563" s="119"/>
      <c r="B563" s="119"/>
      <c r="C563" s="176"/>
      <c r="D563" s="119"/>
      <c r="E563" s="176"/>
      <c r="F563" s="176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</row>
    <row r="564" spans="1:21" x14ac:dyDescent="0.2">
      <c r="A564" s="119"/>
      <c r="B564" s="119"/>
      <c r="C564" s="176"/>
      <c r="D564" s="119"/>
      <c r="E564" s="176"/>
      <c r="F564" s="176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</row>
    <row r="565" spans="1:21" x14ac:dyDescent="0.2">
      <c r="A565" s="119"/>
      <c r="B565" s="119"/>
      <c r="C565" s="176"/>
      <c r="D565" s="119"/>
      <c r="E565" s="176"/>
      <c r="F565" s="176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</row>
    <row r="566" spans="1:21" x14ac:dyDescent="0.2">
      <c r="A566" s="119"/>
      <c r="B566" s="119"/>
      <c r="C566" s="176"/>
      <c r="D566" s="119"/>
      <c r="E566" s="176"/>
      <c r="F566" s="176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</row>
    <row r="567" spans="1:21" x14ac:dyDescent="0.2">
      <c r="A567" s="119"/>
      <c r="B567" s="119"/>
      <c r="C567" s="176"/>
      <c r="D567" s="119"/>
      <c r="E567" s="176"/>
      <c r="F567" s="176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</row>
    <row r="568" spans="1:21" x14ac:dyDescent="0.2">
      <c r="A568" s="119"/>
      <c r="B568" s="119"/>
      <c r="C568" s="176"/>
      <c r="D568" s="119"/>
      <c r="E568" s="176"/>
      <c r="F568" s="176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</row>
    <row r="569" spans="1:21" x14ac:dyDescent="0.2">
      <c r="A569" s="119"/>
      <c r="B569" s="119"/>
      <c r="C569" s="176"/>
      <c r="D569" s="119"/>
      <c r="E569" s="176"/>
      <c r="F569" s="176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</row>
    <row r="570" spans="1:21" x14ac:dyDescent="0.2">
      <c r="A570" s="119"/>
      <c r="B570" s="119"/>
      <c r="C570" s="176"/>
      <c r="D570" s="119"/>
      <c r="E570" s="176"/>
      <c r="F570" s="176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</row>
    <row r="571" spans="1:21" x14ac:dyDescent="0.2">
      <c r="A571" s="119"/>
      <c r="B571" s="119"/>
      <c r="C571" s="176"/>
      <c r="D571" s="119"/>
      <c r="E571" s="176"/>
      <c r="F571" s="176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</row>
    <row r="572" spans="1:21" x14ac:dyDescent="0.2">
      <c r="A572" s="119"/>
      <c r="B572" s="119"/>
      <c r="C572" s="176"/>
      <c r="D572" s="119"/>
      <c r="E572" s="176"/>
      <c r="F572" s="176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</row>
    <row r="573" spans="1:21" x14ac:dyDescent="0.2">
      <c r="A573" s="119"/>
      <c r="B573" s="119"/>
      <c r="C573" s="176"/>
      <c r="D573" s="119"/>
      <c r="E573" s="176"/>
      <c r="F573" s="176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</row>
    <row r="574" spans="1:21" x14ac:dyDescent="0.2">
      <c r="A574" s="119"/>
      <c r="B574" s="119"/>
      <c r="C574" s="176"/>
      <c r="D574" s="119"/>
      <c r="E574" s="176"/>
      <c r="F574" s="176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</row>
    <row r="575" spans="1:21" x14ac:dyDescent="0.2">
      <c r="A575" s="119"/>
      <c r="B575" s="119"/>
      <c r="C575" s="176"/>
      <c r="D575" s="119"/>
      <c r="E575" s="176"/>
      <c r="F575" s="176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</row>
    <row r="576" spans="1:21" x14ac:dyDescent="0.2">
      <c r="A576" s="119"/>
      <c r="B576" s="119"/>
      <c r="C576" s="176"/>
      <c r="D576" s="119"/>
      <c r="E576" s="176"/>
      <c r="F576" s="176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</row>
    <row r="577" spans="1:21" x14ac:dyDescent="0.2">
      <c r="A577" s="119"/>
      <c r="B577" s="119"/>
      <c r="C577" s="176"/>
      <c r="D577" s="119"/>
      <c r="E577" s="176"/>
      <c r="F577" s="176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</row>
    <row r="578" spans="1:21" x14ac:dyDescent="0.2">
      <c r="A578" s="119"/>
      <c r="B578" s="119"/>
      <c r="C578" s="176"/>
      <c r="D578" s="119"/>
      <c r="E578" s="176"/>
      <c r="F578" s="176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</row>
    <row r="579" spans="1:21" x14ac:dyDescent="0.2">
      <c r="A579" s="119"/>
      <c r="B579" s="119"/>
      <c r="C579" s="176"/>
      <c r="D579" s="119"/>
      <c r="E579" s="176"/>
      <c r="F579" s="176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</row>
    <row r="580" spans="1:21" x14ac:dyDescent="0.2">
      <c r="A580" s="119"/>
      <c r="B580" s="119"/>
      <c r="C580" s="176"/>
      <c r="D580" s="119"/>
      <c r="E580" s="176"/>
      <c r="F580" s="176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</row>
    <row r="581" spans="1:21" x14ac:dyDescent="0.2">
      <c r="A581" s="119"/>
      <c r="B581" s="119"/>
      <c r="C581" s="176"/>
      <c r="D581" s="119"/>
      <c r="E581" s="176"/>
      <c r="F581" s="176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</row>
    <row r="582" spans="1:21" x14ac:dyDescent="0.2">
      <c r="A582" s="119"/>
      <c r="B582" s="119"/>
      <c r="C582" s="176"/>
      <c r="D582" s="119"/>
      <c r="E582" s="176"/>
      <c r="F582" s="176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</row>
    <row r="583" spans="1:21" x14ac:dyDescent="0.2">
      <c r="A583" s="119"/>
      <c r="B583" s="119"/>
      <c r="C583" s="176"/>
      <c r="D583" s="119"/>
      <c r="E583" s="176"/>
      <c r="F583" s="176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</row>
    <row r="584" spans="1:21" x14ac:dyDescent="0.2">
      <c r="A584" s="119"/>
      <c r="B584" s="119"/>
      <c r="C584" s="176"/>
      <c r="D584" s="119"/>
      <c r="E584" s="176"/>
      <c r="F584" s="176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</row>
    <row r="585" spans="1:21" x14ac:dyDescent="0.2">
      <c r="A585" s="119"/>
      <c r="B585" s="119"/>
      <c r="C585" s="176"/>
      <c r="D585" s="119"/>
      <c r="E585" s="176"/>
      <c r="F585" s="176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</row>
    <row r="586" spans="1:21" x14ac:dyDescent="0.2">
      <c r="A586" s="119"/>
      <c r="B586" s="119"/>
      <c r="C586" s="176"/>
      <c r="D586" s="119"/>
      <c r="E586" s="176"/>
      <c r="F586" s="176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</row>
    <row r="587" spans="1:21" x14ac:dyDescent="0.2">
      <c r="A587" s="119"/>
      <c r="B587" s="119"/>
      <c r="C587" s="176"/>
      <c r="D587" s="119"/>
      <c r="E587" s="176"/>
      <c r="F587" s="176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</row>
    <row r="588" spans="1:21" x14ac:dyDescent="0.2">
      <c r="A588" s="119"/>
      <c r="B588" s="119"/>
      <c r="C588" s="176"/>
      <c r="D588" s="119"/>
      <c r="E588" s="176"/>
      <c r="F588" s="176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</row>
    <row r="589" spans="1:21" x14ac:dyDescent="0.2">
      <c r="A589" s="119"/>
      <c r="B589" s="119"/>
      <c r="C589" s="176"/>
      <c r="D589" s="119"/>
      <c r="E589" s="176"/>
      <c r="F589" s="176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</row>
    <row r="590" spans="1:21" x14ac:dyDescent="0.2">
      <c r="A590" s="119"/>
      <c r="B590" s="119"/>
      <c r="C590" s="176"/>
      <c r="D590" s="119"/>
      <c r="E590" s="176"/>
      <c r="F590" s="176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</row>
    <row r="591" spans="1:21" x14ac:dyDescent="0.2">
      <c r="A591" s="119"/>
      <c r="B591" s="119"/>
      <c r="C591" s="176"/>
      <c r="D591" s="119"/>
      <c r="E591" s="176"/>
      <c r="F591" s="176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</row>
    <row r="592" spans="1:21" x14ac:dyDescent="0.2">
      <c r="A592" s="119"/>
      <c r="B592" s="119"/>
      <c r="C592" s="176"/>
      <c r="D592" s="119"/>
      <c r="E592" s="176"/>
      <c r="F592" s="176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</row>
    <row r="593" spans="1:21" x14ac:dyDescent="0.2">
      <c r="A593" s="119"/>
      <c r="B593" s="119"/>
      <c r="C593" s="176"/>
      <c r="D593" s="119"/>
      <c r="E593" s="176"/>
      <c r="F593" s="176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</row>
    <row r="594" spans="1:21" x14ac:dyDescent="0.2">
      <c r="A594" s="119"/>
      <c r="B594" s="119"/>
      <c r="C594" s="176"/>
      <c r="D594" s="119"/>
      <c r="E594" s="176"/>
      <c r="F594" s="176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</row>
    <row r="595" spans="1:21" x14ac:dyDescent="0.2">
      <c r="A595" s="119"/>
      <c r="B595" s="119"/>
      <c r="C595" s="176"/>
      <c r="D595" s="119"/>
      <c r="E595" s="176"/>
      <c r="F595" s="176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</row>
    <row r="596" spans="1:21" x14ac:dyDescent="0.2">
      <c r="A596" s="119"/>
      <c r="B596" s="119"/>
      <c r="C596" s="176"/>
      <c r="D596" s="119"/>
      <c r="E596" s="176"/>
      <c r="F596" s="176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</row>
    <row r="597" spans="1:21" x14ac:dyDescent="0.2">
      <c r="A597" s="119"/>
      <c r="B597" s="119"/>
      <c r="C597" s="176"/>
      <c r="D597" s="119"/>
      <c r="E597" s="176"/>
      <c r="F597" s="176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</row>
    <row r="598" spans="1:21" x14ac:dyDescent="0.2">
      <c r="A598" s="119"/>
      <c r="B598" s="119"/>
      <c r="C598" s="176"/>
      <c r="D598" s="119"/>
      <c r="E598" s="176"/>
      <c r="F598" s="176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</row>
    <row r="599" spans="1:21" x14ac:dyDescent="0.2">
      <c r="A599" s="119"/>
      <c r="B599" s="119"/>
      <c r="C599" s="176"/>
      <c r="D599" s="119"/>
      <c r="E599" s="176"/>
      <c r="F599" s="176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</row>
    <row r="600" spans="1:21" x14ac:dyDescent="0.2">
      <c r="A600" s="119"/>
      <c r="B600" s="119"/>
      <c r="C600" s="176"/>
      <c r="D600" s="119"/>
      <c r="E600" s="176"/>
      <c r="F600" s="176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</row>
    <row r="601" spans="1:21" x14ac:dyDescent="0.2">
      <c r="A601" s="119"/>
      <c r="B601" s="119"/>
      <c r="C601" s="176"/>
      <c r="D601" s="119"/>
      <c r="E601" s="176"/>
      <c r="F601" s="176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</row>
    <row r="602" spans="1:21" x14ac:dyDescent="0.2">
      <c r="A602" s="119"/>
      <c r="B602" s="119"/>
      <c r="C602" s="176"/>
      <c r="D602" s="119"/>
      <c r="E602" s="176"/>
      <c r="F602" s="176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</row>
    <row r="603" spans="1:21" x14ac:dyDescent="0.2">
      <c r="A603" s="119"/>
      <c r="B603" s="119"/>
      <c r="C603" s="176"/>
      <c r="D603" s="119"/>
      <c r="E603" s="176"/>
      <c r="F603" s="176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</row>
    <row r="604" spans="1:21" x14ac:dyDescent="0.2">
      <c r="A604" s="119"/>
      <c r="B604" s="119"/>
      <c r="C604" s="176"/>
      <c r="D604" s="119"/>
      <c r="E604" s="176"/>
      <c r="F604" s="176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</row>
    <row r="605" spans="1:21" x14ac:dyDescent="0.2">
      <c r="A605" s="119"/>
      <c r="B605" s="119"/>
      <c r="C605" s="176"/>
      <c r="D605" s="119"/>
      <c r="E605" s="176"/>
      <c r="F605" s="176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</row>
    <row r="606" spans="1:21" x14ac:dyDescent="0.2">
      <c r="A606" s="119"/>
      <c r="B606" s="119"/>
      <c r="C606" s="176"/>
      <c r="D606" s="119"/>
      <c r="E606" s="176"/>
      <c r="F606" s="176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</row>
    <row r="607" spans="1:21" x14ac:dyDescent="0.2">
      <c r="A607" s="119"/>
      <c r="B607" s="119"/>
      <c r="C607" s="176"/>
      <c r="D607" s="119"/>
      <c r="E607" s="176"/>
      <c r="F607" s="176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</row>
    <row r="608" spans="1:21" x14ac:dyDescent="0.2">
      <c r="A608" s="119"/>
      <c r="B608" s="119"/>
      <c r="C608" s="176"/>
      <c r="D608" s="119"/>
      <c r="E608" s="176"/>
      <c r="F608" s="176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</row>
    <row r="609" spans="1:21" x14ac:dyDescent="0.2">
      <c r="A609" s="119"/>
      <c r="B609" s="119"/>
      <c r="C609" s="176"/>
      <c r="D609" s="119"/>
      <c r="E609" s="176"/>
      <c r="F609" s="176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</row>
    <row r="610" spans="1:21" x14ac:dyDescent="0.2">
      <c r="A610" s="119"/>
      <c r="B610" s="119"/>
      <c r="C610" s="176"/>
      <c r="D610" s="119"/>
      <c r="E610" s="176"/>
      <c r="F610" s="176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</row>
    <row r="611" spans="1:21" x14ac:dyDescent="0.2">
      <c r="A611" s="119"/>
      <c r="B611" s="119"/>
      <c r="C611" s="176"/>
      <c r="D611" s="119"/>
      <c r="E611" s="176"/>
      <c r="F611" s="176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</row>
    <row r="612" spans="1:21" x14ac:dyDescent="0.2">
      <c r="A612" s="119"/>
      <c r="B612" s="119"/>
      <c r="C612" s="176"/>
      <c r="D612" s="119"/>
      <c r="E612" s="176"/>
      <c r="F612" s="176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</row>
    <row r="613" spans="1:21" x14ac:dyDescent="0.2">
      <c r="A613" s="119"/>
      <c r="B613" s="119"/>
      <c r="C613" s="176"/>
      <c r="D613" s="119"/>
      <c r="E613" s="176"/>
      <c r="F613" s="176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</row>
    <row r="614" spans="1:21" x14ac:dyDescent="0.2">
      <c r="A614" s="119"/>
      <c r="B614" s="119"/>
      <c r="C614" s="176"/>
      <c r="D614" s="119"/>
      <c r="E614" s="176"/>
      <c r="F614" s="176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</row>
    <row r="615" spans="1:21" x14ac:dyDescent="0.2">
      <c r="A615" s="119"/>
      <c r="B615" s="119"/>
      <c r="C615" s="176"/>
      <c r="D615" s="119"/>
      <c r="E615" s="176"/>
      <c r="F615" s="176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</row>
    <row r="616" spans="1:21" x14ac:dyDescent="0.2">
      <c r="A616" s="119"/>
      <c r="B616" s="119"/>
      <c r="C616" s="176"/>
      <c r="D616" s="119"/>
      <c r="E616" s="176"/>
      <c r="F616" s="176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</row>
    <row r="617" spans="1:21" x14ac:dyDescent="0.2">
      <c r="A617" s="119"/>
      <c r="B617" s="119"/>
      <c r="C617" s="176"/>
      <c r="D617" s="119"/>
      <c r="E617" s="176"/>
      <c r="F617" s="176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</row>
    <row r="618" spans="1:21" x14ac:dyDescent="0.2">
      <c r="A618" s="119"/>
      <c r="B618" s="119"/>
      <c r="C618" s="176"/>
      <c r="D618" s="119"/>
      <c r="E618" s="176"/>
      <c r="F618" s="176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</row>
    <row r="619" spans="1:21" x14ac:dyDescent="0.2">
      <c r="A619" s="119"/>
      <c r="B619" s="119"/>
      <c r="C619" s="176"/>
      <c r="D619" s="119"/>
      <c r="E619" s="176"/>
      <c r="F619" s="176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</row>
    <row r="620" spans="1:21" x14ac:dyDescent="0.2">
      <c r="A620" s="119"/>
      <c r="B620" s="119"/>
      <c r="C620" s="176"/>
      <c r="D620" s="119"/>
      <c r="E620" s="176"/>
      <c r="F620" s="176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</row>
    <row r="621" spans="1:21" x14ac:dyDescent="0.2">
      <c r="A621" s="119"/>
      <c r="B621" s="119"/>
      <c r="C621" s="176"/>
      <c r="D621" s="119"/>
      <c r="E621" s="176"/>
      <c r="F621" s="176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</row>
    <row r="622" spans="1:21" x14ac:dyDescent="0.2">
      <c r="A622" s="119"/>
      <c r="B622" s="119"/>
      <c r="C622" s="176"/>
      <c r="D622" s="119"/>
      <c r="E622" s="176"/>
      <c r="F622" s="176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</row>
    <row r="623" spans="1:21" x14ac:dyDescent="0.2">
      <c r="A623" s="119"/>
      <c r="B623" s="119"/>
      <c r="C623" s="176"/>
      <c r="D623" s="119"/>
      <c r="E623" s="176"/>
      <c r="F623" s="176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</row>
    <row r="624" spans="1:21" x14ac:dyDescent="0.2">
      <c r="A624" s="119"/>
      <c r="B624" s="119"/>
      <c r="C624" s="176"/>
      <c r="D624" s="119"/>
      <c r="E624" s="176"/>
      <c r="F624" s="176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</row>
    <row r="625" spans="1:21" x14ac:dyDescent="0.2">
      <c r="A625" s="119"/>
      <c r="B625" s="119"/>
      <c r="C625" s="176"/>
      <c r="D625" s="119"/>
      <c r="E625" s="176"/>
      <c r="F625" s="176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</row>
    <row r="626" spans="1:21" x14ac:dyDescent="0.2">
      <c r="A626" s="119"/>
      <c r="B626" s="119"/>
      <c r="C626" s="176"/>
      <c r="D626" s="119"/>
      <c r="E626" s="176"/>
      <c r="F626" s="176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</row>
    <row r="627" spans="1:21" x14ac:dyDescent="0.2">
      <c r="A627" s="119"/>
      <c r="B627" s="119"/>
      <c r="C627" s="176"/>
      <c r="D627" s="119"/>
      <c r="E627" s="176"/>
      <c r="F627" s="176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</row>
    <row r="628" spans="1:21" x14ac:dyDescent="0.2">
      <c r="A628" s="119"/>
      <c r="B628" s="119"/>
      <c r="C628" s="176"/>
      <c r="D628" s="119"/>
      <c r="E628" s="176"/>
      <c r="F628" s="176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</row>
    <row r="629" spans="1:21" x14ac:dyDescent="0.2">
      <c r="A629" s="119"/>
      <c r="B629" s="119"/>
      <c r="C629" s="176"/>
      <c r="D629" s="119"/>
      <c r="E629" s="176"/>
      <c r="F629" s="176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</row>
    <row r="630" spans="1:21" x14ac:dyDescent="0.2">
      <c r="A630" s="119"/>
      <c r="B630" s="119"/>
      <c r="C630" s="176"/>
      <c r="D630" s="119"/>
      <c r="E630" s="176"/>
      <c r="F630" s="176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</row>
    <row r="631" spans="1:21" x14ac:dyDescent="0.2">
      <c r="A631" s="119"/>
      <c r="B631" s="119"/>
      <c r="C631" s="176"/>
      <c r="D631" s="119"/>
      <c r="E631" s="176"/>
      <c r="F631" s="176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</row>
    <row r="632" spans="1:21" x14ac:dyDescent="0.2">
      <c r="A632" s="119"/>
      <c r="B632" s="119"/>
      <c r="C632" s="176"/>
      <c r="D632" s="119"/>
      <c r="E632" s="176"/>
      <c r="F632" s="176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</row>
    <row r="633" spans="1:21" x14ac:dyDescent="0.2">
      <c r="A633" s="119"/>
      <c r="B633" s="119"/>
      <c r="C633" s="176"/>
      <c r="D633" s="119"/>
      <c r="E633" s="176"/>
      <c r="F633" s="176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</row>
    <row r="634" spans="1:21" x14ac:dyDescent="0.2">
      <c r="A634" s="119"/>
      <c r="B634" s="119"/>
      <c r="C634" s="176"/>
      <c r="D634" s="119"/>
      <c r="E634" s="176"/>
      <c r="F634" s="176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</row>
    <row r="635" spans="1:21" x14ac:dyDescent="0.2">
      <c r="A635" s="119"/>
      <c r="B635" s="119"/>
      <c r="C635" s="176"/>
      <c r="D635" s="119"/>
      <c r="E635" s="176"/>
      <c r="F635" s="176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</row>
    <row r="636" spans="1:21" x14ac:dyDescent="0.2">
      <c r="A636" s="119"/>
      <c r="B636" s="119"/>
      <c r="C636" s="176"/>
      <c r="D636" s="119"/>
      <c r="E636" s="176"/>
      <c r="F636" s="176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</row>
    <row r="637" spans="1:21" x14ac:dyDescent="0.2">
      <c r="A637" s="119"/>
      <c r="B637" s="119"/>
      <c r="C637" s="176"/>
      <c r="D637" s="119"/>
      <c r="E637" s="176"/>
      <c r="F637" s="176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</row>
    <row r="638" spans="1:21" x14ac:dyDescent="0.2">
      <c r="A638" s="119"/>
      <c r="B638" s="119"/>
      <c r="C638" s="176"/>
      <c r="D638" s="119"/>
      <c r="E638" s="176"/>
      <c r="F638" s="176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</row>
    <row r="639" spans="1:21" x14ac:dyDescent="0.2">
      <c r="A639" s="119"/>
      <c r="B639" s="119"/>
      <c r="C639" s="176"/>
      <c r="D639" s="119"/>
      <c r="E639" s="176"/>
      <c r="F639" s="176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</row>
    <row r="640" spans="1:21" x14ac:dyDescent="0.2">
      <c r="A640" s="119"/>
      <c r="B640" s="119"/>
      <c r="C640" s="176"/>
      <c r="D640" s="119"/>
      <c r="E640" s="176"/>
      <c r="F640" s="176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</row>
    <row r="641" spans="1:21" x14ac:dyDescent="0.2">
      <c r="A641" s="119"/>
      <c r="B641" s="119"/>
      <c r="C641" s="176"/>
      <c r="D641" s="119"/>
      <c r="E641" s="176"/>
      <c r="F641" s="176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</row>
    <row r="642" spans="1:21" x14ac:dyDescent="0.2">
      <c r="A642" s="119"/>
      <c r="B642" s="119"/>
      <c r="C642" s="176"/>
      <c r="D642" s="119"/>
      <c r="E642" s="176"/>
      <c r="F642" s="176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</row>
    <row r="643" spans="1:21" x14ac:dyDescent="0.2">
      <c r="A643" s="119"/>
      <c r="B643" s="119"/>
      <c r="C643" s="176"/>
      <c r="D643" s="119"/>
      <c r="E643" s="176"/>
      <c r="F643" s="176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</row>
    <row r="644" spans="1:21" x14ac:dyDescent="0.2">
      <c r="A644" s="119"/>
      <c r="B644" s="119"/>
      <c r="C644" s="176"/>
      <c r="D644" s="119"/>
      <c r="E644" s="176"/>
      <c r="F644" s="176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</row>
    <row r="645" spans="1:21" x14ac:dyDescent="0.2">
      <c r="A645" s="119"/>
      <c r="B645" s="119"/>
      <c r="C645" s="176"/>
      <c r="D645" s="119"/>
      <c r="E645" s="176"/>
      <c r="F645" s="176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</row>
    <row r="646" spans="1:21" x14ac:dyDescent="0.2">
      <c r="A646" s="119"/>
      <c r="B646" s="119"/>
      <c r="C646" s="176"/>
      <c r="D646" s="119"/>
      <c r="E646" s="176"/>
      <c r="F646" s="176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</row>
    <row r="647" spans="1:21" x14ac:dyDescent="0.2">
      <c r="A647" s="119"/>
      <c r="B647" s="119"/>
      <c r="C647" s="176"/>
      <c r="D647" s="119"/>
      <c r="E647" s="176"/>
      <c r="F647" s="176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</row>
    <row r="648" spans="1:21" x14ac:dyDescent="0.2">
      <c r="A648" s="119"/>
      <c r="B648" s="119"/>
      <c r="C648" s="176"/>
      <c r="D648" s="119"/>
      <c r="E648" s="176"/>
      <c r="F648" s="176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</row>
    <row r="649" spans="1:21" x14ac:dyDescent="0.2">
      <c r="A649" s="119"/>
      <c r="B649" s="119"/>
      <c r="C649" s="176"/>
      <c r="D649" s="119"/>
      <c r="E649" s="176"/>
      <c r="F649" s="176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</row>
    <row r="650" spans="1:21" x14ac:dyDescent="0.2">
      <c r="A650" s="119"/>
      <c r="B650" s="119"/>
      <c r="C650" s="176"/>
      <c r="D650" s="119"/>
      <c r="E650" s="176"/>
      <c r="F650" s="176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</row>
    <row r="651" spans="1:21" x14ac:dyDescent="0.2">
      <c r="A651" s="119"/>
      <c r="B651" s="119"/>
      <c r="C651" s="176"/>
      <c r="D651" s="119"/>
      <c r="E651" s="176"/>
      <c r="F651" s="176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</row>
    <row r="652" spans="1:21" x14ac:dyDescent="0.2">
      <c r="A652" s="119"/>
      <c r="B652" s="119"/>
      <c r="C652" s="176"/>
      <c r="D652" s="119"/>
      <c r="E652" s="176"/>
      <c r="F652" s="176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</row>
    <row r="653" spans="1:21" x14ac:dyDescent="0.2">
      <c r="A653" s="119"/>
      <c r="B653" s="119"/>
      <c r="C653" s="176"/>
      <c r="D653" s="119"/>
      <c r="E653" s="176"/>
      <c r="F653" s="176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</row>
    <row r="654" spans="1:21" x14ac:dyDescent="0.2">
      <c r="A654" s="119"/>
      <c r="B654" s="119"/>
      <c r="C654" s="176"/>
      <c r="D654" s="119"/>
      <c r="E654" s="176"/>
      <c r="F654" s="176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</row>
    <row r="655" spans="1:21" x14ac:dyDescent="0.2">
      <c r="A655" s="119"/>
      <c r="B655" s="119"/>
      <c r="C655" s="176"/>
      <c r="D655" s="119"/>
      <c r="E655" s="176"/>
      <c r="F655" s="176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</row>
    <row r="656" spans="1:21" x14ac:dyDescent="0.2">
      <c r="A656" s="119"/>
      <c r="B656" s="119"/>
      <c r="C656" s="176"/>
      <c r="D656" s="119"/>
      <c r="E656" s="176"/>
      <c r="F656" s="176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</row>
    <row r="657" spans="1:21" x14ac:dyDescent="0.2">
      <c r="A657" s="119"/>
      <c r="B657" s="119"/>
      <c r="C657" s="176"/>
      <c r="D657" s="119"/>
      <c r="E657" s="176"/>
      <c r="F657" s="176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</row>
    <row r="658" spans="1:21" x14ac:dyDescent="0.2">
      <c r="A658" s="119"/>
      <c r="B658" s="119"/>
      <c r="C658" s="176"/>
      <c r="D658" s="119"/>
      <c r="E658" s="176"/>
      <c r="F658" s="176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</row>
    <row r="659" spans="1:21" x14ac:dyDescent="0.2">
      <c r="A659" s="119"/>
      <c r="B659" s="119"/>
      <c r="C659" s="176"/>
      <c r="D659" s="119"/>
      <c r="E659" s="176"/>
      <c r="F659" s="176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</row>
    <row r="660" spans="1:21" x14ac:dyDescent="0.2">
      <c r="A660" s="119"/>
      <c r="B660" s="119"/>
      <c r="C660" s="176"/>
      <c r="D660" s="119"/>
      <c r="E660" s="176"/>
      <c r="F660" s="176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</row>
    <row r="661" spans="1:21" x14ac:dyDescent="0.2">
      <c r="A661" s="119"/>
      <c r="B661" s="119"/>
      <c r="C661" s="176"/>
      <c r="D661" s="119"/>
      <c r="E661" s="176"/>
      <c r="F661" s="176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</row>
    <row r="662" spans="1:21" x14ac:dyDescent="0.2">
      <c r="A662" s="119"/>
      <c r="B662" s="119"/>
      <c r="C662" s="176"/>
      <c r="D662" s="119"/>
      <c r="E662" s="176"/>
      <c r="F662" s="176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</row>
    <row r="663" spans="1:21" x14ac:dyDescent="0.2">
      <c r="A663" s="119"/>
      <c r="B663" s="119"/>
      <c r="C663" s="176"/>
      <c r="D663" s="119"/>
      <c r="E663" s="176"/>
      <c r="F663" s="176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</row>
    <row r="664" spans="1:21" x14ac:dyDescent="0.2">
      <c r="A664" s="119"/>
      <c r="B664" s="119"/>
      <c r="C664" s="176"/>
      <c r="D664" s="119"/>
      <c r="E664" s="176"/>
      <c r="F664" s="176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</row>
    <row r="665" spans="1:21" x14ac:dyDescent="0.2">
      <c r="A665" s="119"/>
      <c r="B665" s="119"/>
      <c r="C665" s="176"/>
      <c r="D665" s="119"/>
      <c r="E665" s="176"/>
      <c r="F665" s="176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</row>
    <row r="666" spans="1:21" x14ac:dyDescent="0.2">
      <c r="A666" s="119"/>
      <c r="B666" s="119"/>
      <c r="C666" s="176"/>
      <c r="D666" s="119"/>
      <c r="E666" s="176"/>
      <c r="F666" s="176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</row>
    <row r="667" spans="1:21" x14ac:dyDescent="0.2">
      <c r="A667" s="119"/>
      <c r="B667" s="119"/>
      <c r="C667" s="176"/>
      <c r="D667" s="119"/>
      <c r="E667" s="176"/>
      <c r="F667" s="176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</row>
    <row r="668" spans="1:21" x14ac:dyDescent="0.2">
      <c r="A668" s="119"/>
      <c r="B668" s="119"/>
      <c r="C668" s="176"/>
      <c r="D668" s="119"/>
      <c r="E668" s="176"/>
      <c r="F668" s="176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</row>
    <row r="669" spans="1:21" x14ac:dyDescent="0.2">
      <c r="A669" s="119"/>
      <c r="B669" s="119"/>
      <c r="C669" s="176"/>
      <c r="D669" s="119"/>
      <c r="E669" s="176"/>
      <c r="F669" s="176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</row>
    <row r="670" spans="1:21" x14ac:dyDescent="0.2">
      <c r="A670" s="119"/>
      <c r="B670" s="119"/>
      <c r="C670" s="176"/>
      <c r="D670" s="119"/>
      <c r="E670" s="176"/>
      <c r="F670" s="176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</row>
    <row r="671" spans="1:21" x14ac:dyDescent="0.2">
      <c r="A671" s="119"/>
      <c r="B671" s="119"/>
      <c r="C671" s="176"/>
      <c r="D671" s="119"/>
      <c r="E671" s="176"/>
      <c r="F671" s="176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</row>
    <row r="672" spans="1:21" x14ac:dyDescent="0.2">
      <c r="A672" s="119"/>
      <c r="B672" s="119"/>
      <c r="C672" s="176"/>
      <c r="D672" s="119"/>
      <c r="E672" s="176"/>
      <c r="F672" s="176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</row>
    <row r="673" spans="1:21" x14ac:dyDescent="0.2">
      <c r="A673" s="119"/>
      <c r="B673" s="119"/>
      <c r="C673" s="176"/>
      <c r="D673" s="119"/>
      <c r="E673" s="176"/>
      <c r="F673" s="176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</row>
    <row r="674" spans="1:21" x14ac:dyDescent="0.2">
      <c r="A674" s="119"/>
      <c r="B674" s="119"/>
      <c r="C674" s="176"/>
      <c r="D674" s="119"/>
      <c r="E674" s="176"/>
      <c r="F674" s="176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</row>
    <row r="675" spans="1:21" x14ac:dyDescent="0.2">
      <c r="A675" s="119"/>
      <c r="B675" s="119"/>
      <c r="C675" s="176"/>
      <c r="D675" s="119"/>
      <c r="E675" s="176"/>
      <c r="F675" s="176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</row>
    <row r="676" spans="1:21" x14ac:dyDescent="0.2">
      <c r="A676" s="119"/>
      <c r="B676" s="119"/>
      <c r="C676" s="176"/>
      <c r="D676" s="119"/>
      <c r="E676" s="176"/>
      <c r="F676" s="176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</row>
    <row r="677" spans="1:21" x14ac:dyDescent="0.2">
      <c r="A677" s="119"/>
      <c r="B677" s="119"/>
      <c r="C677" s="176"/>
      <c r="D677" s="119"/>
      <c r="E677" s="176"/>
      <c r="F677" s="176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</row>
    <row r="678" spans="1:21" x14ac:dyDescent="0.2">
      <c r="A678" s="119"/>
      <c r="B678" s="119"/>
      <c r="C678" s="176"/>
      <c r="D678" s="119"/>
      <c r="E678" s="176"/>
      <c r="F678" s="176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</row>
    <row r="679" spans="1:21" x14ac:dyDescent="0.2">
      <c r="A679" s="119"/>
      <c r="B679" s="119"/>
      <c r="C679" s="176"/>
      <c r="D679" s="119"/>
      <c r="E679" s="176"/>
      <c r="F679" s="176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</row>
    <row r="680" spans="1:21" x14ac:dyDescent="0.2">
      <c r="A680" s="119"/>
      <c r="B680" s="119"/>
      <c r="C680" s="176"/>
      <c r="D680" s="119"/>
      <c r="E680" s="176"/>
      <c r="F680" s="176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</row>
    <row r="681" spans="1:21" x14ac:dyDescent="0.2">
      <c r="A681" s="119"/>
      <c r="B681" s="119"/>
      <c r="C681" s="176"/>
      <c r="D681" s="119"/>
      <c r="E681" s="176"/>
      <c r="F681" s="176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</row>
    <row r="682" spans="1:21" x14ac:dyDescent="0.2">
      <c r="A682" s="119"/>
      <c r="B682" s="119"/>
      <c r="C682" s="176"/>
      <c r="D682" s="119"/>
      <c r="E682" s="176"/>
      <c r="F682" s="176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</row>
    <row r="683" spans="1:21" x14ac:dyDescent="0.2">
      <c r="A683" s="119"/>
      <c r="B683" s="119"/>
      <c r="C683" s="176"/>
      <c r="D683" s="119"/>
      <c r="E683" s="176"/>
      <c r="F683" s="176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</row>
    <row r="684" spans="1:21" x14ac:dyDescent="0.2">
      <c r="A684" s="119"/>
      <c r="B684" s="119"/>
      <c r="C684" s="176"/>
      <c r="D684" s="119"/>
      <c r="E684" s="176"/>
      <c r="F684" s="176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</row>
    <row r="685" spans="1:21" x14ac:dyDescent="0.2">
      <c r="A685" s="119"/>
      <c r="B685" s="119"/>
      <c r="C685" s="176"/>
      <c r="D685" s="119"/>
      <c r="E685" s="176"/>
      <c r="F685" s="176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</row>
    <row r="686" spans="1:21" x14ac:dyDescent="0.2">
      <c r="A686" s="119"/>
      <c r="B686" s="119"/>
      <c r="C686" s="176"/>
      <c r="D686" s="119"/>
      <c r="E686" s="176"/>
      <c r="F686" s="176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</row>
    <row r="687" spans="1:21" x14ac:dyDescent="0.2">
      <c r="A687" s="119"/>
      <c r="B687" s="119"/>
      <c r="C687" s="176"/>
      <c r="D687" s="119"/>
      <c r="E687" s="176"/>
      <c r="F687" s="176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</row>
    <row r="688" spans="1:21" x14ac:dyDescent="0.2">
      <c r="A688" s="119"/>
      <c r="B688" s="119"/>
      <c r="C688" s="176"/>
      <c r="D688" s="119"/>
      <c r="E688" s="176"/>
      <c r="F688" s="176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</row>
    <row r="689" spans="1:21" x14ac:dyDescent="0.2">
      <c r="A689" s="119"/>
      <c r="B689" s="119"/>
      <c r="C689" s="176"/>
      <c r="D689" s="119"/>
      <c r="E689" s="176"/>
      <c r="F689" s="176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</row>
    <row r="690" spans="1:21" x14ac:dyDescent="0.2">
      <c r="A690" s="119"/>
      <c r="B690" s="119"/>
      <c r="C690" s="176"/>
      <c r="D690" s="119"/>
      <c r="E690" s="176"/>
      <c r="F690" s="176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</row>
    <row r="691" spans="1:21" x14ac:dyDescent="0.2">
      <c r="A691" s="119"/>
      <c r="B691" s="119"/>
      <c r="C691" s="176"/>
      <c r="D691" s="119"/>
      <c r="E691" s="176"/>
      <c r="F691" s="176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</row>
    <row r="692" spans="1:21" x14ac:dyDescent="0.2">
      <c r="A692" s="119"/>
      <c r="B692" s="119"/>
      <c r="C692" s="176"/>
      <c r="D692" s="119"/>
      <c r="E692" s="176"/>
      <c r="F692" s="176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</row>
    <row r="693" spans="1:21" x14ac:dyDescent="0.2">
      <c r="A693" s="119"/>
      <c r="B693" s="119"/>
      <c r="C693" s="176"/>
      <c r="D693" s="119"/>
      <c r="E693" s="176"/>
      <c r="F693" s="176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</row>
    <row r="694" spans="1:21" x14ac:dyDescent="0.2">
      <c r="A694" s="119"/>
      <c r="B694" s="119"/>
      <c r="C694" s="176"/>
      <c r="D694" s="119"/>
      <c r="E694" s="176"/>
      <c r="F694" s="176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</row>
    <row r="695" spans="1:21" x14ac:dyDescent="0.2">
      <c r="A695" s="119"/>
      <c r="B695" s="119"/>
      <c r="C695" s="176"/>
      <c r="D695" s="119"/>
      <c r="E695" s="176"/>
      <c r="F695" s="176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</row>
    <row r="696" spans="1:21" x14ac:dyDescent="0.2">
      <c r="A696" s="119"/>
      <c r="B696" s="119"/>
      <c r="C696" s="176"/>
      <c r="D696" s="119"/>
      <c r="E696" s="176"/>
      <c r="F696" s="176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</row>
    <row r="697" spans="1:21" x14ac:dyDescent="0.2">
      <c r="A697" s="119"/>
      <c r="B697" s="119"/>
      <c r="C697" s="176"/>
      <c r="D697" s="119"/>
      <c r="E697" s="176"/>
      <c r="F697" s="176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</row>
    <row r="698" spans="1:21" x14ac:dyDescent="0.2">
      <c r="A698" s="119"/>
      <c r="B698" s="119"/>
      <c r="C698" s="176"/>
      <c r="D698" s="119"/>
      <c r="E698" s="176"/>
      <c r="F698" s="176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</row>
    <row r="699" spans="1:21" x14ac:dyDescent="0.2">
      <c r="A699" s="119"/>
      <c r="B699" s="119"/>
      <c r="C699" s="176"/>
      <c r="D699" s="119"/>
      <c r="E699" s="176"/>
      <c r="F699" s="176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</row>
    <row r="700" spans="1:21" x14ac:dyDescent="0.2">
      <c r="A700" s="119"/>
      <c r="B700" s="119"/>
      <c r="C700" s="176"/>
      <c r="D700" s="119"/>
      <c r="E700" s="176"/>
      <c r="F700" s="176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</row>
    <row r="701" spans="1:21" x14ac:dyDescent="0.2">
      <c r="A701" s="119"/>
      <c r="B701" s="119"/>
      <c r="C701" s="176"/>
      <c r="D701" s="119"/>
      <c r="E701" s="176"/>
      <c r="F701" s="176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</row>
    <row r="702" spans="1:21" x14ac:dyDescent="0.2">
      <c r="A702" s="119"/>
      <c r="B702" s="119"/>
      <c r="C702" s="176"/>
      <c r="D702" s="119"/>
      <c r="E702" s="176"/>
      <c r="F702" s="176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</row>
    <row r="703" spans="1:21" x14ac:dyDescent="0.2">
      <c r="A703" s="119"/>
      <c r="B703" s="119"/>
      <c r="C703" s="176"/>
      <c r="D703" s="119"/>
      <c r="E703" s="176"/>
      <c r="F703" s="176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</row>
    <row r="704" spans="1:21" x14ac:dyDescent="0.2">
      <c r="A704" s="119"/>
      <c r="B704" s="119"/>
      <c r="C704" s="176"/>
      <c r="D704" s="119"/>
      <c r="E704" s="176"/>
      <c r="F704" s="176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</row>
    <row r="705" spans="1:21" x14ac:dyDescent="0.2">
      <c r="A705" s="119"/>
      <c r="B705" s="119"/>
      <c r="C705" s="176"/>
      <c r="D705" s="119"/>
      <c r="E705" s="176"/>
      <c r="F705" s="176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</row>
    <row r="706" spans="1:21" x14ac:dyDescent="0.2">
      <c r="A706" s="119"/>
      <c r="B706" s="119"/>
      <c r="C706" s="176"/>
      <c r="D706" s="119"/>
      <c r="E706" s="176"/>
      <c r="F706" s="176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</row>
    <row r="707" spans="1:21" x14ac:dyDescent="0.2">
      <c r="A707" s="119"/>
      <c r="B707" s="119"/>
      <c r="C707" s="176"/>
      <c r="D707" s="119"/>
      <c r="E707" s="176"/>
      <c r="F707" s="176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</row>
    <row r="708" spans="1:21" x14ac:dyDescent="0.2">
      <c r="A708" s="119"/>
      <c r="B708" s="119"/>
      <c r="C708" s="176"/>
      <c r="D708" s="119"/>
      <c r="E708" s="176"/>
      <c r="F708" s="176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</row>
    <row r="709" spans="1:21" x14ac:dyDescent="0.2">
      <c r="A709" s="119"/>
      <c r="B709" s="119"/>
      <c r="C709" s="176"/>
      <c r="D709" s="119"/>
      <c r="E709" s="176"/>
      <c r="F709" s="176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</row>
    <row r="710" spans="1:21" x14ac:dyDescent="0.2">
      <c r="A710" s="119"/>
      <c r="B710" s="119"/>
      <c r="C710" s="176"/>
      <c r="D710" s="119"/>
      <c r="E710" s="176"/>
      <c r="F710" s="176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</row>
    <row r="711" spans="1:21" x14ac:dyDescent="0.2">
      <c r="A711" s="119"/>
      <c r="B711" s="119"/>
      <c r="C711" s="176"/>
      <c r="D711" s="119"/>
      <c r="E711" s="176"/>
      <c r="F711" s="176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</row>
    <row r="712" spans="1:21" x14ac:dyDescent="0.2">
      <c r="A712" s="119"/>
      <c r="B712" s="119"/>
      <c r="C712" s="176"/>
      <c r="D712" s="119"/>
      <c r="E712" s="176"/>
      <c r="F712" s="176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</row>
    <row r="713" spans="1:21" x14ac:dyDescent="0.2">
      <c r="A713" s="119"/>
      <c r="B713" s="119"/>
      <c r="C713" s="176"/>
      <c r="D713" s="119"/>
      <c r="E713" s="176"/>
      <c r="F713" s="176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</row>
    <row r="714" spans="1:21" x14ac:dyDescent="0.2">
      <c r="A714" s="119"/>
      <c r="B714" s="119"/>
      <c r="C714" s="176"/>
      <c r="D714" s="119"/>
      <c r="E714" s="176"/>
      <c r="F714" s="176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</row>
    <row r="715" spans="1:21" x14ac:dyDescent="0.2">
      <c r="A715" s="119"/>
      <c r="B715" s="119"/>
      <c r="C715" s="176"/>
      <c r="D715" s="119"/>
      <c r="E715" s="176"/>
      <c r="F715" s="176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</row>
    <row r="716" spans="1:21" x14ac:dyDescent="0.2">
      <c r="A716" s="119"/>
      <c r="B716" s="119"/>
      <c r="C716" s="176"/>
      <c r="D716" s="119"/>
      <c r="E716" s="176"/>
      <c r="F716" s="176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</row>
    <row r="717" spans="1:21" x14ac:dyDescent="0.2">
      <c r="A717" s="119"/>
      <c r="B717" s="119"/>
      <c r="C717" s="176"/>
      <c r="D717" s="119"/>
      <c r="E717" s="176"/>
      <c r="F717" s="176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</row>
    <row r="718" spans="1:21" x14ac:dyDescent="0.2">
      <c r="A718" s="119"/>
      <c r="B718" s="119"/>
      <c r="C718" s="176"/>
      <c r="D718" s="119"/>
      <c r="E718" s="176"/>
      <c r="F718" s="176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</row>
    <row r="719" spans="1:21" x14ac:dyDescent="0.2">
      <c r="A719" s="119"/>
      <c r="B719" s="119"/>
      <c r="C719" s="176"/>
      <c r="D719" s="119"/>
      <c r="E719" s="176"/>
      <c r="F719" s="176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</row>
    <row r="720" spans="1:21" x14ac:dyDescent="0.2">
      <c r="A720" s="119"/>
      <c r="B720" s="119"/>
      <c r="C720" s="176"/>
      <c r="D720" s="119"/>
      <c r="E720" s="176"/>
      <c r="F720" s="176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</row>
    <row r="721" spans="1:21" x14ac:dyDescent="0.2">
      <c r="A721" s="119"/>
      <c r="B721" s="119"/>
      <c r="C721" s="176"/>
      <c r="D721" s="119"/>
      <c r="E721" s="176"/>
      <c r="F721" s="176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</row>
    <row r="722" spans="1:21" x14ac:dyDescent="0.2">
      <c r="A722" s="119"/>
      <c r="B722" s="119"/>
      <c r="C722" s="176"/>
      <c r="D722" s="119"/>
      <c r="E722" s="176"/>
      <c r="F722" s="176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</row>
    <row r="723" spans="1:21" x14ac:dyDescent="0.2">
      <c r="A723" s="119"/>
      <c r="B723" s="119"/>
      <c r="C723" s="176"/>
      <c r="D723" s="119"/>
      <c r="E723" s="176"/>
      <c r="F723" s="176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</row>
    <row r="724" spans="1:21" x14ac:dyDescent="0.2">
      <c r="A724" s="119"/>
      <c r="B724" s="119"/>
      <c r="C724" s="176"/>
      <c r="D724" s="119"/>
      <c r="E724" s="176"/>
      <c r="F724" s="176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</row>
    <row r="725" spans="1:21" x14ac:dyDescent="0.2">
      <c r="A725" s="119"/>
      <c r="B725" s="119"/>
      <c r="C725" s="176"/>
      <c r="D725" s="119"/>
      <c r="E725" s="176"/>
      <c r="F725" s="176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</row>
    <row r="726" spans="1:21" x14ac:dyDescent="0.2">
      <c r="A726" s="119"/>
      <c r="B726" s="119"/>
      <c r="C726" s="176"/>
      <c r="D726" s="119"/>
      <c r="E726" s="176"/>
      <c r="F726" s="176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</row>
    <row r="727" spans="1:21" x14ac:dyDescent="0.2">
      <c r="A727" s="119"/>
      <c r="B727" s="119"/>
      <c r="C727" s="176"/>
      <c r="D727" s="119"/>
      <c r="E727" s="176"/>
      <c r="F727" s="176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</row>
    <row r="728" spans="1:21" x14ac:dyDescent="0.2">
      <c r="A728" s="119"/>
      <c r="B728" s="119"/>
      <c r="C728" s="176"/>
      <c r="D728" s="119"/>
      <c r="E728" s="176"/>
      <c r="F728" s="176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</row>
    <row r="729" spans="1:21" x14ac:dyDescent="0.2">
      <c r="A729" s="119"/>
      <c r="B729" s="119"/>
      <c r="C729" s="176"/>
      <c r="D729" s="119"/>
      <c r="E729" s="176"/>
      <c r="F729" s="176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</row>
    <row r="730" spans="1:21" x14ac:dyDescent="0.2">
      <c r="A730" s="119"/>
      <c r="B730" s="119"/>
      <c r="C730" s="176"/>
      <c r="D730" s="119"/>
      <c r="E730" s="176"/>
      <c r="F730" s="176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</row>
    <row r="731" spans="1:21" x14ac:dyDescent="0.2">
      <c r="A731" s="119"/>
      <c r="B731" s="119"/>
      <c r="C731" s="176"/>
      <c r="D731" s="119"/>
      <c r="E731" s="176"/>
      <c r="F731" s="176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</row>
    <row r="732" spans="1:21" x14ac:dyDescent="0.2">
      <c r="A732" s="119"/>
      <c r="B732" s="119"/>
      <c r="C732" s="176"/>
      <c r="D732" s="119"/>
      <c r="E732" s="176"/>
      <c r="F732" s="176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</row>
    <row r="733" spans="1:21" x14ac:dyDescent="0.2">
      <c r="A733" s="119"/>
      <c r="B733" s="119"/>
      <c r="C733" s="176"/>
      <c r="D733" s="119"/>
      <c r="E733" s="176"/>
      <c r="F733" s="176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</row>
    <row r="734" spans="1:21" x14ac:dyDescent="0.2">
      <c r="A734" s="119"/>
      <c r="B734" s="119"/>
      <c r="C734" s="176"/>
      <c r="D734" s="119"/>
      <c r="E734" s="176"/>
      <c r="F734" s="176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</row>
    <row r="735" spans="1:21" x14ac:dyDescent="0.2">
      <c r="A735" s="119"/>
      <c r="B735" s="119"/>
      <c r="C735" s="176"/>
      <c r="D735" s="119"/>
      <c r="E735" s="176"/>
      <c r="F735" s="176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</row>
    <row r="736" spans="1:21" x14ac:dyDescent="0.2">
      <c r="A736" s="119"/>
      <c r="B736" s="119"/>
      <c r="C736" s="176"/>
      <c r="D736" s="119"/>
      <c r="E736" s="176"/>
      <c r="F736" s="176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</row>
    <row r="737" spans="1:21" x14ac:dyDescent="0.2">
      <c r="A737" s="119"/>
      <c r="B737" s="119"/>
      <c r="C737" s="176"/>
      <c r="D737" s="119"/>
      <c r="E737" s="176"/>
      <c r="F737" s="176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</row>
    <row r="738" spans="1:21" x14ac:dyDescent="0.2">
      <c r="A738" s="119"/>
      <c r="B738" s="119"/>
      <c r="C738" s="176"/>
      <c r="D738" s="119"/>
      <c r="E738" s="176"/>
      <c r="F738" s="176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</row>
    <row r="739" spans="1:21" x14ac:dyDescent="0.2">
      <c r="A739" s="119"/>
      <c r="B739" s="119"/>
      <c r="C739" s="176"/>
      <c r="D739" s="119"/>
      <c r="E739" s="176"/>
      <c r="F739" s="176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</row>
    <row r="740" spans="1:21" x14ac:dyDescent="0.2">
      <c r="A740" s="119"/>
      <c r="B740" s="119"/>
      <c r="C740" s="176"/>
      <c r="D740" s="119"/>
      <c r="E740" s="176"/>
      <c r="F740" s="176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</row>
    <row r="741" spans="1:21" x14ac:dyDescent="0.2">
      <c r="A741" s="119"/>
      <c r="B741" s="119"/>
      <c r="C741" s="176"/>
      <c r="D741" s="119"/>
      <c r="E741" s="176"/>
      <c r="F741" s="176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</row>
    <row r="742" spans="1:21" x14ac:dyDescent="0.2">
      <c r="A742" s="119"/>
      <c r="B742" s="119"/>
      <c r="C742" s="176"/>
      <c r="D742" s="119"/>
      <c r="E742" s="176"/>
      <c r="F742" s="176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</row>
    <row r="743" spans="1:21" x14ac:dyDescent="0.2">
      <c r="A743" s="119"/>
      <c r="B743" s="119"/>
      <c r="C743" s="176"/>
      <c r="D743" s="119"/>
      <c r="E743" s="176"/>
      <c r="F743" s="176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</row>
    <row r="744" spans="1:21" x14ac:dyDescent="0.2">
      <c r="A744" s="119"/>
      <c r="B744" s="119"/>
      <c r="C744" s="176"/>
      <c r="D744" s="119"/>
      <c r="E744" s="176"/>
      <c r="F744" s="176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</row>
    <row r="745" spans="1:21" x14ac:dyDescent="0.2">
      <c r="A745" s="119"/>
      <c r="B745" s="119"/>
      <c r="C745" s="176"/>
      <c r="D745" s="119"/>
      <c r="E745" s="176"/>
      <c r="F745" s="176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</row>
    <row r="746" spans="1:21" x14ac:dyDescent="0.2">
      <c r="A746" s="119"/>
      <c r="B746" s="119"/>
      <c r="C746" s="176"/>
      <c r="D746" s="119"/>
      <c r="E746" s="176"/>
      <c r="F746" s="176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</row>
    <row r="747" spans="1:21" x14ac:dyDescent="0.2">
      <c r="A747" s="119"/>
      <c r="B747" s="119"/>
      <c r="C747" s="176"/>
      <c r="D747" s="119"/>
      <c r="E747" s="176"/>
      <c r="F747" s="176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</row>
    <row r="748" spans="1:21" x14ac:dyDescent="0.2">
      <c r="A748" s="119"/>
      <c r="B748" s="119"/>
      <c r="C748" s="176"/>
      <c r="D748" s="119"/>
      <c r="E748" s="176"/>
      <c r="F748" s="176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</row>
    <row r="749" spans="1:21" x14ac:dyDescent="0.2">
      <c r="A749" s="119"/>
      <c r="B749" s="119"/>
      <c r="C749" s="176"/>
      <c r="D749" s="119"/>
      <c r="E749" s="176"/>
      <c r="F749" s="176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</row>
    <row r="750" spans="1:21" x14ac:dyDescent="0.2">
      <c r="A750" s="119"/>
      <c r="B750" s="119"/>
      <c r="C750" s="176"/>
      <c r="D750" s="119"/>
      <c r="E750" s="176"/>
      <c r="F750" s="176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</row>
    <row r="751" spans="1:21" x14ac:dyDescent="0.2">
      <c r="A751" s="119"/>
      <c r="B751" s="119"/>
      <c r="C751" s="176"/>
      <c r="D751" s="119"/>
      <c r="E751" s="176"/>
      <c r="F751" s="176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</row>
    <row r="752" spans="1:21" x14ac:dyDescent="0.2">
      <c r="A752" s="119"/>
      <c r="B752" s="119"/>
      <c r="C752" s="176"/>
      <c r="D752" s="119"/>
      <c r="E752" s="176"/>
      <c r="F752" s="176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</row>
    <row r="753" spans="1:21" x14ac:dyDescent="0.2">
      <c r="A753" s="119"/>
      <c r="B753" s="119"/>
      <c r="C753" s="176"/>
      <c r="D753" s="119"/>
      <c r="E753" s="176"/>
      <c r="F753" s="176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</row>
    <row r="754" spans="1:21" x14ac:dyDescent="0.2">
      <c r="A754" s="119"/>
      <c r="B754" s="119"/>
      <c r="C754" s="176"/>
      <c r="D754" s="119"/>
      <c r="E754" s="176"/>
      <c r="F754" s="176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</row>
    <row r="755" spans="1:21" x14ac:dyDescent="0.2">
      <c r="A755" s="119"/>
      <c r="B755" s="119"/>
      <c r="C755" s="176"/>
      <c r="D755" s="119"/>
      <c r="E755" s="176"/>
      <c r="F755" s="176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</row>
    <row r="756" spans="1:21" x14ac:dyDescent="0.2">
      <c r="A756" s="119"/>
      <c r="B756" s="119"/>
      <c r="C756" s="176"/>
      <c r="D756" s="119"/>
      <c r="E756" s="176"/>
      <c r="F756" s="176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</row>
    <row r="757" spans="1:21" x14ac:dyDescent="0.2">
      <c r="A757" s="119"/>
      <c r="B757" s="119"/>
      <c r="C757" s="176"/>
      <c r="D757" s="119"/>
      <c r="E757" s="176"/>
      <c r="F757" s="176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</row>
    <row r="758" spans="1:21" x14ac:dyDescent="0.2">
      <c r="A758" s="119"/>
      <c r="B758" s="119"/>
      <c r="C758" s="176"/>
      <c r="D758" s="119"/>
      <c r="E758" s="176"/>
      <c r="F758" s="176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</row>
    <row r="759" spans="1:21" x14ac:dyDescent="0.2">
      <c r="A759" s="119"/>
      <c r="B759" s="119"/>
      <c r="C759" s="176"/>
      <c r="D759" s="119"/>
      <c r="E759" s="176"/>
      <c r="F759" s="176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</row>
    <row r="760" spans="1:21" x14ac:dyDescent="0.2">
      <c r="A760" s="119"/>
      <c r="B760" s="119"/>
      <c r="C760" s="176"/>
      <c r="D760" s="119"/>
      <c r="E760" s="176"/>
      <c r="F760" s="176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</row>
    <row r="761" spans="1:21" x14ac:dyDescent="0.2">
      <c r="A761" s="119"/>
      <c r="B761" s="119"/>
      <c r="C761" s="176"/>
      <c r="D761" s="119"/>
      <c r="E761" s="176"/>
      <c r="F761" s="176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</row>
    <row r="762" spans="1:21" x14ac:dyDescent="0.2">
      <c r="A762" s="119"/>
      <c r="B762" s="119"/>
      <c r="C762" s="176"/>
      <c r="D762" s="119"/>
      <c r="E762" s="176"/>
      <c r="F762" s="176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</row>
    <row r="763" spans="1:21" x14ac:dyDescent="0.2">
      <c r="A763" s="119"/>
      <c r="B763" s="119"/>
      <c r="C763" s="176"/>
      <c r="D763" s="119"/>
      <c r="E763" s="176"/>
      <c r="F763" s="176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</row>
    <row r="764" spans="1:21" x14ac:dyDescent="0.2">
      <c r="A764" s="119"/>
      <c r="B764" s="119"/>
      <c r="C764" s="176"/>
      <c r="D764" s="119"/>
      <c r="E764" s="176"/>
      <c r="F764" s="176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</row>
    <row r="765" spans="1:21" x14ac:dyDescent="0.2">
      <c r="A765" s="119"/>
      <c r="B765" s="119"/>
      <c r="C765" s="176"/>
      <c r="D765" s="119"/>
      <c r="E765" s="176"/>
      <c r="F765" s="176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</row>
    <row r="766" spans="1:21" x14ac:dyDescent="0.2">
      <c r="A766" s="119"/>
      <c r="B766" s="119"/>
      <c r="C766" s="176"/>
      <c r="D766" s="119"/>
      <c r="E766" s="176"/>
      <c r="F766" s="176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</row>
    <row r="767" spans="1:21" x14ac:dyDescent="0.2">
      <c r="A767" s="119"/>
      <c r="B767" s="119"/>
      <c r="C767" s="176"/>
      <c r="D767" s="119"/>
      <c r="E767" s="176"/>
      <c r="F767" s="176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</row>
    <row r="768" spans="1:21" x14ac:dyDescent="0.2">
      <c r="A768" s="119"/>
      <c r="B768" s="119"/>
      <c r="C768" s="176"/>
      <c r="D768" s="119"/>
      <c r="E768" s="176"/>
      <c r="F768" s="176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</row>
    <row r="769" spans="1:21" x14ac:dyDescent="0.2">
      <c r="A769" s="119"/>
      <c r="B769" s="119"/>
      <c r="C769" s="176"/>
      <c r="D769" s="119"/>
      <c r="E769" s="176"/>
      <c r="F769" s="176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</row>
    <row r="770" spans="1:21" x14ac:dyDescent="0.2">
      <c r="A770" s="119"/>
      <c r="B770" s="119"/>
      <c r="C770" s="176"/>
      <c r="D770" s="119"/>
      <c r="E770" s="176"/>
      <c r="F770" s="176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</row>
    <row r="771" spans="1:21" x14ac:dyDescent="0.2">
      <c r="A771" s="119"/>
      <c r="B771" s="119"/>
      <c r="C771" s="176"/>
      <c r="D771" s="119"/>
      <c r="E771" s="176"/>
      <c r="F771" s="176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</row>
    <row r="772" spans="1:21" x14ac:dyDescent="0.2">
      <c r="A772" s="119"/>
      <c r="B772" s="119"/>
      <c r="C772" s="176"/>
      <c r="D772" s="119"/>
      <c r="E772" s="176"/>
      <c r="F772" s="176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</row>
    <row r="773" spans="1:21" x14ac:dyDescent="0.2">
      <c r="A773" s="119"/>
      <c r="B773" s="119"/>
      <c r="C773" s="176"/>
      <c r="D773" s="119"/>
      <c r="E773" s="176"/>
      <c r="F773" s="176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</row>
    <row r="774" spans="1:21" x14ac:dyDescent="0.2">
      <c r="A774" s="119"/>
      <c r="B774" s="119"/>
      <c r="C774" s="176"/>
      <c r="D774" s="119"/>
      <c r="E774" s="176"/>
      <c r="F774" s="176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</row>
    <row r="775" spans="1:21" x14ac:dyDescent="0.2">
      <c r="A775" s="119"/>
      <c r="B775" s="119"/>
      <c r="C775" s="176"/>
      <c r="D775" s="119"/>
      <c r="E775" s="176"/>
      <c r="F775" s="176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</row>
    <row r="776" spans="1:21" x14ac:dyDescent="0.2">
      <c r="A776" s="119"/>
      <c r="B776" s="119"/>
      <c r="C776" s="176"/>
      <c r="D776" s="119"/>
      <c r="E776" s="176"/>
      <c r="F776" s="176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</row>
    <row r="777" spans="1:21" x14ac:dyDescent="0.2">
      <c r="A777" s="119"/>
      <c r="B777" s="119"/>
      <c r="C777" s="176"/>
      <c r="D777" s="119"/>
      <c r="E777" s="176"/>
      <c r="F777" s="176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</row>
    <row r="778" spans="1:21" x14ac:dyDescent="0.2">
      <c r="A778" s="119"/>
      <c r="B778" s="119"/>
      <c r="C778" s="176"/>
      <c r="D778" s="119"/>
      <c r="E778" s="176"/>
      <c r="F778" s="176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</row>
    <row r="779" spans="1:21" x14ac:dyDescent="0.2">
      <c r="A779" s="119"/>
      <c r="B779" s="119"/>
      <c r="C779" s="176"/>
      <c r="D779" s="119"/>
      <c r="E779" s="176"/>
      <c r="F779" s="176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</row>
    <row r="780" spans="1:21" x14ac:dyDescent="0.2">
      <c r="A780" s="119"/>
      <c r="B780" s="119"/>
      <c r="C780" s="176"/>
      <c r="D780" s="119"/>
      <c r="E780" s="176"/>
      <c r="F780" s="176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</row>
    <row r="781" spans="1:21" x14ac:dyDescent="0.2">
      <c r="A781" s="119"/>
      <c r="B781" s="119"/>
      <c r="C781" s="176"/>
      <c r="D781" s="119"/>
      <c r="E781" s="176"/>
      <c r="F781" s="176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</row>
    <row r="782" spans="1:21" x14ac:dyDescent="0.2">
      <c r="A782" s="119"/>
      <c r="B782" s="119"/>
      <c r="C782" s="176"/>
      <c r="D782" s="119"/>
      <c r="E782" s="176"/>
      <c r="F782" s="176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</row>
    <row r="783" spans="1:21" x14ac:dyDescent="0.2">
      <c r="A783" s="119"/>
      <c r="B783" s="119"/>
      <c r="C783" s="176"/>
      <c r="D783" s="119"/>
      <c r="E783" s="176"/>
      <c r="F783" s="176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</row>
    <row r="784" spans="1:21" x14ac:dyDescent="0.2">
      <c r="A784" s="119"/>
      <c r="B784" s="119"/>
      <c r="C784" s="176"/>
      <c r="D784" s="119"/>
      <c r="E784" s="176"/>
      <c r="F784" s="176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</row>
    <row r="785" spans="1:21" x14ac:dyDescent="0.2">
      <c r="A785" s="119"/>
      <c r="B785" s="119"/>
      <c r="C785" s="176"/>
      <c r="D785" s="119"/>
      <c r="E785" s="176"/>
      <c r="F785" s="176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</row>
    <row r="786" spans="1:21" x14ac:dyDescent="0.2">
      <c r="A786" s="119"/>
      <c r="B786" s="119"/>
      <c r="C786" s="176"/>
      <c r="D786" s="119"/>
      <c r="E786" s="176"/>
      <c r="F786" s="176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</row>
    <row r="787" spans="1:21" x14ac:dyDescent="0.2">
      <c r="A787" s="119"/>
      <c r="B787" s="119"/>
      <c r="C787" s="176"/>
      <c r="D787" s="119"/>
      <c r="E787" s="176"/>
      <c r="F787" s="176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</row>
    <row r="788" spans="1:21" x14ac:dyDescent="0.2">
      <c r="A788" s="119"/>
      <c r="B788" s="119"/>
      <c r="C788" s="176"/>
      <c r="D788" s="119"/>
      <c r="E788" s="176"/>
      <c r="F788" s="176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</row>
    <row r="789" spans="1:21" x14ac:dyDescent="0.2">
      <c r="A789" s="119"/>
      <c r="B789" s="119"/>
      <c r="C789" s="176"/>
      <c r="D789" s="119"/>
      <c r="E789" s="176"/>
      <c r="F789" s="176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</row>
    <row r="790" spans="1:21" x14ac:dyDescent="0.2">
      <c r="A790" s="119"/>
      <c r="B790" s="119"/>
      <c r="C790" s="176"/>
      <c r="D790" s="119"/>
      <c r="E790" s="176"/>
      <c r="F790" s="176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</row>
    <row r="791" spans="1:21" x14ac:dyDescent="0.2">
      <c r="A791" s="119"/>
      <c r="B791" s="119"/>
      <c r="C791" s="176"/>
      <c r="D791" s="119"/>
      <c r="E791" s="176"/>
      <c r="F791" s="176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</row>
    <row r="792" spans="1:21" x14ac:dyDescent="0.2">
      <c r="A792" s="119"/>
      <c r="B792" s="119"/>
      <c r="C792" s="176"/>
      <c r="D792" s="119"/>
      <c r="E792" s="176"/>
      <c r="F792" s="176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</row>
    <row r="793" spans="1:21" x14ac:dyDescent="0.2">
      <c r="A793" s="119"/>
      <c r="B793" s="119"/>
      <c r="C793" s="176"/>
      <c r="D793" s="119"/>
      <c r="E793" s="176"/>
      <c r="F793" s="176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</row>
    <row r="794" spans="1:21" x14ac:dyDescent="0.2">
      <c r="A794" s="119"/>
      <c r="B794" s="119"/>
      <c r="C794" s="176"/>
      <c r="D794" s="119"/>
      <c r="E794" s="176"/>
      <c r="F794" s="176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</row>
    <row r="795" spans="1:21" x14ac:dyDescent="0.2">
      <c r="A795" s="119"/>
      <c r="B795" s="119"/>
      <c r="C795" s="176"/>
      <c r="D795" s="119"/>
      <c r="E795" s="176"/>
      <c r="F795" s="176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</row>
    <row r="796" spans="1:21" x14ac:dyDescent="0.2">
      <c r="A796" s="119"/>
      <c r="B796" s="119"/>
      <c r="C796" s="176"/>
      <c r="D796" s="119"/>
      <c r="E796" s="176"/>
      <c r="F796" s="176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</row>
    <row r="797" spans="1:21" x14ac:dyDescent="0.2">
      <c r="A797" s="119"/>
      <c r="B797" s="119"/>
      <c r="C797" s="176"/>
      <c r="D797" s="119"/>
      <c r="E797" s="176"/>
      <c r="F797" s="176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</row>
    <row r="798" spans="1:21" x14ac:dyDescent="0.2">
      <c r="A798" s="119"/>
      <c r="B798" s="119"/>
      <c r="C798" s="176"/>
      <c r="D798" s="119"/>
      <c r="E798" s="176"/>
      <c r="F798" s="176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</row>
    <row r="799" spans="1:21" x14ac:dyDescent="0.2">
      <c r="A799" s="119"/>
      <c r="B799" s="119"/>
      <c r="C799" s="176"/>
      <c r="D799" s="119"/>
      <c r="E799" s="176"/>
      <c r="F799" s="176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</row>
    <row r="800" spans="1:21" x14ac:dyDescent="0.2">
      <c r="A800" s="119"/>
      <c r="B800" s="119"/>
      <c r="C800" s="176"/>
      <c r="D800" s="119"/>
      <c r="E800" s="176"/>
      <c r="F800" s="176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</row>
    <row r="801" spans="1:21" x14ac:dyDescent="0.2">
      <c r="A801" s="119"/>
      <c r="B801" s="119"/>
      <c r="C801" s="176"/>
      <c r="D801" s="119"/>
      <c r="E801" s="176"/>
      <c r="F801" s="176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</row>
    <row r="802" spans="1:21" x14ac:dyDescent="0.2">
      <c r="A802" s="119"/>
      <c r="B802" s="119"/>
      <c r="C802" s="176"/>
      <c r="D802" s="119"/>
      <c r="E802" s="176"/>
      <c r="F802" s="176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</row>
    <row r="803" spans="1:21" x14ac:dyDescent="0.2">
      <c r="A803" s="119"/>
      <c r="B803" s="119"/>
      <c r="C803" s="176"/>
      <c r="D803" s="119"/>
      <c r="E803" s="176"/>
      <c r="F803" s="176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</row>
    <row r="804" spans="1:21" x14ac:dyDescent="0.2">
      <c r="A804" s="119"/>
      <c r="B804" s="119"/>
      <c r="C804" s="176"/>
      <c r="D804" s="119"/>
      <c r="E804" s="176"/>
      <c r="F804" s="176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</row>
    <row r="805" spans="1:21" x14ac:dyDescent="0.2">
      <c r="A805" s="119"/>
      <c r="B805" s="119"/>
      <c r="C805" s="176"/>
      <c r="D805" s="119"/>
      <c r="E805" s="176"/>
      <c r="F805" s="176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</row>
    <row r="806" spans="1:21" x14ac:dyDescent="0.2">
      <c r="A806" s="119"/>
      <c r="B806" s="119"/>
      <c r="C806" s="176"/>
      <c r="D806" s="119"/>
      <c r="E806" s="176"/>
      <c r="F806" s="176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</row>
    <row r="807" spans="1:21" x14ac:dyDescent="0.2">
      <c r="A807" s="119"/>
      <c r="B807" s="119"/>
      <c r="C807" s="176"/>
      <c r="D807" s="119"/>
      <c r="E807" s="176"/>
      <c r="F807" s="176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</row>
    <row r="808" spans="1:21" x14ac:dyDescent="0.2">
      <c r="A808" s="119"/>
      <c r="B808" s="119"/>
      <c r="C808" s="176"/>
      <c r="D808" s="119"/>
      <c r="E808" s="176"/>
      <c r="F808" s="176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</row>
    <row r="809" spans="1:21" x14ac:dyDescent="0.2">
      <c r="A809" s="119"/>
      <c r="B809" s="119"/>
      <c r="C809" s="176"/>
      <c r="D809" s="119"/>
      <c r="E809" s="176"/>
      <c r="F809" s="176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</row>
    <row r="810" spans="1:21" x14ac:dyDescent="0.2">
      <c r="A810" s="119"/>
      <c r="B810" s="119"/>
      <c r="C810" s="176"/>
      <c r="D810" s="119"/>
      <c r="E810" s="176"/>
      <c r="F810" s="176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</row>
    <row r="811" spans="1:21" x14ac:dyDescent="0.2">
      <c r="A811" s="119"/>
      <c r="B811" s="119"/>
      <c r="C811" s="176"/>
      <c r="D811" s="119"/>
      <c r="E811" s="176"/>
      <c r="F811" s="176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</row>
    <row r="812" spans="1:21" x14ac:dyDescent="0.2">
      <c r="A812" s="119"/>
      <c r="B812" s="119"/>
      <c r="C812" s="176"/>
      <c r="D812" s="119"/>
      <c r="E812" s="176"/>
      <c r="F812" s="176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</row>
    <row r="813" spans="1:21" x14ac:dyDescent="0.2">
      <c r="A813" s="119"/>
      <c r="B813" s="119"/>
      <c r="C813" s="176"/>
      <c r="D813" s="119"/>
      <c r="E813" s="176"/>
      <c r="F813" s="176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</row>
    <row r="814" spans="1:21" x14ac:dyDescent="0.2">
      <c r="A814" s="119"/>
      <c r="B814" s="119"/>
      <c r="C814" s="176"/>
      <c r="D814" s="119"/>
      <c r="E814" s="176"/>
      <c r="F814" s="176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</row>
    <row r="815" spans="1:21" x14ac:dyDescent="0.2">
      <c r="A815" s="119"/>
      <c r="B815" s="119"/>
      <c r="C815" s="176"/>
      <c r="D815" s="119"/>
      <c r="E815" s="176"/>
      <c r="F815" s="176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</row>
    <row r="816" spans="1:21" x14ac:dyDescent="0.2">
      <c r="A816" s="119"/>
      <c r="B816" s="119"/>
      <c r="C816" s="176"/>
      <c r="D816" s="119"/>
      <c r="E816" s="176"/>
      <c r="F816" s="176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</row>
    <row r="817" spans="1:21" x14ac:dyDescent="0.2">
      <c r="A817" s="119"/>
      <c r="B817" s="119"/>
      <c r="C817" s="176"/>
      <c r="D817" s="119"/>
      <c r="E817" s="176"/>
      <c r="F817" s="176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</row>
    <row r="818" spans="1:21" x14ac:dyDescent="0.2">
      <c r="A818" s="119"/>
      <c r="B818" s="119"/>
      <c r="C818" s="176"/>
      <c r="D818" s="119"/>
      <c r="E818" s="176"/>
      <c r="F818" s="176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</row>
    <row r="819" spans="1:21" x14ac:dyDescent="0.2">
      <c r="A819" s="119"/>
      <c r="B819" s="119"/>
      <c r="C819" s="176"/>
      <c r="D819" s="119"/>
      <c r="E819" s="176"/>
      <c r="F819" s="176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</row>
    <row r="820" spans="1:21" x14ac:dyDescent="0.2">
      <c r="A820" s="119"/>
      <c r="B820" s="119"/>
      <c r="C820" s="176"/>
      <c r="D820" s="119"/>
      <c r="E820" s="176"/>
      <c r="F820" s="176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</row>
    <row r="821" spans="1:21" x14ac:dyDescent="0.2">
      <c r="A821" s="119"/>
      <c r="B821" s="119"/>
      <c r="C821" s="176"/>
      <c r="D821" s="119"/>
      <c r="E821" s="176"/>
      <c r="F821" s="176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</row>
    <row r="822" spans="1:21" x14ac:dyDescent="0.2">
      <c r="A822" s="119"/>
      <c r="B822" s="119"/>
      <c r="C822" s="176"/>
      <c r="D822" s="119"/>
      <c r="E822" s="176"/>
      <c r="F822" s="176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</row>
    <row r="823" spans="1:21" x14ac:dyDescent="0.2">
      <c r="A823" s="119"/>
      <c r="B823" s="119"/>
      <c r="C823" s="176"/>
      <c r="D823" s="119"/>
      <c r="E823" s="176"/>
      <c r="F823" s="176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</row>
    <row r="824" spans="1:21" x14ac:dyDescent="0.2">
      <c r="A824" s="119"/>
      <c r="B824" s="119"/>
      <c r="C824" s="176"/>
      <c r="D824" s="119"/>
      <c r="E824" s="176"/>
      <c r="F824" s="176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</row>
    <row r="825" spans="1:21" x14ac:dyDescent="0.2">
      <c r="A825" s="119"/>
      <c r="B825" s="119"/>
      <c r="C825" s="176"/>
      <c r="D825" s="119"/>
      <c r="E825" s="176"/>
      <c r="F825" s="176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</row>
    <row r="826" spans="1:21" x14ac:dyDescent="0.2">
      <c r="A826" s="119"/>
      <c r="B826" s="119"/>
      <c r="C826" s="176"/>
      <c r="D826" s="119"/>
      <c r="E826" s="176"/>
      <c r="F826" s="176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</row>
    <row r="827" spans="1:21" x14ac:dyDescent="0.2">
      <c r="A827" s="119"/>
      <c r="B827" s="119"/>
      <c r="C827" s="176"/>
      <c r="D827" s="119"/>
      <c r="E827" s="176"/>
      <c r="F827" s="176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</row>
    <row r="828" spans="1:21" x14ac:dyDescent="0.2">
      <c r="A828" s="119"/>
      <c r="B828" s="119"/>
      <c r="C828" s="176"/>
      <c r="D828" s="119"/>
      <c r="E828" s="176"/>
      <c r="F828" s="176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</row>
    <row r="829" spans="1:21" x14ac:dyDescent="0.2">
      <c r="A829" s="119"/>
      <c r="B829" s="119"/>
      <c r="C829" s="176"/>
      <c r="D829" s="119"/>
      <c r="E829" s="176"/>
      <c r="F829" s="176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</row>
    <row r="830" spans="1:21" x14ac:dyDescent="0.2">
      <c r="A830" s="119"/>
      <c r="B830" s="119"/>
      <c r="C830" s="176"/>
      <c r="D830" s="119"/>
      <c r="E830" s="176"/>
      <c r="F830" s="176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</row>
    <row r="831" spans="1:21" x14ac:dyDescent="0.2">
      <c r="A831" s="119"/>
      <c r="B831" s="119"/>
      <c r="C831" s="176"/>
      <c r="D831" s="119"/>
      <c r="E831" s="176"/>
      <c r="F831" s="176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</row>
    <row r="832" spans="1:21" x14ac:dyDescent="0.2">
      <c r="A832" s="119"/>
      <c r="B832" s="119"/>
      <c r="C832" s="176"/>
      <c r="D832" s="119"/>
      <c r="E832" s="176"/>
      <c r="F832" s="176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</row>
    <row r="833" spans="1:21" x14ac:dyDescent="0.2">
      <c r="A833" s="119"/>
      <c r="B833" s="119"/>
      <c r="C833" s="176"/>
      <c r="D833" s="119"/>
      <c r="E833" s="176"/>
      <c r="F833" s="176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</row>
    <row r="834" spans="1:21" x14ac:dyDescent="0.2">
      <c r="A834" s="119"/>
      <c r="B834" s="119"/>
      <c r="C834" s="176"/>
      <c r="D834" s="119"/>
      <c r="E834" s="176"/>
      <c r="F834" s="176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</row>
    <row r="835" spans="1:21" x14ac:dyDescent="0.2">
      <c r="A835" s="119"/>
      <c r="B835" s="119"/>
      <c r="C835" s="176"/>
      <c r="D835" s="119"/>
      <c r="E835" s="176"/>
      <c r="F835" s="176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</row>
    <row r="836" spans="1:21" x14ac:dyDescent="0.2">
      <c r="A836" s="119"/>
      <c r="B836" s="119"/>
      <c r="C836" s="176"/>
      <c r="D836" s="119"/>
      <c r="E836" s="176"/>
      <c r="F836" s="176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</row>
    <row r="837" spans="1:21" x14ac:dyDescent="0.2">
      <c r="A837" s="119"/>
      <c r="B837" s="119"/>
      <c r="C837" s="176"/>
      <c r="D837" s="119"/>
      <c r="E837" s="176"/>
      <c r="F837" s="176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</row>
    <row r="838" spans="1:21" x14ac:dyDescent="0.2">
      <c r="A838" s="119"/>
      <c r="B838" s="119"/>
      <c r="C838" s="176"/>
      <c r="D838" s="119"/>
      <c r="E838" s="176"/>
      <c r="F838" s="176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</row>
    <row r="839" spans="1:21" x14ac:dyDescent="0.2">
      <c r="A839" s="119"/>
      <c r="B839" s="119"/>
      <c r="C839" s="176"/>
      <c r="D839" s="119"/>
      <c r="E839" s="176"/>
      <c r="F839" s="176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</row>
    <row r="840" spans="1:21" x14ac:dyDescent="0.2">
      <c r="A840" s="119"/>
      <c r="B840" s="119"/>
      <c r="C840" s="176"/>
      <c r="D840" s="119"/>
      <c r="E840" s="176"/>
      <c r="F840" s="176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</row>
    <row r="841" spans="1:21" x14ac:dyDescent="0.2">
      <c r="A841" s="119"/>
      <c r="B841" s="119"/>
      <c r="C841" s="176"/>
      <c r="D841" s="119"/>
      <c r="E841" s="176"/>
      <c r="F841" s="176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</row>
    <row r="842" spans="1:21" x14ac:dyDescent="0.2">
      <c r="A842" s="119"/>
      <c r="B842" s="119"/>
      <c r="C842" s="176"/>
      <c r="D842" s="119"/>
      <c r="E842" s="176"/>
      <c r="F842" s="176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</row>
    <row r="843" spans="1:21" x14ac:dyDescent="0.2">
      <c r="A843" s="119"/>
      <c r="B843" s="119"/>
      <c r="C843" s="176"/>
      <c r="D843" s="119"/>
      <c r="E843" s="176"/>
      <c r="F843" s="176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</row>
    <row r="844" spans="1:21" x14ac:dyDescent="0.2">
      <c r="A844" s="119"/>
      <c r="B844" s="119"/>
      <c r="C844" s="176"/>
      <c r="D844" s="119"/>
      <c r="E844" s="176"/>
      <c r="F844" s="176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</row>
    <row r="845" spans="1:21" x14ac:dyDescent="0.2">
      <c r="A845" s="119"/>
      <c r="B845" s="119"/>
      <c r="C845" s="176"/>
      <c r="D845" s="119"/>
      <c r="E845" s="176"/>
      <c r="F845" s="176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</row>
    <row r="846" spans="1:21" x14ac:dyDescent="0.2">
      <c r="A846" s="119"/>
      <c r="B846" s="119"/>
      <c r="C846" s="176"/>
      <c r="D846" s="119"/>
      <c r="E846" s="176"/>
      <c r="F846" s="176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</row>
    <row r="847" spans="1:21" x14ac:dyDescent="0.2">
      <c r="A847" s="119"/>
      <c r="B847" s="119"/>
      <c r="C847" s="176"/>
      <c r="D847" s="119"/>
      <c r="E847" s="176"/>
      <c r="F847" s="176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</row>
    <row r="848" spans="1:21" x14ac:dyDescent="0.2">
      <c r="A848" s="119"/>
      <c r="B848" s="119"/>
      <c r="C848" s="176"/>
      <c r="D848" s="119"/>
      <c r="E848" s="176"/>
      <c r="F848" s="176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</row>
    <row r="849" spans="1:21" x14ac:dyDescent="0.2">
      <c r="A849" s="119"/>
      <c r="B849" s="119"/>
      <c r="C849" s="176"/>
      <c r="D849" s="119"/>
      <c r="E849" s="176"/>
      <c r="F849" s="176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</row>
    <row r="850" spans="1:21" x14ac:dyDescent="0.2">
      <c r="A850" s="119"/>
      <c r="B850" s="119"/>
      <c r="C850" s="176"/>
      <c r="D850" s="119"/>
      <c r="E850" s="176"/>
      <c r="F850" s="176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</row>
    <row r="851" spans="1:21" x14ac:dyDescent="0.2">
      <c r="A851" s="119"/>
      <c r="B851" s="119"/>
      <c r="C851" s="176"/>
      <c r="D851" s="119"/>
      <c r="E851" s="176"/>
      <c r="F851" s="176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</row>
    <row r="852" spans="1:21" x14ac:dyDescent="0.2">
      <c r="A852" s="119"/>
      <c r="B852" s="119"/>
      <c r="C852" s="176"/>
      <c r="D852" s="119"/>
      <c r="E852" s="176"/>
      <c r="F852" s="176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</row>
    <row r="853" spans="1:21" x14ac:dyDescent="0.2">
      <c r="A853" s="119"/>
      <c r="B853" s="119"/>
      <c r="C853" s="176"/>
      <c r="D853" s="119"/>
      <c r="E853" s="176"/>
      <c r="F853" s="176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</row>
    <row r="854" spans="1:21" x14ac:dyDescent="0.2">
      <c r="A854" s="119"/>
      <c r="B854" s="119"/>
      <c r="C854" s="176"/>
      <c r="D854" s="119"/>
      <c r="E854" s="176"/>
      <c r="F854" s="176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</row>
    <row r="855" spans="1:21" x14ac:dyDescent="0.2">
      <c r="A855" s="119"/>
      <c r="B855" s="119"/>
      <c r="C855" s="176"/>
      <c r="D855" s="119"/>
      <c r="E855" s="176"/>
      <c r="F855" s="176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</row>
    <row r="856" spans="1:21" x14ac:dyDescent="0.2">
      <c r="A856" s="119"/>
      <c r="B856" s="119"/>
      <c r="C856" s="176"/>
      <c r="D856" s="119"/>
      <c r="E856" s="176"/>
      <c r="F856" s="176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</row>
    <row r="857" spans="1:21" x14ac:dyDescent="0.2">
      <c r="A857" s="119"/>
      <c r="B857" s="119"/>
      <c r="C857" s="176"/>
      <c r="D857" s="119"/>
      <c r="E857" s="176"/>
      <c r="F857" s="176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</row>
    <row r="858" spans="1:21" x14ac:dyDescent="0.2">
      <c r="A858" s="119"/>
      <c r="B858" s="119"/>
      <c r="C858" s="176"/>
      <c r="D858" s="119"/>
      <c r="E858" s="176"/>
      <c r="F858" s="176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</row>
    <row r="859" spans="1:21" x14ac:dyDescent="0.2">
      <c r="A859" s="119"/>
      <c r="B859" s="119"/>
      <c r="C859" s="176"/>
      <c r="D859" s="119"/>
      <c r="E859" s="176"/>
      <c r="F859" s="176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</row>
    <row r="860" spans="1:21" x14ac:dyDescent="0.2">
      <c r="A860" s="119"/>
      <c r="B860" s="119"/>
      <c r="C860" s="176"/>
      <c r="D860" s="119"/>
      <c r="E860" s="176"/>
      <c r="F860" s="176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</row>
    <row r="861" spans="1:21" x14ac:dyDescent="0.2">
      <c r="A861" s="119"/>
      <c r="B861" s="119"/>
      <c r="C861" s="176"/>
      <c r="D861" s="119"/>
      <c r="E861" s="176"/>
      <c r="F861" s="176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</row>
    <row r="862" spans="1:21" x14ac:dyDescent="0.2">
      <c r="A862" s="119"/>
      <c r="B862" s="119"/>
      <c r="C862" s="176"/>
      <c r="D862" s="119"/>
      <c r="E862" s="176"/>
      <c r="F862" s="176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</row>
    <row r="863" spans="1:21" x14ac:dyDescent="0.2">
      <c r="A863" s="119"/>
      <c r="B863" s="119"/>
      <c r="C863" s="176"/>
      <c r="D863" s="119"/>
      <c r="E863" s="176"/>
      <c r="F863" s="176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</row>
    <row r="864" spans="1:21" x14ac:dyDescent="0.2">
      <c r="A864" s="119"/>
      <c r="B864" s="119"/>
      <c r="C864" s="176"/>
      <c r="D864" s="119"/>
      <c r="E864" s="176"/>
      <c r="F864" s="176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</row>
    <row r="865" spans="1:21" x14ac:dyDescent="0.2">
      <c r="A865" s="119"/>
      <c r="B865" s="119"/>
      <c r="C865" s="176"/>
      <c r="D865" s="119"/>
      <c r="E865" s="176"/>
      <c r="F865" s="176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</row>
    <row r="866" spans="1:21" x14ac:dyDescent="0.2">
      <c r="A866" s="119"/>
      <c r="B866" s="119"/>
      <c r="C866" s="176"/>
      <c r="D866" s="119"/>
      <c r="E866" s="176"/>
      <c r="F866" s="176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</row>
    <row r="867" spans="1:21" x14ac:dyDescent="0.2">
      <c r="A867" s="119"/>
      <c r="B867" s="119"/>
      <c r="C867" s="176"/>
      <c r="D867" s="119"/>
      <c r="E867" s="176"/>
      <c r="F867" s="176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</row>
    <row r="868" spans="1:21" x14ac:dyDescent="0.2">
      <c r="A868" s="119"/>
      <c r="B868" s="119"/>
      <c r="C868" s="176"/>
      <c r="D868" s="119"/>
      <c r="E868" s="176"/>
      <c r="F868" s="176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</row>
    <row r="869" spans="1:21" x14ac:dyDescent="0.2">
      <c r="A869" s="119"/>
      <c r="B869" s="119"/>
      <c r="C869" s="176"/>
      <c r="D869" s="119"/>
      <c r="E869" s="176"/>
      <c r="F869" s="176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</row>
    <row r="870" spans="1:21" x14ac:dyDescent="0.2">
      <c r="A870" s="119"/>
      <c r="B870" s="119"/>
      <c r="C870" s="176"/>
      <c r="D870" s="119"/>
      <c r="E870" s="176"/>
      <c r="F870" s="176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</row>
    <row r="871" spans="1:21" x14ac:dyDescent="0.2">
      <c r="A871" s="119"/>
      <c r="B871" s="119"/>
      <c r="C871" s="176"/>
      <c r="D871" s="119"/>
      <c r="E871" s="176"/>
      <c r="F871" s="176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</row>
    <row r="872" spans="1:21" x14ac:dyDescent="0.2">
      <c r="A872" s="119"/>
      <c r="B872" s="119"/>
      <c r="C872" s="176"/>
      <c r="D872" s="119"/>
      <c r="E872" s="176"/>
      <c r="F872" s="176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</row>
    <row r="873" spans="1:21" x14ac:dyDescent="0.2">
      <c r="A873" s="119"/>
      <c r="B873" s="119"/>
      <c r="C873" s="176"/>
      <c r="D873" s="119"/>
      <c r="E873" s="176"/>
      <c r="F873" s="176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</row>
    <row r="874" spans="1:21" x14ac:dyDescent="0.2">
      <c r="A874" s="119"/>
      <c r="B874" s="119"/>
      <c r="C874" s="176"/>
      <c r="D874" s="119"/>
      <c r="E874" s="176"/>
      <c r="F874" s="176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</row>
    <row r="875" spans="1:21" x14ac:dyDescent="0.2">
      <c r="A875" s="119"/>
      <c r="B875" s="119"/>
      <c r="C875" s="176"/>
      <c r="D875" s="119"/>
      <c r="E875" s="176"/>
      <c r="F875" s="176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</row>
    <row r="876" spans="1:21" x14ac:dyDescent="0.2">
      <c r="A876" s="119"/>
      <c r="B876" s="119"/>
      <c r="C876" s="176"/>
      <c r="D876" s="119"/>
      <c r="E876" s="176"/>
      <c r="F876" s="176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</row>
    <row r="877" spans="1:21" x14ac:dyDescent="0.2">
      <c r="A877" s="119"/>
      <c r="B877" s="119"/>
      <c r="C877" s="176"/>
      <c r="D877" s="119"/>
      <c r="E877" s="176"/>
      <c r="F877" s="176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</row>
    <row r="878" spans="1:21" x14ac:dyDescent="0.2">
      <c r="A878" s="119"/>
      <c r="B878" s="119"/>
      <c r="C878" s="176"/>
      <c r="D878" s="119"/>
      <c r="E878" s="176"/>
      <c r="F878" s="176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</row>
    <row r="879" spans="1:21" x14ac:dyDescent="0.2">
      <c r="A879" s="119"/>
      <c r="B879" s="119"/>
      <c r="C879" s="176"/>
      <c r="D879" s="119"/>
      <c r="E879" s="176"/>
      <c r="F879" s="176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</row>
    <row r="880" spans="1:21" x14ac:dyDescent="0.2">
      <c r="A880" s="119"/>
      <c r="B880" s="119"/>
      <c r="C880" s="176"/>
      <c r="D880" s="119"/>
      <c r="E880" s="176"/>
      <c r="F880" s="176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</row>
    <row r="881" spans="1:21" x14ac:dyDescent="0.2">
      <c r="A881" s="119"/>
      <c r="B881" s="119"/>
      <c r="C881" s="176"/>
      <c r="D881" s="119"/>
      <c r="E881" s="176"/>
      <c r="F881" s="176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</row>
    <row r="882" spans="1:21" x14ac:dyDescent="0.2">
      <c r="A882" s="119"/>
      <c r="B882" s="119"/>
      <c r="C882" s="176"/>
      <c r="D882" s="119"/>
      <c r="E882" s="176"/>
      <c r="F882" s="176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</row>
    <row r="883" spans="1:21" x14ac:dyDescent="0.2">
      <c r="A883" s="119"/>
      <c r="B883" s="119"/>
      <c r="C883" s="176"/>
      <c r="D883" s="119"/>
      <c r="E883" s="176"/>
      <c r="F883" s="176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</row>
    <row r="884" spans="1:21" x14ac:dyDescent="0.2">
      <c r="A884" s="119"/>
      <c r="B884" s="119"/>
      <c r="C884" s="176"/>
      <c r="D884" s="119"/>
      <c r="E884" s="176"/>
      <c r="F884" s="176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</row>
    <row r="885" spans="1:21" x14ac:dyDescent="0.2">
      <c r="A885" s="119"/>
      <c r="B885" s="119"/>
      <c r="C885" s="176"/>
      <c r="D885" s="119"/>
      <c r="E885" s="176"/>
      <c r="F885" s="176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</row>
    <row r="886" spans="1:21" x14ac:dyDescent="0.2">
      <c r="A886" s="119"/>
      <c r="B886" s="119"/>
      <c r="C886" s="176"/>
      <c r="D886" s="119"/>
      <c r="E886" s="176"/>
      <c r="F886" s="176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</row>
    <row r="887" spans="1:21" x14ac:dyDescent="0.2">
      <c r="A887" s="119"/>
      <c r="B887" s="119"/>
      <c r="C887" s="176"/>
      <c r="D887" s="119"/>
      <c r="E887" s="176"/>
      <c r="F887" s="176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</row>
    <row r="888" spans="1:21" x14ac:dyDescent="0.2">
      <c r="A888" s="119"/>
      <c r="B888" s="119"/>
      <c r="C888" s="176"/>
      <c r="D888" s="119"/>
      <c r="E888" s="176"/>
      <c r="F888" s="176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</row>
    <row r="889" spans="1:21" x14ac:dyDescent="0.2">
      <c r="A889" s="119"/>
      <c r="B889" s="119"/>
      <c r="C889" s="176"/>
      <c r="D889" s="119"/>
      <c r="E889" s="176"/>
      <c r="F889" s="176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</row>
    <row r="890" spans="1:21" x14ac:dyDescent="0.2">
      <c r="A890" s="119"/>
      <c r="B890" s="119"/>
      <c r="C890" s="176"/>
      <c r="D890" s="119"/>
      <c r="E890" s="176"/>
      <c r="F890" s="176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</row>
    <row r="891" spans="1:21" x14ac:dyDescent="0.2">
      <c r="A891" s="119"/>
      <c r="B891" s="119"/>
      <c r="C891" s="176"/>
      <c r="D891" s="119"/>
      <c r="E891" s="176"/>
      <c r="F891" s="176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</row>
    <row r="892" spans="1:21" x14ac:dyDescent="0.2">
      <c r="A892" s="119"/>
      <c r="B892" s="119"/>
      <c r="C892" s="176"/>
      <c r="D892" s="119"/>
      <c r="E892" s="176"/>
      <c r="F892" s="176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</row>
    <row r="893" spans="1:21" x14ac:dyDescent="0.2">
      <c r="A893" s="119"/>
      <c r="B893" s="119"/>
      <c r="C893" s="176"/>
      <c r="D893" s="119"/>
      <c r="E893" s="176"/>
      <c r="F893" s="176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</row>
    <row r="894" spans="1:21" x14ac:dyDescent="0.2">
      <c r="A894" s="119"/>
      <c r="B894" s="119"/>
      <c r="C894" s="176"/>
      <c r="D894" s="119"/>
      <c r="E894" s="176"/>
      <c r="F894" s="176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</row>
    <row r="895" spans="1:21" x14ac:dyDescent="0.2">
      <c r="A895" s="119"/>
      <c r="B895" s="119"/>
      <c r="C895" s="176"/>
      <c r="D895" s="119"/>
      <c r="E895" s="176"/>
      <c r="F895" s="176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</row>
    <row r="896" spans="1:21" x14ac:dyDescent="0.2">
      <c r="A896" s="119"/>
      <c r="B896" s="119"/>
      <c r="C896" s="176"/>
      <c r="D896" s="119"/>
      <c r="E896" s="176"/>
      <c r="F896" s="176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</row>
    <row r="897" spans="1:21" x14ac:dyDescent="0.2">
      <c r="A897" s="119"/>
      <c r="B897" s="119"/>
      <c r="C897" s="176"/>
      <c r="D897" s="119"/>
      <c r="E897" s="176"/>
      <c r="F897" s="176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</row>
    <row r="898" spans="1:21" x14ac:dyDescent="0.2">
      <c r="A898" s="119"/>
      <c r="B898" s="119"/>
      <c r="C898" s="176"/>
      <c r="D898" s="119"/>
      <c r="E898" s="176"/>
      <c r="F898" s="176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</row>
    <row r="899" spans="1:21" x14ac:dyDescent="0.2">
      <c r="A899" s="119"/>
      <c r="B899" s="119"/>
      <c r="C899" s="176"/>
      <c r="D899" s="119"/>
      <c r="E899" s="176"/>
      <c r="F899" s="176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</row>
    <row r="900" spans="1:21" x14ac:dyDescent="0.2">
      <c r="A900" s="119"/>
      <c r="B900" s="119"/>
      <c r="C900" s="176"/>
      <c r="D900" s="119"/>
      <c r="E900" s="176"/>
      <c r="F900" s="176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</row>
    <row r="901" spans="1:21" x14ac:dyDescent="0.2">
      <c r="A901" s="119"/>
      <c r="B901" s="119"/>
      <c r="C901" s="176"/>
      <c r="D901" s="119"/>
      <c r="E901" s="176"/>
      <c r="F901" s="176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</row>
    <row r="902" spans="1:21" x14ac:dyDescent="0.2">
      <c r="A902" s="119"/>
      <c r="B902" s="119"/>
      <c r="C902" s="176"/>
      <c r="D902" s="119"/>
      <c r="E902" s="176"/>
      <c r="F902" s="176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</row>
    <row r="903" spans="1:21" x14ac:dyDescent="0.2">
      <c r="A903" s="119"/>
      <c r="B903" s="119"/>
      <c r="C903" s="176"/>
      <c r="D903" s="119"/>
      <c r="E903" s="176"/>
      <c r="F903" s="176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</row>
    <row r="904" spans="1:21" x14ac:dyDescent="0.2">
      <c r="A904" s="119"/>
      <c r="B904" s="119"/>
      <c r="C904" s="176"/>
      <c r="D904" s="119"/>
      <c r="E904" s="176"/>
      <c r="F904" s="176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</row>
    <row r="905" spans="1:21" x14ac:dyDescent="0.2">
      <c r="A905" s="119"/>
      <c r="B905" s="119"/>
      <c r="C905" s="176"/>
      <c r="D905" s="119"/>
      <c r="E905" s="176"/>
      <c r="F905" s="176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</row>
    <row r="906" spans="1:21" x14ac:dyDescent="0.2">
      <c r="A906" s="119"/>
      <c r="B906" s="119"/>
      <c r="C906" s="176"/>
      <c r="D906" s="119"/>
      <c r="E906" s="176"/>
      <c r="F906" s="176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</row>
    <row r="907" spans="1:21" x14ac:dyDescent="0.2">
      <c r="A907" s="119"/>
      <c r="B907" s="119"/>
      <c r="C907" s="176"/>
      <c r="D907" s="119"/>
      <c r="E907" s="176"/>
      <c r="F907" s="176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</row>
    <row r="908" spans="1:21" x14ac:dyDescent="0.2">
      <c r="A908" s="119"/>
      <c r="B908" s="119"/>
      <c r="C908" s="176"/>
      <c r="D908" s="119"/>
      <c r="E908" s="176"/>
      <c r="F908" s="176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</row>
    <row r="909" spans="1:21" x14ac:dyDescent="0.2">
      <c r="A909" s="119"/>
      <c r="B909" s="119"/>
      <c r="C909" s="176"/>
      <c r="D909" s="119"/>
      <c r="E909" s="176"/>
      <c r="F909" s="176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</row>
    <row r="910" spans="1:21" x14ac:dyDescent="0.2">
      <c r="A910" s="119"/>
      <c r="B910" s="119"/>
      <c r="C910" s="176"/>
      <c r="D910" s="119"/>
      <c r="E910" s="176"/>
      <c r="F910" s="176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</row>
    <row r="911" spans="1:21" x14ac:dyDescent="0.2">
      <c r="A911" s="119"/>
      <c r="B911" s="119"/>
      <c r="C911" s="176"/>
      <c r="D911" s="119"/>
      <c r="E911" s="176"/>
      <c r="F911" s="176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</row>
    <row r="912" spans="1:21" x14ac:dyDescent="0.2">
      <c r="A912" s="119"/>
      <c r="B912" s="119"/>
      <c r="C912" s="176"/>
      <c r="D912" s="119"/>
      <c r="E912" s="176"/>
      <c r="F912" s="176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</row>
    <row r="913" spans="1:21" x14ac:dyDescent="0.2">
      <c r="A913" s="119"/>
      <c r="B913" s="119"/>
      <c r="C913" s="176"/>
      <c r="D913" s="119"/>
      <c r="E913" s="176"/>
      <c r="F913" s="176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</row>
    <row r="914" spans="1:21" x14ac:dyDescent="0.2">
      <c r="A914" s="119"/>
      <c r="B914" s="119"/>
      <c r="C914" s="176"/>
      <c r="D914" s="119"/>
      <c r="E914" s="176"/>
      <c r="F914" s="176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</row>
    <row r="915" spans="1:21" x14ac:dyDescent="0.2">
      <c r="A915" s="119"/>
      <c r="B915" s="119"/>
      <c r="C915" s="176"/>
      <c r="D915" s="119"/>
      <c r="E915" s="176"/>
      <c r="F915" s="176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</row>
    <row r="916" spans="1:21" x14ac:dyDescent="0.2">
      <c r="A916" s="119"/>
      <c r="B916" s="119"/>
      <c r="C916" s="176"/>
      <c r="D916" s="119"/>
      <c r="E916" s="176"/>
      <c r="F916" s="176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</row>
    <row r="917" spans="1:21" x14ac:dyDescent="0.2">
      <c r="A917" s="119"/>
      <c r="B917" s="119"/>
      <c r="C917" s="176"/>
      <c r="D917" s="119"/>
      <c r="E917" s="176"/>
      <c r="F917" s="176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</row>
    <row r="918" spans="1:21" x14ac:dyDescent="0.2">
      <c r="A918" s="119"/>
      <c r="B918" s="119"/>
      <c r="C918" s="176"/>
      <c r="D918" s="119"/>
      <c r="E918" s="176"/>
      <c r="F918" s="176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</row>
    <row r="919" spans="1:21" x14ac:dyDescent="0.2">
      <c r="A919" s="119"/>
      <c r="B919" s="119"/>
      <c r="C919" s="176"/>
      <c r="D919" s="119"/>
      <c r="E919" s="176"/>
      <c r="F919" s="176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</row>
    <row r="920" spans="1:21" x14ac:dyDescent="0.2">
      <c r="A920" s="119"/>
      <c r="B920" s="119"/>
      <c r="C920" s="176"/>
      <c r="D920" s="119"/>
      <c r="E920" s="176"/>
      <c r="F920" s="176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</row>
    <row r="921" spans="1:21" x14ac:dyDescent="0.2">
      <c r="A921" s="119"/>
      <c r="B921" s="119"/>
      <c r="C921" s="176"/>
      <c r="D921" s="119"/>
      <c r="E921" s="176"/>
      <c r="F921" s="176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</row>
    <row r="922" spans="1:21" x14ac:dyDescent="0.2">
      <c r="A922" s="119"/>
      <c r="B922" s="119"/>
      <c r="C922" s="176"/>
      <c r="D922" s="119"/>
      <c r="E922" s="176"/>
      <c r="F922" s="176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</row>
    <row r="923" spans="1:21" x14ac:dyDescent="0.2">
      <c r="A923" s="119"/>
      <c r="B923" s="119"/>
      <c r="C923" s="176"/>
      <c r="D923" s="119"/>
      <c r="E923" s="176"/>
      <c r="F923" s="176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</row>
    <row r="924" spans="1:21" x14ac:dyDescent="0.2">
      <c r="A924" s="119"/>
      <c r="B924" s="119"/>
      <c r="C924" s="176"/>
      <c r="D924" s="119"/>
      <c r="E924" s="176"/>
      <c r="F924" s="176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</row>
    <row r="925" spans="1:21" x14ac:dyDescent="0.2">
      <c r="A925" s="119"/>
      <c r="B925" s="119"/>
      <c r="C925" s="176"/>
      <c r="D925" s="119"/>
      <c r="E925" s="176"/>
      <c r="F925" s="176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</row>
    <row r="926" spans="1:21" x14ac:dyDescent="0.2">
      <c r="A926" s="119"/>
      <c r="B926" s="119"/>
      <c r="C926" s="176"/>
      <c r="D926" s="119"/>
      <c r="E926" s="176"/>
      <c r="F926" s="176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</row>
    <row r="927" spans="1:21" x14ac:dyDescent="0.2">
      <c r="A927" s="119"/>
      <c r="B927" s="119"/>
      <c r="C927" s="176"/>
      <c r="D927" s="119"/>
      <c r="E927" s="176"/>
      <c r="F927" s="176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</row>
    <row r="928" spans="1:21" x14ac:dyDescent="0.2">
      <c r="A928" s="119"/>
      <c r="B928" s="119"/>
      <c r="C928" s="176"/>
      <c r="D928" s="119"/>
      <c r="E928" s="176"/>
      <c r="F928" s="176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</row>
    <row r="929" spans="1:21" x14ac:dyDescent="0.2">
      <c r="A929" s="119"/>
      <c r="B929" s="119"/>
      <c r="C929" s="176"/>
      <c r="D929" s="119"/>
      <c r="E929" s="176"/>
      <c r="F929" s="176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</row>
    <row r="930" spans="1:21" x14ac:dyDescent="0.2">
      <c r="A930" s="119"/>
      <c r="B930" s="119"/>
      <c r="C930" s="176"/>
      <c r="D930" s="119"/>
      <c r="E930" s="176"/>
      <c r="F930" s="176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</row>
    <row r="931" spans="1:21" x14ac:dyDescent="0.2">
      <c r="A931" s="119"/>
      <c r="B931" s="119"/>
      <c r="C931" s="176"/>
      <c r="D931" s="119"/>
      <c r="E931" s="176"/>
      <c r="F931" s="176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</row>
    <row r="932" spans="1:21" x14ac:dyDescent="0.2">
      <c r="A932" s="119"/>
      <c r="B932" s="119"/>
      <c r="C932" s="176"/>
      <c r="D932" s="119"/>
      <c r="E932" s="176"/>
      <c r="F932" s="176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</row>
    <row r="933" spans="1:21" x14ac:dyDescent="0.2">
      <c r="A933" s="119"/>
      <c r="B933" s="119"/>
      <c r="C933" s="176"/>
      <c r="D933" s="119"/>
      <c r="E933" s="176"/>
      <c r="F933" s="176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</row>
    <row r="934" spans="1:21" x14ac:dyDescent="0.2">
      <c r="A934" s="119"/>
      <c r="B934" s="119"/>
      <c r="C934" s="176"/>
      <c r="D934" s="119"/>
      <c r="E934" s="176"/>
      <c r="F934" s="176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</row>
    <row r="935" spans="1:21" x14ac:dyDescent="0.2">
      <c r="A935" s="119"/>
      <c r="B935" s="119"/>
      <c r="C935" s="176"/>
      <c r="D935" s="119"/>
      <c r="E935" s="176"/>
      <c r="F935" s="176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</row>
    <row r="936" spans="1:21" x14ac:dyDescent="0.2">
      <c r="A936" s="119"/>
      <c r="B936" s="119"/>
      <c r="C936" s="176"/>
      <c r="D936" s="119"/>
      <c r="E936" s="176"/>
      <c r="F936" s="176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</row>
    <row r="937" spans="1:21" x14ac:dyDescent="0.2">
      <c r="A937" s="119"/>
      <c r="B937" s="119"/>
      <c r="C937" s="176"/>
      <c r="D937" s="119"/>
      <c r="E937" s="176"/>
      <c r="F937" s="176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</row>
    <row r="938" spans="1:21" x14ac:dyDescent="0.2">
      <c r="A938" s="119"/>
      <c r="B938" s="119"/>
      <c r="C938" s="176"/>
      <c r="D938" s="119"/>
      <c r="E938" s="176"/>
      <c r="F938" s="176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</row>
    <row r="939" spans="1:21" x14ac:dyDescent="0.2">
      <c r="A939" s="119"/>
      <c r="B939" s="119"/>
      <c r="C939" s="176"/>
      <c r="D939" s="119"/>
      <c r="E939" s="176"/>
      <c r="F939" s="176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</row>
    <row r="940" spans="1:21" x14ac:dyDescent="0.2">
      <c r="A940" s="119"/>
      <c r="B940" s="119"/>
      <c r="C940" s="176"/>
      <c r="D940" s="119"/>
      <c r="E940" s="176"/>
      <c r="F940" s="176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</row>
    <row r="941" spans="1:21" x14ac:dyDescent="0.2">
      <c r="A941" s="119"/>
      <c r="B941" s="119"/>
      <c r="C941" s="176"/>
      <c r="D941" s="119"/>
      <c r="E941" s="176"/>
      <c r="F941" s="176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</row>
    <row r="942" spans="1:21" x14ac:dyDescent="0.2">
      <c r="A942" s="119"/>
      <c r="B942" s="119"/>
      <c r="C942" s="176"/>
      <c r="D942" s="119"/>
      <c r="E942" s="176"/>
      <c r="F942" s="176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</row>
    <row r="943" spans="1:21" x14ac:dyDescent="0.2">
      <c r="A943" s="119"/>
      <c r="B943" s="119"/>
      <c r="C943" s="176"/>
      <c r="D943" s="119"/>
      <c r="E943" s="176"/>
      <c r="F943" s="176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</row>
    <row r="944" spans="1:21" x14ac:dyDescent="0.2">
      <c r="A944" s="119"/>
      <c r="B944" s="119"/>
      <c r="C944" s="176"/>
      <c r="D944" s="119"/>
      <c r="E944" s="176"/>
      <c r="F944" s="176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</row>
    <row r="945" spans="1:21" x14ac:dyDescent="0.2">
      <c r="A945" s="119"/>
      <c r="B945" s="119"/>
      <c r="C945" s="176"/>
      <c r="D945" s="119"/>
      <c r="E945" s="176"/>
      <c r="F945" s="176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</row>
    <row r="946" spans="1:21" x14ac:dyDescent="0.2">
      <c r="A946" s="119"/>
      <c r="B946" s="119"/>
      <c r="C946" s="176"/>
      <c r="D946" s="119"/>
      <c r="E946" s="176"/>
      <c r="F946" s="176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</row>
    <row r="947" spans="1:21" x14ac:dyDescent="0.2">
      <c r="A947" s="119"/>
      <c r="B947" s="119"/>
      <c r="C947" s="176"/>
      <c r="D947" s="119"/>
      <c r="E947" s="176"/>
      <c r="F947" s="176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</row>
    <row r="948" spans="1:21" x14ac:dyDescent="0.2">
      <c r="A948" s="119"/>
      <c r="B948" s="119"/>
      <c r="C948" s="176"/>
      <c r="D948" s="119"/>
      <c r="E948" s="176"/>
      <c r="F948" s="176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</row>
    <row r="949" spans="1:21" x14ac:dyDescent="0.2">
      <c r="A949" s="119"/>
      <c r="B949" s="119"/>
      <c r="C949" s="176"/>
      <c r="D949" s="119"/>
      <c r="E949" s="176"/>
      <c r="F949" s="176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</row>
    <row r="950" spans="1:21" x14ac:dyDescent="0.2">
      <c r="A950" s="119"/>
      <c r="B950" s="119"/>
      <c r="C950" s="176"/>
      <c r="D950" s="119"/>
      <c r="E950" s="176"/>
      <c r="F950" s="176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</row>
    <row r="951" spans="1:21" x14ac:dyDescent="0.2">
      <c r="A951" s="119"/>
      <c r="B951" s="119"/>
      <c r="C951" s="176"/>
      <c r="D951" s="119"/>
      <c r="E951" s="176"/>
      <c r="F951" s="176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</row>
    <row r="952" spans="1:21" x14ac:dyDescent="0.2">
      <c r="A952" s="119"/>
      <c r="B952" s="119"/>
      <c r="C952" s="176"/>
      <c r="D952" s="119"/>
      <c r="E952" s="176"/>
      <c r="F952" s="176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</row>
    <row r="953" spans="1:21" x14ac:dyDescent="0.2">
      <c r="A953" s="119"/>
      <c r="B953" s="119"/>
      <c r="C953" s="176"/>
      <c r="D953" s="119"/>
      <c r="E953" s="176"/>
      <c r="F953" s="176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</row>
    <row r="954" spans="1:21" x14ac:dyDescent="0.2">
      <c r="A954" s="119"/>
      <c r="B954" s="119"/>
      <c r="C954" s="176"/>
      <c r="D954" s="119"/>
      <c r="E954" s="176"/>
      <c r="F954" s="176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</row>
    <row r="955" spans="1:21" x14ac:dyDescent="0.2">
      <c r="A955" s="119"/>
      <c r="B955" s="119"/>
      <c r="C955" s="176"/>
      <c r="D955" s="119"/>
      <c r="E955" s="176"/>
      <c r="F955" s="176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</row>
    <row r="956" spans="1:21" x14ac:dyDescent="0.2">
      <c r="A956" s="119"/>
      <c r="B956" s="119"/>
      <c r="C956" s="176"/>
      <c r="D956" s="119"/>
      <c r="E956" s="176"/>
      <c r="F956" s="176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</row>
    <row r="957" spans="1:21" x14ac:dyDescent="0.2">
      <c r="A957" s="119"/>
      <c r="B957" s="119"/>
      <c r="C957" s="176"/>
      <c r="D957" s="119"/>
      <c r="E957" s="176"/>
      <c r="F957" s="176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</row>
    <row r="958" spans="1:21" x14ac:dyDescent="0.2">
      <c r="A958" s="119"/>
      <c r="B958" s="119"/>
      <c r="C958" s="176"/>
      <c r="D958" s="119"/>
      <c r="E958" s="176"/>
      <c r="F958" s="176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</row>
    <row r="959" spans="1:21" x14ac:dyDescent="0.2">
      <c r="A959" s="119"/>
      <c r="B959" s="119"/>
      <c r="C959" s="176"/>
      <c r="D959" s="119"/>
      <c r="E959" s="176"/>
      <c r="F959" s="176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</row>
    <row r="960" spans="1:21" x14ac:dyDescent="0.2">
      <c r="A960" s="119"/>
      <c r="B960" s="119"/>
      <c r="C960" s="176"/>
      <c r="D960" s="119"/>
      <c r="E960" s="176"/>
      <c r="F960" s="176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</row>
    <row r="961" spans="1:21" x14ac:dyDescent="0.2">
      <c r="A961" s="119"/>
      <c r="B961" s="119"/>
      <c r="C961" s="176"/>
      <c r="D961" s="119"/>
      <c r="E961" s="176"/>
      <c r="F961" s="176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</row>
    <row r="962" spans="1:21" x14ac:dyDescent="0.2">
      <c r="A962" s="119"/>
      <c r="B962" s="119"/>
      <c r="C962" s="176"/>
      <c r="D962" s="119"/>
      <c r="E962" s="176"/>
      <c r="F962" s="176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</row>
    <row r="963" spans="1:21" x14ac:dyDescent="0.2">
      <c r="A963" s="119"/>
      <c r="B963" s="119"/>
      <c r="C963" s="176"/>
      <c r="D963" s="119"/>
      <c r="E963" s="176"/>
      <c r="F963" s="176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</row>
    <row r="964" spans="1:21" x14ac:dyDescent="0.2">
      <c r="A964" s="119"/>
      <c r="B964" s="119"/>
      <c r="C964" s="176"/>
      <c r="D964" s="119"/>
      <c r="E964" s="176"/>
      <c r="F964" s="176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</row>
    <row r="965" spans="1:21" x14ac:dyDescent="0.2">
      <c r="A965" s="119"/>
      <c r="B965" s="119"/>
      <c r="C965" s="176"/>
      <c r="D965" s="119"/>
      <c r="E965" s="176"/>
      <c r="F965" s="176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</row>
    <row r="966" spans="1:21" x14ac:dyDescent="0.2">
      <c r="A966" s="119"/>
      <c r="B966" s="119"/>
      <c r="C966" s="176"/>
      <c r="D966" s="119"/>
      <c r="E966" s="176"/>
      <c r="F966" s="176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</row>
    <row r="967" spans="1:21" x14ac:dyDescent="0.2">
      <c r="A967" s="119"/>
      <c r="B967" s="119"/>
      <c r="C967" s="176"/>
      <c r="D967" s="119"/>
      <c r="E967" s="176"/>
      <c r="F967" s="176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</row>
    <row r="968" spans="1:21" x14ac:dyDescent="0.2">
      <c r="A968" s="119"/>
      <c r="B968" s="119"/>
      <c r="C968" s="176"/>
      <c r="D968" s="119"/>
      <c r="E968" s="176"/>
      <c r="F968" s="176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</row>
    <row r="969" spans="1:21" x14ac:dyDescent="0.2">
      <c r="A969" s="119"/>
      <c r="B969" s="119"/>
      <c r="C969" s="176"/>
      <c r="D969" s="119"/>
      <c r="E969" s="176"/>
      <c r="F969" s="176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</row>
    <row r="970" spans="1:21" x14ac:dyDescent="0.2">
      <c r="A970" s="119"/>
      <c r="B970" s="119"/>
      <c r="C970" s="176"/>
      <c r="D970" s="119"/>
      <c r="E970" s="176"/>
      <c r="F970" s="176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</row>
    <row r="971" spans="1:21" x14ac:dyDescent="0.2">
      <c r="A971" s="119"/>
      <c r="B971" s="119"/>
      <c r="C971" s="176"/>
      <c r="D971" s="119"/>
      <c r="E971" s="176"/>
      <c r="F971" s="176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</row>
    <row r="972" spans="1:21" x14ac:dyDescent="0.2">
      <c r="A972" s="119"/>
      <c r="B972" s="119"/>
      <c r="C972" s="176"/>
      <c r="D972" s="119"/>
      <c r="E972" s="176"/>
      <c r="F972" s="176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</row>
    <row r="973" spans="1:21" x14ac:dyDescent="0.2">
      <c r="A973" s="119"/>
      <c r="B973" s="119"/>
      <c r="C973" s="176"/>
      <c r="D973" s="119"/>
      <c r="E973" s="176"/>
      <c r="F973" s="176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</row>
    <row r="974" spans="1:21" x14ac:dyDescent="0.2">
      <c r="A974" s="119"/>
      <c r="B974" s="119"/>
      <c r="C974" s="176"/>
      <c r="D974" s="119"/>
      <c r="E974" s="176"/>
      <c r="F974" s="176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</row>
    <row r="975" spans="1:21" x14ac:dyDescent="0.2">
      <c r="A975" s="119"/>
      <c r="B975" s="119"/>
      <c r="C975" s="176"/>
      <c r="D975" s="119"/>
      <c r="E975" s="176"/>
      <c r="F975" s="176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</row>
    <row r="976" spans="1:21" x14ac:dyDescent="0.2">
      <c r="A976" s="119"/>
      <c r="B976" s="119"/>
      <c r="C976" s="176"/>
      <c r="D976" s="119"/>
      <c r="E976" s="176"/>
      <c r="F976" s="176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</row>
    <row r="977" spans="1:21" x14ac:dyDescent="0.2">
      <c r="A977" s="119"/>
      <c r="B977" s="119"/>
      <c r="C977" s="176"/>
      <c r="D977" s="119"/>
      <c r="E977" s="176"/>
      <c r="F977" s="176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</row>
    <row r="978" spans="1:21" x14ac:dyDescent="0.2">
      <c r="A978" s="119"/>
      <c r="B978" s="119"/>
      <c r="C978" s="176"/>
      <c r="D978" s="119"/>
      <c r="E978" s="176"/>
      <c r="F978" s="176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</row>
    <row r="979" spans="1:21" x14ac:dyDescent="0.2">
      <c r="A979" s="119"/>
      <c r="B979" s="119"/>
      <c r="C979" s="176"/>
      <c r="D979" s="119"/>
      <c r="E979" s="176"/>
      <c r="F979" s="176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</row>
    <row r="980" spans="1:21" x14ac:dyDescent="0.2">
      <c r="A980" s="119"/>
      <c r="B980" s="119"/>
      <c r="C980" s="176"/>
      <c r="D980" s="119"/>
      <c r="E980" s="176"/>
      <c r="F980" s="176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</row>
    <row r="981" spans="1:21" x14ac:dyDescent="0.2">
      <c r="A981" s="119"/>
      <c r="B981" s="119"/>
      <c r="C981" s="176"/>
      <c r="D981" s="119"/>
      <c r="E981" s="176"/>
      <c r="F981" s="176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</row>
    <row r="982" spans="1:21" x14ac:dyDescent="0.2">
      <c r="A982" s="119"/>
      <c r="B982" s="119"/>
      <c r="C982" s="176"/>
      <c r="D982" s="119"/>
      <c r="E982" s="176"/>
      <c r="F982" s="176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</row>
    <row r="983" spans="1:21" x14ac:dyDescent="0.2">
      <c r="A983" s="119"/>
      <c r="B983" s="119"/>
      <c r="C983" s="176"/>
      <c r="D983" s="119"/>
      <c r="E983" s="176"/>
      <c r="F983" s="176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</row>
    <row r="984" spans="1:21" x14ac:dyDescent="0.2">
      <c r="A984" s="119"/>
      <c r="B984" s="119"/>
      <c r="C984" s="176"/>
      <c r="D984" s="119"/>
      <c r="E984" s="176"/>
      <c r="F984" s="176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</row>
    <row r="985" spans="1:21" x14ac:dyDescent="0.2">
      <c r="A985" s="119"/>
      <c r="B985" s="119"/>
      <c r="C985" s="176"/>
      <c r="D985" s="119"/>
      <c r="E985" s="176"/>
      <c r="F985" s="176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</row>
    <row r="986" spans="1:21" x14ac:dyDescent="0.2">
      <c r="A986" s="119"/>
      <c r="B986" s="119"/>
      <c r="C986" s="176"/>
      <c r="D986" s="119"/>
      <c r="E986" s="176"/>
      <c r="F986" s="176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</row>
    <row r="987" spans="1:21" x14ac:dyDescent="0.2">
      <c r="A987" s="119"/>
      <c r="B987" s="119"/>
      <c r="C987" s="176"/>
      <c r="D987" s="119"/>
      <c r="E987" s="176"/>
      <c r="F987" s="176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</row>
    <row r="988" spans="1:21" x14ac:dyDescent="0.2">
      <c r="A988" s="119"/>
      <c r="B988" s="119"/>
      <c r="C988" s="176"/>
      <c r="D988" s="119"/>
      <c r="E988" s="176"/>
      <c r="F988" s="176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</row>
    <row r="989" spans="1:21" x14ac:dyDescent="0.2">
      <c r="A989" s="119"/>
      <c r="B989" s="119"/>
      <c r="C989" s="176"/>
      <c r="D989" s="119"/>
      <c r="E989" s="176"/>
      <c r="F989" s="176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</row>
    <row r="990" spans="1:21" x14ac:dyDescent="0.2">
      <c r="A990" s="119"/>
      <c r="B990" s="119"/>
      <c r="C990" s="176"/>
      <c r="D990" s="119"/>
      <c r="E990" s="176"/>
      <c r="F990" s="176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</row>
    <row r="991" spans="1:21" x14ac:dyDescent="0.2">
      <c r="A991" s="119"/>
      <c r="B991" s="119"/>
      <c r="C991" s="176"/>
      <c r="D991" s="119"/>
      <c r="E991" s="176"/>
      <c r="F991" s="176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</row>
    <row r="992" spans="1:21" x14ac:dyDescent="0.2">
      <c r="A992" s="119"/>
      <c r="B992" s="119"/>
      <c r="C992" s="176"/>
      <c r="D992" s="119"/>
      <c r="E992" s="176"/>
      <c r="F992" s="176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</row>
    <row r="993" spans="1:21" x14ac:dyDescent="0.2">
      <c r="A993" s="119"/>
      <c r="B993" s="119"/>
      <c r="C993" s="176"/>
      <c r="D993" s="119"/>
      <c r="E993" s="176"/>
      <c r="F993" s="176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</row>
    <row r="994" spans="1:21" x14ac:dyDescent="0.2">
      <c r="A994" s="119"/>
      <c r="B994" s="119"/>
      <c r="C994" s="176"/>
      <c r="D994" s="119"/>
      <c r="E994" s="176"/>
      <c r="F994" s="176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</row>
    <row r="995" spans="1:21" x14ac:dyDescent="0.2">
      <c r="A995" s="119"/>
      <c r="B995" s="119"/>
      <c r="C995" s="176"/>
      <c r="D995" s="119"/>
      <c r="E995" s="176"/>
      <c r="F995" s="176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</row>
    <row r="996" spans="1:21" x14ac:dyDescent="0.2">
      <c r="A996" s="119"/>
      <c r="B996" s="119"/>
      <c r="C996" s="176"/>
      <c r="D996" s="119"/>
      <c r="E996" s="176"/>
      <c r="F996" s="176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</row>
    <row r="997" spans="1:21" x14ac:dyDescent="0.2">
      <c r="A997" s="119"/>
      <c r="B997" s="119"/>
      <c r="C997" s="176"/>
      <c r="D997" s="119"/>
      <c r="E997" s="176"/>
      <c r="F997" s="176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</row>
    <row r="998" spans="1:21" x14ac:dyDescent="0.2">
      <c r="A998" s="119"/>
      <c r="B998" s="119"/>
      <c r="C998" s="176"/>
      <c r="D998" s="119"/>
      <c r="E998" s="176"/>
      <c r="F998" s="176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</row>
    <row r="999" spans="1:21" x14ac:dyDescent="0.2">
      <c r="A999" s="119"/>
      <c r="B999" s="119"/>
      <c r="C999" s="176"/>
      <c r="D999" s="119"/>
      <c r="E999" s="176"/>
      <c r="F999" s="176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</row>
    <row r="1000" spans="1:21" x14ac:dyDescent="0.2">
      <c r="A1000" s="119"/>
      <c r="B1000" s="119"/>
      <c r="C1000" s="176"/>
      <c r="D1000" s="119"/>
      <c r="E1000" s="176"/>
      <c r="F1000" s="176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</row>
    <row r="1001" spans="1:21" x14ac:dyDescent="0.2">
      <c r="A1001" s="119"/>
      <c r="B1001" s="119"/>
      <c r="C1001" s="176"/>
      <c r="D1001" s="119"/>
      <c r="E1001" s="176"/>
      <c r="F1001" s="176"/>
      <c r="G1001" s="119"/>
      <c r="H1001" s="119"/>
      <c r="I1001" s="119"/>
      <c r="J1001" s="119"/>
      <c r="K1001" s="119"/>
      <c r="L1001" s="119"/>
      <c r="M1001" s="119"/>
      <c r="N1001" s="119"/>
      <c r="O1001" s="119"/>
      <c r="P1001" s="119"/>
      <c r="Q1001" s="119"/>
      <c r="R1001" s="119"/>
      <c r="S1001" s="119"/>
      <c r="T1001" s="119"/>
      <c r="U1001" s="119"/>
    </row>
    <row r="1002" spans="1:21" x14ac:dyDescent="0.2">
      <c r="A1002" s="119"/>
      <c r="B1002" s="119"/>
      <c r="C1002" s="176"/>
      <c r="D1002" s="119"/>
      <c r="E1002" s="176"/>
      <c r="F1002" s="176"/>
      <c r="G1002" s="119"/>
      <c r="H1002" s="119"/>
      <c r="I1002" s="119"/>
      <c r="J1002" s="119"/>
      <c r="K1002" s="119"/>
      <c r="L1002" s="119"/>
      <c r="M1002" s="119"/>
      <c r="N1002" s="119"/>
      <c r="O1002" s="119"/>
      <c r="P1002" s="119"/>
      <c r="Q1002" s="119"/>
      <c r="R1002" s="119"/>
      <c r="S1002" s="119"/>
      <c r="T1002" s="119"/>
      <c r="U1002" s="119"/>
    </row>
    <row r="1003" spans="1:21" x14ac:dyDescent="0.2">
      <c r="A1003" s="119"/>
      <c r="B1003" s="119"/>
      <c r="C1003" s="176"/>
      <c r="D1003" s="119"/>
      <c r="E1003" s="176"/>
      <c r="F1003" s="176"/>
      <c r="G1003" s="119"/>
      <c r="H1003" s="119"/>
      <c r="I1003" s="119"/>
      <c r="J1003" s="119"/>
      <c r="K1003" s="119"/>
      <c r="L1003" s="119"/>
      <c r="M1003" s="119"/>
      <c r="N1003" s="119"/>
      <c r="O1003" s="119"/>
      <c r="P1003" s="119"/>
      <c r="Q1003" s="119"/>
      <c r="R1003" s="119"/>
      <c r="S1003" s="119"/>
      <c r="T1003" s="119"/>
      <c r="U1003" s="119"/>
    </row>
    <row r="1004" spans="1:21" x14ac:dyDescent="0.2">
      <c r="A1004" s="119"/>
      <c r="B1004" s="119"/>
      <c r="C1004" s="176"/>
      <c r="D1004" s="119"/>
      <c r="E1004" s="176"/>
      <c r="F1004" s="176"/>
      <c r="G1004" s="119"/>
      <c r="H1004" s="119"/>
      <c r="I1004" s="119"/>
      <c r="J1004" s="119"/>
      <c r="K1004" s="119"/>
      <c r="L1004" s="119"/>
      <c r="M1004" s="119"/>
      <c r="N1004" s="119"/>
      <c r="O1004" s="119"/>
      <c r="P1004" s="119"/>
      <c r="Q1004" s="119"/>
      <c r="R1004" s="119"/>
      <c r="S1004" s="119"/>
      <c r="T1004" s="119"/>
      <c r="U1004" s="119"/>
    </row>
    <row r="1005" spans="1:21" x14ac:dyDescent="0.2">
      <c r="A1005" s="119"/>
      <c r="B1005" s="119"/>
      <c r="C1005" s="176"/>
      <c r="D1005" s="119"/>
      <c r="E1005" s="176"/>
      <c r="F1005" s="176"/>
      <c r="G1005" s="119"/>
      <c r="H1005" s="119"/>
      <c r="I1005" s="119"/>
      <c r="J1005" s="119"/>
      <c r="K1005" s="119"/>
      <c r="L1005" s="119"/>
      <c r="M1005" s="119"/>
      <c r="N1005" s="119"/>
      <c r="O1005" s="119"/>
      <c r="P1005" s="119"/>
      <c r="Q1005" s="119"/>
      <c r="R1005" s="119"/>
      <c r="S1005" s="119"/>
      <c r="T1005" s="119"/>
      <c r="U1005" s="119"/>
    </row>
    <row r="1006" spans="1:21" x14ac:dyDescent="0.2">
      <c r="A1006" s="119"/>
      <c r="B1006" s="119"/>
      <c r="C1006" s="176"/>
      <c r="D1006" s="119"/>
      <c r="E1006" s="176"/>
      <c r="F1006" s="176"/>
      <c r="G1006" s="119"/>
      <c r="H1006" s="119"/>
      <c r="I1006" s="119"/>
      <c r="J1006" s="119"/>
      <c r="K1006" s="119"/>
      <c r="L1006" s="119"/>
      <c r="M1006" s="119"/>
      <c r="N1006" s="119"/>
      <c r="O1006" s="119"/>
      <c r="P1006" s="119"/>
      <c r="Q1006" s="119"/>
      <c r="R1006" s="119"/>
      <c r="S1006" s="119"/>
      <c r="T1006" s="119"/>
      <c r="U1006" s="119"/>
    </row>
    <row r="1007" spans="1:21" x14ac:dyDescent="0.2">
      <c r="A1007" s="119"/>
      <c r="B1007" s="119"/>
      <c r="C1007" s="176"/>
      <c r="D1007" s="119"/>
      <c r="E1007" s="176"/>
      <c r="F1007" s="176"/>
      <c r="G1007" s="119"/>
      <c r="H1007" s="119"/>
      <c r="I1007" s="119"/>
      <c r="J1007" s="119"/>
      <c r="K1007" s="119"/>
      <c r="L1007" s="119"/>
      <c r="M1007" s="119"/>
      <c r="N1007" s="119"/>
      <c r="O1007" s="119"/>
      <c r="P1007" s="119"/>
      <c r="Q1007" s="119"/>
      <c r="R1007" s="119"/>
      <c r="S1007" s="119"/>
      <c r="T1007" s="119"/>
      <c r="U1007" s="119"/>
    </row>
    <row r="1008" spans="1:21" x14ac:dyDescent="0.2">
      <c r="A1008" s="119"/>
      <c r="B1008" s="119"/>
      <c r="C1008" s="176"/>
      <c r="D1008" s="119"/>
      <c r="E1008" s="176"/>
      <c r="F1008" s="176"/>
      <c r="G1008" s="119"/>
      <c r="H1008" s="119"/>
      <c r="I1008" s="119"/>
      <c r="J1008" s="119"/>
      <c r="K1008" s="119"/>
      <c r="L1008" s="119"/>
      <c r="M1008" s="119"/>
      <c r="N1008" s="119"/>
      <c r="O1008" s="119"/>
      <c r="P1008" s="119"/>
      <c r="Q1008" s="119"/>
      <c r="R1008" s="119"/>
      <c r="S1008" s="119"/>
      <c r="T1008" s="119"/>
      <c r="U1008" s="119"/>
    </row>
    <row r="1009" spans="1:21" x14ac:dyDescent="0.2">
      <c r="A1009" s="119"/>
      <c r="B1009" s="119"/>
      <c r="C1009" s="176"/>
      <c r="D1009" s="119"/>
      <c r="E1009" s="176"/>
      <c r="F1009" s="176"/>
      <c r="G1009" s="119"/>
      <c r="H1009" s="119"/>
      <c r="I1009" s="119"/>
      <c r="J1009" s="119"/>
      <c r="K1009" s="119"/>
      <c r="L1009" s="119"/>
      <c r="M1009" s="119"/>
      <c r="N1009" s="119"/>
      <c r="O1009" s="119"/>
      <c r="P1009" s="119"/>
      <c r="Q1009" s="119"/>
      <c r="R1009" s="119"/>
      <c r="S1009" s="119"/>
      <c r="T1009" s="119"/>
      <c r="U1009" s="119"/>
    </row>
    <row r="1010" spans="1:21" x14ac:dyDescent="0.2">
      <c r="A1010" s="119"/>
      <c r="B1010" s="119"/>
      <c r="C1010" s="176"/>
      <c r="D1010" s="119"/>
      <c r="E1010" s="176"/>
      <c r="F1010" s="176"/>
      <c r="G1010" s="119"/>
      <c r="H1010" s="119"/>
      <c r="I1010" s="119"/>
      <c r="J1010" s="119"/>
      <c r="K1010" s="119"/>
      <c r="L1010" s="119"/>
      <c r="M1010" s="119"/>
      <c r="N1010" s="119"/>
      <c r="O1010" s="119"/>
      <c r="P1010" s="119"/>
      <c r="Q1010" s="119"/>
      <c r="R1010" s="119"/>
      <c r="S1010" s="119"/>
      <c r="T1010" s="119"/>
      <c r="U1010" s="119"/>
    </row>
    <row r="1011" spans="1:21" x14ac:dyDescent="0.2">
      <c r="A1011" s="119"/>
      <c r="B1011" s="119"/>
      <c r="C1011" s="176"/>
      <c r="D1011" s="119"/>
      <c r="E1011" s="176"/>
      <c r="F1011" s="176"/>
      <c r="G1011" s="119"/>
      <c r="H1011" s="119"/>
      <c r="I1011" s="119"/>
      <c r="J1011" s="119"/>
      <c r="K1011" s="119"/>
      <c r="L1011" s="119"/>
      <c r="M1011" s="119"/>
      <c r="N1011" s="119"/>
      <c r="O1011" s="119"/>
      <c r="P1011" s="119"/>
      <c r="Q1011" s="119"/>
      <c r="R1011" s="119"/>
      <c r="S1011" s="119"/>
      <c r="T1011" s="119"/>
      <c r="U1011" s="119"/>
    </row>
    <row r="1012" spans="1:21" x14ac:dyDescent="0.2">
      <c r="A1012" s="119"/>
      <c r="B1012" s="119"/>
      <c r="C1012" s="176"/>
      <c r="D1012" s="119"/>
      <c r="E1012" s="176"/>
      <c r="F1012" s="176"/>
      <c r="G1012" s="119"/>
      <c r="H1012" s="119"/>
      <c r="I1012" s="119"/>
      <c r="J1012" s="119"/>
      <c r="K1012" s="119"/>
      <c r="L1012" s="119"/>
      <c r="M1012" s="119"/>
      <c r="N1012" s="119"/>
      <c r="O1012" s="119"/>
      <c r="P1012" s="119"/>
      <c r="Q1012" s="119"/>
      <c r="R1012" s="119"/>
      <c r="S1012" s="119"/>
      <c r="T1012" s="119"/>
      <c r="U1012" s="119"/>
    </row>
    <row r="1013" spans="1:21" x14ac:dyDescent="0.2">
      <c r="A1013" s="119"/>
      <c r="B1013" s="119"/>
      <c r="C1013" s="176"/>
      <c r="D1013" s="119"/>
      <c r="E1013" s="176"/>
      <c r="F1013" s="176"/>
      <c r="G1013" s="119"/>
      <c r="H1013" s="119"/>
      <c r="I1013" s="119"/>
      <c r="J1013" s="119"/>
      <c r="K1013" s="119"/>
      <c r="L1013" s="119"/>
      <c r="M1013" s="119"/>
      <c r="N1013" s="119"/>
      <c r="O1013" s="119"/>
      <c r="P1013" s="119"/>
      <c r="Q1013" s="119"/>
      <c r="R1013" s="119"/>
      <c r="S1013" s="119"/>
      <c r="T1013" s="119"/>
      <c r="U1013" s="119"/>
    </row>
    <row r="1014" spans="1:21" x14ac:dyDescent="0.2">
      <c r="A1014" s="119"/>
      <c r="B1014" s="119"/>
      <c r="C1014" s="176"/>
      <c r="D1014" s="119"/>
      <c r="E1014" s="176"/>
      <c r="F1014" s="176"/>
      <c r="G1014" s="119"/>
      <c r="H1014" s="119"/>
      <c r="I1014" s="119"/>
      <c r="J1014" s="119"/>
      <c r="K1014" s="119"/>
      <c r="L1014" s="119"/>
      <c r="M1014" s="119"/>
      <c r="N1014" s="119"/>
      <c r="O1014" s="119"/>
      <c r="P1014" s="119"/>
      <c r="Q1014" s="119"/>
      <c r="R1014" s="119"/>
      <c r="S1014" s="119"/>
      <c r="T1014" s="119"/>
      <c r="U1014" s="119"/>
    </row>
    <row r="1015" spans="1:21" x14ac:dyDescent="0.2">
      <c r="A1015" s="119"/>
      <c r="B1015" s="119"/>
      <c r="C1015" s="176"/>
      <c r="D1015" s="119"/>
      <c r="E1015" s="176"/>
      <c r="F1015" s="176"/>
      <c r="G1015" s="119"/>
      <c r="H1015" s="119"/>
      <c r="I1015" s="119"/>
      <c r="J1015" s="119"/>
      <c r="K1015" s="119"/>
      <c r="L1015" s="119"/>
      <c r="M1015" s="119"/>
      <c r="N1015" s="119"/>
      <c r="O1015" s="119"/>
      <c r="P1015" s="119"/>
      <c r="Q1015" s="119"/>
      <c r="R1015" s="119"/>
      <c r="S1015" s="119"/>
      <c r="T1015" s="119"/>
      <c r="U1015" s="119"/>
    </row>
    <row r="1016" spans="1:21" x14ac:dyDescent="0.2">
      <c r="A1016" s="119"/>
      <c r="B1016" s="119"/>
      <c r="C1016" s="176"/>
      <c r="D1016" s="119"/>
      <c r="E1016" s="176"/>
      <c r="F1016" s="176"/>
      <c r="G1016" s="119"/>
      <c r="H1016" s="119"/>
      <c r="I1016" s="119"/>
      <c r="J1016" s="119"/>
      <c r="K1016" s="119"/>
      <c r="L1016" s="119"/>
      <c r="M1016" s="119"/>
      <c r="N1016" s="119"/>
      <c r="O1016" s="119"/>
      <c r="P1016" s="119"/>
      <c r="Q1016" s="119"/>
      <c r="R1016" s="119"/>
      <c r="S1016" s="119"/>
      <c r="T1016" s="119"/>
      <c r="U1016" s="119"/>
    </row>
    <row r="1017" spans="1:21" x14ac:dyDescent="0.2">
      <c r="A1017" s="119"/>
      <c r="B1017" s="119"/>
      <c r="C1017" s="176"/>
      <c r="D1017" s="119"/>
      <c r="E1017" s="176"/>
      <c r="F1017" s="176"/>
      <c r="G1017" s="119"/>
      <c r="H1017" s="119"/>
      <c r="I1017" s="119"/>
      <c r="J1017" s="119"/>
      <c r="K1017" s="119"/>
      <c r="L1017" s="119"/>
      <c r="M1017" s="119"/>
      <c r="N1017" s="119"/>
      <c r="O1017" s="119"/>
      <c r="P1017" s="119"/>
      <c r="Q1017" s="119"/>
      <c r="R1017" s="119"/>
      <c r="S1017" s="119"/>
      <c r="T1017" s="119"/>
      <c r="U1017" s="119"/>
    </row>
    <row r="1018" spans="1:21" x14ac:dyDescent="0.2">
      <c r="A1018" s="119"/>
      <c r="B1018" s="119"/>
      <c r="C1018" s="176"/>
      <c r="D1018" s="119"/>
      <c r="E1018" s="176"/>
      <c r="F1018" s="176"/>
      <c r="G1018" s="119"/>
      <c r="H1018" s="119"/>
      <c r="I1018" s="119"/>
      <c r="J1018" s="119"/>
      <c r="K1018" s="119"/>
      <c r="L1018" s="119"/>
      <c r="M1018" s="119"/>
      <c r="N1018" s="119"/>
      <c r="O1018" s="119"/>
      <c r="P1018" s="119"/>
      <c r="Q1018" s="119"/>
      <c r="R1018" s="119"/>
      <c r="S1018" s="119"/>
      <c r="T1018" s="119"/>
      <c r="U1018" s="119"/>
    </row>
    <row r="1019" spans="1:21" x14ac:dyDescent="0.2">
      <c r="A1019" s="119"/>
      <c r="B1019" s="119"/>
      <c r="C1019" s="176"/>
      <c r="D1019" s="119"/>
      <c r="E1019" s="176"/>
      <c r="F1019" s="176"/>
      <c r="G1019" s="119"/>
      <c r="H1019" s="119"/>
      <c r="I1019" s="119"/>
      <c r="J1019" s="119"/>
      <c r="K1019" s="119"/>
      <c r="L1019" s="119"/>
      <c r="M1019" s="119"/>
      <c r="N1019" s="119"/>
      <c r="O1019" s="119"/>
      <c r="P1019" s="119"/>
      <c r="Q1019" s="119"/>
      <c r="R1019" s="119"/>
      <c r="S1019" s="119"/>
      <c r="T1019" s="119"/>
      <c r="U1019" s="119"/>
    </row>
    <row r="1020" spans="1:21" x14ac:dyDescent="0.2">
      <c r="A1020" s="119"/>
      <c r="B1020" s="119"/>
      <c r="C1020" s="176"/>
      <c r="D1020" s="119"/>
      <c r="E1020" s="176"/>
      <c r="F1020" s="176"/>
      <c r="G1020" s="119"/>
      <c r="H1020" s="119"/>
      <c r="I1020" s="119"/>
      <c r="J1020" s="119"/>
      <c r="K1020" s="119"/>
      <c r="L1020" s="119"/>
      <c r="M1020" s="119"/>
      <c r="N1020" s="119"/>
      <c r="O1020" s="119"/>
      <c r="P1020" s="119"/>
      <c r="Q1020" s="119"/>
      <c r="R1020" s="119"/>
      <c r="S1020" s="119"/>
      <c r="T1020" s="119"/>
      <c r="U1020" s="119"/>
    </row>
    <row r="1021" spans="1:21" x14ac:dyDescent="0.2">
      <c r="A1021" s="119"/>
      <c r="B1021" s="119"/>
      <c r="C1021" s="176"/>
      <c r="D1021" s="119"/>
      <c r="E1021" s="176"/>
      <c r="F1021" s="176"/>
      <c r="G1021" s="119"/>
      <c r="H1021" s="119"/>
      <c r="I1021" s="119"/>
      <c r="J1021" s="119"/>
      <c r="K1021" s="119"/>
      <c r="L1021" s="119"/>
      <c r="M1021" s="119"/>
      <c r="N1021" s="119"/>
      <c r="O1021" s="119"/>
      <c r="P1021" s="119"/>
      <c r="Q1021" s="119"/>
      <c r="R1021" s="119"/>
      <c r="S1021" s="119"/>
      <c r="T1021" s="119"/>
      <c r="U1021" s="119"/>
    </row>
    <row r="1022" spans="1:21" x14ac:dyDescent="0.2">
      <c r="A1022" s="119"/>
      <c r="B1022" s="119"/>
      <c r="C1022" s="176"/>
      <c r="D1022" s="119"/>
      <c r="E1022" s="176"/>
      <c r="F1022" s="176"/>
      <c r="G1022" s="119"/>
      <c r="H1022" s="119"/>
      <c r="I1022" s="119"/>
      <c r="J1022" s="119"/>
      <c r="K1022" s="119"/>
      <c r="L1022" s="119"/>
      <c r="M1022" s="119"/>
      <c r="N1022" s="119"/>
      <c r="O1022" s="119"/>
      <c r="P1022" s="119"/>
      <c r="Q1022" s="119"/>
      <c r="R1022" s="119"/>
      <c r="S1022" s="119"/>
      <c r="T1022" s="119"/>
      <c r="U1022" s="119"/>
    </row>
    <row r="1023" spans="1:21" x14ac:dyDescent="0.2">
      <c r="A1023" s="119"/>
      <c r="B1023" s="119"/>
      <c r="C1023" s="176"/>
      <c r="D1023" s="119"/>
      <c r="E1023" s="176"/>
      <c r="F1023" s="176"/>
      <c r="G1023" s="119"/>
      <c r="H1023" s="119"/>
      <c r="I1023" s="119"/>
      <c r="J1023" s="119"/>
      <c r="K1023" s="119"/>
      <c r="L1023" s="119"/>
      <c r="M1023" s="119"/>
      <c r="N1023" s="119"/>
      <c r="O1023" s="119"/>
      <c r="P1023" s="119"/>
      <c r="Q1023" s="119"/>
      <c r="R1023" s="119"/>
      <c r="S1023" s="119"/>
      <c r="T1023" s="119"/>
      <c r="U1023" s="119"/>
    </row>
    <row r="1024" spans="1:21" x14ac:dyDescent="0.2">
      <c r="A1024" s="119"/>
      <c r="B1024" s="119"/>
      <c r="C1024" s="176"/>
      <c r="D1024" s="119"/>
      <c r="E1024" s="176"/>
      <c r="F1024" s="176"/>
      <c r="G1024" s="119"/>
      <c r="H1024" s="119"/>
      <c r="I1024" s="119"/>
      <c r="J1024" s="119"/>
      <c r="K1024" s="119"/>
      <c r="L1024" s="119"/>
      <c r="M1024" s="119"/>
      <c r="N1024" s="119"/>
      <c r="O1024" s="119"/>
      <c r="P1024" s="119"/>
      <c r="Q1024" s="119"/>
      <c r="R1024" s="119"/>
      <c r="S1024" s="119"/>
      <c r="T1024" s="119"/>
      <c r="U1024" s="119"/>
    </row>
    <row r="1025" spans="1:21" x14ac:dyDescent="0.2">
      <c r="A1025" s="119"/>
      <c r="B1025" s="119"/>
      <c r="C1025" s="176"/>
      <c r="D1025" s="119"/>
      <c r="E1025" s="176"/>
      <c r="F1025" s="176"/>
      <c r="G1025" s="119"/>
      <c r="H1025" s="119"/>
      <c r="I1025" s="119"/>
      <c r="J1025" s="119"/>
      <c r="K1025" s="119"/>
      <c r="L1025" s="119"/>
      <c r="M1025" s="119"/>
      <c r="N1025" s="119"/>
      <c r="O1025" s="119"/>
      <c r="P1025" s="119"/>
      <c r="Q1025" s="119"/>
      <c r="R1025" s="119"/>
      <c r="S1025" s="119"/>
      <c r="T1025" s="119"/>
      <c r="U1025" s="119"/>
    </row>
    <row r="1026" spans="1:21" x14ac:dyDescent="0.2">
      <c r="A1026" s="119"/>
      <c r="B1026" s="119"/>
      <c r="C1026" s="176"/>
      <c r="D1026" s="119"/>
      <c r="E1026" s="176"/>
      <c r="F1026" s="176"/>
      <c r="G1026" s="119"/>
      <c r="H1026" s="119"/>
      <c r="I1026" s="119"/>
      <c r="J1026" s="119"/>
      <c r="K1026" s="119"/>
      <c r="L1026" s="119"/>
      <c r="M1026" s="119"/>
      <c r="N1026" s="119"/>
      <c r="O1026" s="119"/>
      <c r="P1026" s="119"/>
      <c r="Q1026" s="119"/>
      <c r="R1026" s="119"/>
      <c r="S1026" s="119"/>
      <c r="T1026" s="119"/>
      <c r="U1026" s="119"/>
    </row>
    <row r="1027" spans="1:21" x14ac:dyDescent="0.2">
      <c r="M1027" s="119"/>
      <c r="N1027" s="119"/>
      <c r="O1027" s="119"/>
      <c r="P1027" s="119"/>
      <c r="Q1027" s="119"/>
      <c r="R1027" s="119"/>
      <c r="S1027" s="119"/>
      <c r="T1027" s="119"/>
      <c r="U1027" s="119"/>
    </row>
    <row r="1028" spans="1:21" x14ac:dyDescent="0.2">
      <c r="M1028" s="119"/>
      <c r="N1028" s="119"/>
      <c r="O1028" s="119"/>
      <c r="P1028" s="119"/>
      <c r="Q1028" s="119"/>
      <c r="R1028" s="119"/>
      <c r="S1028" s="119"/>
      <c r="T1028" s="119"/>
      <c r="U1028" s="119"/>
    </row>
    <row r="1029" spans="1:21" x14ac:dyDescent="0.2">
      <c r="M1029" s="119"/>
      <c r="N1029" s="119"/>
      <c r="O1029" s="119"/>
      <c r="P1029" s="119"/>
      <c r="Q1029" s="119"/>
      <c r="R1029" s="119"/>
      <c r="S1029" s="119"/>
      <c r="T1029" s="119"/>
      <c r="U1029" s="119"/>
    </row>
    <row r="1030" spans="1:21" x14ac:dyDescent="0.2">
      <c r="M1030" s="119"/>
      <c r="N1030" s="119"/>
      <c r="O1030" s="119"/>
      <c r="P1030" s="119"/>
      <c r="Q1030" s="119"/>
      <c r="R1030" s="119"/>
      <c r="S1030" s="119"/>
      <c r="T1030" s="119"/>
      <c r="U1030" s="119"/>
    </row>
    <row r="1031" spans="1:21" x14ac:dyDescent="0.2">
      <c r="M1031" s="119"/>
      <c r="N1031" s="119"/>
      <c r="O1031" s="119"/>
      <c r="P1031" s="119"/>
      <c r="Q1031" s="119"/>
      <c r="R1031" s="119"/>
      <c r="S1031" s="119"/>
      <c r="T1031" s="119"/>
      <c r="U1031" s="119"/>
    </row>
    <row r="1032" spans="1:21" x14ac:dyDescent="0.2">
      <c r="M1032" s="119"/>
      <c r="N1032" s="119"/>
      <c r="O1032" s="119"/>
      <c r="P1032" s="119"/>
      <c r="Q1032" s="119"/>
      <c r="R1032" s="119"/>
      <c r="S1032" s="119"/>
      <c r="T1032" s="119"/>
      <c r="U1032" s="119"/>
    </row>
    <row r="1033" spans="1:21" x14ac:dyDescent="0.2">
      <c r="M1033" s="119"/>
      <c r="N1033" s="119"/>
      <c r="O1033" s="119"/>
      <c r="P1033" s="119"/>
      <c r="Q1033" s="119"/>
      <c r="R1033" s="119"/>
      <c r="S1033" s="119"/>
      <c r="T1033" s="119"/>
      <c r="U1033" s="119"/>
    </row>
  </sheetData>
  <mergeCells count="32">
    <mergeCell ref="A1:H1"/>
    <mergeCell ref="I1:O1"/>
    <mergeCell ref="Q2:Y2"/>
    <mergeCell ref="N19:X19"/>
    <mergeCell ref="D20:H20"/>
    <mergeCell ref="U21:X21"/>
    <mergeCell ref="B22:C22"/>
    <mergeCell ref="H22:I22"/>
    <mergeCell ref="D22:E22"/>
    <mergeCell ref="F22:G22"/>
    <mergeCell ref="A43:C43"/>
    <mergeCell ref="E43:L43"/>
    <mergeCell ref="I44:K44"/>
    <mergeCell ref="E53:G53"/>
    <mergeCell ref="A70:J71"/>
    <mergeCell ref="B72:C72"/>
    <mergeCell ref="F72:G72"/>
    <mergeCell ref="I72:J72"/>
    <mergeCell ref="K85:L86"/>
    <mergeCell ref="A90:K91"/>
    <mergeCell ref="B92:C92"/>
    <mergeCell ref="D92:E92"/>
    <mergeCell ref="L124:M125"/>
    <mergeCell ref="A130:I130"/>
    <mergeCell ref="J130:J131"/>
    <mergeCell ref="F92:G92"/>
    <mergeCell ref="H92:K92"/>
    <mergeCell ref="L104:M105"/>
    <mergeCell ref="A110:K111"/>
    <mergeCell ref="B112:C112"/>
    <mergeCell ref="D112:F112"/>
    <mergeCell ref="G112:K1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O146"/>
  <sheetViews>
    <sheetView workbookViewId="0"/>
  </sheetViews>
  <sheetFormatPr defaultColWidth="11.21875" defaultRowHeight="15" customHeight="1" x14ac:dyDescent="0.2"/>
  <cols>
    <col min="1" max="1" width="16.76953125" customWidth="1"/>
    <col min="2" max="2" width="17.26171875" customWidth="1"/>
    <col min="3" max="3" width="15.53515625" customWidth="1"/>
    <col min="4" max="4" width="12.57421875" customWidth="1"/>
    <col min="5" max="5" width="15.1640625" customWidth="1"/>
    <col min="6" max="6" width="14.0546875" customWidth="1"/>
    <col min="7" max="7" width="17.140625" customWidth="1"/>
    <col min="8" max="8" width="19.60546875" customWidth="1"/>
    <col min="9" max="9" width="18.86328125" customWidth="1"/>
    <col min="10" max="10" width="18" customWidth="1"/>
    <col min="11" max="11" width="17.75390625" customWidth="1"/>
  </cols>
  <sheetData>
    <row r="1" spans="1:15" x14ac:dyDescent="0.2">
      <c r="A1" s="538" t="s">
        <v>1685</v>
      </c>
      <c r="B1" s="537"/>
      <c r="C1" s="537"/>
      <c r="D1" s="537"/>
      <c r="E1" s="537"/>
      <c r="F1" s="537"/>
      <c r="G1" s="537"/>
      <c r="H1" s="531"/>
      <c r="I1" s="539" t="s">
        <v>199</v>
      </c>
      <c r="J1" s="537"/>
      <c r="K1" s="537"/>
      <c r="L1" s="537"/>
      <c r="M1" s="537"/>
      <c r="N1" s="537"/>
      <c r="O1" s="531"/>
    </row>
    <row r="2" spans="1:15" x14ac:dyDescent="0.2">
      <c r="A2" s="78" t="s">
        <v>200</v>
      </c>
      <c r="B2" s="78" t="s">
        <v>201</v>
      </c>
      <c r="C2" s="79" t="s">
        <v>119</v>
      </c>
      <c r="D2" s="79" t="s">
        <v>202</v>
      </c>
      <c r="E2" s="79" t="s">
        <v>121</v>
      </c>
      <c r="F2" s="79" t="s">
        <v>203</v>
      </c>
      <c r="G2" s="79" t="s">
        <v>125</v>
      </c>
      <c r="H2" s="79" t="s">
        <v>204</v>
      </c>
      <c r="I2" s="80" t="s">
        <v>205</v>
      </c>
      <c r="J2" s="80" t="s">
        <v>142</v>
      </c>
      <c r="K2" s="80" t="s">
        <v>206</v>
      </c>
      <c r="L2" s="80" t="s">
        <v>207</v>
      </c>
      <c r="M2" s="80" t="s">
        <v>143</v>
      </c>
      <c r="N2" s="80" t="s">
        <v>208</v>
      </c>
      <c r="O2" s="80" t="s">
        <v>209</v>
      </c>
    </row>
    <row r="3" spans="1:15" x14ac:dyDescent="0.2">
      <c r="A3" s="423" t="s">
        <v>973</v>
      </c>
      <c r="B3" s="424" t="s">
        <v>1686</v>
      </c>
      <c r="C3" s="83" t="b">
        <v>0</v>
      </c>
      <c r="D3" s="83" t="b">
        <v>0</v>
      </c>
      <c r="E3" s="83" t="b">
        <v>0</v>
      </c>
      <c r="F3" s="83" t="b">
        <v>0</v>
      </c>
      <c r="G3" s="83" t="b">
        <v>0</v>
      </c>
      <c r="H3" s="83" t="b">
        <v>0</v>
      </c>
      <c r="I3" s="83" t="b">
        <v>0</v>
      </c>
      <c r="J3" s="83" t="b">
        <v>0</v>
      </c>
      <c r="K3" s="83" t="b">
        <v>0</v>
      </c>
      <c r="L3" s="83" t="b">
        <v>0</v>
      </c>
      <c r="M3" s="83" t="b">
        <v>0</v>
      </c>
      <c r="N3" s="83" t="b">
        <v>0</v>
      </c>
      <c r="O3" s="83" t="b">
        <v>0</v>
      </c>
    </row>
    <row r="4" spans="1:15" x14ac:dyDescent="0.2">
      <c r="A4" s="82" t="s">
        <v>939</v>
      </c>
      <c r="B4" s="424" t="s">
        <v>1686</v>
      </c>
      <c r="C4" s="83" t="b">
        <v>0</v>
      </c>
      <c r="D4" s="83" t="b">
        <v>0</v>
      </c>
      <c r="E4" s="83" t="b">
        <v>0</v>
      </c>
      <c r="F4" s="83" t="b">
        <v>0</v>
      </c>
      <c r="G4" s="83" t="b">
        <v>0</v>
      </c>
      <c r="H4" s="83" t="b">
        <v>0</v>
      </c>
      <c r="I4" s="83" t="b">
        <v>0</v>
      </c>
      <c r="J4" s="83" t="b">
        <v>0</v>
      </c>
      <c r="K4" s="83" t="b">
        <v>0</v>
      </c>
      <c r="L4" s="83" t="b">
        <v>0</v>
      </c>
      <c r="M4" s="83" t="b">
        <v>0</v>
      </c>
      <c r="N4" s="83" t="b">
        <v>0</v>
      </c>
      <c r="O4" s="83" t="b">
        <v>0</v>
      </c>
    </row>
    <row r="5" spans="1:15" x14ac:dyDescent="0.2">
      <c r="A5" s="425" t="s">
        <v>1687</v>
      </c>
      <c r="B5" s="82" t="s">
        <v>1688</v>
      </c>
      <c r="C5" s="83" t="b">
        <v>0</v>
      </c>
      <c r="D5" s="83" t="b">
        <v>0</v>
      </c>
      <c r="E5" s="83" t="b">
        <v>0</v>
      </c>
      <c r="F5" s="83" t="b">
        <v>0</v>
      </c>
      <c r="G5" s="83" t="b">
        <v>0</v>
      </c>
      <c r="H5" s="83" t="b">
        <v>0</v>
      </c>
      <c r="I5" s="83" t="b">
        <v>0</v>
      </c>
      <c r="J5" s="83" t="b">
        <v>0</v>
      </c>
      <c r="K5" s="83" t="b">
        <v>0</v>
      </c>
      <c r="L5" s="83" t="b">
        <v>0</v>
      </c>
      <c r="M5" s="83" t="b">
        <v>0</v>
      </c>
      <c r="N5" s="83" t="b">
        <v>0</v>
      </c>
      <c r="O5" s="83" t="b">
        <v>0</v>
      </c>
    </row>
    <row r="6" spans="1:15" x14ac:dyDescent="0.2">
      <c r="A6" s="426" t="s">
        <v>1689</v>
      </c>
      <c r="B6" s="426" t="s">
        <v>1690</v>
      </c>
      <c r="C6" s="83" t="b">
        <v>0</v>
      </c>
      <c r="D6" s="83" t="b">
        <v>0</v>
      </c>
      <c r="E6" s="83" t="b">
        <v>0</v>
      </c>
      <c r="F6" s="83" t="b">
        <v>0</v>
      </c>
      <c r="G6" s="83" t="b">
        <v>0</v>
      </c>
      <c r="H6" s="83" t="b">
        <v>0</v>
      </c>
      <c r="I6" s="83" t="b">
        <v>0</v>
      </c>
      <c r="J6" s="83" t="b">
        <v>0</v>
      </c>
      <c r="K6" s="83" t="b">
        <v>0</v>
      </c>
      <c r="L6" s="83" t="b">
        <v>0</v>
      </c>
      <c r="M6" s="83" t="b">
        <v>0</v>
      </c>
      <c r="N6" s="83" t="b">
        <v>0</v>
      </c>
      <c r="O6" s="83" t="b">
        <v>0</v>
      </c>
    </row>
    <row r="7" spans="1:15" x14ac:dyDescent="0.2">
      <c r="A7" s="87" t="s">
        <v>79</v>
      </c>
      <c r="B7" s="426" t="s">
        <v>1690</v>
      </c>
      <c r="C7" s="83" t="b">
        <v>0</v>
      </c>
      <c r="D7" s="83" t="b">
        <v>0</v>
      </c>
      <c r="E7" s="83" t="b">
        <v>0</v>
      </c>
      <c r="F7" s="83" t="b">
        <v>0</v>
      </c>
      <c r="G7" s="83" t="b">
        <v>0</v>
      </c>
      <c r="H7" s="83" t="b">
        <v>0</v>
      </c>
      <c r="I7" s="83" t="b">
        <v>0</v>
      </c>
      <c r="J7" s="83" t="b">
        <v>0</v>
      </c>
      <c r="K7" s="83" t="b">
        <v>0</v>
      </c>
      <c r="L7" s="83" t="b">
        <v>0</v>
      </c>
      <c r="M7" s="83" t="b">
        <v>0</v>
      </c>
      <c r="N7" s="83" t="b">
        <v>0</v>
      </c>
      <c r="O7" s="83" t="b">
        <v>0</v>
      </c>
    </row>
    <row r="8" spans="1:15" x14ac:dyDescent="0.2">
      <c r="A8" s="82" t="s">
        <v>61</v>
      </c>
      <c r="B8" s="82" t="s">
        <v>1690</v>
      </c>
      <c r="C8" s="83" t="b">
        <v>0</v>
      </c>
      <c r="D8" s="83" t="b">
        <v>0</v>
      </c>
      <c r="E8" s="83" t="b">
        <v>0</v>
      </c>
      <c r="F8" s="83" t="b">
        <v>0</v>
      </c>
      <c r="G8" s="83" t="b">
        <v>0</v>
      </c>
      <c r="H8" s="83" t="b">
        <v>0</v>
      </c>
      <c r="I8" s="83" t="b">
        <v>0</v>
      </c>
      <c r="J8" s="83" t="b">
        <v>0</v>
      </c>
      <c r="K8" s="83" t="b">
        <v>0</v>
      </c>
      <c r="L8" s="83" t="b">
        <v>0</v>
      </c>
      <c r="M8" s="83" t="b">
        <v>0</v>
      </c>
      <c r="N8" s="83" t="b">
        <v>0</v>
      </c>
      <c r="O8" s="83" t="b">
        <v>0</v>
      </c>
    </row>
    <row r="9" spans="1:15" x14ac:dyDescent="0.2">
      <c r="A9" s="424" t="s">
        <v>54</v>
      </c>
      <c r="B9" s="82" t="s">
        <v>1691</v>
      </c>
      <c r="C9" s="83" t="b">
        <v>0</v>
      </c>
      <c r="D9" s="83" t="b">
        <v>0</v>
      </c>
      <c r="E9" s="83" t="b">
        <v>0</v>
      </c>
      <c r="F9" s="83" t="b">
        <v>0</v>
      </c>
      <c r="G9" s="83" t="b">
        <v>0</v>
      </c>
      <c r="H9" s="83" t="b">
        <v>0</v>
      </c>
      <c r="I9" s="83" t="b">
        <v>0</v>
      </c>
      <c r="J9" s="83" t="b">
        <v>0</v>
      </c>
      <c r="K9" s="83" t="b">
        <v>0</v>
      </c>
      <c r="L9" s="83" t="b">
        <v>0</v>
      </c>
      <c r="M9" s="83" t="b">
        <v>0</v>
      </c>
      <c r="N9" s="83" t="b">
        <v>0</v>
      </c>
      <c r="O9" s="83" t="b">
        <v>0</v>
      </c>
    </row>
    <row r="10" spans="1:15" x14ac:dyDescent="0.2">
      <c r="A10" s="424" t="s">
        <v>1689</v>
      </c>
      <c r="B10" s="424" t="s">
        <v>1692</v>
      </c>
      <c r="C10" s="83" t="b">
        <v>1</v>
      </c>
      <c r="D10" s="83" t="b">
        <v>0</v>
      </c>
      <c r="E10" s="83" t="b">
        <v>0</v>
      </c>
      <c r="F10" s="83" t="b">
        <v>0</v>
      </c>
      <c r="G10" s="83" t="b">
        <v>0</v>
      </c>
      <c r="H10" s="83" t="b">
        <v>0</v>
      </c>
      <c r="I10" s="83" t="b">
        <v>0</v>
      </c>
      <c r="J10" s="83" t="b">
        <v>0</v>
      </c>
      <c r="K10" s="83" t="b">
        <v>0</v>
      </c>
      <c r="L10" s="83" t="b">
        <v>0</v>
      </c>
      <c r="M10" s="83" t="b">
        <v>0</v>
      </c>
      <c r="N10" s="83" t="b">
        <v>0</v>
      </c>
      <c r="O10" s="83" t="b">
        <v>0</v>
      </c>
    </row>
    <row r="11" spans="1:15" x14ac:dyDescent="0.2">
      <c r="A11" s="82" t="s">
        <v>1693</v>
      </c>
      <c r="B11" s="427" t="s">
        <v>1692</v>
      </c>
      <c r="C11" s="83" t="b">
        <v>1</v>
      </c>
      <c r="D11" s="83" t="b">
        <v>0</v>
      </c>
      <c r="E11" s="83" t="b">
        <v>0</v>
      </c>
      <c r="F11" s="83" t="b">
        <v>0</v>
      </c>
      <c r="G11" s="83" t="b">
        <v>0</v>
      </c>
      <c r="H11" s="83" t="b">
        <v>0</v>
      </c>
      <c r="I11" s="83" t="b">
        <v>0</v>
      </c>
      <c r="J11" s="83" t="b">
        <v>0</v>
      </c>
      <c r="K11" s="83" t="b">
        <v>0</v>
      </c>
      <c r="L11" s="83" t="b">
        <v>0</v>
      </c>
      <c r="M11" s="83" t="b">
        <v>0</v>
      </c>
      <c r="N11" s="83" t="b">
        <v>0</v>
      </c>
      <c r="O11" s="83" t="b">
        <v>0</v>
      </c>
    </row>
    <row r="12" spans="1:15" x14ac:dyDescent="0.2">
      <c r="A12" s="427" t="s">
        <v>35</v>
      </c>
      <c r="B12" s="427" t="s">
        <v>1692</v>
      </c>
      <c r="C12" s="83" t="b">
        <v>1</v>
      </c>
      <c r="D12" s="83" t="b">
        <v>0</v>
      </c>
      <c r="E12" s="83" t="b">
        <v>0</v>
      </c>
      <c r="F12" s="83" t="b">
        <v>0</v>
      </c>
      <c r="G12" s="83" t="b">
        <v>0</v>
      </c>
      <c r="H12" s="83" t="b">
        <v>0</v>
      </c>
      <c r="I12" s="83" t="b">
        <v>0</v>
      </c>
      <c r="J12" s="83" t="b">
        <v>0</v>
      </c>
      <c r="K12" s="83" t="b">
        <v>0</v>
      </c>
      <c r="L12" s="83" t="b">
        <v>0</v>
      </c>
      <c r="M12" s="83" t="b">
        <v>0</v>
      </c>
      <c r="N12" s="83" t="b">
        <v>0</v>
      </c>
      <c r="O12" s="83" t="b">
        <v>0</v>
      </c>
    </row>
    <row r="13" spans="1:15" x14ac:dyDescent="0.2">
      <c r="A13" s="427" t="s">
        <v>1694</v>
      </c>
      <c r="B13" s="427" t="s">
        <v>1692</v>
      </c>
      <c r="C13" s="83" t="b">
        <v>1</v>
      </c>
      <c r="D13" s="83" t="b">
        <v>0</v>
      </c>
      <c r="E13" s="83" t="b">
        <v>0</v>
      </c>
      <c r="F13" s="83" t="b">
        <v>0</v>
      </c>
      <c r="G13" s="83" t="b">
        <v>0</v>
      </c>
      <c r="H13" s="83" t="b">
        <v>0</v>
      </c>
      <c r="I13" s="83" t="b">
        <v>0</v>
      </c>
      <c r="J13" s="83" t="b">
        <v>0</v>
      </c>
      <c r="K13" s="83" t="b">
        <v>0</v>
      </c>
      <c r="L13" s="83" t="b">
        <v>0</v>
      </c>
      <c r="M13" s="83" t="b">
        <v>0</v>
      </c>
      <c r="N13" s="83" t="b">
        <v>0</v>
      </c>
      <c r="O13" s="83" t="b">
        <v>0</v>
      </c>
    </row>
    <row r="14" spans="1:15" x14ac:dyDescent="0.2">
      <c r="A14" s="427" t="s">
        <v>1695</v>
      </c>
      <c r="B14" s="427" t="s">
        <v>1696</v>
      </c>
      <c r="C14" s="83" t="b">
        <v>1</v>
      </c>
      <c r="D14" s="83" t="b">
        <v>0</v>
      </c>
      <c r="E14" s="83" t="b">
        <v>0</v>
      </c>
      <c r="F14" s="83" t="b">
        <v>0</v>
      </c>
      <c r="G14" s="83" t="b">
        <v>0</v>
      </c>
      <c r="H14" s="83" t="b">
        <v>0</v>
      </c>
      <c r="I14" s="83" t="b">
        <v>0</v>
      </c>
      <c r="J14" s="83" t="b">
        <v>0</v>
      </c>
      <c r="K14" s="83" t="b">
        <v>0</v>
      </c>
      <c r="L14" s="83" t="b">
        <v>0</v>
      </c>
      <c r="M14" s="83" t="b">
        <v>0</v>
      </c>
      <c r="N14" s="83" t="b">
        <v>0</v>
      </c>
      <c r="O14" s="83" t="b">
        <v>0</v>
      </c>
    </row>
    <row r="15" spans="1:15" x14ac:dyDescent="0.2">
      <c r="A15" s="87" t="s">
        <v>52</v>
      </c>
      <c r="B15" s="87" t="s">
        <v>1696</v>
      </c>
      <c r="C15" s="83" t="b">
        <v>0</v>
      </c>
      <c r="D15" s="83" t="b">
        <v>0</v>
      </c>
      <c r="E15" s="83" t="b">
        <v>0</v>
      </c>
      <c r="F15" s="83" t="b">
        <v>0</v>
      </c>
      <c r="G15" s="83" t="b">
        <v>0</v>
      </c>
      <c r="H15" s="83" t="b">
        <v>0</v>
      </c>
      <c r="I15" s="83" t="b">
        <v>0</v>
      </c>
      <c r="J15" s="83" t="b">
        <v>0</v>
      </c>
      <c r="K15" s="83" t="b">
        <v>0</v>
      </c>
      <c r="L15" s="83" t="b">
        <v>0</v>
      </c>
      <c r="M15" s="83" t="b">
        <v>0</v>
      </c>
      <c r="N15" s="83" t="b">
        <v>0</v>
      </c>
      <c r="O15" s="83" t="b">
        <v>0</v>
      </c>
    </row>
    <row r="16" spans="1:15" x14ac:dyDescent="0.2">
      <c r="A16" s="428" t="s">
        <v>1697</v>
      </c>
      <c r="B16" s="87" t="s">
        <v>1698</v>
      </c>
      <c r="C16" s="83" t="b">
        <v>0</v>
      </c>
      <c r="D16" s="83" t="b">
        <v>0</v>
      </c>
      <c r="E16" s="83" t="b">
        <v>0</v>
      </c>
      <c r="F16" s="83" t="b">
        <v>0</v>
      </c>
      <c r="G16" s="83" t="b">
        <v>0</v>
      </c>
      <c r="H16" s="83" t="b">
        <v>0</v>
      </c>
      <c r="I16" s="83" t="b">
        <v>0</v>
      </c>
      <c r="J16" s="83" t="b">
        <v>0</v>
      </c>
      <c r="K16" s="83" t="b">
        <v>0</v>
      </c>
      <c r="L16" s="83" t="b">
        <v>0</v>
      </c>
      <c r="M16" s="83" t="b">
        <v>0</v>
      </c>
      <c r="N16" s="83" t="b">
        <v>0</v>
      </c>
      <c r="O16" s="83" t="b">
        <v>0</v>
      </c>
    </row>
    <row r="17" spans="1:15" x14ac:dyDescent="0.2">
      <c r="A17" s="82" t="s">
        <v>1699</v>
      </c>
      <c r="B17" s="82" t="s">
        <v>1700</v>
      </c>
      <c r="C17" s="83" t="b">
        <v>0</v>
      </c>
      <c r="D17" s="83" t="b">
        <v>0</v>
      </c>
      <c r="E17" s="83" t="b">
        <v>0</v>
      </c>
      <c r="F17" s="83" t="b">
        <v>0</v>
      </c>
      <c r="G17" s="83" t="b">
        <v>0</v>
      </c>
      <c r="H17" s="83" t="b">
        <v>0</v>
      </c>
      <c r="I17" s="83" t="b">
        <v>0</v>
      </c>
      <c r="J17" s="83" t="b">
        <v>0</v>
      </c>
      <c r="K17" s="83" t="b">
        <v>0</v>
      </c>
      <c r="L17" s="83" t="b">
        <v>0</v>
      </c>
      <c r="M17" s="83" t="b">
        <v>0</v>
      </c>
      <c r="N17" s="83" t="b">
        <v>0</v>
      </c>
      <c r="O17" s="83" t="b">
        <v>0</v>
      </c>
    </row>
    <row r="18" spans="1:15" x14ac:dyDescent="0.2">
      <c r="A18" s="82"/>
      <c r="B18" s="427"/>
      <c r="C18" s="83" t="b">
        <v>0</v>
      </c>
      <c r="D18" s="83" t="b">
        <v>0</v>
      </c>
      <c r="E18" s="83" t="b">
        <v>0</v>
      </c>
      <c r="F18" s="83" t="b">
        <v>0</v>
      </c>
      <c r="G18" s="83" t="b">
        <v>0</v>
      </c>
      <c r="H18" s="83" t="b">
        <v>0</v>
      </c>
      <c r="I18" s="83" t="b">
        <v>0</v>
      </c>
      <c r="J18" s="83" t="b">
        <v>0</v>
      </c>
      <c r="K18" s="83" t="b">
        <v>0</v>
      </c>
      <c r="L18" s="83" t="b">
        <v>0</v>
      </c>
      <c r="M18" s="83" t="b">
        <v>0</v>
      </c>
      <c r="N18" s="83" t="b">
        <v>0</v>
      </c>
      <c r="O18" s="83" t="b">
        <v>0</v>
      </c>
    </row>
    <row r="19" spans="1:15" x14ac:dyDescent="0.2">
      <c r="A19" s="243"/>
      <c r="B19" s="90"/>
      <c r="G19" s="93" t="s">
        <v>100</v>
      </c>
    </row>
    <row r="20" spans="1:15" x14ac:dyDescent="0.2">
      <c r="A20" s="384"/>
      <c r="B20" s="90"/>
    </row>
    <row r="22" spans="1:15" x14ac:dyDescent="0.2">
      <c r="A22" s="540" t="s">
        <v>225</v>
      </c>
      <c r="B22" s="537"/>
      <c r="C22" s="537"/>
      <c r="D22" s="537"/>
      <c r="E22" s="537"/>
      <c r="F22" s="531"/>
    </row>
    <row r="23" spans="1:15" x14ac:dyDescent="0.2">
      <c r="A23" s="23"/>
      <c r="B23" s="23"/>
      <c r="C23" s="23"/>
      <c r="D23" s="23"/>
      <c r="E23" s="23"/>
      <c r="F23" s="23"/>
    </row>
    <row r="24" spans="1:15" x14ac:dyDescent="0.2">
      <c r="A24" s="536" t="s">
        <v>1701</v>
      </c>
      <c r="B24" s="537"/>
      <c r="C24" s="537"/>
      <c r="D24" s="537"/>
      <c r="E24" s="537"/>
      <c r="F24" s="531"/>
    </row>
    <row r="25" spans="1:15" x14ac:dyDescent="0.2">
      <c r="A25" s="23"/>
      <c r="B25" s="23"/>
      <c r="C25" s="23"/>
      <c r="D25" s="23"/>
      <c r="E25" s="23"/>
      <c r="F25" s="23"/>
    </row>
    <row r="26" spans="1:15" x14ac:dyDescent="0.2">
      <c r="A26" s="536" t="s">
        <v>1702</v>
      </c>
      <c r="B26" s="537"/>
      <c r="C26" s="537"/>
      <c r="D26" s="537"/>
      <c r="E26" s="537"/>
      <c r="F26" s="531"/>
    </row>
    <row r="27" spans="1:15" x14ac:dyDescent="0.2">
      <c r="A27" s="23"/>
      <c r="B27" s="23"/>
      <c r="C27" s="23"/>
      <c r="D27" s="23"/>
      <c r="E27" s="23"/>
      <c r="F27" s="23"/>
    </row>
    <row r="28" spans="1:15" x14ac:dyDescent="0.2">
      <c r="A28" s="536" t="s">
        <v>1703</v>
      </c>
      <c r="B28" s="537"/>
      <c r="C28" s="537"/>
      <c r="D28" s="537"/>
      <c r="E28" s="537"/>
      <c r="F28" s="531"/>
    </row>
    <row r="29" spans="1:15" x14ac:dyDescent="0.2">
      <c r="A29" s="23"/>
      <c r="B29" s="23"/>
      <c r="C29" s="23"/>
      <c r="D29" s="23"/>
      <c r="E29" s="23"/>
      <c r="F29" s="23"/>
    </row>
    <row r="30" spans="1:15" x14ac:dyDescent="0.2">
      <c r="A30" s="536" t="s">
        <v>1704</v>
      </c>
      <c r="B30" s="537"/>
      <c r="C30" s="537"/>
      <c r="D30" s="537"/>
      <c r="E30" s="537"/>
      <c r="F30" s="531"/>
    </row>
    <row r="31" spans="1:15" x14ac:dyDescent="0.2">
      <c r="A31" s="23"/>
      <c r="B31" s="23"/>
      <c r="C31" s="23"/>
      <c r="D31" s="23"/>
      <c r="E31" s="23"/>
      <c r="F31" s="23"/>
    </row>
    <row r="32" spans="1:15" x14ac:dyDescent="0.2">
      <c r="A32" s="536" t="s">
        <v>1705</v>
      </c>
      <c r="B32" s="537"/>
      <c r="C32" s="537"/>
      <c r="D32" s="537"/>
      <c r="E32" s="537"/>
      <c r="F32" s="531"/>
    </row>
    <row r="33" spans="1:6" x14ac:dyDescent="0.2">
      <c r="A33" s="23"/>
      <c r="B33" s="23"/>
      <c r="C33" s="23"/>
      <c r="D33" s="23"/>
      <c r="E33" s="23"/>
      <c r="F33" s="23"/>
    </row>
    <row r="34" spans="1:6" x14ac:dyDescent="0.2">
      <c r="A34" s="536" t="s">
        <v>1706</v>
      </c>
      <c r="B34" s="537"/>
      <c r="C34" s="537"/>
      <c r="D34" s="537"/>
      <c r="E34" s="537"/>
      <c r="F34" s="531"/>
    </row>
    <row r="35" spans="1:6" x14ac:dyDescent="0.2">
      <c r="A35" s="23"/>
      <c r="B35" s="23"/>
      <c r="C35" s="23"/>
      <c r="D35" s="23"/>
      <c r="E35" s="23"/>
      <c r="F35" s="23"/>
    </row>
    <row r="36" spans="1:6" x14ac:dyDescent="0.2">
      <c r="A36" s="536" t="s">
        <v>1707</v>
      </c>
      <c r="B36" s="537"/>
      <c r="C36" s="537"/>
      <c r="D36" s="537"/>
      <c r="E36" s="537"/>
      <c r="F36" s="531"/>
    </row>
    <row r="39" spans="1:6" ht="22.5" customHeight="1" x14ac:dyDescent="0.2">
      <c r="A39" s="429" t="s">
        <v>448</v>
      </c>
      <c r="B39" s="429" t="s">
        <v>1708</v>
      </c>
      <c r="C39" s="429" t="s">
        <v>1709</v>
      </c>
      <c r="D39" s="429" t="s">
        <v>126</v>
      </c>
      <c r="E39" s="429" t="s">
        <v>1710</v>
      </c>
      <c r="F39" s="429" t="s">
        <v>1711</v>
      </c>
    </row>
    <row r="40" spans="1:6" ht="22.5" customHeight="1" x14ac:dyDescent="0.2">
      <c r="A40" s="430" t="s">
        <v>190</v>
      </c>
      <c r="B40" s="431" t="b">
        <v>1</v>
      </c>
      <c r="C40" s="431" t="b">
        <v>1</v>
      </c>
      <c r="D40" s="431" t="b">
        <v>1</v>
      </c>
      <c r="E40" s="431" t="b">
        <v>1</v>
      </c>
      <c r="F40" s="431" t="b">
        <v>1</v>
      </c>
    </row>
    <row r="41" spans="1:6" ht="22.5" customHeight="1" x14ac:dyDescent="0.2">
      <c r="A41" s="430" t="s">
        <v>231</v>
      </c>
      <c r="B41" s="431" t="b">
        <v>1</v>
      </c>
      <c r="C41" s="431" t="b">
        <v>1</v>
      </c>
      <c r="D41" s="431" t="b">
        <v>1</v>
      </c>
      <c r="E41" s="431" t="b">
        <v>1</v>
      </c>
      <c r="F41" s="431" t="b">
        <v>1</v>
      </c>
    </row>
    <row r="42" spans="1:6" ht="22.5" customHeight="1" x14ac:dyDescent="0.2">
      <c r="A42" s="430" t="s">
        <v>192</v>
      </c>
      <c r="B42" s="431" t="b">
        <v>1</v>
      </c>
      <c r="C42" s="431" t="b">
        <v>0</v>
      </c>
      <c r="D42" s="431" t="b">
        <v>1</v>
      </c>
      <c r="E42" s="431" t="b">
        <v>1</v>
      </c>
      <c r="F42" s="431" t="b">
        <v>1</v>
      </c>
    </row>
    <row r="43" spans="1:6" ht="22.5" customHeight="1" x14ac:dyDescent="0.2">
      <c r="A43" s="430" t="s">
        <v>173</v>
      </c>
      <c r="B43" s="431" t="b">
        <v>1</v>
      </c>
      <c r="C43" s="431" t="b">
        <v>0</v>
      </c>
      <c r="D43" s="431" t="b">
        <v>1</v>
      </c>
      <c r="E43" s="431" t="b">
        <v>1</v>
      </c>
      <c r="F43" s="431" t="b">
        <v>1</v>
      </c>
    </row>
    <row r="44" spans="1:6" ht="22.5" customHeight="1" x14ac:dyDescent="0.2">
      <c r="A44" s="430" t="s">
        <v>335</v>
      </c>
      <c r="B44" s="431" t="b">
        <v>0</v>
      </c>
      <c r="C44" s="431" t="b">
        <v>0</v>
      </c>
      <c r="D44" s="431" t="b">
        <v>1</v>
      </c>
      <c r="E44" s="431" t="b">
        <v>1</v>
      </c>
      <c r="F44" s="431" t="b">
        <v>1</v>
      </c>
    </row>
    <row r="45" spans="1:6" ht="22.5" customHeight="1" x14ac:dyDescent="0.2">
      <c r="A45" s="430" t="s">
        <v>737</v>
      </c>
      <c r="B45" s="431" t="b">
        <v>1</v>
      </c>
      <c r="C45" s="431" t="b">
        <v>1</v>
      </c>
      <c r="D45" s="431" t="b">
        <v>1</v>
      </c>
      <c r="E45" s="431" t="b">
        <v>1</v>
      </c>
      <c r="F45" s="431" t="b">
        <v>1</v>
      </c>
    </row>
    <row r="46" spans="1:6" ht="22.5" customHeight="1" x14ac:dyDescent="0.2">
      <c r="A46" s="430" t="s">
        <v>244</v>
      </c>
      <c r="B46" s="431" t="b">
        <v>0</v>
      </c>
      <c r="C46" s="431" t="b">
        <v>0</v>
      </c>
      <c r="D46" s="431" t="b">
        <v>0</v>
      </c>
      <c r="E46" s="431" t="b">
        <v>1</v>
      </c>
      <c r="F46" s="431" t="b">
        <v>1</v>
      </c>
    </row>
    <row r="47" spans="1:6" ht="22.5" customHeight="1" x14ac:dyDescent="0.2">
      <c r="A47" s="430" t="s">
        <v>1712</v>
      </c>
      <c r="B47" s="431" t="b">
        <v>0</v>
      </c>
      <c r="C47" s="431" t="b">
        <v>0</v>
      </c>
      <c r="D47" s="431" t="b">
        <v>1</v>
      </c>
      <c r="E47" s="431" t="b">
        <v>1</v>
      </c>
      <c r="F47" s="431" t="b">
        <v>1</v>
      </c>
    </row>
    <row r="48" spans="1:6" ht="22.5" customHeight="1" x14ac:dyDescent="0.2">
      <c r="A48" s="430" t="s">
        <v>1713</v>
      </c>
      <c r="B48" s="431" t="b">
        <v>1</v>
      </c>
      <c r="C48" s="431" t="b">
        <v>1</v>
      </c>
      <c r="D48" s="431" t="b">
        <v>1</v>
      </c>
      <c r="E48" s="431" t="b">
        <v>1</v>
      </c>
      <c r="F48" s="431" t="b">
        <v>1</v>
      </c>
    </row>
    <row r="49" spans="1:6" ht="22.5" customHeight="1" x14ac:dyDescent="0.2">
      <c r="A49" s="430" t="s">
        <v>1714</v>
      </c>
      <c r="B49" s="431" t="b">
        <v>0</v>
      </c>
      <c r="C49" s="431" t="b">
        <v>0</v>
      </c>
      <c r="D49" s="431" t="b">
        <v>1</v>
      </c>
      <c r="E49" s="431" t="b">
        <v>1</v>
      </c>
      <c r="F49" s="431" t="b">
        <v>1</v>
      </c>
    </row>
    <row r="50" spans="1:6" ht="22.5" customHeight="1" x14ac:dyDescent="0.2">
      <c r="A50" s="430" t="s">
        <v>1715</v>
      </c>
      <c r="B50" s="431" t="b">
        <v>1</v>
      </c>
      <c r="C50" s="431" t="b">
        <v>1</v>
      </c>
      <c r="D50" s="431" t="b">
        <v>1</v>
      </c>
      <c r="E50" s="431" t="b">
        <v>1</v>
      </c>
      <c r="F50" s="431" t="b">
        <v>1</v>
      </c>
    </row>
    <row r="51" spans="1:6" ht="22.5" customHeight="1" x14ac:dyDescent="0.2">
      <c r="A51" s="430" t="s">
        <v>179</v>
      </c>
      <c r="B51" s="431" t="b">
        <v>1</v>
      </c>
      <c r="C51" s="431" t="b">
        <v>1</v>
      </c>
      <c r="D51" s="431" t="b">
        <v>1</v>
      </c>
      <c r="E51" s="431" t="b">
        <v>1</v>
      </c>
      <c r="F51" s="431" t="b">
        <v>1</v>
      </c>
    </row>
    <row r="52" spans="1:6" ht="22.5" customHeight="1" x14ac:dyDescent="0.2">
      <c r="A52" s="430" t="s">
        <v>180</v>
      </c>
      <c r="B52" s="431" t="b">
        <v>1</v>
      </c>
      <c r="C52" s="431" t="b">
        <v>1</v>
      </c>
      <c r="D52" s="431" t="b">
        <v>1</v>
      </c>
      <c r="E52" s="431" t="b">
        <v>1</v>
      </c>
      <c r="F52" s="431" t="b">
        <v>1</v>
      </c>
    </row>
    <row r="53" spans="1:6" ht="22.5" customHeight="1" x14ac:dyDescent="0.2">
      <c r="A53" s="430" t="s">
        <v>181</v>
      </c>
      <c r="B53" s="431" t="b">
        <v>1</v>
      </c>
      <c r="C53" s="431" t="b">
        <v>1</v>
      </c>
      <c r="D53" s="431" t="b">
        <v>1</v>
      </c>
      <c r="E53" s="431" t="b">
        <v>1</v>
      </c>
      <c r="F53" s="431" t="b">
        <v>1</v>
      </c>
    </row>
    <row r="54" spans="1:6" ht="22.5" customHeight="1" x14ac:dyDescent="0.2">
      <c r="A54" s="430" t="s">
        <v>186</v>
      </c>
      <c r="B54" s="431" t="b">
        <v>1</v>
      </c>
      <c r="C54" s="431" t="b">
        <v>1</v>
      </c>
      <c r="D54" s="431" t="b">
        <v>1</v>
      </c>
      <c r="E54" s="431" t="b">
        <v>1</v>
      </c>
      <c r="F54" s="431" t="b">
        <v>1</v>
      </c>
    </row>
    <row r="55" spans="1:6" ht="22.5" customHeight="1" x14ac:dyDescent="0.2">
      <c r="A55" s="430" t="s">
        <v>187</v>
      </c>
      <c r="B55" s="431" t="b">
        <v>1</v>
      </c>
      <c r="C55" s="431" t="b">
        <v>1</v>
      </c>
      <c r="D55" s="431" t="b">
        <v>1</v>
      </c>
      <c r="E55" s="431" t="b">
        <v>1</v>
      </c>
      <c r="F55" s="431" t="b">
        <v>1</v>
      </c>
    </row>
    <row r="56" spans="1:6" ht="22.5" customHeight="1" x14ac:dyDescent="0.2">
      <c r="A56" s="430" t="s">
        <v>183</v>
      </c>
      <c r="B56" s="431" t="b">
        <v>1</v>
      </c>
      <c r="C56" s="431" t="b">
        <v>1</v>
      </c>
      <c r="D56" s="431" t="b">
        <v>1</v>
      </c>
      <c r="E56" s="431" t="b">
        <v>1</v>
      </c>
      <c r="F56" s="431" t="b">
        <v>1</v>
      </c>
    </row>
    <row r="57" spans="1:6" ht="22.5" customHeight="1" x14ac:dyDescent="0.2">
      <c r="A57" s="430" t="s">
        <v>185</v>
      </c>
      <c r="B57" s="431" t="b">
        <v>1</v>
      </c>
      <c r="C57" s="431" t="b">
        <v>1</v>
      </c>
      <c r="D57" s="431" t="b">
        <v>1</v>
      </c>
      <c r="E57" s="431" t="b">
        <v>1</v>
      </c>
      <c r="F57" s="431" t="b">
        <v>0</v>
      </c>
    </row>
    <row r="58" spans="1:6" ht="22.5" customHeight="1" x14ac:dyDescent="0.2">
      <c r="A58" s="430" t="s">
        <v>1716</v>
      </c>
      <c r="B58" s="431" t="b">
        <v>0</v>
      </c>
      <c r="C58" s="431" t="b">
        <v>0</v>
      </c>
      <c r="D58" s="431" t="b">
        <v>0</v>
      </c>
      <c r="E58" s="431" t="b">
        <v>1</v>
      </c>
      <c r="F58" s="431" t="b">
        <v>0</v>
      </c>
    </row>
    <row r="59" spans="1:6" ht="22.5" customHeight="1" x14ac:dyDescent="0.2">
      <c r="A59" s="430" t="s">
        <v>184</v>
      </c>
      <c r="B59" s="431" t="b">
        <v>1</v>
      </c>
      <c r="C59" s="431" t="b">
        <v>1</v>
      </c>
      <c r="D59" s="431" t="b">
        <v>1</v>
      </c>
      <c r="E59" s="431" t="b">
        <v>0</v>
      </c>
      <c r="F59" s="431" t="b">
        <v>0</v>
      </c>
    </row>
    <row r="60" spans="1:6" ht="22.5" customHeight="1" x14ac:dyDescent="0.2">
      <c r="A60" s="430" t="s">
        <v>729</v>
      </c>
      <c r="B60" s="431" t="b">
        <v>1</v>
      </c>
      <c r="C60" s="431" t="b">
        <v>1</v>
      </c>
      <c r="D60" s="431" t="b">
        <v>1</v>
      </c>
      <c r="E60" s="431" t="b">
        <v>1</v>
      </c>
      <c r="F60" s="431" t="b">
        <v>1</v>
      </c>
    </row>
    <row r="61" spans="1:6" ht="22.5" customHeight="1" x14ac:dyDescent="0.2">
      <c r="A61" s="430" t="s">
        <v>328</v>
      </c>
      <c r="B61" s="431" t="b">
        <v>1</v>
      </c>
      <c r="C61" s="431" t="b">
        <v>1</v>
      </c>
      <c r="D61" s="431" t="b">
        <v>1</v>
      </c>
      <c r="E61" s="431" t="b">
        <v>1</v>
      </c>
      <c r="F61" s="431" t="b">
        <v>1</v>
      </c>
    </row>
    <row r="62" spans="1:6" ht="22.5" customHeight="1" x14ac:dyDescent="0.2">
      <c r="A62" s="430" t="s">
        <v>699</v>
      </c>
      <c r="B62" s="431" t="b">
        <v>1</v>
      </c>
      <c r="C62" s="431" t="b">
        <v>1</v>
      </c>
      <c r="D62" s="431" t="b">
        <v>1</v>
      </c>
      <c r="E62" s="431" t="b">
        <v>1</v>
      </c>
      <c r="F62" s="431" t="b">
        <v>1</v>
      </c>
    </row>
    <row r="63" spans="1:6" ht="22.5" customHeight="1" x14ac:dyDescent="0.2">
      <c r="A63" s="430" t="s">
        <v>701</v>
      </c>
      <c r="B63" s="431" t="b">
        <v>1</v>
      </c>
      <c r="C63" s="431" t="b">
        <v>1</v>
      </c>
      <c r="D63" s="431" t="b">
        <v>1</v>
      </c>
      <c r="E63" s="431" t="b">
        <v>1</v>
      </c>
      <c r="F63" s="431" t="b">
        <v>1</v>
      </c>
    </row>
    <row r="64" spans="1:6" ht="22.5" customHeight="1" x14ac:dyDescent="0.2">
      <c r="A64" s="430" t="s">
        <v>1717</v>
      </c>
      <c r="B64" s="431" t="b">
        <v>1</v>
      </c>
      <c r="C64" s="431" t="b">
        <v>1</v>
      </c>
      <c r="D64" s="431" t="b">
        <v>1</v>
      </c>
      <c r="E64" s="431" t="b">
        <v>1</v>
      </c>
      <c r="F64" s="431" t="b">
        <v>1</v>
      </c>
    </row>
    <row r="65" spans="1:6" ht="22.5" customHeight="1" x14ac:dyDescent="0.2">
      <c r="A65" s="430" t="s">
        <v>1718</v>
      </c>
      <c r="B65" s="431" t="b">
        <v>1</v>
      </c>
      <c r="C65" s="431" t="b">
        <v>1</v>
      </c>
      <c r="D65" s="431" t="b">
        <v>1</v>
      </c>
      <c r="E65" s="431" t="b">
        <v>1</v>
      </c>
      <c r="F65" s="431" t="b">
        <v>1</v>
      </c>
    </row>
    <row r="66" spans="1:6" ht="22.5" customHeight="1" x14ac:dyDescent="0.2">
      <c r="A66" s="430" t="s">
        <v>1719</v>
      </c>
      <c r="B66" s="431" t="b">
        <v>1</v>
      </c>
      <c r="C66" s="431" t="b">
        <v>1</v>
      </c>
      <c r="D66" s="431" t="b">
        <v>1</v>
      </c>
      <c r="E66" s="431" t="b">
        <v>1</v>
      </c>
      <c r="F66" s="431" t="b">
        <v>1</v>
      </c>
    </row>
    <row r="67" spans="1:6" ht="22.5" customHeight="1" x14ac:dyDescent="0.2">
      <c r="A67" s="430" t="s">
        <v>732</v>
      </c>
      <c r="B67" s="431" t="b">
        <v>1</v>
      </c>
      <c r="C67" s="431" t="b">
        <v>1</v>
      </c>
      <c r="D67" s="431" t="b">
        <v>1</v>
      </c>
      <c r="E67" s="431" t="b">
        <v>1</v>
      </c>
      <c r="F67" s="431" t="b">
        <v>1</v>
      </c>
    </row>
    <row r="68" spans="1:6" ht="22.5" customHeight="1" x14ac:dyDescent="0.2">
      <c r="A68" s="430" t="s">
        <v>275</v>
      </c>
      <c r="B68" s="431" t="b">
        <v>1</v>
      </c>
      <c r="C68" s="431" t="b">
        <v>1</v>
      </c>
      <c r="D68" s="431" t="b">
        <v>1</v>
      </c>
      <c r="E68" s="431" t="b">
        <v>1</v>
      </c>
      <c r="F68" s="431" t="b">
        <v>1</v>
      </c>
    </row>
    <row r="69" spans="1:6" ht="22.5" customHeight="1" x14ac:dyDescent="0.2">
      <c r="A69" s="430" t="s">
        <v>276</v>
      </c>
      <c r="B69" s="431" t="b">
        <v>1</v>
      </c>
      <c r="C69" s="431" t="b">
        <v>1</v>
      </c>
      <c r="D69" s="431" t="b">
        <v>1</v>
      </c>
      <c r="E69" s="431" t="b">
        <v>1</v>
      </c>
      <c r="F69" s="431" t="b">
        <v>1</v>
      </c>
    </row>
    <row r="70" spans="1:6" ht="22.5" customHeight="1" x14ac:dyDescent="0.2">
      <c r="A70" s="430" t="s">
        <v>733</v>
      </c>
      <c r="B70" s="431" t="b">
        <v>1</v>
      </c>
      <c r="C70" s="431" t="b">
        <v>1</v>
      </c>
      <c r="D70" s="431" t="b">
        <v>1</v>
      </c>
      <c r="E70" s="431" t="b">
        <v>1</v>
      </c>
      <c r="F70" s="431" t="b">
        <v>1</v>
      </c>
    </row>
    <row r="71" spans="1:6" ht="22.5" customHeight="1" x14ac:dyDescent="0.2">
      <c r="A71" s="430" t="s">
        <v>197</v>
      </c>
      <c r="B71" s="431" t="b">
        <v>1</v>
      </c>
      <c r="C71" s="431" t="b">
        <v>1</v>
      </c>
      <c r="D71" s="431" t="b">
        <v>1</v>
      </c>
      <c r="E71" s="431" t="b">
        <v>1</v>
      </c>
      <c r="F71" s="431" t="b">
        <v>1</v>
      </c>
    </row>
    <row r="72" spans="1:6" ht="22.5" customHeight="1" x14ac:dyDescent="0.2">
      <c r="A72" s="430" t="s">
        <v>479</v>
      </c>
      <c r="B72" s="431" t="b">
        <v>1</v>
      </c>
      <c r="C72" s="431" t="b">
        <v>1</v>
      </c>
      <c r="D72" s="431" t="b">
        <v>1</v>
      </c>
      <c r="E72" s="431" t="b">
        <v>1</v>
      </c>
      <c r="F72" s="431" t="b">
        <v>1</v>
      </c>
    </row>
    <row r="73" spans="1:6" ht="22.5" customHeight="1" x14ac:dyDescent="0.2">
      <c r="A73" s="430" t="s">
        <v>1720</v>
      </c>
      <c r="B73" s="431" t="b">
        <v>1</v>
      </c>
      <c r="C73" s="431" t="b">
        <v>1</v>
      </c>
      <c r="D73" s="431" t="b">
        <v>1</v>
      </c>
      <c r="E73" s="431" t="b">
        <v>1</v>
      </c>
      <c r="F73" s="431" t="b">
        <v>1</v>
      </c>
    </row>
    <row r="74" spans="1:6" ht="22.5" customHeight="1" x14ac:dyDescent="0.2">
      <c r="A74" s="430" t="s">
        <v>170</v>
      </c>
      <c r="B74" s="431" t="b">
        <v>1</v>
      </c>
      <c r="C74" s="431" t="b">
        <v>1</v>
      </c>
      <c r="D74" s="431" t="b">
        <v>1</v>
      </c>
      <c r="E74" s="431" t="b">
        <v>1</v>
      </c>
      <c r="F74" s="431" t="b">
        <v>1</v>
      </c>
    </row>
    <row r="75" spans="1:6" ht="22.5" customHeight="1" x14ac:dyDescent="0.2">
      <c r="A75" s="430" t="s">
        <v>171</v>
      </c>
      <c r="B75" s="431" t="b">
        <v>1</v>
      </c>
      <c r="C75" s="431" t="b">
        <v>1</v>
      </c>
      <c r="D75" s="431" t="b">
        <v>1</v>
      </c>
      <c r="E75" s="431" t="b">
        <v>1</v>
      </c>
      <c r="F75" s="431" t="b">
        <v>1</v>
      </c>
    </row>
    <row r="76" spans="1:6" ht="22.5" customHeight="1" x14ac:dyDescent="0.2">
      <c r="A76" s="432" t="s">
        <v>267</v>
      </c>
      <c r="B76" s="431" t="b">
        <v>1</v>
      </c>
      <c r="C76" s="433" t="b">
        <v>1</v>
      </c>
      <c r="D76" s="433" t="b">
        <v>1</v>
      </c>
      <c r="E76" s="433" t="b">
        <v>1</v>
      </c>
      <c r="F76" s="433" t="b">
        <v>1</v>
      </c>
    </row>
    <row r="77" spans="1:6" ht="22.5" customHeight="1" x14ac:dyDescent="0.2">
      <c r="A77" s="432" t="s">
        <v>196</v>
      </c>
      <c r="B77" s="431" t="b">
        <v>1</v>
      </c>
      <c r="C77" s="433" t="b">
        <v>1</v>
      </c>
      <c r="D77" s="433" t="b">
        <v>1</v>
      </c>
      <c r="E77" s="433" t="b">
        <v>1</v>
      </c>
      <c r="F77" s="433" t="b">
        <v>1</v>
      </c>
    </row>
    <row r="78" spans="1:6" ht="22.5" customHeight="1" x14ac:dyDescent="0.2">
      <c r="A78" s="432" t="s">
        <v>372</v>
      </c>
      <c r="B78" s="431" t="b">
        <v>1</v>
      </c>
      <c r="C78" s="433" t="b">
        <v>1</v>
      </c>
      <c r="D78" s="433" t="b">
        <v>1</v>
      </c>
      <c r="E78" s="433" t="b">
        <v>1</v>
      </c>
      <c r="F78" s="433" t="b">
        <v>1</v>
      </c>
    </row>
    <row r="79" spans="1:6" ht="22.5" customHeight="1" x14ac:dyDescent="0.2">
      <c r="A79" s="432" t="s">
        <v>1721</v>
      </c>
      <c r="B79" s="431" t="b">
        <v>0</v>
      </c>
      <c r="C79" s="433" t="b">
        <v>0</v>
      </c>
      <c r="D79" s="433" t="b">
        <v>0</v>
      </c>
      <c r="E79" s="433" t="b">
        <v>0</v>
      </c>
      <c r="F79" s="433" t="b">
        <v>0</v>
      </c>
    </row>
    <row r="80" spans="1:6" ht="22.5" customHeight="1" x14ac:dyDescent="0.2">
      <c r="A80" s="432" t="s">
        <v>1722</v>
      </c>
      <c r="B80" s="431" t="b">
        <v>1</v>
      </c>
      <c r="C80" s="433" t="b">
        <v>1</v>
      </c>
      <c r="D80" s="433" t="b">
        <v>1</v>
      </c>
      <c r="E80" s="433" t="b">
        <v>0</v>
      </c>
      <c r="F80" s="433" t="b">
        <v>0</v>
      </c>
    </row>
    <row r="81" spans="1:6" ht="22.5" customHeight="1" x14ac:dyDescent="0.2">
      <c r="A81" s="432" t="s">
        <v>738</v>
      </c>
      <c r="B81" s="431" t="b">
        <v>1</v>
      </c>
      <c r="C81" s="433" t="b">
        <v>1</v>
      </c>
      <c r="D81" s="433" t="b">
        <v>1</v>
      </c>
      <c r="E81" s="433" t="b">
        <v>1</v>
      </c>
      <c r="F81" s="433" t="b">
        <v>0</v>
      </c>
    </row>
    <row r="82" spans="1:6" ht="22.5" customHeight="1" x14ac:dyDescent="0.2">
      <c r="A82" s="432" t="s">
        <v>334</v>
      </c>
      <c r="B82" s="431" t="b">
        <v>1</v>
      </c>
      <c r="C82" s="433" t="b">
        <v>1</v>
      </c>
      <c r="D82" s="433" t="b">
        <v>1</v>
      </c>
      <c r="E82" s="433" t="b">
        <v>1</v>
      </c>
      <c r="F82" s="433" t="b">
        <v>1</v>
      </c>
    </row>
    <row r="83" spans="1:6" ht="22.5" customHeight="1" x14ac:dyDescent="0.2">
      <c r="A83" s="432" t="s">
        <v>284</v>
      </c>
      <c r="B83" s="433" t="b">
        <v>1</v>
      </c>
      <c r="C83" s="433" t="b">
        <v>1</v>
      </c>
      <c r="D83" s="433" t="b">
        <v>1</v>
      </c>
      <c r="E83" s="433" t="b">
        <v>1</v>
      </c>
      <c r="F83" s="433" t="b">
        <v>1</v>
      </c>
    </row>
    <row r="84" spans="1:6" ht="22.5" customHeight="1" x14ac:dyDescent="0.2">
      <c r="A84" s="432" t="s">
        <v>594</v>
      </c>
      <c r="B84" s="433" t="b">
        <v>1</v>
      </c>
      <c r="C84" s="433" t="b">
        <v>1</v>
      </c>
      <c r="D84" s="433" t="b">
        <v>1</v>
      </c>
      <c r="E84" s="433" t="b">
        <v>1</v>
      </c>
      <c r="F84" s="433" t="b">
        <v>1</v>
      </c>
    </row>
    <row r="85" spans="1:6" ht="22.5" customHeight="1" x14ac:dyDescent="0.2">
      <c r="A85" s="432" t="s">
        <v>1723</v>
      </c>
      <c r="B85" s="433" t="b">
        <v>1</v>
      </c>
      <c r="C85" s="433" t="b">
        <v>1</v>
      </c>
      <c r="D85" s="433" t="b">
        <v>1</v>
      </c>
      <c r="E85" s="433" t="b">
        <v>1</v>
      </c>
      <c r="F85" s="433" t="b">
        <v>1</v>
      </c>
    </row>
    <row r="86" spans="1:6" ht="22.5" customHeight="1" x14ac:dyDescent="0.2">
      <c r="A86" s="432" t="s">
        <v>1724</v>
      </c>
      <c r="B86" s="433" t="b">
        <v>1</v>
      </c>
      <c r="C86" s="433" t="b">
        <v>1</v>
      </c>
      <c r="D86" s="433" t="b">
        <v>1</v>
      </c>
      <c r="E86" s="433" t="b">
        <v>1</v>
      </c>
      <c r="F86" s="433" t="b">
        <v>1</v>
      </c>
    </row>
    <row r="87" spans="1:6" ht="22.5" customHeight="1" x14ac:dyDescent="0.2">
      <c r="A87" s="432" t="s">
        <v>1725</v>
      </c>
      <c r="B87" s="433" t="b">
        <v>0</v>
      </c>
      <c r="C87" s="433" t="b">
        <v>0</v>
      </c>
      <c r="D87" s="433" t="b">
        <v>1</v>
      </c>
      <c r="E87" s="433" t="b">
        <v>1</v>
      </c>
      <c r="F87" s="433" t="b">
        <v>1</v>
      </c>
    </row>
    <row r="88" spans="1:6" ht="22.5" customHeight="1" x14ac:dyDescent="0.2">
      <c r="A88" s="432" t="s">
        <v>498</v>
      </c>
      <c r="B88" s="433" t="b">
        <v>0</v>
      </c>
      <c r="C88" s="433" t="b">
        <v>0</v>
      </c>
      <c r="D88" s="433" t="b">
        <v>0</v>
      </c>
      <c r="E88" s="433" t="b">
        <v>1</v>
      </c>
      <c r="F88" s="433" t="b">
        <v>1</v>
      </c>
    </row>
    <row r="89" spans="1:6" ht="22.5" customHeight="1" x14ac:dyDescent="0.2">
      <c r="A89" s="432" t="s">
        <v>328</v>
      </c>
      <c r="B89" s="433" t="b">
        <v>0</v>
      </c>
      <c r="C89" s="433" t="b">
        <v>0</v>
      </c>
      <c r="D89" s="433" t="b">
        <v>0</v>
      </c>
      <c r="E89" s="433" t="b">
        <v>1</v>
      </c>
      <c r="F89" s="433" t="b">
        <v>1</v>
      </c>
    </row>
    <row r="90" spans="1:6" ht="22.5" customHeight="1" x14ac:dyDescent="0.2">
      <c r="A90" s="432" t="s">
        <v>191</v>
      </c>
      <c r="B90" s="433" t="b">
        <v>0</v>
      </c>
      <c r="C90" s="433" t="b">
        <v>0</v>
      </c>
      <c r="D90" s="433" t="b">
        <v>0</v>
      </c>
      <c r="E90" s="433" t="b">
        <v>1</v>
      </c>
      <c r="F90" s="433" t="b">
        <v>1</v>
      </c>
    </row>
    <row r="91" spans="1:6" ht="22.5" customHeight="1" x14ac:dyDescent="0.2">
      <c r="A91" s="432" t="s">
        <v>494</v>
      </c>
      <c r="B91" s="433" t="b">
        <v>0</v>
      </c>
      <c r="C91" s="433" t="b">
        <v>0</v>
      </c>
      <c r="D91" s="433" t="b">
        <v>1</v>
      </c>
      <c r="E91" s="433" t="b">
        <v>1</v>
      </c>
      <c r="F91" s="433" t="b">
        <v>1</v>
      </c>
    </row>
    <row r="92" spans="1:6" ht="22.5" customHeight="1" x14ac:dyDescent="0.2">
      <c r="A92" s="432" t="s">
        <v>491</v>
      </c>
      <c r="B92" s="433" t="b">
        <v>0</v>
      </c>
      <c r="C92" s="433" t="b">
        <v>0</v>
      </c>
      <c r="D92" s="433" t="b">
        <v>0</v>
      </c>
      <c r="E92" s="433" t="b">
        <v>1</v>
      </c>
      <c r="F92" s="433" t="b">
        <v>1</v>
      </c>
    </row>
    <row r="93" spans="1:6" ht="22.5" customHeight="1" x14ac:dyDescent="0.2">
      <c r="A93" s="432" t="s">
        <v>1726</v>
      </c>
      <c r="B93" s="433" t="b">
        <v>0</v>
      </c>
      <c r="C93" s="433" t="b">
        <v>0</v>
      </c>
      <c r="D93" s="433" t="b">
        <v>0</v>
      </c>
      <c r="E93" s="433" t="b">
        <v>1</v>
      </c>
      <c r="F93" s="433" t="b">
        <v>1</v>
      </c>
    </row>
    <row r="94" spans="1:6" ht="22.5" customHeight="1" x14ac:dyDescent="0.2">
      <c r="A94" s="432" t="s">
        <v>1727</v>
      </c>
      <c r="B94" s="433" t="b">
        <v>1</v>
      </c>
      <c r="C94" s="433" t="b">
        <v>1</v>
      </c>
      <c r="D94" s="433" t="b">
        <v>1</v>
      </c>
      <c r="E94" s="433" t="b">
        <v>1</v>
      </c>
      <c r="F94" s="433" t="b">
        <v>1</v>
      </c>
    </row>
    <row r="95" spans="1:6" ht="22.5" customHeight="1" x14ac:dyDescent="0.2">
      <c r="A95" s="432" t="s">
        <v>1728</v>
      </c>
      <c r="B95" s="433" t="b">
        <v>0</v>
      </c>
      <c r="C95" s="433" t="b">
        <v>0</v>
      </c>
      <c r="D95" s="433" t="b">
        <v>0</v>
      </c>
      <c r="E95" s="433" t="b">
        <v>0</v>
      </c>
      <c r="F95" s="433" t="b">
        <v>0</v>
      </c>
    </row>
    <row r="96" spans="1:6" ht="22.5" customHeight="1" x14ac:dyDescent="0.2">
      <c r="A96" s="432" t="s">
        <v>1729</v>
      </c>
      <c r="B96" s="433" t="b">
        <v>0</v>
      </c>
      <c r="C96" s="433" t="b">
        <v>0</v>
      </c>
      <c r="D96" s="433" t="b">
        <v>0</v>
      </c>
      <c r="E96" s="433" t="b">
        <v>0</v>
      </c>
      <c r="F96" s="433" t="b">
        <v>0</v>
      </c>
    </row>
    <row r="97" spans="1:6" ht="22.5" customHeight="1" x14ac:dyDescent="0.2">
      <c r="A97" s="432" t="s">
        <v>740</v>
      </c>
      <c r="B97" s="433" t="b">
        <v>1</v>
      </c>
      <c r="C97" s="433" t="b">
        <v>1</v>
      </c>
      <c r="D97" s="433" t="b">
        <v>1</v>
      </c>
      <c r="E97" s="433" t="b">
        <v>1</v>
      </c>
      <c r="F97" s="433" t="b">
        <v>1</v>
      </c>
    </row>
    <row r="98" spans="1:6" ht="22.5" customHeight="1" x14ac:dyDescent="0.2">
      <c r="A98" s="432" t="s">
        <v>1730</v>
      </c>
      <c r="B98" s="433" t="b">
        <v>1</v>
      </c>
      <c r="C98" s="433" t="b">
        <v>1</v>
      </c>
      <c r="D98" s="433" t="b">
        <v>1</v>
      </c>
      <c r="E98" s="433" t="b">
        <v>1</v>
      </c>
      <c r="F98" s="433" t="b">
        <v>1</v>
      </c>
    </row>
    <row r="99" spans="1:6" ht="22.5" customHeight="1" x14ac:dyDescent="0.2">
      <c r="A99" s="432" t="s">
        <v>1731</v>
      </c>
      <c r="B99" s="433" t="b">
        <v>1</v>
      </c>
      <c r="C99" s="433" t="b">
        <v>1</v>
      </c>
      <c r="D99" s="433" t="b">
        <v>1</v>
      </c>
      <c r="E99" s="433" t="b">
        <v>1</v>
      </c>
      <c r="F99" s="433" t="b">
        <v>1</v>
      </c>
    </row>
    <row r="100" spans="1:6" ht="22.5" customHeight="1" x14ac:dyDescent="0.2">
      <c r="A100" s="432" t="s">
        <v>195</v>
      </c>
      <c r="B100" s="433" t="b">
        <v>1</v>
      </c>
      <c r="C100" s="433" t="b">
        <v>0</v>
      </c>
      <c r="D100" s="433" t="b">
        <v>0</v>
      </c>
      <c r="E100" s="433" t="b">
        <v>0</v>
      </c>
      <c r="F100" s="433" t="b">
        <v>0</v>
      </c>
    </row>
    <row r="101" spans="1:6" ht="22.5" customHeight="1" x14ac:dyDescent="0.2">
      <c r="A101" s="432" t="s">
        <v>1732</v>
      </c>
      <c r="B101" s="433" t="b">
        <v>0</v>
      </c>
      <c r="C101" s="433" t="b">
        <v>0</v>
      </c>
      <c r="D101" s="433" t="b">
        <v>0</v>
      </c>
      <c r="E101" s="433" t="b">
        <v>1</v>
      </c>
      <c r="F101" s="433" t="b">
        <v>1</v>
      </c>
    </row>
    <row r="102" spans="1:6" ht="22.5" customHeight="1" x14ac:dyDescent="0.2">
      <c r="A102" s="432" t="s">
        <v>1733</v>
      </c>
      <c r="B102" s="433" t="b">
        <v>0</v>
      </c>
      <c r="C102" s="433" t="b">
        <v>0</v>
      </c>
      <c r="D102" s="433" t="b">
        <v>0</v>
      </c>
      <c r="E102" s="433" t="b">
        <v>1</v>
      </c>
      <c r="F102" s="433" t="b">
        <v>1</v>
      </c>
    </row>
    <row r="103" spans="1:6" ht="22.5" customHeight="1" x14ac:dyDescent="0.2">
      <c r="A103" s="432" t="s">
        <v>725</v>
      </c>
      <c r="B103" s="433" t="b">
        <v>0</v>
      </c>
      <c r="C103" s="433" t="b">
        <v>0</v>
      </c>
      <c r="D103" s="433" t="b">
        <v>0</v>
      </c>
      <c r="E103" s="433" t="b">
        <v>1</v>
      </c>
      <c r="F103" s="433" t="b">
        <v>1</v>
      </c>
    </row>
    <row r="104" spans="1:6" ht="22.5" customHeight="1" x14ac:dyDescent="0.2">
      <c r="A104" s="432" t="s">
        <v>736</v>
      </c>
      <c r="B104" s="433" t="b">
        <v>0</v>
      </c>
      <c r="C104" s="433" t="b">
        <v>0</v>
      </c>
      <c r="D104" s="433" t="b">
        <v>0</v>
      </c>
      <c r="E104" s="433" t="b">
        <v>1</v>
      </c>
      <c r="F104" s="433" t="b">
        <v>1</v>
      </c>
    </row>
    <row r="105" spans="1:6" ht="22.5" customHeight="1" x14ac:dyDescent="0.2">
      <c r="A105" s="432" t="s">
        <v>176</v>
      </c>
      <c r="B105" s="433" t="b">
        <v>1</v>
      </c>
      <c r="C105" s="433" t="b">
        <v>1</v>
      </c>
      <c r="D105" s="433" t="b">
        <v>1</v>
      </c>
      <c r="E105" s="433" t="b">
        <v>1</v>
      </c>
      <c r="F105" s="433" t="b">
        <v>1</v>
      </c>
    </row>
    <row r="106" spans="1:6" ht="22.5" customHeight="1" x14ac:dyDescent="0.2">
      <c r="A106" s="432" t="s">
        <v>176</v>
      </c>
      <c r="B106" s="433" t="b">
        <v>1</v>
      </c>
      <c r="C106" s="433" t="b">
        <v>1</v>
      </c>
      <c r="D106" s="433" t="b">
        <v>1</v>
      </c>
      <c r="E106" s="433" t="b">
        <v>1</v>
      </c>
      <c r="F106" s="433" t="b">
        <v>1</v>
      </c>
    </row>
    <row r="107" spans="1:6" ht="22.5" customHeight="1" x14ac:dyDescent="0.2">
      <c r="A107" s="432" t="s">
        <v>708</v>
      </c>
      <c r="B107" s="433" t="b">
        <v>0</v>
      </c>
      <c r="C107" s="433" t="b">
        <v>0</v>
      </c>
      <c r="D107" s="433" t="b">
        <v>1</v>
      </c>
      <c r="E107" s="433" t="b">
        <v>1</v>
      </c>
      <c r="F107" s="433" t="b">
        <v>1</v>
      </c>
    </row>
    <row r="108" spans="1:6" ht="22.5" customHeight="1" x14ac:dyDescent="0.2">
      <c r="A108" s="432" t="s">
        <v>699</v>
      </c>
      <c r="B108" s="433" t="b">
        <v>1</v>
      </c>
      <c r="C108" s="433" t="b">
        <v>1</v>
      </c>
      <c r="D108" s="433" t="b">
        <v>1</v>
      </c>
      <c r="E108" s="433" t="b">
        <v>1</v>
      </c>
      <c r="F108" s="433" t="b">
        <v>1</v>
      </c>
    </row>
    <row r="109" spans="1:6" ht="22.5" customHeight="1" x14ac:dyDescent="0.2">
      <c r="A109" s="432" t="s">
        <v>933</v>
      </c>
      <c r="B109" s="433" t="b">
        <v>1</v>
      </c>
      <c r="C109" s="433" t="b">
        <v>1</v>
      </c>
      <c r="D109" s="433" t="b">
        <v>1</v>
      </c>
      <c r="E109" s="433" t="b">
        <v>1</v>
      </c>
      <c r="F109" s="433" t="b">
        <v>1</v>
      </c>
    </row>
    <row r="110" spans="1:6" ht="22.5" customHeight="1" x14ac:dyDescent="0.2">
      <c r="A110" s="432" t="s">
        <v>175</v>
      </c>
      <c r="B110" s="433" t="b">
        <v>1</v>
      </c>
      <c r="C110" s="433" t="b">
        <v>1</v>
      </c>
      <c r="D110" s="433" t="b">
        <v>1</v>
      </c>
      <c r="E110" s="433" t="b">
        <v>1</v>
      </c>
      <c r="F110" s="433" t="b">
        <v>1</v>
      </c>
    </row>
    <row r="111" spans="1:6" ht="22.5" customHeight="1" x14ac:dyDescent="0.2">
      <c r="A111" s="432" t="s">
        <v>1734</v>
      </c>
      <c r="B111" s="433" t="b">
        <v>0</v>
      </c>
      <c r="C111" s="433" t="b">
        <v>1</v>
      </c>
      <c r="D111" s="433" t="b">
        <v>1</v>
      </c>
      <c r="E111" s="433" t="b">
        <v>1</v>
      </c>
      <c r="F111" s="433" t="b">
        <v>1</v>
      </c>
    </row>
    <row r="112" spans="1:6" ht="22.5" customHeight="1" x14ac:dyDescent="0.2">
      <c r="A112" s="432" t="s">
        <v>1735</v>
      </c>
      <c r="B112" s="433" t="b">
        <v>0</v>
      </c>
      <c r="C112" s="433" t="b">
        <v>0</v>
      </c>
      <c r="D112" s="433" t="b">
        <v>1</v>
      </c>
      <c r="E112" s="433" t="b">
        <v>1</v>
      </c>
      <c r="F112" s="433" t="b">
        <v>1</v>
      </c>
    </row>
    <row r="113" spans="1:11" ht="22.5" customHeight="1" x14ac:dyDescent="0.2">
      <c r="A113" s="432" t="s">
        <v>1736</v>
      </c>
      <c r="B113" s="433" t="b">
        <v>1</v>
      </c>
      <c r="C113" s="433" t="b">
        <v>1</v>
      </c>
      <c r="D113" s="433" t="b">
        <v>1</v>
      </c>
      <c r="E113" s="433" t="b">
        <v>1</v>
      </c>
      <c r="F113" s="433" t="b">
        <v>1</v>
      </c>
    </row>
    <row r="114" spans="1:11" ht="22.5" customHeight="1" x14ac:dyDescent="0.2">
      <c r="A114" s="432" t="s">
        <v>1617</v>
      </c>
      <c r="B114" s="433" t="b">
        <v>0</v>
      </c>
      <c r="C114" s="433" t="b">
        <v>0</v>
      </c>
      <c r="D114" s="433" t="b">
        <v>0</v>
      </c>
      <c r="E114" s="433" t="b">
        <v>1</v>
      </c>
      <c r="F114" s="433" t="b">
        <v>1</v>
      </c>
    </row>
    <row r="115" spans="1:11" ht="22.5" customHeight="1" x14ac:dyDescent="0.2">
      <c r="A115" s="432" t="s">
        <v>1737</v>
      </c>
      <c r="B115" s="433" t="b">
        <v>0</v>
      </c>
      <c r="C115" s="433" t="b">
        <v>1</v>
      </c>
      <c r="D115" s="433" t="b">
        <v>1</v>
      </c>
      <c r="E115" s="433" t="b">
        <v>1</v>
      </c>
      <c r="F115" s="433" t="b">
        <v>1</v>
      </c>
    </row>
    <row r="118" spans="1:11" ht="22.5" customHeight="1" x14ac:dyDescent="0.2">
      <c r="A118" s="429" t="s">
        <v>687</v>
      </c>
      <c r="B118" s="429" t="s">
        <v>1738</v>
      </c>
      <c r="C118" s="429" t="s">
        <v>1739</v>
      </c>
      <c r="D118" s="429" t="s">
        <v>1740</v>
      </c>
      <c r="E118" s="429" t="s">
        <v>1741</v>
      </c>
      <c r="F118" s="429" t="s">
        <v>1742</v>
      </c>
      <c r="G118" s="434" t="s">
        <v>1743</v>
      </c>
      <c r="H118" s="434" t="s">
        <v>1744</v>
      </c>
      <c r="I118" s="434" t="s">
        <v>1745</v>
      </c>
      <c r="J118" s="434" t="s">
        <v>1746</v>
      </c>
      <c r="K118" s="434" t="s">
        <v>1747</v>
      </c>
    </row>
    <row r="119" spans="1:11" ht="22.5" customHeight="1" x14ac:dyDescent="0.2">
      <c r="A119" s="430" t="s">
        <v>1748</v>
      </c>
      <c r="B119" s="435">
        <v>2740</v>
      </c>
      <c r="C119" s="435">
        <v>4357</v>
      </c>
      <c r="D119" s="435">
        <v>2420</v>
      </c>
      <c r="E119" s="435">
        <v>5185</v>
      </c>
      <c r="F119" s="435">
        <v>2280</v>
      </c>
      <c r="G119" s="436">
        <v>4200</v>
      </c>
      <c r="H119" s="436">
        <v>2240</v>
      </c>
      <c r="I119" s="436">
        <v>4526</v>
      </c>
      <c r="J119" s="436">
        <v>1960</v>
      </c>
      <c r="K119" s="436">
        <v>4267</v>
      </c>
    </row>
    <row r="120" spans="1:11" ht="22.5" customHeight="1" x14ac:dyDescent="0.2">
      <c r="A120" s="430" t="s">
        <v>1749</v>
      </c>
      <c r="B120" s="435"/>
      <c r="C120" s="435"/>
      <c r="D120" s="435">
        <v>880</v>
      </c>
      <c r="E120" s="435">
        <v>464</v>
      </c>
      <c r="F120" s="435">
        <v>900</v>
      </c>
      <c r="G120" s="436">
        <v>1890</v>
      </c>
      <c r="H120" s="436">
        <v>1200</v>
      </c>
      <c r="I120" s="436">
        <v>3036</v>
      </c>
      <c r="J120" s="436">
        <v>800</v>
      </c>
      <c r="K120" s="436">
        <v>1830</v>
      </c>
    </row>
    <row r="121" spans="1:11" ht="22.5" customHeight="1" x14ac:dyDescent="0.2">
      <c r="A121" s="430" t="s">
        <v>215</v>
      </c>
      <c r="B121" s="435">
        <v>1300</v>
      </c>
      <c r="C121" s="435">
        <v>1600</v>
      </c>
      <c r="D121" s="435">
        <v>2090</v>
      </c>
      <c r="E121" s="435">
        <v>1980</v>
      </c>
      <c r="F121" s="435">
        <v>1620</v>
      </c>
      <c r="G121" s="436">
        <v>2622</v>
      </c>
      <c r="H121" s="436">
        <v>2500</v>
      </c>
      <c r="I121" s="436">
        <v>4152</v>
      </c>
      <c r="J121" s="436">
        <v>1830</v>
      </c>
      <c r="K121" s="436">
        <v>2646</v>
      </c>
    </row>
    <row r="122" spans="1:11" ht="22.5" customHeight="1" x14ac:dyDescent="0.2">
      <c r="A122" s="430" t="s">
        <v>1750</v>
      </c>
      <c r="B122" s="435">
        <v>1120</v>
      </c>
      <c r="C122" s="435">
        <v>2187</v>
      </c>
      <c r="D122" s="435">
        <v>1250</v>
      </c>
      <c r="E122" s="435">
        <v>2522</v>
      </c>
      <c r="F122" s="435">
        <v>1720</v>
      </c>
      <c r="G122" s="436">
        <v>3764</v>
      </c>
      <c r="H122" s="436">
        <v>2305</v>
      </c>
      <c r="I122" s="436">
        <v>5705</v>
      </c>
      <c r="J122" s="436">
        <v>1550</v>
      </c>
      <c r="K122" s="436">
        <v>4328</v>
      </c>
    </row>
    <row r="123" spans="1:11" ht="22.5" customHeight="1" x14ac:dyDescent="0.2">
      <c r="A123" s="430" t="s">
        <v>1693</v>
      </c>
      <c r="B123" s="435">
        <v>2000</v>
      </c>
      <c r="C123" s="435">
        <v>2265</v>
      </c>
      <c r="D123" s="435">
        <v>1670</v>
      </c>
      <c r="E123" s="435">
        <v>2607</v>
      </c>
      <c r="F123" s="435">
        <v>1710</v>
      </c>
      <c r="G123" s="436">
        <v>2812</v>
      </c>
      <c r="H123" s="436">
        <v>2600</v>
      </c>
      <c r="I123" s="436">
        <v>3436</v>
      </c>
      <c r="J123" s="436">
        <v>2240</v>
      </c>
      <c r="K123" s="436">
        <v>3131</v>
      </c>
    </row>
    <row r="124" spans="1:11" ht="22.5" customHeight="1" x14ac:dyDescent="0.2">
      <c r="A124" s="430" t="s">
        <v>307</v>
      </c>
      <c r="B124" s="435">
        <v>325</v>
      </c>
      <c r="C124" s="435">
        <v>700</v>
      </c>
      <c r="D124" s="435">
        <v>430</v>
      </c>
      <c r="E124" s="435">
        <v>916</v>
      </c>
      <c r="F124" s="435">
        <v>1000</v>
      </c>
      <c r="G124" s="436">
        <v>1878</v>
      </c>
      <c r="H124" s="436">
        <v>450</v>
      </c>
      <c r="I124" s="436">
        <v>2123</v>
      </c>
      <c r="J124" s="436">
        <v>380</v>
      </c>
      <c r="K124" s="436">
        <v>1159</v>
      </c>
    </row>
    <row r="125" spans="1:11" ht="22.5" customHeight="1" x14ac:dyDescent="0.2">
      <c r="A125" s="430" t="s">
        <v>223</v>
      </c>
      <c r="B125" s="435">
        <v>1265</v>
      </c>
      <c r="C125" s="435">
        <v>3980</v>
      </c>
      <c r="D125" s="435">
        <v>3290</v>
      </c>
      <c r="E125" s="435">
        <v>4045</v>
      </c>
      <c r="F125" s="435">
        <v>2980</v>
      </c>
      <c r="G125" s="436">
        <v>6816</v>
      </c>
      <c r="H125" s="436">
        <v>3250</v>
      </c>
      <c r="I125" s="436">
        <v>6470</v>
      </c>
      <c r="J125" s="436">
        <v>2160</v>
      </c>
      <c r="K125" s="436">
        <v>4431</v>
      </c>
    </row>
    <row r="126" spans="1:11" ht="22.5" customHeight="1" x14ac:dyDescent="0.2">
      <c r="A126" s="430" t="s">
        <v>161</v>
      </c>
      <c r="B126" s="435">
        <v>780</v>
      </c>
      <c r="C126" s="435">
        <v>1710</v>
      </c>
      <c r="D126" s="435">
        <v>1010</v>
      </c>
      <c r="E126" s="435">
        <v>2176</v>
      </c>
      <c r="F126" s="435">
        <v>1500</v>
      </c>
      <c r="G126" s="436">
        <v>2567</v>
      </c>
      <c r="H126" s="436">
        <v>1850</v>
      </c>
      <c r="I126" s="436">
        <v>6820</v>
      </c>
      <c r="J126" s="436">
        <v>1110</v>
      </c>
      <c r="K126" s="436">
        <v>4563</v>
      </c>
    </row>
    <row r="127" spans="1:11" ht="22.5" customHeight="1" x14ac:dyDescent="0.2">
      <c r="A127" s="430" t="s">
        <v>1751</v>
      </c>
      <c r="B127" s="435">
        <v>700</v>
      </c>
      <c r="C127" s="435">
        <v>525</v>
      </c>
      <c r="D127" s="435">
        <v>670</v>
      </c>
      <c r="E127" s="435">
        <v>1036</v>
      </c>
      <c r="F127" s="435">
        <v>400</v>
      </c>
      <c r="G127" s="436">
        <v>1804</v>
      </c>
      <c r="H127" s="436">
        <v>820</v>
      </c>
      <c r="I127" s="436">
        <v>1587</v>
      </c>
      <c r="J127" s="436">
        <v>820</v>
      </c>
      <c r="K127" s="436">
        <v>1384</v>
      </c>
    </row>
    <row r="128" spans="1:11" ht="22.5" customHeight="1" x14ac:dyDescent="0.2">
      <c r="A128" s="430" t="s">
        <v>143</v>
      </c>
      <c r="B128" s="435">
        <v>900</v>
      </c>
      <c r="C128" s="435">
        <v>2537</v>
      </c>
      <c r="D128" s="435">
        <v>1140</v>
      </c>
      <c r="E128" s="435">
        <v>2994</v>
      </c>
      <c r="F128" s="435">
        <v>2030</v>
      </c>
      <c r="G128" s="436">
        <v>5655</v>
      </c>
      <c r="H128" s="436">
        <v>2450</v>
      </c>
      <c r="I128" s="436">
        <v>4526</v>
      </c>
      <c r="J128" s="436">
        <v>1540</v>
      </c>
      <c r="K128" s="436">
        <v>4288</v>
      </c>
    </row>
    <row r="129" spans="1:11" ht="22.5" customHeight="1" x14ac:dyDescent="0.2">
      <c r="A129" s="430" t="s">
        <v>142</v>
      </c>
      <c r="B129" s="435">
        <v>1400</v>
      </c>
      <c r="C129" s="435">
        <v>4932</v>
      </c>
      <c r="D129" s="435">
        <v>2500</v>
      </c>
      <c r="E129" s="435">
        <v>4964</v>
      </c>
      <c r="F129" s="435">
        <v>2930</v>
      </c>
      <c r="G129" s="436">
        <v>8324</v>
      </c>
      <c r="H129" s="436">
        <v>3120</v>
      </c>
      <c r="I129" s="436">
        <v>13026</v>
      </c>
      <c r="J129" s="436">
        <v>1470</v>
      </c>
      <c r="K129" s="436">
        <v>7505</v>
      </c>
    </row>
    <row r="130" spans="1:11" ht="22.5" customHeight="1" x14ac:dyDescent="0.2">
      <c r="A130" s="430" t="s">
        <v>1752</v>
      </c>
      <c r="B130" s="435">
        <v>850</v>
      </c>
      <c r="C130" s="435">
        <v>1740</v>
      </c>
      <c r="D130" s="435">
        <v>960</v>
      </c>
      <c r="E130" s="435">
        <v>2862</v>
      </c>
      <c r="F130" s="435">
        <v>1670</v>
      </c>
      <c r="G130" s="436">
        <v>3770</v>
      </c>
      <c r="H130" s="436">
        <v>1550</v>
      </c>
      <c r="I130" s="436">
        <v>3915</v>
      </c>
      <c r="J130" s="436">
        <v>970</v>
      </c>
      <c r="K130" s="436">
        <v>2816</v>
      </c>
    </row>
    <row r="131" spans="1:11" ht="22.5" customHeight="1" x14ac:dyDescent="0.2">
      <c r="A131" s="430" t="s">
        <v>1753</v>
      </c>
      <c r="B131" s="435">
        <v>200</v>
      </c>
      <c r="C131" s="435">
        <v>605</v>
      </c>
      <c r="D131" s="435">
        <v>550</v>
      </c>
      <c r="E131" s="435">
        <v>560</v>
      </c>
      <c r="F131" s="435">
        <v>600</v>
      </c>
      <c r="G131" s="436">
        <v>1232</v>
      </c>
      <c r="H131" s="436">
        <v>835</v>
      </c>
      <c r="I131" s="436">
        <v>1778</v>
      </c>
      <c r="J131" s="437"/>
      <c r="K131" s="437"/>
    </row>
    <row r="132" spans="1:11" ht="22.5" customHeight="1" x14ac:dyDescent="0.2">
      <c r="A132" s="430" t="s">
        <v>1027</v>
      </c>
      <c r="B132" s="435">
        <v>620</v>
      </c>
      <c r="C132" s="435">
        <v>1237</v>
      </c>
      <c r="D132" s="435">
        <v>1010</v>
      </c>
      <c r="E132" s="435">
        <v>1211</v>
      </c>
      <c r="F132" s="435">
        <v>1250</v>
      </c>
      <c r="G132" s="436">
        <v>1169</v>
      </c>
      <c r="H132" s="436">
        <v>1560</v>
      </c>
      <c r="I132" s="436">
        <v>1969</v>
      </c>
      <c r="J132" s="436">
        <v>550</v>
      </c>
      <c r="K132" s="436">
        <v>2139</v>
      </c>
    </row>
    <row r="133" spans="1:11" ht="22.5" customHeight="1" x14ac:dyDescent="0.2">
      <c r="A133" s="438"/>
      <c r="B133" s="439">
        <f>SUM(Takens[[Wednesday Cash ]])</f>
        <v>14200</v>
      </c>
      <c r="C133" s="439">
        <f t="shared" ref="C133:K133" si="0">SUM(C119:C132)</f>
        <v>28375</v>
      </c>
      <c r="D133" s="439">
        <f t="shared" si="0"/>
        <v>19870</v>
      </c>
      <c r="E133" s="439">
        <f t="shared" si="0"/>
        <v>33522</v>
      </c>
      <c r="F133" s="439">
        <f t="shared" si="0"/>
        <v>22590</v>
      </c>
      <c r="G133" s="439">
        <f t="shared" si="0"/>
        <v>48503</v>
      </c>
      <c r="H133" s="439">
        <f t="shared" si="0"/>
        <v>26730</v>
      </c>
      <c r="I133" s="439">
        <f t="shared" si="0"/>
        <v>63069</v>
      </c>
      <c r="J133" s="439">
        <f t="shared" si="0"/>
        <v>17380</v>
      </c>
      <c r="K133" s="439">
        <f t="shared" si="0"/>
        <v>44487</v>
      </c>
    </row>
    <row r="134" spans="1:11" ht="21" x14ac:dyDescent="0.3">
      <c r="I134" s="440" t="s">
        <v>165</v>
      </c>
      <c r="J134" s="441">
        <f>SUM(B133:K133)</f>
        <v>318726</v>
      </c>
    </row>
    <row r="135" spans="1:11" x14ac:dyDescent="0.2">
      <c r="I135" s="442" t="s">
        <v>1754</v>
      </c>
      <c r="J135" s="443">
        <f>SUM(B133,D133,F133,H133,J133)</f>
        <v>100770</v>
      </c>
    </row>
    <row r="136" spans="1:11" x14ac:dyDescent="0.2">
      <c r="A136" s="93" t="s">
        <v>1755</v>
      </c>
      <c r="B136" s="93" t="s">
        <v>1756</v>
      </c>
      <c r="C136" s="93" t="s">
        <v>1757</v>
      </c>
      <c r="I136" s="442" t="s">
        <v>1758</v>
      </c>
      <c r="J136" s="443">
        <f>SUM(C133,E133,G133,I133,K133)</f>
        <v>217956</v>
      </c>
    </row>
    <row r="137" spans="1:11" x14ac:dyDescent="0.2">
      <c r="A137" s="93" t="s">
        <v>1759</v>
      </c>
      <c r="B137" s="93" t="s">
        <v>690</v>
      </c>
      <c r="C137" s="93" t="s">
        <v>1757</v>
      </c>
    </row>
    <row r="138" spans="1:11" x14ac:dyDescent="0.2">
      <c r="A138" s="93" t="s">
        <v>1760</v>
      </c>
      <c r="C138" s="93" t="s">
        <v>1757</v>
      </c>
    </row>
    <row r="146" spans="3:4" x14ac:dyDescent="0.2">
      <c r="C146" s="93" t="s">
        <v>142</v>
      </c>
      <c r="D146" s="93" t="s">
        <v>1761</v>
      </c>
    </row>
  </sheetData>
  <mergeCells count="10">
    <mergeCell ref="A32:F32"/>
    <mergeCell ref="A34:F34"/>
    <mergeCell ref="A36:F36"/>
    <mergeCell ref="A1:H1"/>
    <mergeCell ref="I1:O1"/>
    <mergeCell ref="A22:F22"/>
    <mergeCell ref="A24:F24"/>
    <mergeCell ref="A26:F26"/>
    <mergeCell ref="A28:F28"/>
    <mergeCell ref="A30:F30"/>
  </mergeCells>
  <dataValidations count="1">
    <dataValidation type="custom" allowBlank="1" showDropDown="1" sqref="B119:K132" xr:uid="{00000000-0002-0000-1400-000000000000}">
      <formula1>AND(ISNUMBER(B119),(NOT(OR(NOT(ISERROR(DATEVALUE(B119))), AND(ISNUMBER(B119), LEFT(CELL("format", B119))="D")))))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U1013"/>
  <sheetViews>
    <sheetView workbookViewId="0"/>
  </sheetViews>
  <sheetFormatPr defaultColWidth="11.21875" defaultRowHeight="15" customHeight="1" x14ac:dyDescent="0.2"/>
  <sheetData>
    <row r="1" spans="1:21" x14ac:dyDescent="0.2">
      <c r="A1" s="444"/>
      <c r="B1" s="567" t="s">
        <v>1762</v>
      </c>
      <c r="C1" s="537"/>
      <c r="D1" s="537"/>
      <c r="E1" s="537"/>
      <c r="F1" s="537"/>
      <c r="G1" s="537"/>
      <c r="H1" s="531"/>
    </row>
    <row r="2" spans="1:21" x14ac:dyDescent="0.2">
      <c r="A2" s="445"/>
      <c r="B2" s="446" t="s">
        <v>457</v>
      </c>
      <c r="C2" s="446" t="s">
        <v>201</v>
      </c>
      <c r="D2" s="217" t="s">
        <v>126</v>
      </c>
      <c r="E2" s="217" t="s">
        <v>132</v>
      </c>
      <c r="F2" s="217" t="s">
        <v>136</v>
      </c>
      <c r="G2" s="217" t="s">
        <v>103</v>
      </c>
      <c r="H2" s="217" t="s">
        <v>153</v>
      </c>
      <c r="J2" s="612" t="s">
        <v>1763</v>
      </c>
      <c r="K2" s="533"/>
      <c r="L2" s="533"/>
    </row>
    <row r="3" spans="1:21" x14ac:dyDescent="0.2">
      <c r="A3" s="447"/>
      <c r="B3" s="207" t="s">
        <v>1764</v>
      </c>
      <c r="C3" s="207" t="s">
        <v>467</v>
      </c>
      <c r="D3" s="193">
        <v>2010</v>
      </c>
      <c r="E3" s="193">
        <v>5663.8</v>
      </c>
      <c r="F3" s="193">
        <v>6611</v>
      </c>
      <c r="G3" s="396"/>
      <c r="H3" s="396">
        <f t="shared" ref="H3:H11" si="0">SUM(D3:G3)</f>
        <v>14284.8</v>
      </c>
      <c r="J3" s="608" t="s">
        <v>1765</v>
      </c>
      <c r="K3" s="533"/>
      <c r="L3" s="93" t="b">
        <v>1</v>
      </c>
    </row>
    <row r="4" spans="1:21" x14ac:dyDescent="0.2">
      <c r="A4" s="448"/>
      <c r="B4" s="103" t="s">
        <v>128</v>
      </c>
      <c r="C4" s="207" t="s">
        <v>467</v>
      </c>
      <c r="D4" s="193">
        <v>9571</v>
      </c>
      <c r="E4" s="193">
        <v>18789</v>
      </c>
      <c r="F4" s="193">
        <v>16405.5</v>
      </c>
      <c r="G4" s="396"/>
      <c r="H4" s="396">
        <f t="shared" si="0"/>
        <v>44765.5</v>
      </c>
      <c r="J4" s="608" t="s">
        <v>1766</v>
      </c>
      <c r="K4" s="533"/>
      <c r="L4" s="93" t="b">
        <v>1</v>
      </c>
    </row>
    <row r="5" spans="1:21" x14ac:dyDescent="0.2">
      <c r="A5" s="447"/>
      <c r="B5" s="207" t="s">
        <v>54</v>
      </c>
      <c r="C5" s="207" t="s">
        <v>467</v>
      </c>
      <c r="D5" s="193">
        <v>4319</v>
      </c>
      <c r="E5" s="193">
        <v>8931</v>
      </c>
      <c r="F5" s="193">
        <v>8668.5</v>
      </c>
      <c r="G5" s="396"/>
      <c r="H5" s="396">
        <f t="shared" si="0"/>
        <v>21918.5</v>
      </c>
      <c r="J5" s="608" t="s">
        <v>1767</v>
      </c>
      <c r="K5" s="533"/>
      <c r="L5" s="93" t="b">
        <v>1</v>
      </c>
    </row>
    <row r="6" spans="1:21" x14ac:dyDescent="0.2">
      <c r="A6" s="448"/>
      <c r="B6" s="103" t="s">
        <v>130</v>
      </c>
      <c r="C6" s="103" t="s">
        <v>1768</v>
      </c>
      <c r="D6" s="193">
        <v>3198</v>
      </c>
      <c r="E6" s="193">
        <v>6361</v>
      </c>
      <c r="F6" s="193">
        <v>7056</v>
      </c>
      <c r="G6" s="193">
        <v>2407</v>
      </c>
      <c r="H6" s="396">
        <f t="shared" si="0"/>
        <v>19022</v>
      </c>
      <c r="J6" s="608" t="s">
        <v>1769</v>
      </c>
      <c r="K6" s="533"/>
      <c r="L6" s="93" t="b">
        <v>1</v>
      </c>
    </row>
    <row r="7" spans="1:21" x14ac:dyDescent="0.2">
      <c r="A7" s="445"/>
      <c r="B7" s="446" t="s">
        <v>40</v>
      </c>
      <c r="C7" s="449"/>
      <c r="D7" s="450"/>
      <c r="E7" s="450"/>
      <c r="F7" s="450"/>
      <c r="G7" s="450"/>
      <c r="H7" s="450">
        <f t="shared" si="0"/>
        <v>0</v>
      </c>
      <c r="J7" s="608" t="s">
        <v>1770</v>
      </c>
      <c r="K7" s="533"/>
      <c r="L7" s="93" t="b">
        <v>1</v>
      </c>
      <c r="M7" s="207"/>
      <c r="N7" s="568" t="s">
        <v>448</v>
      </c>
      <c r="O7" s="537"/>
      <c r="P7" s="537"/>
      <c r="Q7" s="537"/>
      <c r="R7" s="537"/>
      <c r="S7" s="537"/>
      <c r="T7" s="537"/>
      <c r="U7" s="531"/>
    </row>
    <row r="8" spans="1:21" x14ac:dyDescent="0.2">
      <c r="A8" s="447"/>
      <c r="B8" s="103" t="s">
        <v>1771</v>
      </c>
      <c r="C8" s="103" t="s">
        <v>1772</v>
      </c>
      <c r="D8" s="193">
        <v>1054</v>
      </c>
      <c r="E8" s="193">
        <v>2281</v>
      </c>
      <c r="F8" s="193">
        <v>1665.13</v>
      </c>
      <c r="G8" s="396"/>
      <c r="H8" s="396">
        <f t="shared" si="0"/>
        <v>5000.13</v>
      </c>
      <c r="J8" s="608" t="s">
        <v>1773</v>
      </c>
      <c r="K8" s="533"/>
      <c r="L8" s="93" t="b">
        <v>1</v>
      </c>
      <c r="M8" s="207"/>
      <c r="N8" s="207"/>
      <c r="O8" s="207"/>
      <c r="P8" s="207"/>
      <c r="Q8" s="207"/>
      <c r="R8" s="207"/>
      <c r="S8" s="207"/>
      <c r="T8" s="207"/>
      <c r="U8" s="207"/>
    </row>
    <row r="9" spans="1:21" x14ac:dyDescent="0.2">
      <c r="A9" s="451"/>
      <c r="B9" s="161">
        <v>142</v>
      </c>
      <c r="C9" s="103" t="s">
        <v>1774</v>
      </c>
      <c r="D9" s="193">
        <v>2082</v>
      </c>
      <c r="E9" s="193">
        <v>4298</v>
      </c>
      <c r="F9" s="193">
        <v>3176.5</v>
      </c>
      <c r="G9" s="396"/>
      <c r="H9" s="396">
        <f t="shared" si="0"/>
        <v>9556.5</v>
      </c>
      <c r="J9" s="608" t="s">
        <v>1775</v>
      </c>
      <c r="K9" s="533"/>
      <c r="L9" s="93" t="b">
        <v>1</v>
      </c>
      <c r="M9" s="207" t="s">
        <v>450</v>
      </c>
      <c r="N9" s="247" t="s">
        <v>451</v>
      </c>
      <c r="O9" s="247" t="s">
        <v>452</v>
      </c>
      <c r="P9" s="247" t="s">
        <v>453</v>
      </c>
      <c r="Q9" s="247" t="s">
        <v>455</v>
      </c>
      <c r="R9" s="611" t="s">
        <v>456</v>
      </c>
      <c r="S9" s="537"/>
      <c r="T9" s="537"/>
      <c r="U9" s="531"/>
    </row>
    <row r="10" spans="1:21" x14ac:dyDescent="0.2">
      <c r="A10" s="447"/>
      <c r="B10" s="207"/>
      <c r="C10" s="207"/>
      <c r="D10" s="396"/>
      <c r="E10" s="396"/>
      <c r="F10" s="396"/>
      <c r="G10" s="396"/>
      <c r="H10" s="396">
        <f t="shared" si="0"/>
        <v>0</v>
      </c>
      <c r="J10" s="608" t="s">
        <v>1776</v>
      </c>
      <c r="K10" s="533"/>
      <c r="L10" s="158" t="b">
        <v>0</v>
      </c>
      <c r="M10" s="207"/>
      <c r="O10" s="207"/>
      <c r="P10" s="207"/>
      <c r="Q10" s="207"/>
      <c r="R10" s="259" t="s">
        <v>156</v>
      </c>
      <c r="S10" s="259" t="s">
        <v>126</v>
      </c>
      <c r="T10" s="259" t="s">
        <v>132</v>
      </c>
      <c r="U10" s="259" t="s">
        <v>136</v>
      </c>
    </row>
    <row r="11" spans="1:21" x14ac:dyDescent="0.2">
      <c r="A11" s="447"/>
      <c r="B11" s="207"/>
      <c r="C11" s="103" t="s">
        <v>153</v>
      </c>
      <c r="D11" s="396">
        <f t="shared" ref="D11:G11" si="1">SUM(D3:D9)</f>
        <v>22234</v>
      </c>
      <c r="E11" s="396">
        <f t="shared" si="1"/>
        <v>46323.8</v>
      </c>
      <c r="F11" s="396">
        <f t="shared" si="1"/>
        <v>43582.63</v>
      </c>
      <c r="G11" s="396">
        <f t="shared" si="1"/>
        <v>2407</v>
      </c>
      <c r="H11" s="396">
        <f t="shared" si="0"/>
        <v>114547.43</v>
      </c>
      <c r="J11" s="608" t="s">
        <v>1777</v>
      </c>
      <c r="K11" s="533"/>
      <c r="L11" s="93" t="b">
        <v>1</v>
      </c>
      <c r="M11" s="261"/>
      <c r="N11" s="103" t="s">
        <v>190</v>
      </c>
      <c r="O11" s="207"/>
      <c r="P11" s="265"/>
      <c r="Q11" s="207"/>
      <c r="R11" s="261"/>
      <c r="S11" s="261"/>
      <c r="T11" s="261"/>
      <c r="U11" s="261"/>
    </row>
    <row r="12" spans="1:21" x14ac:dyDescent="0.2">
      <c r="A12" s="452"/>
      <c r="G12" s="453" t="s">
        <v>561</v>
      </c>
      <c r="H12" s="398">
        <f>H11*0.2</f>
        <v>22909.486000000001</v>
      </c>
      <c r="J12" s="608" t="s">
        <v>1778</v>
      </c>
      <c r="K12" s="533"/>
      <c r="L12" s="93" t="b">
        <v>1</v>
      </c>
      <c r="M12" s="23"/>
      <c r="N12" s="103" t="s">
        <v>172</v>
      </c>
      <c r="O12" s="23"/>
      <c r="P12" s="23"/>
      <c r="Q12" s="23"/>
      <c r="R12" s="23"/>
      <c r="S12" s="23"/>
      <c r="T12" s="23"/>
      <c r="U12" s="23"/>
    </row>
    <row r="13" spans="1:21" x14ac:dyDescent="0.2">
      <c r="A13" s="452"/>
      <c r="G13" s="454" t="s">
        <v>1779</v>
      </c>
      <c r="H13" s="398">
        <f>H11-H12</f>
        <v>91637.943999999989</v>
      </c>
      <c r="J13" s="533"/>
      <c r="K13" s="533"/>
      <c r="L13" s="158" t="b">
        <v>0</v>
      </c>
      <c r="M13" s="23"/>
      <c r="N13" s="22" t="s">
        <v>284</v>
      </c>
      <c r="O13" s="23"/>
      <c r="P13" s="23"/>
      <c r="Q13" s="23"/>
      <c r="R13" s="23"/>
      <c r="S13" s="23"/>
      <c r="T13" s="23"/>
      <c r="U13" s="23"/>
    </row>
    <row r="14" spans="1:21" x14ac:dyDescent="0.2">
      <c r="A14" s="452"/>
      <c r="I14" s="93" t="s">
        <v>7</v>
      </c>
      <c r="M14" s="23"/>
      <c r="N14" s="22" t="s">
        <v>308</v>
      </c>
      <c r="O14" s="23"/>
      <c r="P14" s="23"/>
      <c r="Q14" s="23"/>
      <c r="R14" s="23"/>
      <c r="S14" s="23"/>
      <c r="T14" s="23"/>
      <c r="U14" s="23"/>
    </row>
    <row r="15" spans="1:21" x14ac:dyDescent="0.2">
      <c r="A15" s="455"/>
      <c r="B15" s="165" t="s">
        <v>457</v>
      </c>
      <c r="C15" s="166"/>
      <c r="D15" s="166"/>
      <c r="E15" s="559" t="s">
        <v>458</v>
      </c>
      <c r="F15" s="533"/>
      <c r="G15" s="533"/>
      <c r="H15" s="533"/>
      <c r="I15" s="533"/>
      <c r="J15" s="166"/>
      <c r="K15" s="166"/>
      <c r="L15" s="165" t="s">
        <v>201</v>
      </c>
      <c r="M15" s="23"/>
      <c r="N15" s="22" t="s">
        <v>275</v>
      </c>
      <c r="O15" s="23"/>
      <c r="P15" s="23"/>
      <c r="Q15" s="23"/>
      <c r="R15" s="23"/>
      <c r="S15" s="23"/>
      <c r="T15" s="23"/>
      <c r="U15" s="23"/>
    </row>
    <row r="16" spans="1:21" x14ac:dyDescent="0.2">
      <c r="A16" s="447"/>
      <c r="B16" s="119"/>
      <c r="C16" s="171" t="s">
        <v>459</v>
      </c>
      <c r="D16" s="171" t="s">
        <v>460</v>
      </c>
      <c r="E16" s="171" t="s">
        <v>459</v>
      </c>
      <c r="F16" s="171" t="s">
        <v>460</v>
      </c>
      <c r="G16" s="171" t="s">
        <v>459</v>
      </c>
      <c r="H16" s="171" t="s">
        <v>460</v>
      </c>
      <c r="I16" s="171" t="s">
        <v>459</v>
      </c>
      <c r="J16" s="171" t="s">
        <v>460</v>
      </c>
      <c r="K16" s="171" t="s">
        <v>459</v>
      </c>
      <c r="L16" s="119"/>
      <c r="M16" s="23"/>
      <c r="N16" s="22" t="s">
        <v>170</v>
      </c>
      <c r="O16" s="23"/>
      <c r="P16" s="23"/>
      <c r="Q16" s="23"/>
      <c r="R16" s="23"/>
      <c r="S16" s="23"/>
      <c r="T16" s="23"/>
      <c r="U16" s="23"/>
    </row>
    <row r="17" spans="1:21" x14ac:dyDescent="0.2">
      <c r="A17" s="447"/>
      <c r="B17" s="119"/>
      <c r="C17" s="560" t="s">
        <v>156</v>
      </c>
      <c r="D17" s="533"/>
      <c r="E17" s="560" t="s">
        <v>464</v>
      </c>
      <c r="F17" s="533"/>
      <c r="G17" s="560" t="s">
        <v>132</v>
      </c>
      <c r="H17" s="533"/>
      <c r="I17" s="560" t="s">
        <v>136</v>
      </c>
      <c r="J17" s="533"/>
      <c r="K17" s="173" t="s">
        <v>465</v>
      </c>
      <c r="L17" s="119"/>
      <c r="M17" s="23"/>
      <c r="N17" s="22" t="s">
        <v>699</v>
      </c>
      <c r="O17" s="23"/>
      <c r="P17" s="23"/>
      <c r="Q17" s="23"/>
      <c r="R17" s="23"/>
      <c r="S17" s="23"/>
      <c r="T17" s="23"/>
      <c r="U17" s="23"/>
    </row>
    <row r="18" spans="1:21" x14ac:dyDescent="0.2">
      <c r="A18" s="447"/>
      <c r="B18" s="207" t="s">
        <v>1764</v>
      </c>
      <c r="C18" s="126">
        <v>1</v>
      </c>
      <c r="D18" s="126">
        <v>2</v>
      </c>
      <c r="E18" s="175">
        <v>3</v>
      </c>
      <c r="F18" s="126">
        <v>8</v>
      </c>
      <c r="G18" s="175">
        <v>4</v>
      </c>
      <c r="H18" s="126">
        <v>8</v>
      </c>
      <c r="I18" s="175">
        <v>4</v>
      </c>
      <c r="J18" s="126">
        <v>8</v>
      </c>
      <c r="K18" s="119"/>
      <c r="L18" s="119" t="s">
        <v>467</v>
      </c>
      <c r="M18" s="23"/>
      <c r="N18" s="22" t="s">
        <v>196</v>
      </c>
      <c r="O18" s="23"/>
      <c r="P18" s="23"/>
      <c r="Q18" s="23"/>
      <c r="R18" s="23"/>
      <c r="S18" s="23"/>
      <c r="T18" s="23"/>
      <c r="U18" s="23"/>
    </row>
    <row r="19" spans="1:21" x14ac:dyDescent="0.2">
      <c r="A19" s="448"/>
      <c r="B19" s="103" t="s">
        <v>128</v>
      </c>
      <c r="C19" s="126">
        <v>2</v>
      </c>
      <c r="D19" s="126">
        <v>4</v>
      </c>
      <c r="E19" s="175">
        <v>8</v>
      </c>
      <c r="F19" s="126">
        <v>8</v>
      </c>
      <c r="G19" s="175">
        <v>8</v>
      </c>
      <c r="H19" s="126">
        <v>8</v>
      </c>
      <c r="I19" s="175">
        <v>8</v>
      </c>
      <c r="J19" s="126">
        <v>8</v>
      </c>
      <c r="K19" s="119"/>
      <c r="L19" s="119" t="s">
        <v>467</v>
      </c>
      <c r="M19" s="23"/>
      <c r="N19" s="22" t="s">
        <v>483</v>
      </c>
      <c r="O19" s="23"/>
      <c r="P19" s="23"/>
      <c r="Q19" s="23"/>
      <c r="R19" s="23"/>
      <c r="S19" s="23"/>
      <c r="T19" s="23"/>
      <c r="U19" s="23"/>
    </row>
    <row r="20" spans="1:21" x14ac:dyDescent="0.2">
      <c r="A20" s="447"/>
      <c r="B20" s="207" t="s">
        <v>54</v>
      </c>
      <c r="C20" s="126">
        <v>1</v>
      </c>
      <c r="D20" s="126">
        <v>2</v>
      </c>
      <c r="E20" s="175">
        <v>5</v>
      </c>
      <c r="F20" s="126">
        <v>8</v>
      </c>
      <c r="G20" s="175">
        <v>5</v>
      </c>
      <c r="H20" s="126">
        <v>8</v>
      </c>
      <c r="I20" s="175">
        <v>5</v>
      </c>
      <c r="J20" s="126">
        <v>8</v>
      </c>
      <c r="K20" s="119"/>
      <c r="L20" s="119" t="s">
        <v>467</v>
      </c>
      <c r="M20" s="261"/>
      <c r="N20" s="103" t="s">
        <v>1467</v>
      </c>
      <c r="O20" s="207"/>
      <c r="P20" s="265"/>
      <c r="Q20" s="207"/>
      <c r="R20" s="261"/>
      <c r="S20" s="261"/>
      <c r="T20" s="261"/>
      <c r="U20" s="261"/>
    </row>
    <row r="21" spans="1:21" x14ac:dyDescent="0.2">
      <c r="A21" s="448"/>
      <c r="B21" s="103" t="s">
        <v>130</v>
      </c>
      <c r="C21" s="126">
        <v>2</v>
      </c>
      <c r="D21" s="126">
        <v>6</v>
      </c>
      <c r="E21" s="175">
        <v>4</v>
      </c>
      <c r="F21" s="126">
        <v>8</v>
      </c>
      <c r="G21" s="175">
        <v>5</v>
      </c>
      <c r="H21" s="126">
        <v>8</v>
      </c>
      <c r="I21" s="175">
        <v>5</v>
      </c>
      <c r="J21" s="126">
        <v>8</v>
      </c>
      <c r="K21" s="119"/>
      <c r="L21" s="126" t="s">
        <v>1780</v>
      </c>
      <c r="M21" s="261"/>
      <c r="N21" s="103" t="s">
        <v>716</v>
      </c>
      <c r="O21" s="207"/>
      <c r="P21" s="265"/>
      <c r="Q21" s="207"/>
      <c r="R21" s="261"/>
      <c r="S21" s="261"/>
      <c r="T21" s="261"/>
      <c r="U21" s="261"/>
    </row>
    <row r="22" spans="1:21" x14ac:dyDescent="0.2">
      <c r="A22" s="447"/>
      <c r="B22" s="207" t="s">
        <v>1771</v>
      </c>
      <c r="C22" s="176"/>
      <c r="D22" s="176"/>
      <c r="E22" s="175">
        <v>2</v>
      </c>
      <c r="F22" s="126">
        <v>8</v>
      </c>
      <c r="G22" s="175">
        <v>2</v>
      </c>
      <c r="H22" s="126">
        <v>8</v>
      </c>
      <c r="I22" s="175">
        <v>2</v>
      </c>
      <c r="J22" s="126">
        <v>8</v>
      </c>
      <c r="K22" s="119"/>
      <c r="L22" s="119" t="s">
        <v>467</v>
      </c>
      <c r="M22" s="261"/>
      <c r="N22" s="103" t="s">
        <v>1781</v>
      </c>
      <c r="O22" s="207"/>
      <c r="P22" s="265"/>
      <c r="Q22" s="207"/>
      <c r="R22" s="261"/>
      <c r="S22" s="261"/>
      <c r="T22" s="261"/>
      <c r="U22" s="261"/>
    </row>
    <row r="23" spans="1:21" x14ac:dyDescent="0.2">
      <c r="A23" s="451"/>
      <c r="B23" s="407">
        <v>152</v>
      </c>
      <c r="C23" s="176"/>
      <c r="D23" s="176"/>
      <c r="E23" s="175">
        <v>2</v>
      </c>
      <c r="F23" s="126">
        <v>8</v>
      </c>
      <c r="G23" s="175">
        <v>2</v>
      </c>
      <c r="H23" s="126">
        <v>8</v>
      </c>
      <c r="I23" s="175">
        <v>2</v>
      </c>
      <c r="J23" s="126">
        <v>8</v>
      </c>
      <c r="K23" s="119"/>
      <c r="L23" s="119" t="s">
        <v>467</v>
      </c>
      <c r="M23" s="261"/>
      <c r="N23" s="103" t="s">
        <v>1602</v>
      </c>
      <c r="O23" s="207"/>
      <c r="P23" s="265"/>
      <c r="Q23" s="207"/>
      <c r="R23" s="261"/>
      <c r="S23" s="261"/>
      <c r="T23" s="261"/>
      <c r="U23" s="261"/>
    </row>
    <row r="24" spans="1:21" x14ac:dyDescent="0.2">
      <c r="A24" s="451"/>
      <c r="B24" s="407"/>
      <c r="C24" s="119"/>
      <c r="D24" s="119"/>
      <c r="E24" s="176"/>
      <c r="F24" s="119"/>
      <c r="G24" s="176"/>
      <c r="H24" s="119"/>
      <c r="I24" s="176"/>
      <c r="J24" s="119"/>
      <c r="K24" s="119"/>
      <c r="L24" s="119"/>
      <c r="M24" s="261"/>
      <c r="N24" s="103" t="s">
        <v>1488</v>
      </c>
      <c r="O24" s="207"/>
      <c r="P24" s="265"/>
      <c r="Q24" s="207"/>
      <c r="R24" s="261"/>
      <c r="S24" s="261"/>
      <c r="T24" s="261"/>
      <c r="U24" s="261"/>
    </row>
    <row r="25" spans="1:21" x14ac:dyDescent="0.2">
      <c r="A25" s="456"/>
      <c r="B25" s="179" t="s">
        <v>1782</v>
      </c>
      <c r="C25" s="403"/>
      <c r="D25" s="403"/>
      <c r="E25" s="178"/>
      <c r="F25" s="403"/>
      <c r="G25" s="178"/>
      <c r="H25" s="403"/>
      <c r="I25" s="178"/>
      <c r="J25" s="403"/>
      <c r="K25" s="403"/>
      <c r="L25" s="119"/>
      <c r="M25" s="261"/>
      <c r="N25" s="103" t="s">
        <v>175</v>
      </c>
      <c r="O25" s="207"/>
      <c r="P25" s="265"/>
      <c r="Q25" s="207"/>
      <c r="R25" s="261"/>
      <c r="S25" s="261"/>
      <c r="T25" s="261"/>
      <c r="U25" s="261"/>
    </row>
    <row r="26" spans="1:21" x14ac:dyDescent="0.2">
      <c r="A26" s="456"/>
      <c r="B26" s="179" t="s">
        <v>487</v>
      </c>
      <c r="C26" s="403"/>
      <c r="D26" s="403"/>
      <c r="E26" s="178"/>
      <c r="F26" s="403"/>
      <c r="G26" s="178"/>
      <c r="H26" s="403"/>
      <c r="I26" s="178"/>
      <c r="J26" s="403"/>
      <c r="K26" s="403"/>
      <c r="L26" s="119"/>
      <c r="M26" s="261"/>
      <c r="N26" s="103" t="s">
        <v>1490</v>
      </c>
      <c r="O26" s="207"/>
      <c r="P26" s="265"/>
      <c r="Q26" s="207"/>
      <c r="R26" s="261"/>
      <c r="S26" s="261"/>
      <c r="T26" s="261"/>
      <c r="U26" s="261"/>
    </row>
    <row r="27" spans="1:21" x14ac:dyDescent="0.2">
      <c r="A27" s="457"/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261"/>
      <c r="N27" s="103" t="s">
        <v>1783</v>
      </c>
      <c r="O27" s="207"/>
      <c r="P27" s="265"/>
      <c r="Q27" s="207"/>
      <c r="R27" s="261"/>
      <c r="S27" s="261"/>
      <c r="T27" s="261"/>
      <c r="U27" s="261"/>
    </row>
    <row r="28" spans="1:21" x14ac:dyDescent="0.2">
      <c r="A28" s="447"/>
      <c r="B28" s="119"/>
      <c r="C28" s="119"/>
      <c r="D28" s="119"/>
      <c r="E28" s="176"/>
      <c r="F28" s="119"/>
      <c r="G28" s="176"/>
      <c r="H28" s="119"/>
      <c r="I28" s="176"/>
      <c r="J28" s="119"/>
      <c r="K28" s="119"/>
      <c r="L28" s="119"/>
      <c r="M28" s="261"/>
      <c r="N28" s="103" t="s">
        <v>1482</v>
      </c>
      <c r="O28" s="207"/>
      <c r="P28" s="265"/>
      <c r="Q28" s="207"/>
      <c r="R28" s="261"/>
      <c r="S28" s="261"/>
      <c r="T28" s="261"/>
      <c r="U28" s="261"/>
    </row>
    <row r="29" spans="1:21" x14ac:dyDescent="0.2">
      <c r="A29" s="458"/>
      <c r="B29" s="182" t="s">
        <v>497</v>
      </c>
      <c r="C29" s="183">
        <f t="shared" ref="C29:L29" si="2">SUM(C18:C28)</f>
        <v>6</v>
      </c>
      <c r="D29" s="183">
        <f t="shared" si="2"/>
        <v>14</v>
      </c>
      <c r="E29" s="183">
        <f t="shared" si="2"/>
        <v>24</v>
      </c>
      <c r="F29" s="183">
        <f t="shared" si="2"/>
        <v>48</v>
      </c>
      <c r="G29" s="183">
        <f t="shared" si="2"/>
        <v>26</v>
      </c>
      <c r="H29" s="183">
        <f t="shared" si="2"/>
        <v>48</v>
      </c>
      <c r="I29" s="183">
        <f t="shared" si="2"/>
        <v>26</v>
      </c>
      <c r="J29" s="183">
        <f t="shared" si="2"/>
        <v>48</v>
      </c>
      <c r="K29" s="183">
        <f t="shared" si="2"/>
        <v>0</v>
      </c>
      <c r="L29" s="183">
        <f t="shared" si="2"/>
        <v>0</v>
      </c>
      <c r="M29" s="261"/>
      <c r="N29" s="103" t="s">
        <v>1484</v>
      </c>
      <c r="O29" s="207"/>
      <c r="P29" s="265"/>
      <c r="Q29" s="214"/>
      <c r="R29" s="261"/>
      <c r="S29" s="261"/>
      <c r="T29" s="261"/>
      <c r="U29" s="261"/>
    </row>
    <row r="30" spans="1:21" x14ac:dyDescent="0.2">
      <c r="A30" s="459"/>
      <c r="B30" s="275"/>
      <c r="C30" s="119"/>
      <c r="D30" s="119"/>
      <c r="E30" s="176"/>
      <c r="F30" s="119"/>
      <c r="G30" s="176"/>
      <c r="H30" s="119"/>
      <c r="I30" s="176"/>
      <c r="J30" s="119"/>
      <c r="K30" s="119"/>
      <c r="L30" s="119"/>
      <c r="M30" s="261"/>
      <c r="N30" s="219" t="s">
        <v>1496</v>
      </c>
      <c r="O30" s="214"/>
      <c r="P30" s="460"/>
      <c r="Q30" s="214"/>
      <c r="R30" s="270"/>
      <c r="S30" s="270"/>
      <c r="T30" s="270"/>
      <c r="U30" s="270"/>
    </row>
    <row r="31" spans="1:21" x14ac:dyDescent="0.2">
      <c r="A31" s="448"/>
      <c r="B31" s="126" t="s">
        <v>1784</v>
      </c>
      <c r="C31" s="119">
        <f>SUM(C18, C19, C20, C21, E18, E19, E20, E21, E23, E22, G18, G19, G20, G21, G22, G23, I18, I19, I20, I21, I22, I23)</f>
        <v>82</v>
      </c>
      <c r="D31" s="119"/>
      <c r="E31" s="119"/>
      <c r="F31" s="119"/>
      <c r="G31" s="119"/>
      <c r="H31" s="119"/>
      <c r="I31" s="119"/>
      <c r="J31" s="119"/>
      <c r="K31" s="119"/>
      <c r="L31" s="119"/>
      <c r="M31" s="261"/>
      <c r="N31" s="219" t="s">
        <v>745</v>
      </c>
      <c r="O31" s="214"/>
      <c r="P31" s="460"/>
      <c r="Q31" s="207"/>
      <c r="R31" s="270"/>
      <c r="S31" s="270"/>
      <c r="T31" s="270"/>
      <c r="U31" s="270"/>
    </row>
    <row r="32" spans="1:21" x14ac:dyDescent="0.2">
      <c r="A32" s="447"/>
      <c r="B32" s="119"/>
      <c r="C32" s="176"/>
      <c r="D32" s="176"/>
      <c r="E32" s="176"/>
      <c r="F32" s="119"/>
      <c r="G32" s="176"/>
      <c r="H32" s="119"/>
      <c r="I32" s="176"/>
      <c r="J32" s="119"/>
      <c r="K32" s="119"/>
      <c r="L32" s="119"/>
      <c r="M32" s="261"/>
      <c r="N32" s="103" t="s">
        <v>594</v>
      </c>
      <c r="O32" s="207"/>
      <c r="P32" s="265"/>
      <c r="Q32" s="207"/>
      <c r="R32" s="261"/>
      <c r="S32" s="261"/>
      <c r="T32" s="261"/>
      <c r="U32" s="261"/>
    </row>
    <row r="33" spans="1:21" x14ac:dyDescent="0.2">
      <c r="A33" s="447"/>
      <c r="B33" s="119"/>
      <c r="C33" s="119"/>
      <c r="D33" s="119"/>
      <c r="E33" s="176"/>
      <c r="F33" s="119"/>
      <c r="G33" s="176"/>
      <c r="H33" s="119"/>
      <c r="I33" s="176"/>
      <c r="J33" s="119"/>
      <c r="K33" s="119"/>
      <c r="L33" s="119"/>
      <c r="M33" s="261"/>
      <c r="N33" s="103" t="s">
        <v>1785</v>
      </c>
      <c r="O33" s="207"/>
      <c r="P33" s="265"/>
      <c r="Q33" s="207"/>
      <c r="R33" s="261"/>
      <c r="S33" s="261"/>
      <c r="T33" s="261"/>
      <c r="U33" s="261"/>
    </row>
    <row r="34" spans="1:21" x14ac:dyDescent="0.2">
      <c r="A34" s="447"/>
      <c r="B34" s="119"/>
      <c r="C34" s="119"/>
      <c r="D34" s="119"/>
      <c r="E34" s="176"/>
      <c r="F34" s="119"/>
      <c r="G34" s="176"/>
      <c r="H34" s="119"/>
      <c r="I34" s="176"/>
      <c r="J34" s="119"/>
      <c r="K34" s="119"/>
      <c r="L34" s="119"/>
      <c r="M34" s="261"/>
      <c r="N34" s="103" t="s">
        <v>1786</v>
      </c>
      <c r="O34" s="207"/>
      <c r="P34" s="265"/>
      <c r="Q34" s="207"/>
      <c r="R34" s="261"/>
      <c r="S34" s="261"/>
      <c r="T34" s="261"/>
      <c r="U34" s="261"/>
    </row>
    <row r="35" spans="1:21" x14ac:dyDescent="0.2">
      <c r="A35" s="461"/>
      <c r="B35" s="462"/>
      <c r="C35" s="463"/>
      <c r="D35" s="463"/>
      <c r="E35" s="176"/>
      <c r="F35" s="119"/>
      <c r="G35" s="176"/>
      <c r="H35" s="119"/>
      <c r="I35" s="176"/>
      <c r="J35" s="119"/>
      <c r="K35" s="119"/>
      <c r="L35" s="119"/>
      <c r="M35" s="261"/>
      <c r="N35" s="103" t="s">
        <v>461</v>
      </c>
      <c r="O35" s="207"/>
      <c r="P35" s="265"/>
      <c r="Q35" s="207"/>
      <c r="R35" s="261"/>
      <c r="S35" s="261"/>
      <c r="T35" s="261"/>
      <c r="U35" s="261"/>
    </row>
    <row r="36" spans="1:21" x14ac:dyDescent="0.2">
      <c r="A36" s="464"/>
      <c r="B36" s="607" t="s">
        <v>1787</v>
      </c>
      <c r="C36" s="533"/>
      <c r="D36" s="465" t="s">
        <v>1788</v>
      </c>
      <c r="E36" s="176"/>
      <c r="F36" s="609" t="s">
        <v>430</v>
      </c>
      <c r="G36" s="533"/>
      <c r="H36" s="533"/>
      <c r="I36" s="176"/>
      <c r="J36" s="119"/>
      <c r="K36" s="119"/>
      <c r="L36" s="119"/>
      <c r="M36" s="261"/>
      <c r="N36" s="103" t="s">
        <v>623</v>
      </c>
      <c r="O36" s="207"/>
      <c r="P36" s="265"/>
      <c r="Q36" s="207"/>
      <c r="R36" s="261"/>
      <c r="S36" s="261"/>
      <c r="T36" s="261"/>
      <c r="U36" s="261"/>
    </row>
    <row r="37" spans="1:21" x14ac:dyDescent="0.2">
      <c r="A37" s="466"/>
      <c r="B37" s="467" t="s">
        <v>128</v>
      </c>
      <c r="C37" s="467" t="s">
        <v>1789</v>
      </c>
      <c r="D37" s="467" t="s">
        <v>1790</v>
      </c>
      <c r="F37" s="93" t="s">
        <v>431</v>
      </c>
      <c r="G37" s="93">
        <v>4</v>
      </c>
      <c r="M37" s="261"/>
      <c r="N37" s="103" t="s">
        <v>582</v>
      </c>
      <c r="O37" s="207"/>
      <c r="P37" s="265"/>
      <c r="Q37" s="207"/>
      <c r="R37" s="261"/>
      <c r="S37" s="261"/>
      <c r="T37" s="261"/>
      <c r="U37" s="261"/>
    </row>
    <row r="38" spans="1:21" x14ac:dyDescent="0.2">
      <c r="A38" s="468"/>
      <c r="B38" s="465" t="s">
        <v>1038</v>
      </c>
      <c r="C38" s="465" t="s">
        <v>1791</v>
      </c>
      <c r="D38" s="465" t="s">
        <v>1792</v>
      </c>
      <c r="E38" s="119"/>
      <c r="F38" s="126" t="s">
        <v>433</v>
      </c>
      <c r="G38" s="126">
        <v>6</v>
      </c>
      <c r="H38" s="119"/>
      <c r="I38" s="119"/>
      <c r="J38" s="119"/>
      <c r="K38" s="119"/>
      <c r="L38" s="119"/>
      <c r="M38" s="261"/>
      <c r="N38" s="103" t="s">
        <v>174</v>
      </c>
      <c r="O38" s="207"/>
      <c r="P38" s="265"/>
      <c r="Q38" s="207"/>
      <c r="R38" s="261"/>
      <c r="S38" s="261"/>
      <c r="T38" s="261"/>
      <c r="U38" s="261"/>
    </row>
    <row r="39" spans="1:21" x14ac:dyDescent="0.2">
      <c r="A39" s="468"/>
      <c r="B39" s="465" t="s">
        <v>302</v>
      </c>
      <c r="C39" s="465" t="s">
        <v>1793</v>
      </c>
      <c r="D39" s="465" t="s">
        <v>1794</v>
      </c>
      <c r="E39" s="119"/>
      <c r="F39" s="126" t="s">
        <v>434</v>
      </c>
      <c r="G39" s="126">
        <v>2</v>
      </c>
      <c r="H39" s="119"/>
      <c r="I39" s="119"/>
      <c r="J39" s="119"/>
      <c r="K39" s="119"/>
      <c r="L39" s="119"/>
      <c r="M39" s="261"/>
      <c r="N39" s="103" t="s">
        <v>1795</v>
      </c>
      <c r="O39" s="207"/>
      <c r="P39" s="265"/>
      <c r="Q39" s="207"/>
      <c r="R39" s="261"/>
      <c r="S39" s="261"/>
      <c r="T39" s="261"/>
      <c r="U39" s="261"/>
    </row>
    <row r="40" spans="1:21" x14ac:dyDescent="0.2">
      <c r="A40" s="468"/>
      <c r="B40" s="465" t="s">
        <v>47</v>
      </c>
      <c r="C40" s="465" t="s">
        <v>1796</v>
      </c>
      <c r="D40" s="465" t="s">
        <v>1797</v>
      </c>
      <c r="E40" s="119"/>
      <c r="F40" s="126" t="s">
        <v>436</v>
      </c>
      <c r="G40" s="126">
        <v>4</v>
      </c>
      <c r="H40" s="119"/>
      <c r="I40" s="119"/>
      <c r="J40" s="119"/>
      <c r="K40" s="119"/>
      <c r="L40" s="119"/>
      <c r="M40" s="261"/>
      <c r="N40" s="103" t="s">
        <v>1798</v>
      </c>
      <c r="O40" s="207"/>
      <c r="P40" s="265"/>
      <c r="Q40" s="207"/>
      <c r="R40" s="261"/>
      <c r="S40" s="261"/>
      <c r="T40" s="261"/>
      <c r="U40" s="261"/>
    </row>
    <row r="41" spans="1:21" x14ac:dyDescent="0.2">
      <c r="A41" s="468"/>
      <c r="B41" s="465" t="s">
        <v>585</v>
      </c>
      <c r="C41" s="465" t="s">
        <v>1799</v>
      </c>
      <c r="D41" s="465" t="s">
        <v>1800</v>
      </c>
      <c r="E41" s="119"/>
      <c r="F41" s="126" t="s">
        <v>437</v>
      </c>
      <c r="G41" s="126">
        <v>2</v>
      </c>
      <c r="H41" s="119"/>
      <c r="I41" s="119"/>
      <c r="J41" s="119"/>
      <c r="K41" s="119"/>
      <c r="L41" s="119"/>
      <c r="M41" s="261"/>
      <c r="N41" s="103" t="s">
        <v>1717</v>
      </c>
      <c r="O41" s="207"/>
      <c r="P41" s="265"/>
      <c r="Q41" s="207"/>
      <c r="R41" s="261"/>
      <c r="S41" s="261"/>
      <c r="T41" s="261"/>
      <c r="U41" s="261"/>
    </row>
    <row r="42" spans="1:21" x14ac:dyDescent="0.2">
      <c r="A42" s="468"/>
      <c r="B42" s="465" t="s">
        <v>585</v>
      </c>
      <c r="C42" s="465" t="s">
        <v>1799</v>
      </c>
      <c r="D42" s="465" t="s">
        <v>1800</v>
      </c>
      <c r="E42" s="119"/>
      <c r="F42" s="126" t="s">
        <v>438</v>
      </c>
      <c r="G42" s="126">
        <v>2</v>
      </c>
      <c r="H42" s="119"/>
      <c r="I42" s="119"/>
      <c r="J42" s="119"/>
      <c r="K42" s="119"/>
      <c r="L42" s="119"/>
      <c r="M42" s="261"/>
      <c r="N42" s="207"/>
      <c r="O42" s="207"/>
      <c r="P42" s="265"/>
      <c r="Q42" s="207"/>
      <c r="R42" s="261"/>
      <c r="S42" s="261"/>
      <c r="T42" s="261"/>
      <c r="U42" s="261"/>
    </row>
    <row r="43" spans="1:21" x14ac:dyDescent="0.2">
      <c r="A43" s="469"/>
      <c r="B43" s="463"/>
      <c r="C43" s="463"/>
      <c r="D43" s="463"/>
      <c r="E43" s="119"/>
      <c r="F43" s="126" t="s">
        <v>440</v>
      </c>
      <c r="G43" s="126">
        <v>4</v>
      </c>
      <c r="H43" s="119">
        <f>SUM(G38, G37, G39, G41, G40, G42, G43)</f>
        <v>24</v>
      </c>
      <c r="I43" s="119"/>
      <c r="J43" s="119"/>
      <c r="K43" s="119"/>
      <c r="L43" s="119"/>
      <c r="M43" s="261"/>
      <c r="N43" s="207"/>
      <c r="O43" s="207"/>
      <c r="P43" s="265"/>
      <c r="Q43" s="207"/>
      <c r="R43" s="261"/>
      <c r="S43" s="261"/>
      <c r="T43" s="261"/>
      <c r="U43" s="261"/>
    </row>
    <row r="44" spans="1:21" x14ac:dyDescent="0.2">
      <c r="A44" s="447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261"/>
      <c r="N44" s="207"/>
      <c r="O44" s="207"/>
      <c r="P44" s="265"/>
      <c r="Q44" s="207"/>
      <c r="R44" s="261"/>
      <c r="S44" s="261"/>
      <c r="T44" s="261"/>
      <c r="U44" s="261"/>
    </row>
    <row r="45" spans="1:21" x14ac:dyDescent="0.2">
      <c r="A45" s="470"/>
      <c r="B45" s="610" t="s">
        <v>1801</v>
      </c>
      <c r="C45" s="533"/>
      <c r="D45" s="533"/>
      <c r="E45" s="533"/>
      <c r="F45" s="533"/>
      <c r="G45" s="533"/>
      <c r="H45" s="533"/>
      <c r="I45" s="119"/>
      <c r="J45" s="119"/>
      <c r="K45" s="119"/>
      <c r="L45" s="119"/>
      <c r="M45" s="261"/>
      <c r="N45" s="207"/>
      <c r="O45" s="207"/>
      <c r="P45" s="265"/>
      <c r="Q45" s="207"/>
      <c r="R45" s="261"/>
      <c r="S45" s="261"/>
      <c r="T45" s="261"/>
      <c r="U45" s="261"/>
    </row>
    <row r="46" spans="1:21" x14ac:dyDescent="0.2">
      <c r="A46" s="444"/>
      <c r="B46" s="271" t="s">
        <v>111</v>
      </c>
      <c r="C46" s="271" t="s">
        <v>205</v>
      </c>
      <c r="D46" s="271" t="s">
        <v>128</v>
      </c>
      <c r="E46" s="271" t="s">
        <v>1802</v>
      </c>
      <c r="F46" s="271" t="s">
        <v>1803</v>
      </c>
      <c r="G46" s="271" t="s">
        <v>134</v>
      </c>
      <c r="H46" s="171"/>
      <c r="I46" s="119"/>
      <c r="J46" s="119"/>
      <c r="K46" s="119"/>
      <c r="L46" s="119"/>
      <c r="M46" s="169"/>
      <c r="N46" s="119"/>
      <c r="O46" s="119"/>
      <c r="P46" s="123"/>
      <c r="Q46" s="119"/>
      <c r="R46" s="169"/>
      <c r="S46" s="169"/>
      <c r="T46" s="169"/>
      <c r="U46" s="169"/>
    </row>
    <row r="47" spans="1:21" x14ac:dyDescent="0.2">
      <c r="A47" s="471"/>
      <c r="B47" s="93" t="s">
        <v>128</v>
      </c>
      <c r="C47" s="126" t="b">
        <v>1</v>
      </c>
      <c r="D47" s="126" t="b">
        <v>1</v>
      </c>
      <c r="E47" s="126" t="b">
        <v>1</v>
      </c>
      <c r="F47" s="119" t="b">
        <v>0</v>
      </c>
      <c r="G47" s="119" t="b">
        <v>0</v>
      </c>
      <c r="H47" s="119" t="b">
        <v>0</v>
      </c>
      <c r="I47" s="119"/>
      <c r="J47" s="119"/>
      <c r="K47" s="119"/>
      <c r="L47" s="119"/>
      <c r="M47" s="169"/>
      <c r="N47" s="119"/>
      <c r="O47" s="119"/>
      <c r="P47" s="123"/>
      <c r="Q47" s="119"/>
      <c r="R47" s="169"/>
      <c r="S47" s="169"/>
      <c r="T47" s="169"/>
      <c r="U47" s="169"/>
    </row>
    <row r="48" spans="1:21" x14ac:dyDescent="0.2">
      <c r="A48" s="448"/>
      <c r="B48" s="126" t="s">
        <v>1038</v>
      </c>
      <c r="C48" s="126" t="b">
        <v>1</v>
      </c>
      <c r="D48" s="119" t="b">
        <v>0</v>
      </c>
      <c r="E48" s="119" t="b">
        <v>0</v>
      </c>
      <c r="F48" s="119" t="b">
        <v>0</v>
      </c>
      <c r="G48" s="119" t="b">
        <v>0</v>
      </c>
      <c r="H48" s="119" t="b">
        <v>0</v>
      </c>
      <c r="I48" s="119"/>
      <c r="J48" s="119"/>
      <c r="K48" s="119"/>
      <c r="L48" s="119"/>
      <c r="M48" s="169"/>
      <c r="N48" s="119"/>
      <c r="O48" s="119"/>
      <c r="P48" s="123"/>
      <c r="Q48" s="119"/>
      <c r="R48" s="169"/>
      <c r="S48" s="169"/>
      <c r="T48" s="169"/>
      <c r="U48" s="169"/>
    </row>
    <row r="49" spans="1:21" x14ac:dyDescent="0.2">
      <c r="A49" s="448"/>
      <c r="B49" s="126" t="s">
        <v>302</v>
      </c>
      <c r="C49" s="126" t="b">
        <v>1</v>
      </c>
      <c r="D49" s="119" t="b">
        <v>0</v>
      </c>
      <c r="E49" s="126" t="b">
        <v>1</v>
      </c>
      <c r="F49" s="119" t="b">
        <v>0</v>
      </c>
      <c r="G49" s="119" t="b">
        <v>0</v>
      </c>
      <c r="H49" s="119" t="b">
        <v>0</v>
      </c>
      <c r="I49" s="119"/>
      <c r="J49" s="119"/>
      <c r="K49" s="119"/>
      <c r="L49" s="119"/>
      <c r="M49" s="169"/>
      <c r="N49" s="119"/>
      <c r="O49" s="119"/>
      <c r="P49" s="123"/>
      <c r="Q49" s="119"/>
      <c r="R49" s="169"/>
      <c r="S49" s="169"/>
      <c r="T49" s="169"/>
      <c r="U49" s="169"/>
    </row>
    <row r="50" spans="1:21" x14ac:dyDescent="0.2">
      <c r="A50" s="448"/>
      <c r="B50" s="126" t="s">
        <v>47</v>
      </c>
      <c r="C50" s="126" t="b">
        <v>1</v>
      </c>
      <c r="D50" s="119" t="b">
        <v>0</v>
      </c>
      <c r="E50" s="119" t="b">
        <v>0</v>
      </c>
      <c r="F50" s="119" t="b">
        <v>0</v>
      </c>
      <c r="G50" s="119" t="b">
        <v>0</v>
      </c>
      <c r="H50" s="119" t="b">
        <v>0</v>
      </c>
      <c r="I50" s="119"/>
      <c r="J50" s="119"/>
      <c r="K50" s="119"/>
      <c r="L50" s="119"/>
      <c r="M50" s="169"/>
      <c r="N50" s="119"/>
      <c r="O50" s="119"/>
      <c r="P50" s="123"/>
      <c r="Q50" s="119"/>
      <c r="R50" s="169"/>
      <c r="S50" s="169"/>
      <c r="T50" s="169"/>
      <c r="U50" s="169"/>
    </row>
    <row r="51" spans="1:21" x14ac:dyDescent="0.2">
      <c r="A51" s="448"/>
      <c r="B51" s="126" t="s">
        <v>585</v>
      </c>
      <c r="C51" s="126" t="b">
        <v>1</v>
      </c>
      <c r="D51" s="119" t="b">
        <v>0</v>
      </c>
      <c r="E51" s="119" t="b">
        <v>0</v>
      </c>
      <c r="F51" s="119" t="b">
        <v>0</v>
      </c>
      <c r="G51" s="119" t="b">
        <v>0</v>
      </c>
      <c r="H51" s="119" t="b">
        <v>0</v>
      </c>
      <c r="I51" s="119"/>
      <c r="J51" s="119"/>
      <c r="K51" s="119"/>
      <c r="L51" s="119"/>
      <c r="M51" s="169"/>
      <c r="N51" s="119"/>
      <c r="O51" s="119"/>
      <c r="P51" s="123"/>
      <c r="Q51" s="119"/>
      <c r="R51" s="169"/>
      <c r="S51" s="169"/>
      <c r="T51" s="169"/>
      <c r="U51" s="169"/>
    </row>
    <row r="52" spans="1:21" x14ac:dyDescent="0.2">
      <c r="A52" s="448"/>
      <c r="B52" s="126" t="s">
        <v>585</v>
      </c>
      <c r="C52" s="126" t="b">
        <v>1</v>
      </c>
      <c r="D52" s="119" t="b">
        <v>0</v>
      </c>
      <c r="E52" s="119" t="b">
        <v>0</v>
      </c>
      <c r="F52" s="119" t="b">
        <v>0</v>
      </c>
      <c r="G52" s="119" t="b">
        <v>0</v>
      </c>
      <c r="H52" s="119" t="b">
        <v>0</v>
      </c>
      <c r="I52" s="119"/>
      <c r="J52" s="119"/>
      <c r="K52" s="119"/>
      <c r="L52" s="119"/>
      <c r="M52" s="169"/>
      <c r="N52" s="119"/>
      <c r="O52" s="119"/>
      <c r="P52" s="123"/>
      <c r="Q52" s="119"/>
      <c r="R52" s="169"/>
      <c r="S52" s="169"/>
      <c r="T52" s="169"/>
      <c r="U52" s="169"/>
    </row>
    <row r="53" spans="1:21" x14ac:dyDescent="0.2">
      <c r="A53" s="447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69"/>
      <c r="N53" s="119"/>
      <c r="O53" s="119"/>
      <c r="P53" s="123"/>
      <c r="Q53" s="119"/>
      <c r="R53" s="169"/>
      <c r="S53" s="169"/>
      <c r="T53" s="169"/>
      <c r="U53" s="169"/>
    </row>
    <row r="54" spans="1:21" x14ac:dyDescent="0.2">
      <c r="A54" s="447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69"/>
      <c r="N54" s="119"/>
      <c r="O54" s="119"/>
      <c r="P54" s="123"/>
      <c r="Q54" s="119"/>
      <c r="R54" s="169"/>
      <c r="S54" s="169"/>
      <c r="T54" s="169"/>
      <c r="U54" s="169"/>
    </row>
    <row r="55" spans="1:21" x14ac:dyDescent="0.2">
      <c r="A55" s="447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69"/>
      <c r="N55" s="119"/>
      <c r="O55" s="119"/>
      <c r="P55" s="123"/>
      <c r="Q55" s="119"/>
      <c r="R55" s="169"/>
      <c r="S55" s="169"/>
      <c r="T55" s="169"/>
      <c r="U55" s="169"/>
    </row>
    <row r="56" spans="1:21" x14ac:dyDescent="0.2">
      <c r="A56" s="447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69"/>
      <c r="N56" s="119"/>
      <c r="O56" s="119"/>
      <c r="P56" s="123"/>
      <c r="Q56" s="119"/>
      <c r="R56" s="169"/>
      <c r="S56" s="169"/>
      <c r="T56" s="169"/>
      <c r="U56" s="169"/>
    </row>
    <row r="57" spans="1:21" x14ac:dyDescent="0.2">
      <c r="A57" s="472"/>
      <c r="B57" s="473" t="s">
        <v>1804</v>
      </c>
      <c r="C57" s="473" t="s">
        <v>1805</v>
      </c>
      <c r="D57" s="473" t="s">
        <v>1806</v>
      </c>
      <c r="E57" s="473" t="s">
        <v>1807</v>
      </c>
      <c r="F57" s="474"/>
      <c r="G57" s="474"/>
      <c r="H57" s="474"/>
      <c r="I57" s="119"/>
      <c r="J57" s="119"/>
      <c r="K57" s="119"/>
      <c r="L57" s="119"/>
      <c r="M57" s="169"/>
      <c r="N57" s="119"/>
      <c r="O57" s="119"/>
      <c r="P57" s="123"/>
      <c r="Q57" s="119"/>
      <c r="R57" s="169"/>
      <c r="S57" s="169"/>
      <c r="T57" s="169"/>
      <c r="U57" s="169"/>
    </row>
    <row r="58" spans="1:21" x14ac:dyDescent="0.2">
      <c r="A58" s="448"/>
      <c r="B58" s="126" t="s">
        <v>649</v>
      </c>
      <c r="C58" s="126">
        <v>6</v>
      </c>
      <c r="D58" s="126">
        <v>1</v>
      </c>
      <c r="E58" s="126">
        <v>1</v>
      </c>
      <c r="F58" s="119"/>
      <c r="G58" s="119"/>
      <c r="H58" s="119"/>
      <c r="I58" s="119"/>
      <c r="J58" s="119"/>
      <c r="K58" s="119"/>
      <c r="L58" s="119"/>
      <c r="M58" s="169"/>
      <c r="N58" s="119"/>
      <c r="O58" s="119"/>
      <c r="P58" s="123"/>
      <c r="Q58" s="119"/>
      <c r="R58" s="169"/>
      <c r="S58" s="169"/>
      <c r="T58" s="169"/>
      <c r="U58" s="169"/>
    </row>
    <row r="59" spans="1:21" x14ac:dyDescent="0.2">
      <c r="A59" s="448"/>
      <c r="B59" s="126" t="s">
        <v>142</v>
      </c>
      <c r="C59" s="126">
        <v>10</v>
      </c>
      <c r="D59" s="126">
        <v>1</v>
      </c>
      <c r="E59" s="126">
        <v>1</v>
      </c>
      <c r="F59" s="119"/>
      <c r="G59" s="119"/>
      <c r="H59" s="119"/>
      <c r="I59" s="119"/>
      <c r="J59" s="119"/>
      <c r="K59" s="119"/>
      <c r="L59" s="119"/>
      <c r="M59" s="169"/>
      <c r="N59" s="119"/>
      <c r="O59" s="119"/>
      <c r="P59" s="123"/>
      <c r="Q59" s="119"/>
      <c r="R59" s="169"/>
      <c r="S59" s="169"/>
      <c r="T59" s="169"/>
      <c r="U59" s="169"/>
    </row>
    <row r="60" spans="1:21" x14ac:dyDescent="0.2">
      <c r="A60" s="448"/>
      <c r="B60" s="126" t="s">
        <v>585</v>
      </c>
      <c r="C60" s="126">
        <v>3</v>
      </c>
      <c r="D60" s="126">
        <v>1</v>
      </c>
      <c r="E60" s="126">
        <v>1</v>
      </c>
      <c r="F60" s="119"/>
      <c r="G60" s="119"/>
      <c r="H60" s="119"/>
      <c r="I60" s="119"/>
      <c r="J60" s="119"/>
      <c r="K60" s="119"/>
      <c r="L60" s="119"/>
      <c r="M60" s="169"/>
      <c r="N60" s="119"/>
      <c r="O60" s="119"/>
      <c r="P60" s="123"/>
      <c r="Q60" s="119"/>
      <c r="R60" s="169"/>
      <c r="S60" s="169"/>
      <c r="T60" s="169"/>
      <c r="U60" s="169"/>
    </row>
    <row r="61" spans="1:21" x14ac:dyDescent="0.2">
      <c r="A61" s="448"/>
      <c r="B61" s="126" t="s">
        <v>585</v>
      </c>
      <c r="C61" s="126">
        <v>3</v>
      </c>
      <c r="D61" s="126"/>
      <c r="E61" s="126">
        <v>1</v>
      </c>
      <c r="F61" s="119"/>
      <c r="G61" s="119"/>
      <c r="H61" s="119"/>
      <c r="I61" s="119"/>
      <c r="J61" s="119"/>
      <c r="K61" s="119"/>
      <c r="L61" s="119"/>
      <c r="M61" s="169"/>
      <c r="N61" s="119"/>
      <c r="O61" s="119"/>
      <c r="P61" s="123"/>
      <c r="Q61" s="119"/>
      <c r="R61" s="169"/>
      <c r="S61" s="169"/>
      <c r="T61" s="169"/>
      <c r="U61" s="169"/>
    </row>
    <row r="62" spans="1:21" x14ac:dyDescent="0.2">
      <c r="A62" s="448"/>
      <c r="B62" s="126" t="s">
        <v>47</v>
      </c>
      <c r="C62" s="126">
        <v>8</v>
      </c>
      <c r="D62" s="126">
        <v>1</v>
      </c>
      <c r="E62" s="126">
        <v>1</v>
      </c>
      <c r="F62" s="119"/>
      <c r="G62" s="119"/>
      <c r="H62" s="119"/>
      <c r="I62" s="119"/>
      <c r="J62" s="119"/>
      <c r="K62" s="119"/>
      <c r="L62" s="119"/>
      <c r="M62" s="169"/>
      <c r="N62" s="119"/>
      <c r="O62" s="119"/>
      <c r="P62" s="123"/>
      <c r="Q62" s="119"/>
      <c r="R62" s="169"/>
      <c r="S62" s="169"/>
      <c r="T62" s="169"/>
      <c r="U62" s="169"/>
    </row>
    <row r="63" spans="1:21" x14ac:dyDescent="0.2">
      <c r="A63" s="448"/>
      <c r="B63" s="126" t="s">
        <v>302</v>
      </c>
      <c r="C63" s="126">
        <v>8</v>
      </c>
      <c r="D63" s="119"/>
      <c r="E63" s="119"/>
      <c r="F63" s="119"/>
      <c r="G63" s="119"/>
      <c r="H63" s="119"/>
      <c r="I63" s="119"/>
      <c r="J63" s="119"/>
      <c r="K63" s="119"/>
      <c r="L63" s="119"/>
      <c r="M63" s="169"/>
      <c r="N63" s="119"/>
      <c r="O63" s="119"/>
      <c r="P63" s="123"/>
      <c r="Q63" s="119"/>
      <c r="R63" s="169"/>
      <c r="S63" s="169"/>
      <c r="T63" s="169"/>
      <c r="U63" s="169"/>
    </row>
    <row r="64" spans="1:21" x14ac:dyDescent="0.2">
      <c r="A64" s="447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69"/>
      <c r="N64" s="119"/>
      <c r="O64" s="119"/>
      <c r="P64" s="123"/>
      <c r="Q64" s="119"/>
      <c r="R64" s="169"/>
      <c r="S64" s="169"/>
      <c r="T64" s="169"/>
      <c r="U64" s="169"/>
    </row>
    <row r="65" spans="1:21" x14ac:dyDescent="0.2">
      <c r="A65" s="447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69"/>
      <c r="N65" s="119"/>
      <c r="O65" s="119"/>
      <c r="P65" s="123"/>
      <c r="Q65" s="119"/>
      <c r="R65" s="169"/>
      <c r="S65" s="169"/>
      <c r="T65" s="169"/>
      <c r="U65" s="169"/>
    </row>
    <row r="66" spans="1:21" x14ac:dyDescent="0.2">
      <c r="A66" s="606" t="s">
        <v>128</v>
      </c>
      <c r="B66" s="533"/>
      <c r="C66" s="533"/>
      <c r="D66" s="533"/>
      <c r="E66" s="533"/>
      <c r="F66" s="533"/>
      <c r="G66" s="533"/>
      <c r="H66" s="533"/>
      <c r="I66" s="533"/>
      <c r="J66" s="119"/>
      <c r="K66" s="119"/>
      <c r="L66" s="119"/>
      <c r="M66" s="169"/>
      <c r="N66" s="119"/>
      <c r="O66" s="119"/>
      <c r="P66" s="123"/>
      <c r="Q66" s="119"/>
      <c r="R66" s="169"/>
      <c r="S66" s="169"/>
      <c r="T66" s="169"/>
      <c r="U66" s="169"/>
    </row>
    <row r="67" spans="1:21" x14ac:dyDescent="0.2">
      <c r="A67" s="126">
        <v>11</v>
      </c>
      <c r="B67" s="126">
        <v>1</v>
      </c>
      <c r="C67" s="126">
        <v>2</v>
      </c>
      <c r="D67" s="126">
        <v>3</v>
      </c>
      <c r="E67" s="126">
        <v>4</v>
      </c>
      <c r="F67" s="126">
        <v>5</v>
      </c>
      <c r="G67" s="126">
        <v>6</v>
      </c>
      <c r="H67" s="126">
        <v>7</v>
      </c>
      <c r="I67" s="126">
        <v>8</v>
      </c>
      <c r="J67" s="119"/>
      <c r="K67" s="119"/>
      <c r="L67" s="119"/>
      <c r="M67" s="169"/>
      <c r="N67" s="119"/>
      <c r="O67" s="119"/>
      <c r="P67" s="123"/>
      <c r="Q67" s="119"/>
      <c r="R67" s="169"/>
      <c r="S67" s="169"/>
      <c r="T67" s="169"/>
      <c r="U67" s="169"/>
    </row>
    <row r="68" spans="1:21" x14ac:dyDescent="0.2">
      <c r="A68" s="448" t="s">
        <v>1808</v>
      </c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69"/>
      <c r="N68" s="119"/>
      <c r="O68" s="119"/>
      <c r="P68" s="123"/>
      <c r="Q68" s="119"/>
      <c r="R68" s="169"/>
      <c r="S68" s="169"/>
      <c r="T68" s="169"/>
      <c r="U68" s="169"/>
    </row>
    <row r="69" spans="1:21" x14ac:dyDescent="0.2">
      <c r="A69" s="447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69"/>
      <c r="N69" s="119"/>
      <c r="O69" s="119"/>
      <c r="P69" s="123"/>
      <c r="Q69" s="119"/>
      <c r="R69" s="169"/>
      <c r="S69" s="169"/>
      <c r="T69" s="169"/>
      <c r="U69" s="169"/>
    </row>
    <row r="70" spans="1:21" x14ac:dyDescent="0.2">
      <c r="A70" s="447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69"/>
      <c r="N70" s="119"/>
      <c r="O70" s="119"/>
      <c r="P70" s="123"/>
      <c r="Q70" s="119"/>
      <c r="R70" s="169"/>
      <c r="S70" s="169"/>
      <c r="T70" s="169"/>
      <c r="U70" s="169"/>
    </row>
    <row r="71" spans="1:21" x14ac:dyDescent="0.2">
      <c r="A71" s="447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69"/>
      <c r="N71" s="119"/>
      <c r="O71" s="119"/>
      <c r="P71" s="123"/>
      <c r="Q71" s="119"/>
      <c r="R71" s="169"/>
      <c r="S71" s="169"/>
      <c r="T71" s="169"/>
      <c r="U71" s="169"/>
    </row>
    <row r="72" spans="1:21" x14ac:dyDescent="0.2">
      <c r="A72" s="447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69"/>
      <c r="N72" s="119"/>
      <c r="O72" s="119"/>
      <c r="P72" s="123"/>
      <c r="Q72" s="119"/>
      <c r="R72" s="169"/>
      <c r="S72" s="169"/>
      <c r="T72" s="169"/>
      <c r="U72" s="169"/>
    </row>
    <row r="73" spans="1:21" x14ac:dyDescent="0.2">
      <c r="A73" s="447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69"/>
      <c r="N73" s="119"/>
      <c r="O73" s="119"/>
      <c r="P73" s="123"/>
      <c r="Q73" s="119"/>
      <c r="R73" s="169"/>
      <c r="S73" s="169"/>
      <c r="T73" s="169"/>
      <c r="U73" s="169"/>
    </row>
    <row r="74" spans="1:21" x14ac:dyDescent="0.2">
      <c r="A74" s="447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69"/>
      <c r="N74" s="119"/>
      <c r="O74" s="119"/>
      <c r="P74" s="123"/>
      <c r="Q74" s="119"/>
      <c r="R74" s="169"/>
      <c r="S74" s="169"/>
      <c r="T74" s="169"/>
      <c r="U74" s="169"/>
    </row>
    <row r="75" spans="1:21" x14ac:dyDescent="0.2">
      <c r="A75" s="447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69"/>
      <c r="N75" s="119"/>
      <c r="O75" s="119"/>
      <c r="P75" s="123"/>
      <c r="Q75" s="119"/>
      <c r="R75" s="169"/>
      <c r="S75" s="169"/>
      <c r="T75" s="169"/>
      <c r="U75" s="169"/>
    </row>
    <row r="76" spans="1:21" x14ac:dyDescent="0.2">
      <c r="A76" s="447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69"/>
      <c r="N76" s="119"/>
      <c r="O76" s="119"/>
      <c r="P76" s="123"/>
      <c r="Q76" s="119"/>
      <c r="R76" s="169"/>
      <c r="S76" s="169"/>
      <c r="T76" s="169"/>
      <c r="U76" s="169"/>
    </row>
    <row r="77" spans="1:21" x14ac:dyDescent="0.2">
      <c r="A77" s="447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69"/>
      <c r="N77" s="119"/>
      <c r="O77" s="119"/>
      <c r="P77" s="123"/>
      <c r="Q77" s="119"/>
      <c r="R77" s="169"/>
      <c r="S77" s="169"/>
      <c r="T77" s="169"/>
      <c r="U77" s="169"/>
    </row>
    <row r="78" spans="1:21" x14ac:dyDescent="0.2">
      <c r="A78" s="447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69"/>
      <c r="N78" s="119"/>
      <c r="O78" s="119"/>
      <c r="P78" s="123"/>
      <c r="Q78" s="119"/>
      <c r="R78" s="169"/>
      <c r="S78" s="169"/>
      <c r="T78" s="169"/>
      <c r="U78" s="169"/>
    </row>
    <row r="79" spans="1:21" x14ac:dyDescent="0.2">
      <c r="A79" s="447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69"/>
      <c r="N79" s="119"/>
      <c r="O79" s="119"/>
      <c r="P79" s="123"/>
      <c r="Q79" s="119"/>
      <c r="R79" s="169"/>
      <c r="S79" s="169"/>
      <c r="T79" s="169"/>
      <c r="U79" s="169"/>
    </row>
    <row r="80" spans="1:21" x14ac:dyDescent="0.2">
      <c r="A80" s="447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69"/>
      <c r="N80" s="119"/>
      <c r="O80" s="119"/>
      <c r="P80" s="123"/>
      <c r="Q80" s="119"/>
      <c r="R80" s="169"/>
      <c r="S80" s="169"/>
      <c r="T80" s="169"/>
      <c r="U80" s="169"/>
    </row>
    <row r="81" spans="1:21" x14ac:dyDescent="0.2">
      <c r="A81" s="447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69"/>
      <c r="N81" s="119"/>
      <c r="O81" s="119"/>
      <c r="P81" s="123"/>
      <c r="Q81" s="119"/>
      <c r="R81" s="169"/>
      <c r="S81" s="169"/>
      <c r="T81" s="169"/>
      <c r="U81" s="169"/>
    </row>
    <row r="82" spans="1:21" x14ac:dyDescent="0.2">
      <c r="A82" s="447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69"/>
      <c r="N82" s="119"/>
      <c r="O82" s="119"/>
      <c r="P82" s="123"/>
      <c r="Q82" s="119"/>
      <c r="R82" s="169"/>
      <c r="S82" s="169"/>
      <c r="T82" s="169"/>
      <c r="U82" s="169"/>
    </row>
    <row r="83" spans="1:21" x14ac:dyDescent="0.2">
      <c r="A83" s="447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69"/>
      <c r="N83" s="119"/>
      <c r="O83" s="119"/>
      <c r="P83" s="123"/>
      <c r="Q83" s="119"/>
      <c r="R83" s="169"/>
      <c r="S83" s="169"/>
      <c r="T83" s="169"/>
      <c r="U83" s="169"/>
    </row>
    <row r="84" spans="1:21" x14ac:dyDescent="0.2">
      <c r="A84" s="447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69"/>
      <c r="N84" s="119"/>
      <c r="O84" s="119"/>
      <c r="P84" s="123"/>
      <c r="Q84" s="119"/>
      <c r="R84" s="169"/>
      <c r="S84" s="169"/>
      <c r="T84" s="169"/>
      <c r="U84" s="169"/>
    </row>
    <row r="85" spans="1:21" x14ac:dyDescent="0.2">
      <c r="A85" s="447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69"/>
      <c r="N85" s="119"/>
      <c r="O85" s="119"/>
      <c r="P85" s="123"/>
      <c r="Q85" s="119"/>
      <c r="R85" s="169"/>
      <c r="S85" s="169"/>
      <c r="T85" s="169"/>
      <c r="U85" s="169"/>
    </row>
    <row r="86" spans="1:21" x14ac:dyDescent="0.2">
      <c r="A86" s="447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69"/>
      <c r="N86" s="119"/>
      <c r="O86" s="119"/>
      <c r="P86" s="123"/>
      <c r="Q86" s="119"/>
      <c r="R86" s="169"/>
      <c r="S86" s="169"/>
      <c r="T86" s="169"/>
      <c r="U86" s="169"/>
    </row>
    <row r="87" spans="1:21" x14ac:dyDescent="0.2">
      <c r="A87" s="447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69"/>
      <c r="N87" s="119"/>
      <c r="O87" s="119"/>
      <c r="P87" s="123"/>
      <c r="Q87" s="119"/>
      <c r="R87" s="169"/>
      <c r="S87" s="169"/>
      <c r="T87" s="169"/>
      <c r="U87" s="169"/>
    </row>
    <row r="88" spans="1:21" x14ac:dyDescent="0.2">
      <c r="A88" s="447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69"/>
      <c r="N88" s="119"/>
      <c r="O88" s="119"/>
      <c r="P88" s="123"/>
      <c r="Q88" s="119"/>
      <c r="R88" s="169"/>
      <c r="S88" s="169"/>
      <c r="T88" s="169"/>
      <c r="U88" s="169"/>
    </row>
    <row r="89" spans="1:21" x14ac:dyDescent="0.2">
      <c r="A89" s="447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69"/>
      <c r="N89" s="119"/>
      <c r="O89" s="119"/>
      <c r="P89" s="123"/>
      <c r="Q89" s="119"/>
      <c r="R89" s="169"/>
      <c r="S89" s="169"/>
      <c r="T89" s="169"/>
      <c r="U89" s="169"/>
    </row>
    <row r="90" spans="1:21" x14ac:dyDescent="0.2">
      <c r="A90" s="447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69"/>
      <c r="N90" s="119"/>
      <c r="O90" s="119"/>
      <c r="P90" s="123"/>
      <c r="Q90" s="119"/>
      <c r="R90" s="169"/>
      <c r="S90" s="169"/>
      <c r="T90" s="169"/>
      <c r="U90" s="169"/>
    </row>
    <row r="91" spans="1:21" x14ac:dyDescent="0.2">
      <c r="A91" s="447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69"/>
      <c r="N91" s="119"/>
      <c r="O91" s="119"/>
      <c r="P91" s="123"/>
      <c r="Q91" s="119"/>
      <c r="R91" s="169"/>
      <c r="S91" s="169"/>
      <c r="T91" s="169"/>
      <c r="U91" s="169"/>
    </row>
    <row r="92" spans="1:21" x14ac:dyDescent="0.2">
      <c r="A92" s="447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69"/>
      <c r="N92" s="119"/>
      <c r="O92" s="119"/>
      <c r="P92" s="123"/>
      <c r="Q92" s="119"/>
      <c r="R92" s="169"/>
      <c r="S92" s="169"/>
      <c r="T92" s="169"/>
      <c r="U92" s="169"/>
    </row>
    <row r="93" spans="1:21" x14ac:dyDescent="0.2">
      <c r="A93" s="447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69"/>
      <c r="N93" s="119"/>
      <c r="O93" s="119"/>
      <c r="P93" s="123"/>
      <c r="Q93" s="119"/>
      <c r="R93" s="169"/>
      <c r="S93" s="169"/>
      <c r="T93" s="169"/>
      <c r="U93" s="169"/>
    </row>
    <row r="94" spans="1:21" x14ac:dyDescent="0.2">
      <c r="A94" s="447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69"/>
      <c r="N94" s="119"/>
      <c r="O94" s="119"/>
      <c r="P94" s="123"/>
      <c r="Q94" s="119"/>
      <c r="R94" s="169"/>
      <c r="S94" s="169"/>
      <c r="T94" s="169"/>
      <c r="U94" s="169"/>
    </row>
    <row r="95" spans="1:21" x14ac:dyDescent="0.2">
      <c r="A95" s="447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69"/>
      <c r="N95" s="119"/>
      <c r="O95" s="119"/>
      <c r="P95" s="123"/>
      <c r="Q95" s="119"/>
      <c r="R95" s="169"/>
      <c r="S95" s="169"/>
      <c r="T95" s="169"/>
      <c r="U95" s="169"/>
    </row>
    <row r="96" spans="1:21" x14ac:dyDescent="0.2">
      <c r="A96" s="447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69"/>
      <c r="N96" s="119"/>
      <c r="O96" s="119"/>
      <c r="P96" s="123"/>
      <c r="Q96" s="119"/>
      <c r="R96" s="169"/>
      <c r="S96" s="169"/>
      <c r="T96" s="169"/>
      <c r="U96" s="169"/>
    </row>
    <row r="97" spans="1:21" x14ac:dyDescent="0.2">
      <c r="A97" s="447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69"/>
      <c r="N97" s="119"/>
      <c r="O97" s="119"/>
      <c r="P97" s="123"/>
      <c r="Q97" s="119"/>
      <c r="R97" s="169"/>
      <c r="S97" s="169"/>
      <c r="T97" s="169"/>
      <c r="U97" s="169"/>
    </row>
    <row r="98" spans="1:21" x14ac:dyDescent="0.2">
      <c r="A98" s="447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69"/>
      <c r="N98" s="119"/>
      <c r="O98" s="119"/>
      <c r="P98" s="123"/>
      <c r="Q98" s="119"/>
      <c r="R98" s="169"/>
      <c r="S98" s="169"/>
      <c r="T98" s="169"/>
      <c r="U98" s="169"/>
    </row>
    <row r="99" spans="1:21" x14ac:dyDescent="0.2">
      <c r="A99" s="447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69"/>
      <c r="N99" s="119"/>
      <c r="O99" s="119"/>
      <c r="P99" s="123"/>
      <c r="Q99" s="119"/>
      <c r="R99" s="169"/>
      <c r="S99" s="169"/>
      <c r="T99" s="169"/>
      <c r="U99" s="169"/>
    </row>
    <row r="100" spans="1:21" x14ac:dyDescent="0.2">
      <c r="A100" s="447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69"/>
      <c r="N100" s="119"/>
      <c r="O100" s="119"/>
      <c r="P100" s="123"/>
      <c r="Q100" s="119"/>
      <c r="R100" s="169"/>
      <c r="S100" s="169"/>
      <c r="T100" s="169"/>
      <c r="U100" s="169"/>
    </row>
    <row r="101" spans="1:21" x14ac:dyDescent="0.2">
      <c r="A101" s="447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69"/>
      <c r="N101" s="119"/>
      <c r="O101" s="119"/>
      <c r="P101" s="123"/>
      <c r="Q101" s="119"/>
      <c r="R101" s="169"/>
      <c r="S101" s="169"/>
      <c r="T101" s="169"/>
      <c r="U101" s="169"/>
    </row>
    <row r="102" spans="1:21" x14ac:dyDescent="0.2">
      <c r="A102" s="447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69"/>
      <c r="N102" s="119"/>
      <c r="O102" s="119"/>
      <c r="P102" s="123"/>
      <c r="Q102" s="119"/>
      <c r="R102" s="169"/>
      <c r="S102" s="169"/>
      <c r="T102" s="169"/>
      <c r="U102" s="169"/>
    </row>
    <row r="103" spans="1:21" x14ac:dyDescent="0.2">
      <c r="A103" s="447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69"/>
      <c r="N103" s="119"/>
      <c r="O103" s="119"/>
      <c r="P103" s="123"/>
      <c r="Q103" s="119"/>
      <c r="R103" s="169"/>
      <c r="S103" s="169"/>
      <c r="T103" s="169"/>
      <c r="U103" s="169"/>
    </row>
    <row r="104" spans="1:21" x14ac:dyDescent="0.2">
      <c r="A104" s="447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69"/>
      <c r="N104" s="119"/>
      <c r="O104" s="119"/>
      <c r="P104" s="123"/>
      <c r="Q104" s="119"/>
      <c r="R104" s="169"/>
      <c r="S104" s="169"/>
      <c r="T104" s="169"/>
      <c r="U104" s="169"/>
    </row>
    <row r="105" spans="1:21" x14ac:dyDescent="0.2">
      <c r="A105" s="447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69"/>
      <c r="N105" s="119"/>
      <c r="O105" s="119"/>
      <c r="P105" s="123"/>
      <c r="Q105" s="119"/>
      <c r="R105" s="169"/>
      <c r="S105" s="169"/>
      <c r="T105" s="169"/>
      <c r="U105" s="169"/>
    </row>
    <row r="106" spans="1:21" x14ac:dyDescent="0.2">
      <c r="A106" s="447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69"/>
      <c r="N106" s="119"/>
      <c r="O106" s="119"/>
      <c r="P106" s="123"/>
      <c r="Q106" s="119"/>
      <c r="R106" s="169"/>
      <c r="S106" s="169"/>
      <c r="T106" s="169"/>
      <c r="U106" s="169"/>
    </row>
    <row r="107" spans="1:21" x14ac:dyDescent="0.2">
      <c r="A107" s="447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69"/>
      <c r="N107" s="119"/>
      <c r="O107" s="119"/>
      <c r="P107" s="123"/>
      <c r="Q107" s="119"/>
      <c r="R107" s="169"/>
      <c r="S107" s="169"/>
      <c r="T107" s="169"/>
      <c r="U107" s="169"/>
    </row>
    <row r="108" spans="1:21" x14ac:dyDescent="0.2">
      <c r="A108" s="447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69"/>
      <c r="N108" s="119"/>
      <c r="O108" s="119"/>
      <c r="P108" s="123"/>
      <c r="Q108" s="119"/>
      <c r="R108" s="169"/>
      <c r="S108" s="169"/>
      <c r="T108" s="169"/>
      <c r="U108" s="169"/>
    </row>
    <row r="109" spans="1:21" x14ac:dyDescent="0.2">
      <c r="A109" s="447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69"/>
      <c r="N109" s="119"/>
      <c r="O109" s="119"/>
      <c r="P109" s="123"/>
      <c r="Q109" s="119"/>
      <c r="R109" s="169"/>
      <c r="S109" s="169"/>
      <c r="T109" s="169"/>
      <c r="U109" s="169"/>
    </row>
    <row r="110" spans="1:21" x14ac:dyDescent="0.2">
      <c r="A110" s="447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69"/>
      <c r="N110" s="119"/>
      <c r="O110" s="119"/>
      <c r="P110" s="123"/>
      <c r="Q110" s="119"/>
      <c r="R110" s="169"/>
      <c r="S110" s="169"/>
      <c r="T110" s="169"/>
      <c r="U110" s="169"/>
    </row>
    <row r="111" spans="1:21" x14ac:dyDescent="0.2">
      <c r="A111" s="447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69"/>
      <c r="N111" s="119"/>
      <c r="O111" s="119"/>
      <c r="P111" s="123"/>
      <c r="Q111" s="119"/>
      <c r="R111" s="169"/>
      <c r="S111" s="169"/>
      <c r="T111" s="169"/>
      <c r="U111" s="169"/>
    </row>
    <row r="112" spans="1:21" x14ac:dyDescent="0.2">
      <c r="A112" s="447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69"/>
      <c r="N112" s="119"/>
      <c r="O112" s="119"/>
      <c r="P112" s="123"/>
      <c r="Q112" s="119"/>
      <c r="R112" s="169"/>
      <c r="S112" s="169"/>
      <c r="T112" s="169"/>
      <c r="U112" s="169"/>
    </row>
    <row r="113" spans="1:21" x14ac:dyDescent="0.2">
      <c r="A113" s="447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69"/>
      <c r="N113" s="119"/>
      <c r="O113" s="119"/>
      <c r="P113" s="123"/>
      <c r="Q113" s="119"/>
      <c r="R113" s="169"/>
      <c r="S113" s="169"/>
      <c r="T113" s="169"/>
      <c r="U113" s="169"/>
    </row>
    <row r="114" spans="1:21" x14ac:dyDescent="0.2">
      <c r="A114" s="447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69"/>
      <c r="N114" s="119"/>
      <c r="O114" s="119"/>
      <c r="P114" s="123"/>
      <c r="Q114" s="119"/>
      <c r="R114" s="169"/>
      <c r="S114" s="169"/>
      <c r="T114" s="169"/>
      <c r="U114" s="169"/>
    </row>
    <row r="115" spans="1:21" x14ac:dyDescent="0.2">
      <c r="A115" s="447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69"/>
      <c r="N115" s="119"/>
      <c r="O115" s="119"/>
      <c r="P115" s="123"/>
      <c r="Q115" s="119"/>
      <c r="R115" s="169"/>
      <c r="S115" s="169"/>
      <c r="T115" s="169"/>
      <c r="U115" s="169"/>
    </row>
    <row r="116" spans="1:21" x14ac:dyDescent="0.2">
      <c r="A116" s="447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69"/>
      <c r="N116" s="119"/>
      <c r="O116" s="119"/>
      <c r="P116" s="123"/>
      <c r="Q116" s="119"/>
      <c r="R116" s="169"/>
      <c r="S116" s="169"/>
      <c r="T116" s="169"/>
      <c r="U116" s="169"/>
    </row>
    <row r="117" spans="1:21" x14ac:dyDescent="0.2">
      <c r="A117" s="447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69"/>
      <c r="N117" s="119"/>
      <c r="O117" s="119"/>
      <c r="P117" s="123"/>
      <c r="Q117" s="119"/>
      <c r="R117" s="169"/>
      <c r="S117" s="169"/>
      <c r="T117" s="169"/>
      <c r="U117" s="169"/>
    </row>
    <row r="118" spans="1:21" x14ac:dyDescent="0.2">
      <c r="A118" s="447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69"/>
      <c r="N118" s="119"/>
      <c r="O118" s="119"/>
      <c r="P118" s="123"/>
      <c r="Q118" s="119"/>
      <c r="R118" s="169"/>
      <c r="S118" s="169"/>
      <c r="T118" s="169"/>
      <c r="U118" s="169"/>
    </row>
    <row r="119" spans="1:21" x14ac:dyDescent="0.2">
      <c r="A119" s="447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69"/>
      <c r="N119" s="119"/>
      <c r="O119" s="119"/>
      <c r="P119" s="123"/>
      <c r="Q119" s="119"/>
      <c r="R119" s="169"/>
      <c r="S119" s="169"/>
      <c r="T119" s="169"/>
      <c r="U119" s="169"/>
    </row>
    <row r="120" spans="1:21" x14ac:dyDescent="0.2">
      <c r="A120" s="447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69"/>
      <c r="N120" s="119"/>
      <c r="O120" s="119"/>
      <c r="P120" s="123"/>
      <c r="Q120" s="119"/>
      <c r="R120" s="169"/>
      <c r="S120" s="169"/>
      <c r="T120" s="169"/>
      <c r="U120" s="169"/>
    </row>
    <row r="121" spans="1:21" x14ac:dyDescent="0.2">
      <c r="A121" s="447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69"/>
      <c r="N121" s="119"/>
      <c r="O121" s="119"/>
      <c r="P121" s="123"/>
      <c r="Q121" s="119"/>
      <c r="R121" s="169"/>
      <c r="S121" s="169"/>
      <c r="T121" s="169"/>
      <c r="U121" s="169"/>
    </row>
    <row r="122" spans="1:21" x14ac:dyDescent="0.2">
      <c r="A122" s="447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69"/>
      <c r="N122" s="119"/>
      <c r="O122" s="119"/>
      <c r="P122" s="123"/>
      <c r="Q122" s="119"/>
      <c r="R122" s="169"/>
      <c r="S122" s="169"/>
      <c r="T122" s="169"/>
      <c r="U122" s="169"/>
    </row>
    <row r="123" spans="1:21" x14ac:dyDescent="0.2">
      <c r="A123" s="447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69"/>
      <c r="N123" s="119"/>
      <c r="O123" s="119"/>
      <c r="P123" s="123"/>
      <c r="Q123" s="119"/>
      <c r="R123" s="169"/>
      <c r="S123" s="169"/>
      <c r="T123" s="169"/>
      <c r="U123" s="169"/>
    </row>
    <row r="124" spans="1:21" x14ac:dyDescent="0.2">
      <c r="A124" s="447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69"/>
      <c r="N124" s="119"/>
      <c r="O124" s="119"/>
      <c r="P124" s="123"/>
      <c r="Q124" s="119"/>
      <c r="R124" s="169"/>
      <c r="S124" s="169"/>
      <c r="T124" s="169"/>
      <c r="U124" s="169"/>
    </row>
    <row r="125" spans="1:21" x14ac:dyDescent="0.2">
      <c r="A125" s="447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69"/>
      <c r="N125" s="119"/>
      <c r="O125" s="119"/>
      <c r="P125" s="123"/>
      <c r="Q125" s="119"/>
      <c r="R125" s="169"/>
      <c r="S125" s="169"/>
      <c r="T125" s="169"/>
      <c r="U125" s="169"/>
    </row>
    <row r="126" spans="1:21" x14ac:dyDescent="0.2">
      <c r="A126" s="447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69"/>
      <c r="N126" s="119"/>
      <c r="O126" s="119"/>
      <c r="P126" s="123"/>
      <c r="Q126" s="119"/>
      <c r="R126" s="169"/>
      <c r="S126" s="169"/>
      <c r="T126" s="169"/>
      <c r="U126" s="169"/>
    </row>
    <row r="127" spans="1:21" x14ac:dyDescent="0.2">
      <c r="A127" s="447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69"/>
      <c r="N127" s="119"/>
      <c r="O127" s="119"/>
      <c r="P127" s="123"/>
      <c r="Q127" s="119"/>
      <c r="R127" s="169"/>
      <c r="S127" s="169"/>
      <c r="T127" s="169"/>
      <c r="U127" s="169"/>
    </row>
    <row r="128" spans="1:21" x14ac:dyDescent="0.2">
      <c r="A128" s="447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69"/>
      <c r="N128" s="119"/>
      <c r="O128" s="119"/>
      <c r="P128" s="123"/>
      <c r="Q128" s="119"/>
      <c r="R128" s="169"/>
      <c r="S128" s="169"/>
      <c r="T128" s="169"/>
      <c r="U128" s="169"/>
    </row>
    <row r="129" spans="1:21" x14ac:dyDescent="0.2">
      <c r="A129" s="447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69"/>
      <c r="N129" s="119"/>
      <c r="O129" s="119"/>
      <c r="P129" s="123"/>
      <c r="Q129" s="119"/>
      <c r="R129" s="169"/>
      <c r="S129" s="169"/>
      <c r="T129" s="169"/>
      <c r="U129" s="169"/>
    </row>
    <row r="130" spans="1:21" x14ac:dyDescent="0.2">
      <c r="A130" s="447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69"/>
      <c r="N130" s="119"/>
      <c r="O130" s="119"/>
      <c r="P130" s="123"/>
      <c r="Q130" s="119"/>
      <c r="R130" s="169"/>
      <c r="S130" s="169"/>
      <c r="T130" s="169"/>
      <c r="U130" s="169"/>
    </row>
    <row r="131" spans="1:21" x14ac:dyDescent="0.2">
      <c r="A131" s="447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69"/>
      <c r="N131" s="119"/>
      <c r="O131" s="119"/>
      <c r="P131" s="123"/>
      <c r="Q131" s="119"/>
      <c r="R131" s="169"/>
      <c r="S131" s="169"/>
      <c r="T131" s="169"/>
      <c r="U131" s="169"/>
    </row>
    <row r="132" spans="1:21" x14ac:dyDescent="0.2">
      <c r="A132" s="447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69"/>
      <c r="N132" s="119"/>
      <c r="O132" s="119"/>
      <c r="P132" s="123"/>
      <c r="Q132" s="119"/>
      <c r="R132" s="169"/>
      <c r="S132" s="169"/>
      <c r="T132" s="169"/>
      <c r="U132" s="169"/>
    </row>
    <row r="133" spans="1:21" x14ac:dyDescent="0.2">
      <c r="A133" s="447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69"/>
      <c r="N133" s="119"/>
      <c r="O133" s="119"/>
      <c r="P133" s="123"/>
      <c r="Q133" s="119"/>
      <c r="R133" s="169"/>
      <c r="S133" s="169"/>
      <c r="T133" s="169"/>
      <c r="U133" s="169"/>
    </row>
    <row r="134" spans="1:21" x14ac:dyDescent="0.2">
      <c r="A134" s="447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69"/>
      <c r="N134" s="119"/>
      <c r="O134" s="119"/>
      <c r="P134" s="123"/>
      <c r="Q134" s="119"/>
      <c r="R134" s="169"/>
      <c r="S134" s="169"/>
      <c r="T134" s="169"/>
      <c r="U134" s="169"/>
    </row>
    <row r="135" spans="1:21" x14ac:dyDescent="0.2">
      <c r="A135" s="447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69"/>
      <c r="N135" s="119"/>
      <c r="O135" s="119"/>
      <c r="P135" s="123"/>
      <c r="Q135" s="119"/>
      <c r="R135" s="169"/>
      <c r="S135" s="169"/>
      <c r="T135" s="169"/>
      <c r="U135" s="169"/>
    </row>
    <row r="136" spans="1:21" x14ac:dyDescent="0.2">
      <c r="A136" s="447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69"/>
      <c r="N136" s="119"/>
      <c r="O136" s="119"/>
      <c r="P136" s="123"/>
      <c r="Q136" s="119"/>
      <c r="R136" s="169"/>
      <c r="S136" s="169"/>
      <c r="T136" s="169"/>
      <c r="U136" s="169"/>
    </row>
    <row r="137" spans="1:21" x14ac:dyDescent="0.2">
      <c r="A137" s="447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69"/>
      <c r="N137" s="119"/>
      <c r="O137" s="119"/>
      <c r="P137" s="123"/>
      <c r="Q137" s="119"/>
      <c r="R137" s="169"/>
      <c r="S137" s="169"/>
      <c r="T137" s="169"/>
      <c r="U137" s="169"/>
    </row>
    <row r="138" spans="1:21" x14ac:dyDescent="0.2">
      <c r="A138" s="447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69"/>
      <c r="N138" s="119"/>
      <c r="O138" s="119"/>
      <c r="P138" s="123"/>
      <c r="Q138" s="119"/>
      <c r="R138" s="169"/>
      <c r="S138" s="169"/>
      <c r="T138" s="169"/>
      <c r="U138" s="169"/>
    </row>
    <row r="139" spans="1:21" x14ac:dyDescent="0.2">
      <c r="A139" s="447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69"/>
      <c r="N139" s="119"/>
      <c r="O139" s="119"/>
      <c r="P139" s="123"/>
      <c r="Q139" s="119"/>
      <c r="R139" s="169"/>
      <c r="S139" s="169"/>
      <c r="T139" s="169"/>
      <c r="U139" s="169"/>
    </row>
    <row r="140" spans="1:21" x14ac:dyDescent="0.2">
      <c r="A140" s="447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69"/>
      <c r="N140" s="119"/>
      <c r="O140" s="119"/>
      <c r="P140" s="123"/>
      <c r="Q140" s="119"/>
      <c r="R140" s="169"/>
      <c r="S140" s="169"/>
      <c r="T140" s="169"/>
      <c r="U140" s="169"/>
    </row>
    <row r="141" spans="1:21" x14ac:dyDescent="0.2">
      <c r="A141" s="447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69"/>
      <c r="N141" s="119"/>
      <c r="O141" s="119"/>
      <c r="P141" s="123"/>
      <c r="Q141" s="119"/>
      <c r="R141" s="169"/>
      <c r="S141" s="169"/>
      <c r="T141" s="169"/>
      <c r="U141" s="169"/>
    </row>
    <row r="142" spans="1:21" x14ac:dyDescent="0.2">
      <c r="A142" s="447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69"/>
      <c r="N142" s="119"/>
      <c r="O142" s="119"/>
      <c r="P142" s="123"/>
      <c r="Q142" s="119"/>
      <c r="R142" s="169"/>
      <c r="S142" s="169"/>
      <c r="T142" s="169"/>
      <c r="U142" s="169"/>
    </row>
    <row r="143" spans="1:21" x14ac:dyDescent="0.2">
      <c r="A143" s="447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69"/>
      <c r="N143" s="119"/>
      <c r="O143" s="119"/>
      <c r="P143" s="119"/>
      <c r="Q143" s="119"/>
      <c r="R143" s="169"/>
      <c r="S143" s="169"/>
      <c r="T143" s="169"/>
      <c r="U143" s="169"/>
    </row>
    <row r="144" spans="1:21" x14ac:dyDescent="0.2">
      <c r="A144" s="447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69"/>
      <c r="N144" s="119"/>
      <c r="O144" s="119"/>
      <c r="P144" s="119"/>
      <c r="Q144" s="119"/>
      <c r="R144" s="169"/>
      <c r="S144" s="169"/>
      <c r="T144" s="169"/>
      <c r="U144" s="169"/>
    </row>
    <row r="145" spans="1:21" x14ac:dyDescent="0.2">
      <c r="A145" s="447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69"/>
      <c r="N145" s="119"/>
      <c r="O145" s="119"/>
      <c r="P145" s="123"/>
      <c r="Q145" s="119"/>
      <c r="R145" s="169"/>
      <c r="S145" s="169"/>
      <c r="T145" s="169"/>
      <c r="U145" s="169"/>
    </row>
    <row r="146" spans="1:21" x14ac:dyDescent="0.2">
      <c r="A146" s="447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69"/>
      <c r="N146" s="119"/>
      <c r="O146" s="119"/>
      <c r="P146" s="123"/>
      <c r="Q146" s="119"/>
      <c r="R146" s="169"/>
      <c r="S146" s="169"/>
      <c r="T146" s="169"/>
      <c r="U146" s="169"/>
    </row>
    <row r="147" spans="1:21" x14ac:dyDescent="0.2">
      <c r="A147" s="447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69"/>
      <c r="N147" s="119"/>
      <c r="O147" s="119"/>
      <c r="P147" s="123"/>
      <c r="Q147" s="119"/>
      <c r="R147" s="169"/>
      <c r="S147" s="169"/>
      <c r="T147" s="169"/>
      <c r="U147" s="169"/>
    </row>
    <row r="148" spans="1:21" x14ac:dyDescent="0.2">
      <c r="A148" s="447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69"/>
      <c r="N148" s="119"/>
      <c r="O148" s="119"/>
      <c r="P148" s="123"/>
      <c r="Q148" s="119"/>
      <c r="R148" s="169"/>
      <c r="S148" s="169"/>
      <c r="T148" s="169"/>
      <c r="U148" s="169"/>
    </row>
    <row r="149" spans="1:21" x14ac:dyDescent="0.2">
      <c r="A149" s="447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69"/>
      <c r="N149" s="119"/>
      <c r="O149" s="119"/>
      <c r="P149" s="123"/>
      <c r="Q149" s="119"/>
      <c r="R149" s="169"/>
      <c r="S149" s="169"/>
      <c r="T149" s="169"/>
      <c r="U149" s="169"/>
    </row>
    <row r="150" spans="1:21" x14ac:dyDescent="0.2">
      <c r="A150" s="447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69"/>
      <c r="N150" s="119"/>
      <c r="O150" s="119"/>
      <c r="P150" s="123"/>
      <c r="Q150" s="119"/>
      <c r="R150" s="169"/>
      <c r="S150" s="169"/>
      <c r="T150" s="169"/>
      <c r="U150" s="169"/>
    </row>
    <row r="151" spans="1:21" x14ac:dyDescent="0.2">
      <c r="A151" s="447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69"/>
      <c r="N151" s="119"/>
      <c r="O151" s="119"/>
      <c r="P151" s="123"/>
      <c r="Q151" s="119"/>
      <c r="R151" s="169"/>
      <c r="S151" s="169"/>
      <c r="T151" s="169"/>
      <c r="U151" s="169"/>
    </row>
    <row r="152" spans="1:21" x14ac:dyDescent="0.2">
      <c r="A152" s="447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69"/>
      <c r="N152" s="119"/>
      <c r="O152" s="119"/>
      <c r="P152" s="123"/>
      <c r="Q152" s="119"/>
      <c r="R152" s="169"/>
      <c r="S152" s="169"/>
      <c r="T152" s="169"/>
      <c r="U152" s="169"/>
    </row>
    <row r="153" spans="1:21" x14ac:dyDescent="0.2">
      <c r="A153" s="447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69"/>
      <c r="N153" s="119"/>
      <c r="O153" s="119"/>
      <c r="P153" s="123"/>
      <c r="Q153" s="119"/>
      <c r="R153" s="169"/>
      <c r="S153" s="169"/>
      <c r="T153" s="169"/>
      <c r="U153" s="169"/>
    </row>
    <row r="154" spans="1:21" x14ac:dyDescent="0.2">
      <c r="A154" s="447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69"/>
      <c r="N154" s="119"/>
      <c r="O154" s="119"/>
      <c r="P154" s="123"/>
      <c r="Q154" s="119"/>
      <c r="R154" s="169"/>
      <c r="S154" s="169"/>
      <c r="T154" s="169"/>
      <c r="U154" s="169"/>
    </row>
    <row r="155" spans="1:21" x14ac:dyDescent="0.2">
      <c r="A155" s="447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69"/>
      <c r="N155" s="119"/>
      <c r="O155" s="119"/>
      <c r="P155" s="123"/>
      <c r="Q155" s="119"/>
      <c r="R155" s="169"/>
      <c r="S155" s="169"/>
      <c r="T155" s="169"/>
      <c r="U155" s="169"/>
    </row>
    <row r="156" spans="1:21" x14ac:dyDescent="0.2">
      <c r="A156" s="447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69"/>
      <c r="N156" s="119"/>
      <c r="O156" s="119"/>
      <c r="P156" s="123"/>
      <c r="Q156" s="119"/>
      <c r="R156" s="169"/>
      <c r="S156" s="169"/>
      <c r="T156" s="169"/>
      <c r="U156" s="169"/>
    </row>
    <row r="157" spans="1:21" x14ac:dyDescent="0.2">
      <c r="A157" s="447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69"/>
      <c r="N157" s="119"/>
      <c r="O157" s="119"/>
      <c r="P157" s="123"/>
      <c r="Q157" s="119"/>
      <c r="R157" s="169"/>
      <c r="S157" s="169"/>
      <c r="T157" s="169"/>
      <c r="U157" s="169"/>
    </row>
    <row r="158" spans="1:21" x14ac:dyDescent="0.2">
      <c r="A158" s="447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69"/>
      <c r="N158" s="119"/>
      <c r="O158" s="119"/>
      <c r="P158" s="123"/>
      <c r="Q158" s="119"/>
      <c r="R158" s="169"/>
      <c r="S158" s="169"/>
      <c r="T158" s="169"/>
      <c r="U158" s="169"/>
    </row>
    <row r="159" spans="1:21" x14ac:dyDescent="0.2">
      <c r="A159" s="447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69"/>
      <c r="N159" s="119"/>
      <c r="O159" s="119"/>
      <c r="P159" s="123"/>
      <c r="Q159" s="119"/>
      <c r="R159" s="169"/>
      <c r="S159" s="169"/>
      <c r="T159" s="169"/>
      <c r="U159" s="169"/>
    </row>
    <row r="160" spans="1:21" x14ac:dyDescent="0.2">
      <c r="A160" s="447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69"/>
      <c r="N160" s="119"/>
      <c r="O160" s="119"/>
      <c r="P160" s="123"/>
      <c r="Q160" s="119"/>
      <c r="R160" s="169"/>
      <c r="S160" s="169"/>
      <c r="T160" s="169"/>
      <c r="U160" s="169"/>
    </row>
    <row r="161" spans="1:21" x14ac:dyDescent="0.2">
      <c r="A161" s="447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69"/>
      <c r="N161" s="119"/>
      <c r="O161" s="119"/>
      <c r="P161" s="123"/>
      <c r="Q161" s="119"/>
      <c r="R161" s="169"/>
      <c r="S161" s="169"/>
      <c r="T161" s="169"/>
      <c r="U161" s="169"/>
    </row>
    <row r="162" spans="1:21" x14ac:dyDescent="0.2">
      <c r="A162" s="447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69"/>
      <c r="N162" s="119"/>
      <c r="O162" s="119"/>
      <c r="P162" s="119"/>
      <c r="Q162" s="119"/>
      <c r="R162" s="169"/>
      <c r="S162" s="169"/>
      <c r="T162" s="169"/>
      <c r="U162" s="169"/>
    </row>
    <row r="163" spans="1:21" x14ac:dyDescent="0.2">
      <c r="A163" s="447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69"/>
      <c r="N163" s="119"/>
      <c r="O163" s="119"/>
      <c r="P163" s="119"/>
      <c r="Q163" s="119"/>
      <c r="R163" s="169"/>
      <c r="S163" s="169"/>
      <c r="T163" s="169"/>
      <c r="U163" s="169"/>
    </row>
    <row r="164" spans="1:21" x14ac:dyDescent="0.2">
      <c r="A164" s="447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69"/>
      <c r="N164" s="119"/>
      <c r="O164" s="119"/>
      <c r="P164" s="123"/>
      <c r="Q164" s="119"/>
      <c r="R164" s="169"/>
      <c r="S164" s="169"/>
      <c r="T164" s="169"/>
      <c r="U164" s="169"/>
    </row>
    <row r="165" spans="1:21" x14ac:dyDescent="0.2">
      <c r="A165" s="447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69"/>
      <c r="N165" s="119"/>
      <c r="O165" s="119"/>
      <c r="P165" s="123"/>
      <c r="Q165" s="119"/>
      <c r="R165" s="169"/>
      <c r="S165" s="169"/>
      <c r="T165" s="169"/>
      <c r="U165" s="169"/>
    </row>
    <row r="166" spans="1:21" x14ac:dyDescent="0.2">
      <c r="A166" s="447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69"/>
      <c r="N166" s="119"/>
      <c r="O166" s="119"/>
      <c r="P166" s="123"/>
      <c r="Q166" s="119"/>
      <c r="R166" s="169"/>
      <c r="S166" s="169"/>
      <c r="T166" s="169"/>
      <c r="U166" s="169"/>
    </row>
    <row r="167" spans="1:21" x14ac:dyDescent="0.2">
      <c r="A167" s="447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69"/>
      <c r="N167" s="119"/>
      <c r="O167" s="119"/>
      <c r="P167" s="123"/>
      <c r="Q167" s="119"/>
      <c r="R167" s="169"/>
      <c r="S167" s="169"/>
      <c r="T167" s="169"/>
      <c r="U167" s="169"/>
    </row>
    <row r="168" spans="1:21" x14ac:dyDescent="0.2">
      <c r="A168" s="447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69"/>
      <c r="N168" s="119"/>
      <c r="O168" s="119"/>
      <c r="P168" s="123"/>
      <c r="Q168" s="119"/>
      <c r="R168" s="169"/>
      <c r="S168" s="169"/>
      <c r="T168" s="169"/>
      <c r="U168" s="169"/>
    </row>
    <row r="169" spans="1:21" x14ac:dyDescent="0.2">
      <c r="A169" s="447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69"/>
      <c r="N169" s="119"/>
      <c r="O169" s="119"/>
      <c r="P169" s="123"/>
      <c r="Q169" s="119"/>
      <c r="R169" s="169"/>
      <c r="S169" s="169"/>
      <c r="T169" s="169"/>
      <c r="U169" s="169"/>
    </row>
    <row r="170" spans="1:21" x14ac:dyDescent="0.2">
      <c r="A170" s="447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69"/>
      <c r="N170" s="119"/>
      <c r="O170" s="119"/>
      <c r="P170" s="123"/>
      <c r="Q170" s="119"/>
      <c r="R170" s="169"/>
      <c r="S170" s="169"/>
      <c r="T170" s="169"/>
      <c r="U170" s="169"/>
    </row>
    <row r="171" spans="1:21" x14ac:dyDescent="0.2">
      <c r="A171" s="447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69"/>
      <c r="N171" s="119"/>
      <c r="O171" s="119"/>
      <c r="P171" s="123"/>
      <c r="Q171" s="119"/>
      <c r="R171" s="169"/>
      <c r="S171" s="169"/>
      <c r="T171" s="169"/>
      <c r="U171" s="169"/>
    </row>
    <row r="172" spans="1:21" x14ac:dyDescent="0.2">
      <c r="A172" s="447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69"/>
      <c r="N172" s="119"/>
      <c r="O172" s="119"/>
      <c r="P172" s="123"/>
      <c r="Q172" s="119"/>
      <c r="R172" s="169"/>
      <c r="S172" s="169"/>
      <c r="T172" s="169"/>
      <c r="U172" s="169"/>
    </row>
    <row r="173" spans="1:21" x14ac:dyDescent="0.2">
      <c r="A173" s="447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69"/>
      <c r="N173" s="119"/>
      <c r="O173" s="119"/>
      <c r="P173" s="123"/>
      <c r="Q173" s="119"/>
      <c r="R173" s="169"/>
      <c r="S173" s="169"/>
      <c r="T173" s="169"/>
      <c r="U173" s="169"/>
    </row>
    <row r="174" spans="1:21" x14ac:dyDescent="0.2">
      <c r="A174" s="447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69"/>
      <c r="N174" s="119"/>
      <c r="O174" s="119"/>
      <c r="P174" s="123"/>
      <c r="Q174" s="119"/>
      <c r="R174" s="169"/>
      <c r="S174" s="169"/>
      <c r="T174" s="169"/>
      <c r="U174" s="169"/>
    </row>
    <row r="175" spans="1:21" x14ac:dyDescent="0.2">
      <c r="A175" s="447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69"/>
      <c r="N175" s="119"/>
      <c r="O175" s="119"/>
      <c r="P175" s="123"/>
      <c r="Q175" s="119"/>
      <c r="R175" s="169"/>
      <c r="S175" s="169"/>
      <c r="T175" s="169"/>
      <c r="U175" s="169"/>
    </row>
    <row r="176" spans="1:21" x14ac:dyDescent="0.2">
      <c r="A176" s="447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69"/>
      <c r="N176" s="119"/>
      <c r="O176" s="119"/>
      <c r="P176" s="123"/>
      <c r="Q176" s="119"/>
      <c r="R176" s="169"/>
      <c r="S176" s="169"/>
      <c r="T176" s="169"/>
      <c r="U176" s="169"/>
    </row>
    <row r="177" spans="1:21" x14ac:dyDescent="0.2">
      <c r="A177" s="447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69"/>
      <c r="N177" s="119"/>
      <c r="O177" s="119"/>
      <c r="P177" s="123"/>
      <c r="Q177" s="119"/>
      <c r="R177" s="169"/>
      <c r="S177" s="169"/>
      <c r="T177" s="169"/>
      <c r="U177" s="169"/>
    </row>
    <row r="178" spans="1:21" x14ac:dyDescent="0.2">
      <c r="A178" s="447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69"/>
      <c r="N178" s="119"/>
      <c r="O178" s="119"/>
      <c r="P178" s="123"/>
      <c r="Q178" s="119"/>
      <c r="R178" s="169"/>
      <c r="S178" s="169"/>
      <c r="T178" s="169"/>
      <c r="U178" s="169"/>
    </row>
    <row r="179" spans="1:21" x14ac:dyDescent="0.2">
      <c r="A179" s="447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69"/>
      <c r="N179" s="119"/>
      <c r="O179" s="119"/>
      <c r="P179" s="123"/>
      <c r="Q179" s="119"/>
      <c r="R179" s="169"/>
      <c r="S179" s="169"/>
      <c r="T179" s="169"/>
      <c r="U179" s="169"/>
    </row>
    <row r="180" spans="1:21" x14ac:dyDescent="0.2">
      <c r="A180" s="447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69"/>
      <c r="N180" s="119"/>
      <c r="O180" s="119"/>
      <c r="P180" s="123"/>
      <c r="Q180" s="119"/>
      <c r="R180" s="169"/>
      <c r="S180" s="169"/>
      <c r="T180" s="169"/>
      <c r="U180" s="169"/>
    </row>
    <row r="181" spans="1:21" x14ac:dyDescent="0.2">
      <c r="A181" s="447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69"/>
      <c r="N181" s="119"/>
      <c r="O181" s="119"/>
      <c r="P181" s="123"/>
      <c r="Q181" s="119"/>
      <c r="R181" s="169"/>
      <c r="S181" s="169"/>
      <c r="T181" s="169"/>
      <c r="U181" s="169"/>
    </row>
    <row r="182" spans="1:21" x14ac:dyDescent="0.2">
      <c r="A182" s="447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69"/>
      <c r="N182" s="119"/>
      <c r="O182" s="119"/>
      <c r="P182" s="123"/>
      <c r="Q182" s="119"/>
      <c r="R182" s="119"/>
      <c r="S182" s="119"/>
      <c r="T182" s="119"/>
      <c r="U182" s="119"/>
    </row>
    <row r="183" spans="1:21" x14ac:dyDescent="0.2">
      <c r="A183" s="447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69"/>
      <c r="N183" s="119"/>
      <c r="O183" s="119"/>
      <c r="P183" s="123"/>
      <c r="Q183" s="119"/>
      <c r="R183" s="119"/>
      <c r="S183" s="119"/>
      <c r="T183" s="119"/>
      <c r="U183" s="119"/>
    </row>
    <row r="184" spans="1:21" x14ac:dyDescent="0.2">
      <c r="A184" s="447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69"/>
      <c r="N184" s="119"/>
      <c r="O184" s="119"/>
      <c r="P184" s="123"/>
      <c r="Q184" s="119"/>
      <c r="R184" s="119"/>
      <c r="S184" s="119"/>
      <c r="T184" s="119"/>
      <c r="U184" s="119"/>
    </row>
    <row r="185" spans="1:21" x14ac:dyDescent="0.2">
      <c r="A185" s="447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69"/>
      <c r="N185" s="119"/>
      <c r="O185" s="119"/>
      <c r="P185" s="123"/>
      <c r="Q185" s="119"/>
      <c r="R185" s="119"/>
      <c r="S185" s="119"/>
      <c r="T185" s="119"/>
      <c r="U185" s="119"/>
    </row>
    <row r="186" spans="1:21" x14ac:dyDescent="0.2">
      <c r="A186" s="447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69"/>
      <c r="N186" s="119"/>
      <c r="O186" s="119"/>
      <c r="P186" s="123"/>
      <c r="Q186" s="119"/>
      <c r="R186" s="119"/>
      <c r="S186" s="119"/>
      <c r="T186" s="119"/>
      <c r="U186" s="119"/>
    </row>
    <row r="187" spans="1:21" x14ac:dyDescent="0.2">
      <c r="A187" s="447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69"/>
      <c r="N187" s="119"/>
      <c r="O187" s="119"/>
      <c r="P187" s="123"/>
      <c r="Q187" s="119"/>
      <c r="R187" s="119"/>
      <c r="S187" s="119"/>
      <c r="T187" s="119"/>
      <c r="U187" s="119"/>
    </row>
    <row r="188" spans="1:21" x14ac:dyDescent="0.2">
      <c r="A188" s="447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69"/>
      <c r="N188" s="119"/>
      <c r="O188" s="119"/>
      <c r="P188" s="123"/>
      <c r="Q188" s="119"/>
      <c r="R188" s="119"/>
      <c r="S188" s="119"/>
      <c r="T188" s="119"/>
      <c r="U188" s="119"/>
    </row>
    <row r="189" spans="1:21" x14ac:dyDescent="0.2">
      <c r="A189" s="447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69"/>
      <c r="N189" s="119"/>
      <c r="O189" s="119"/>
      <c r="P189" s="123"/>
      <c r="Q189" s="119"/>
      <c r="R189" s="119"/>
      <c r="S189" s="119"/>
      <c r="T189" s="119"/>
      <c r="U189" s="119"/>
    </row>
    <row r="190" spans="1:21" x14ac:dyDescent="0.2">
      <c r="A190" s="447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69"/>
      <c r="N190" s="119"/>
      <c r="O190" s="119"/>
      <c r="P190" s="123"/>
      <c r="Q190" s="119"/>
      <c r="R190" s="119"/>
      <c r="S190" s="119"/>
      <c r="T190" s="119"/>
      <c r="U190" s="119"/>
    </row>
    <row r="191" spans="1:21" x14ac:dyDescent="0.2">
      <c r="A191" s="447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69"/>
      <c r="N191" s="119"/>
      <c r="O191" s="119"/>
      <c r="P191" s="123"/>
      <c r="Q191" s="119"/>
      <c r="R191" s="119"/>
      <c r="S191" s="119"/>
      <c r="T191" s="119"/>
      <c r="U191" s="119"/>
    </row>
    <row r="192" spans="1:21" x14ac:dyDescent="0.2">
      <c r="A192" s="447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69"/>
      <c r="N192" s="119"/>
      <c r="O192" s="119"/>
      <c r="P192" s="123"/>
      <c r="Q192" s="119"/>
      <c r="R192" s="119"/>
      <c r="S192" s="119"/>
      <c r="T192" s="119"/>
      <c r="U192" s="119"/>
    </row>
    <row r="193" spans="1:21" x14ac:dyDescent="0.2">
      <c r="A193" s="447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69"/>
      <c r="N193" s="119"/>
      <c r="O193" s="119"/>
      <c r="P193" s="123"/>
      <c r="Q193" s="119"/>
      <c r="R193" s="119"/>
      <c r="S193" s="119"/>
      <c r="T193" s="119"/>
      <c r="U193" s="119"/>
    </row>
    <row r="194" spans="1:21" x14ac:dyDescent="0.2">
      <c r="A194" s="447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69"/>
      <c r="N194" s="119"/>
      <c r="O194" s="119"/>
      <c r="P194" s="123"/>
      <c r="Q194" s="119"/>
      <c r="R194" s="119"/>
      <c r="S194" s="119"/>
      <c r="T194" s="119"/>
      <c r="U194" s="119"/>
    </row>
    <row r="195" spans="1:21" x14ac:dyDescent="0.2">
      <c r="A195" s="447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69"/>
      <c r="N195" s="119"/>
      <c r="O195" s="119"/>
      <c r="P195" s="123"/>
      <c r="Q195" s="119"/>
      <c r="R195" s="119"/>
      <c r="S195" s="119"/>
      <c r="T195" s="119"/>
      <c r="U195" s="119"/>
    </row>
    <row r="196" spans="1:21" x14ac:dyDescent="0.2">
      <c r="A196" s="447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</row>
    <row r="197" spans="1:21" x14ac:dyDescent="0.2">
      <c r="A197" s="447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</row>
    <row r="198" spans="1:21" x14ac:dyDescent="0.2">
      <c r="A198" s="447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</row>
    <row r="199" spans="1:21" x14ac:dyDescent="0.2">
      <c r="A199" s="447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</row>
    <row r="200" spans="1:21" x14ac:dyDescent="0.2">
      <c r="A200" s="447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</row>
    <row r="201" spans="1:21" x14ac:dyDescent="0.2">
      <c r="A201" s="447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</row>
    <row r="202" spans="1:21" x14ac:dyDescent="0.2">
      <c r="A202" s="447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</row>
    <row r="203" spans="1:21" x14ac:dyDescent="0.2">
      <c r="A203" s="447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</row>
    <row r="204" spans="1:21" x14ac:dyDescent="0.2">
      <c r="A204" s="447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</row>
    <row r="205" spans="1:21" x14ac:dyDescent="0.2">
      <c r="A205" s="447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</row>
    <row r="206" spans="1:21" x14ac:dyDescent="0.2">
      <c r="A206" s="447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</row>
    <row r="207" spans="1:21" x14ac:dyDescent="0.2">
      <c r="A207" s="447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</row>
    <row r="208" spans="1:21" x14ac:dyDescent="0.2">
      <c r="A208" s="447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</row>
    <row r="209" spans="1:21" x14ac:dyDescent="0.2">
      <c r="A209" s="447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</row>
    <row r="210" spans="1:21" x14ac:dyDescent="0.2">
      <c r="A210" s="447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</row>
    <row r="211" spans="1:21" x14ac:dyDescent="0.2">
      <c r="A211" s="447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</row>
    <row r="212" spans="1:21" x14ac:dyDescent="0.2">
      <c r="A212" s="447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</row>
    <row r="213" spans="1:21" x14ac:dyDescent="0.2">
      <c r="A213" s="447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</row>
    <row r="214" spans="1:21" x14ac:dyDescent="0.2">
      <c r="A214" s="447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</row>
    <row r="215" spans="1:21" x14ac:dyDescent="0.2">
      <c r="A215" s="447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</row>
    <row r="216" spans="1:21" x14ac:dyDescent="0.2">
      <c r="A216" s="447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</row>
    <row r="217" spans="1:21" x14ac:dyDescent="0.2">
      <c r="A217" s="447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</row>
    <row r="218" spans="1:21" x14ac:dyDescent="0.2">
      <c r="A218" s="447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</row>
    <row r="219" spans="1:21" x14ac:dyDescent="0.2">
      <c r="A219" s="447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</row>
    <row r="220" spans="1:21" x14ac:dyDescent="0.2">
      <c r="A220" s="447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</row>
    <row r="221" spans="1:21" x14ac:dyDescent="0.2">
      <c r="A221" s="447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</row>
    <row r="222" spans="1:21" x14ac:dyDescent="0.2">
      <c r="A222" s="447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</row>
    <row r="223" spans="1:21" x14ac:dyDescent="0.2">
      <c r="A223" s="447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</row>
    <row r="224" spans="1:21" x14ac:dyDescent="0.2">
      <c r="A224" s="447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</row>
    <row r="225" spans="1:21" x14ac:dyDescent="0.2">
      <c r="A225" s="447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</row>
    <row r="226" spans="1:21" x14ac:dyDescent="0.2">
      <c r="A226" s="447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</row>
    <row r="227" spans="1:21" x14ac:dyDescent="0.2">
      <c r="A227" s="447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</row>
    <row r="228" spans="1:21" x14ac:dyDescent="0.2">
      <c r="A228" s="447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</row>
    <row r="229" spans="1:21" x14ac:dyDescent="0.2">
      <c r="A229" s="447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</row>
    <row r="230" spans="1:21" x14ac:dyDescent="0.2">
      <c r="A230" s="447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</row>
    <row r="231" spans="1:21" x14ac:dyDescent="0.2">
      <c r="A231" s="447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</row>
    <row r="232" spans="1:21" x14ac:dyDescent="0.2">
      <c r="A232" s="447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</row>
    <row r="233" spans="1:21" x14ac:dyDescent="0.2">
      <c r="A233" s="447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</row>
    <row r="234" spans="1:21" x14ac:dyDescent="0.2">
      <c r="A234" s="447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</row>
    <row r="235" spans="1:21" x14ac:dyDescent="0.2">
      <c r="A235" s="447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</row>
    <row r="236" spans="1:21" x14ac:dyDescent="0.2">
      <c r="A236" s="447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</row>
    <row r="237" spans="1:21" x14ac:dyDescent="0.2">
      <c r="A237" s="447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</row>
    <row r="238" spans="1:21" x14ac:dyDescent="0.2">
      <c r="A238" s="447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</row>
    <row r="239" spans="1:21" x14ac:dyDescent="0.2">
      <c r="A239" s="447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</row>
    <row r="240" spans="1:21" x14ac:dyDescent="0.2">
      <c r="A240" s="447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</row>
    <row r="241" spans="1:21" x14ac:dyDescent="0.2">
      <c r="A241" s="447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</row>
    <row r="242" spans="1:21" x14ac:dyDescent="0.2">
      <c r="A242" s="447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</row>
    <row r="243" spans="1:21" x14ac:dyDescent="0.2">
      <c r="A243" s="447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</row>
    <row r="244" spans="1:21" x14ac:dyDescent="0.2">
      <c r="A244" s="447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</row>
    <row r="245" spans="1:21" x14ac:dyDescent="0.2">
      <c r="A245" s="447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</row>
    <row r="246" spans="1:21" x14ac:dyDescent="0.2">
      <c r="A246" s="447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</row>
    <row r="247" spans="1:21" x14ac:dyDescent="0.2">
      <c r="A247" s="447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</row>
    <row r="248" spans="1:21" x14ac:dyDescent="0.2">
      <c r="A248" s="447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</row>
    <row r="249" spans="1:21" x14ac:dyDescent="0.2">
      <c r="A249" s="447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</row>
    <row r="250" spans="1:21" x14ac:dyDescent="0.2">
      <c r="A250" s="447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</row>
    <row r="251" spans="1:21" x14ac:dyDescent="0.2">
      <c r="A251" s="447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</row>
    <row r="252" spans="1:21" x14ac:dyDescent="0.2">
      <c r="A252" s="447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</row>
    <row r="253" spans="1:21" x14ac:dyDescent="0.2">
      <c r="A253" s="447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</row>
    <row r="254" spans="1:21" x14ac:dyDescent="0.2">
      <c r="A254" s="447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</row>
    <row r="255" spans="1:21" x14ac:dyDescent="0.2">
      <c r="A255" s="447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</row>
    <row r="256" spans="1:21" x14ac:dyDescent="0.2">
      <c r="A256" s="447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</row>
    <row r="257" spans="1:21" x14ac:dyDescent="0.2">
      <c r="A257" s="447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</row>
    <row r="258" spans="1:21" x14ac:dyDescent="0.2">
      <c r="A258" s="447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</row>
    <row r="259" spans="1:21" x14ac:dyDescent="0.2">
      <c r="A259" s="447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</row>
    <row r="260" spans="1:21" x14ac:dyDescent="0.2">
      <c r="A260" s="447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</row>
    <row r="261" spans="1:21" x14ac:dyDescent="0.2">
      <c r="A261" s="447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</row>
    <row r="262" spans="1:21" x14ac:dyDescent="0.2">
      <c r="A262" s="447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</row>
    <row r="263" spans="1:21" x14ac:dyDescent="0.2">
      <c r="A263" s="447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</row>
    <row r="264" spans="1:21" x14ac:dyDescent="0.2">
      <c r="A264" s="447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</row>
    <row r="265" spans="1:21" x14ac:dyDescent="0.2">
      <c r="A265" s="447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</row>
    <row r="266" spans="1:21" x14ac:dyDescent="0.2">
      <c r="A266" s="447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</row>
    <row r="267" spans="1:21" x14ac:dyDescent="0.2">
      <c r="A267" s="447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</row>
    <row r="268" spans="1:21" x14ac:dyDescent="0.2">
      <c r="A268" s="447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</row>
    <row r="269" spans="1:21" x14ac:dyDescent="0.2">
      <c r="A269" s="447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</row>
    <row r="270" spans="1:21" x14ac:dyDescent="0.2">
      <c r="A270" s="447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</row>
    <row r="271" spans="1:21" x14ac:dyDescent="0.2">
      <c r="A271" s="447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</row>
    <row r="272" spans="1:21" x14ac:dyDescent="0.2">
      <c r="A272" s="447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</row>
    <row r="273" spans="1:21" x14ac:dyDescent="0.2">
      <c r="A273" s="447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</row>
    <row r="274" spans="1:21" x14ac:dyDescent="0.2">
      <c r="A274" s="447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</row>
    <row r="275" spans="1:21" x14ac:dyDescent="0.2">
      <c r="A275" s="447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</row>
    <row r="276" spans="1:21" x14ac:dyDescent="0.2">
      <c r="A276" s="447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</row>
    <row r="277" spans="1:21" x14ac:dyDescent="0.2">
      <c r="A277" s="447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</row>
    <row r="278" spans="1:21" x14ac:dyDescent="0.2">
      <c r="A278" s="447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</row>
    <row r="279" spans="1:21" x14ac:dyDescent="0.2">
      <c r="A279" s="447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</row>
    <row r="280" spans="1:21" x14ac:dyDescent="0.2">
      <c r="A280" s="447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</row>
    <row r="281" spans="1:21" x14ac:dyDescent="0.2">
      <c r="A281" s="447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</row>
    <row r="282" spans="1:21" x14ac:dyDescent="0.2">
      <c r="A282" s="447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</row>
    <row r="283" spans="1:21" x14ac:dyDescent="0.2">
      <c r="A283" s="447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</row>
    <row r="284" spans="1:21" x14ac:dyDescent="0.2">
      <c r="A284" s="447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</row>
    <row r="285" spans="1:21" x14ac:dyDescent="0.2">
      <c r="A285" s="447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</row>
    <row r="286" spans="1:21" x14ac:dyDescent="0.2">
      <c r="A286" s="447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</row>
    <row r="287" spans="1:21" x14ac:dyDescent="0.2">
      <c r="A287" s="447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</row>
    <row r="288" spans="1:21" x14ac:dyDescent="0.2">
      <c r="A288" s="447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</row>
    <row r="289" spans="1:21" x14ac:dyDescent="0.2">
      <c r="A289" s="447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</row>
    <row r="290" spans="1:21" x14ac:dyDescent="0.2">
      <c r="A290" s="447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</row>
    <row r="291" spans="1:21" x14ac:dyDescent="0.2">
      <c r="A291" s="447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</row>
    <row r="292" spans="1:21" x14ac:dyDescent="0.2">
      <c r="A292" s="447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</row>
    <row r="293" spans="1:21" x14ac:dyDescent="0.2">
      <c r="A293" s="447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</row>
    <row r="294" spans="1:21" x14ac:dyDescent="0.2">
      <c r="A294" s="447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</row>
    <row r="295" spans="1:21" x14ac:dyDescent="0.2">
      <c r="A295" s="447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</row>
    <row r="296" spans="1:21" x14ac:dyDescent="0.2">
      <c r="A296" s="447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</row>
    <row r="297" spans="1:21" x14ac:dyDescent="0.2">
      <c r="A297" s="447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</row>
    <row r="298" spans="1:21" x14ac:dyDescent="0.2">
      <c r="A298" s="447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</row>
    <row r="299" spans="1:21" x14ac:dyDescent="0.2">
      <c r="A299" s="447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</row>
    <row r="300" spans="1:21" x14ac:dyDescent="0.2">
      <c r="A300" s="447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</row>
    <row r="301" spans="1:21" x14ac:dyDescent="0.2">
      <c r="A301" s="447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</row>
    <row r="302" spans="1:21" x14ac:dyDescent="0.2">
      <c r="A302" s="447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</row>
    <row r="303" spans="1:21" x14ac:dyDescent="0.2">
      <c r="A303" s="447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</row>
    <row r="304" spans="1:21" x14ac:dyDescent="0.2">
      <c r="A304" s="447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</row>
    <row r="305" spans="1:21" x14ac:dyDescent="0.2">
      <c r="A305" s="447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</row>
    <row r="306" spans="1:21" x14ac:dyDescent="0.2">
      <c r="A306" s="447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</row>
    <row r="307" spans="1:21" x14ac:dyDescent="0.2">
      <c r="A307" s="447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</row>
    <row r="308" spans="1:21" x14ac:dyDescent="0.2">
      <c r="A308" s="447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</row>
    <row r="309" spans="1:21" x14ac:dyDescent="0.2">
      <c r="A309" s="447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</row>
    <row r="310" spans="1:21" x14ac:dyDescent="0.2">
      <c r="A310" s="447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</row>
    <row r="311" spans="1:21" x14ac:dyDescent="0.2">
      <c r="A311" s="447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</row>
    <row r="312" spans="1:21" x14ac:dyDescent="0.2">
      <c r="A312" s="447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</row>
    <row r="313" spans="1:21" x14ac:dyDescent="0.2">
      <c r="A313" s="447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</row>
    <row r="314" spans="1:21" x14ac:dyDescent="0.2">
      <c r="A314" s="447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</row>
    <row r="315" spans="1:21" x14ac:dyDescent="0.2">
      <c r="A315" s="447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</row>
    <row r="316" spans="1:21" x14ac:dyDescent="0.2">
      <c r="A316" s="447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</row>
    <row r="317" spans="1:21" x14ac:dyDescent="0.2">
      <c r="A317" s="447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</row>
    <row r="318" spans="1:21" x14ac:dyDescent="0.2">
      <c r="A318" s="447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</row>
    <row r="319" spans="1:21" x14ac:dyDescent="0.2">
      <c r="A319" s="447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</row>
    <row r="320" spans="1:21" x14ac:dyDescent="0.2">
      <c r="A320" s="447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</row>
    <row r="321" spans="1:21" x14ac:dyDescent="0.2">
      <c r="A321" s="447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</row>
    <row r="322" spans="1:21" x14ac:dyDescent="0.2">
      <c r="A322" s="447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</row>
    <row r="323" spans="1:21" x14ac:dyDescent="0.2">
      <c r="A323" s="447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</row>
    <row r="324" spans="1:21" x14ac:dyDescent="0.2">
      <c r="A324" s="447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</row>
    <row r="325" spans="1:21" x14ac:dyDescent="0.2">
      <c r="A325" s="447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</row>
    <row r="326" spans="1:21" x14ac:dyDescent="0.2">
      <c r="A326" s="447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</row>
    <row r="327" spans="1:21" x14ac:dyDescent="0.2">
      <c r="A327" s="447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</row>
    <row r="328" spans="1:21" x14ac:dyDescent="0.2">
      <c r="A328" s="447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</row>
    <row r="329" spans="1:21" x14ac:dyDescent="0.2">
      <c r="A329" s="447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</row>
    <row r="330" spans="1:21" x14ac:dyDescent="0.2">
      <c r="A330" s="447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</row>
    <row r="331" spans="1:21" x14ac:dyDescent="0.2">
      <c r="A331" s="447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</row>
    <row r="332" spans="1:21" x14ac:dyDescent="0.2">
      <c r="A332" s="447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</row>
    <row r="333" spans="1:21" x14ac:dyDescent="0.2">
      <c r="A333" s="447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</row>
    <row r="334" spans="1:21" x14ac:dyDescent="0.2">
      <c r="A334" s="447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</row>
    <row r="335" spans="1:21" x14ac:dyDescent="0.2">
      <c r="A335" s="447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</row>
    <row r="336" spans="1:21" x14ac:dyDescent="0.2">
      <c r="A336" s="447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</row>
    <row r="337" spans="1:21" x14ac:dyDescent="0.2">
      <c r="A337" s="447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</row>
    <row r="338" spans="1:21" x14ac:dyDescent="0.2">
      <c r="A338" s="447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</row>
    <row r="339" spans="1:21" x14ac:dyDescent="0.2">
      <c r="A339" s="447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</row>
    <row r="340" spans="1:21" x14ac:dyDescent="0.2">
      <c r="A340" s="447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</row>
    <row r="341" spans="1:21" x14ac:dyDescent="0.2">
      <c r="A341" s="447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</row>
    <row r="342" spans="1:21" x14ac:dyDescent="0.2">
      <c r="A342" s="447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</row>
    <row r="343" spans="1:21" x14ac:dyDescent="0.2">
      <c r="A343" s="447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</row>
    <row r="344" spans="1:21" x14ac:dyDescent="0.2">
      <c r="A344" s="447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</row>
    <row r="345" spans="1:21" x14ac:dyDescent="0.2">
      <c r="A345" s="447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</row>
    <row r="346" spans="1:21" x14ac:dyDescent="0.2">
      <c r="A346" s="447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</row>
    <row r="347" spans="1:21" x14ac:dyDescent="0.2">
      <c r="A347" s="447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</row>
    <row r="348" spans="1:21" x14ac:dyDescent="0.2">
      <c r="A348" s="447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</row>
    <row r="349" spans="1:21" x14ac:dyDescent="0.2">
      <c r="A349" s="447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</row>
    <row r="350" spans="1:21" x14ac:dyDescent="0.2">
      <c r="A350" s="447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</row>
    <row r="351" spans="1:21" x14ac:dyDescent="0.2">
      <c r="A351" s="447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</row>
    <row r="352" spans="1:21" x14ac:dyDescent="0.2">
      <c r="A352" s="447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</row>
    <row r="353" spans="1:21" x14ac:dyDescent="0.2">
      <c r="A353" s="447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</row>
    <row r="354" spans="1:21" x14ac:dyDescent="0.2">
      <c r="A354" s="447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</row>
    <row r="355" spans="1:21" x14ac:dyDescent="0.2">
      <c r="A355" s="447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</row>
    <row r="356" spans="1:21" x14ac:dyDescent="0.2">
      <c r="A356" s="447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</row>
    <row r="357" spans="1:21" x14ac:dyDescent="0.2">
      <c r="A357" s="447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</row>
    <row r="358" spans="1:21" x14ac:dyDescent="0.2">
      <c r="A358" s="447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</row>
    <row r="359" spans="1:21" x14ac:dyDescent="0.2">
      <c r="A359" s="447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</row>
    <row r="360" spans="1:21" x14ac:dyDescent="0.2">
      <c r="A360" s="447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</row>
    <row r="361" spans="1:21" x14ac:dyDescent="0.2">
      <c r="A361" s="447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</row>
    <row r="362" spans="1:21" x14ac:dyDescent="0.2">
      <c r="A362" s="447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</row>
    <row r="363" spans="1:21" x14ac:dyDescent="0.2">
      <c r="A363" s="447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</row>
    <row r="364" spans="1:21" x14ac:dyDescent="0.2">
      <c r="A364" s="447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</row>
    <row r="365" spans="1:21" x14ac:dyDescent="0.2">
      <c r="A365" s="447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</row>
    <row r="366" spans="1:21" x14ac:dyDescent="0.2">
      <c r="A366" s="447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</row>
    <row r="367" spans="1:21" x14ac:dyDescent="0.2">
      <c r="A367" s="447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</row>
    <row r="368" spans="1:21" x14ac:dyDescent="0.2">
      <c r="A368" s="447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</row>
    <row r="369" spans="1:21" x14ac:dyDescent="0.2">
      <c r="A369" s="447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</row>
    <row r="370" spans="1:21" x14ac:dyDescent="0.2">
      <c r="A370" s="447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</row>
    <row r="371" spans="1:21" x14ac:dyDescent="0.2">
      <c r="A371" s="447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</row>
    <row r="372" spans="1:21" x14ac:dyDescent="0.2">
      <c r="A372" s="447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</row>
    <row r="373" spans="1:21" x14ac:dyDescent="0.2">
      <c r="A373" s="447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</row>
    <row r="374" spans="1:21" x14ac:dyDescent="0.2">
      <c r="A374" s="447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</row>
    <row r="375" spans="1:21" x14ac:dyDescent="0.2">
      <c r="A375" s="447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</row>
    <row r="376" spans="1:21" x14ac:dyDescent="0.2">
      <c r="A376" s="447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</row>
    <row r="377" spans="1:21" x14ac:dyDescent="0.2">
      <c r="A377" s="447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</row>
    <row r="378" spans="1:21" x14ac:dyDescent="0.2">
      <c r="A378" s="447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</row>
    <row r="379" spans="1:21" x14ac:dyDescent="0.2">
      <c r="A379" s="447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</row>
    <row r="380" spans="1:21" x14ac:dyDescent="0.2">
      <c r="A380" s="447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</row>
    <row r="381" spans="1:21" x14ac:dyDescent="0.2">
      <c r="A381" s="447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</row>
    <row r="382" spans="1:21" x14ac:dyDescent="0.2">
      <c r="A382" s="447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</row>
    <row r="383" spans="1:21" x14ac:dyDescent="0.2">
      <c r="A383" s="447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</row>
    <row r="384" spans="1:21" x14ac:dyDescent="0.2">
      <c r="A384" s="447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</row>
    <row r="385" spans="1:21" x14ac:dyDescent="0.2">
      <c r="A385" s="447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</row>
    <row r="386" spans="1:21" x14ac:dyDescent="0.2">
      <c r="A386" s="447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</row>
    <row r="387" spans="1:21" x14ac:dyDescent="0.2">
      <c r="A387" s="447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</row>
    <row r="388" spans="1:21" x14ac:dyDescent="0.2">
      <c r="A388" s="447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</row>
    <row r="389" spans="1:21" x14ac:dyDescent="0.2">
      <c r="A389" s="447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</row>
    <row r="390" spans="1:21" x14ac:dyDescent="0.2">
      <c r="A390" s="447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</row>
    <row r="391" spans="1:21" x14ac:dyDescent="0.2">
      <c r="A391" s="447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</row>
    <row r="392" spans="1:21" x14ac:dyDescent="0.2">
      <c r="A392" s="447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</row>
    <row r="393" spans="1:21" x14ac:dyDescent="0.2">
      <c r="A393" s="447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</row>
    <row r="394" spans="1:21" x14ac:dyDescent="0.2">
      <c r="A394" s="447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</row>
    <row r="395" spans="1:21" x14ac:dyDescent="0.2">
      <c r="A395" s="447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</row>
    <row r="396" spans="1:21" x14ac:dyDescent="0.2">
      <c r="A396" s="447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</row>
    <row r="397" spans="1:21" x14ac:dyDescent="0.2">
      <c r="A397" s="447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</row>
    <row r="398" spans="1:21" x14ac:dyDescent="0.2">
      <c r="A398" s="447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</row>
    <row r="399" spans="1:21" x14ac:dyDescent="0.2">
      <c r="A399" s="447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</row>
    <row r="400" spans="1:21" x14ac:dyDescent="0.2">
      <c r="A400" s="447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</row>
    <row r="401" spans="1:21" x14ac:dyDescent="0.2">
      <c r="A401" s="447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</row>
    <row r="402" spans="1:21" x14ac:dyDescent="0.2">
      <c r="A402" s="447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</row>
    <row r="403" spans="1:21" x14ac:dyDescent="0.2">
      <c r="A403" s="447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</row>
    <row r="404" spans="1:21" x14ac:dyDescent="0.2">
      <c r="A404" s="447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</row>
    <row r="405" spans="1:21" x14ac:dyDescent="0.2">
      <c r="A405" s="447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</row>
    <row r="406" spans="1:21" x14ac:dyDescent="0.2">
      <c r="A406" s="447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</row>
    <row r="407" spans="1:21" x14ac:dyDescent="0.2">
      <c r="A407" s="447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</row>
    <row r="408" spans="1:21" x14ac:dyDescent="0.2">
      <c r="A408" s="447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</row>
    <row r="409" spans="1:21" x14ac:dyDescent="0.2">
      <c r="A409" s="447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</row>
    <row r="410" spans="1:21" x14ac:dyDescent="0.2">
      <c r="A410" s="447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</row>
    <row r="411" spans="1:21" x14ac:dyDescent="0.2">
      <c r="A411" s="447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</row>
    <row r="412" spans="1:21" x14ac:dyDescent="0.2">
      <c r="A412" s="447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</row>
    <row r="413" spans="1:21" x14ac:dyDescent="0.2">
      <c r="A413" s="447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</row>
    <row r="414" spans="1:21" x14ac:dyDescent="0.2">
      <c r="A414" s="447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</row>
    <row r="415" spans="1:21" x14ac:dyDescent="0.2">
      <c r="A415" s="447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</row>
    <row r="416" spans="1:21" x14ac:dyDescent="0.2">
      <c r="A416" s="447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</row>
    <row r="417" spans="1:21" x14ac:dyDescent="0.2">
      <c r="A417" s="447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</row>
    <row r="418" spans="1:21" x14ac:dyDescent="0.2">
      <c r="A418" s="447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</row>
    <row r="419" spans="1:21" x14ac:dyDescent="0.2">
      <c r="A419" s="447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</row>
    <row r="420" spans="1:21" x14ac:dyDescent="0.2">
      <c r="A420" s="447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</row>
    <row r="421" spans="1:21" x14ac:dyDescent="0.2">
      <c r="A421" s="447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</row>
    <row r="422" spans="1:21" x14ac:dyDescent="0.2">
      <c r="A422" s="447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</row>
    <row r="423" spans="1:21" x14ac:dyDescent="0.2">
      <c r="A423" s="447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</row>
    <row r="424" spans="1:21" x14ac:dyDescent="0.2">
      <c r="A424" s="447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</row>
    <row r="425" spans="1:21" x14ac:dyDescent="0.2">
      <c r="A425" s="447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</row>
    <row r="426" spans="1:21" x14ac:dyDescent="0.2">
      <c r="A426" s="447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</row>
    <row r="427" spans="1:21" x14ac:dyDescent="0.2">
      <c r="A427" s="447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</row>
    <row r="428" spans="1:21" x14ac:dyDescent="0.2">
      <c r="A428" s="447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</row>
    <row r="429" spans="1:21" x14ac:dyDescent="0.2">
      <c r="A429" s="447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</row>
    <row r="430" spans="1:21" x14ac:dyDescent="0.2">
      <c r="A430" s="447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</row>
    <row r="431" spans="1:21" x14ac:dyDescent="0.2">
      <c r="A431" s="447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</row>
    <row r="432" spans="1:21" x14ac:dyDescent="0.2">
      <c r="A432" s="447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</row>
    <row r="433" spans="1:21" x14ac:dyDescent="0.2">
      <c r="A433" s="447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</row>
    <row r="434" spans="1:21" x14ac:dyDescent="0.2">
      <c r="A434" s="447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</row>
    <row r="435" spans="1:21" x14ac:dyDescent="0.2">
      <c r="A435" s="447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</row>
    <row r="436" spans="1:21" x14ac:dyDescent="0.2">
      <c r="A436" s="447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</row>
    <row r="437" spans="1:21" x14ac:dyDescent="0.2">
      <c r="A437" s="447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</row>
    <row r="438" spans="1:21" x14ac:dyDescent="0.2">
      <c r="A438" s="447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</row>
    <row r="439" spans="1:21" x14ac:dyDescent="0.2">
      <c r="A439" s="447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</row>
    <row r="440" spans="1:21" x14ac:dyDescent="0.2">
      <c r="A440" s="447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</row>
    <row r="441" spans="1:21" x14ac:dyDescent="0.2">
      <c r="A441" s="447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</row>
    <row r="442" spans="1:21" x14ac:dyDescent="0.2">
      <c r="A442" s="447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</row>
    <row r="443" spans="1:21" x14ac:dyDescent="0.2">
      <c r="A443" s="447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</row>
    <row r="444" spans="1:21" x14ac:dyDescent="0.2">
      <c r="A444" s="447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</row>
    <row r="445" spans="1:21" x14ac:dyDescent="0.2">
      <c r="A445" s="447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</row>
    <row r="446" spans="1:21" x14ac:dyDescent="0.2">
      <c r="A446" s="447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</row>
    <row r="447" spans="1:21" x14ac:dyDescent="0.2">
      <c r="A447" s="447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</row>
    <row r="448" spans="1:21" x14ac:dyDescent="0.2">
      <c r="A448" s="447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</row>
    <row r="449" spans="1:21" x14ac:dyDescent="0.2">
      <c r="A449" s="447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</row>
    <row r="450" spans="1:21" x14ac:dyDescent="0.2">
      <c r="A450" s="447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</row>
    <row r="451" spans="1:21" x14ac:dyDescent="0.2">
      <c r="A451" s="447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</row>
    <row r="452" spans="1:21" x14ac:dyDescent="0.2">
      <c r="A452" s="447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</row>
    <row r="453" spans="1:21" x14ac:dyDescent="0.2">
      <c r="A453" s="447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</row>
    <row r="454" spans="1:21" x14ac:dyDescent="0.2">
      <c r="A454" s="447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</row>
    <row r="455" spans="1:21" x14ac:dyDescent="0.2">
      <c r="A455" s="447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</row>
    <row r="456" spans="1:21" x14ac:dyDescent="0.2">
      <c r="A456" s="447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</row>
    <row r="457" spans="1:21" x14ac:dyDescent="0.2">
      <c r="A457" s="447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</row>
    <row r="458" spans="1:21" x14ac:dyDescent="0.2">
      <c r="A458" s="447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</row>
    <row r="459" spans="1:21" x14ac:dyDescent="0.2">
      <c r="A459" s="447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</row>
    <row r="460" spans="1:21" x14ac:dyDescent="0.2">
      <c r="A460" s="447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</row>
    <row r="461" spans="1:21" x14ac:dyDescent="0.2">
      <c r="A461" s="447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</row>
    <row r="462" spans="1:21" x14ac:dyDescent="0.2">
      <c r="A462" s="447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</row>
    <row r="463" spans="1:21" x14ac:dyDescent="0.2">
      <c r="A463" s="447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</row>
    <row r="464" spans="1:21" x14ac:dyDescent="0.2">
      <c r="A464" s="447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</row>
    <row r="465" spans="1:21" x14ac:dyDescent="0.2">
      <c r="A465" s="447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</row>
    <row r="466" spans="1:21" x14ac:dyDescent="0.2">
      <c r="A466" s="447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</row>
    <row r="467" spans="1:21" x14ac:dyDescent="0.2">
      <c r="A467" s="447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</row>
    <row r="468" spans="1:21" x14ac:dyDescent="0.2">
      <c r="A468" s="447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</row>
    <row r="469" spans="1:21" x14ac:dyDescent="0.2">
      <c r="A469" s="447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</row>
    <row r="470" spans="1:21" x14ac:dyDescent="0.2">
      <c r="A470" s="447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</row>
    <row r="471" spans="1:21" x14ac:dyDescent="0.2">
      <c r="A471" s="447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</row>
    <row r="472" spans="1:21" x14ac:dyDescent="0.2">
      <c r="A472" s="447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</row>
    <row r="473" spans="1:21" x14ac:dyDescent="0.2">
      <c r="A473" s="447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</row>
    <row r="474" spans="1:21" x14ac:dyDescent="0.2">
      <c r="A474" s="447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</row>
    <row r="475" spans="1:21" x14ac:dyDescent="0.2">
      <c r="A475" s="447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</row>
    <row r="476" spans="1:21" x14ac:dyDescent="0.2">
      <c r="A476" s="447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</row>
    <row r="477" spans="1:21" x14ac:dyDescent="0.2">
      <c r="A477" s="447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</row>
    <row r="478" spans="1:21" x14ac:dyDescent="0.2">
      <c r="A478" s="447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</row>
    <row r="479" spans="1:21" x14ac:dyDescent="0.2">
      <c r="A479" s="447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</row>
    <row r="480" spans="1:21" x14ac:dyDescent="0.2">
      <c r="A480" s="447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</row>
    <row r="481" spans="1:21" x14ac:dyDescent="0.2">
      <c r="A481" s="447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</row>
    <row r="482" spans="1:21" x14ac:dyDescent="0.2">
      <c r="A482" s="447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</row>
    <row r="483" spans="1:21" x14ac:dyDescent="0.2">
      <c r="A483" s="447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</row>
    <row r="484" spans="1:21" x14ac:dyDescent="0.2">
      <c r="A484" s="447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</row>
    <row r="485" spans="1:21" x14ac:dyDescent="0.2">
      <c r="A485" s="447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</row>
    <row r="486" spans="1:21" x14ac:dyDescent="0.2">
      <c r="A486" s="447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</row>
    <row r="487" spans="1:21" x14ac:dyDescent="0.2">
      <c r="A487" s="447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</row>
    <row r="488" spans="1:21" x14ac:dyDescent="0.2">
      <c r="A488" s="447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</row>
    <row r="489" spans="1:21" x14ac:dyDescent="0.2">
      <c r="A489" s="447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</row>
    <row r="490" spans="1:21" x14ac:dyDescent="0.2">
      <c r="A490" s="447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</row>
    <row r="491" spans="1:21" x14ac:dyDescent="0.2">
      <c r="A491" s="447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</row>
    <row r="492" spans="1:21" x14ac:dyDescent="0.2">
      <c r="A492" s="447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</row>
    <row r="493" spans="1:21" x14ac:dyDescent="0.2">
      <c r="A493" s="447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</row>
    <row r="494" spans="1:21" x14ac:dyDescent="0.2">
      <c r="A494" s="447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</row>
    <row r="495" spans="1:21" x14ac:dyDescent="0.2">
      <c r="A495" s="447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</row>
    <row r="496" spans="1:21" x14ac:dyDescent="0.2">
      <c r="A496" s="447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</row>
    <row r="497" spans="1:21" x14ac:dyDescent="0.2">
      <c r="A497" s="447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</row>
    <row r="498" spans="1:21" x14ac:dyDescent="0.2">
      <c r="A498" s="447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</row>
    <row r="499" spans="1:21" x14ac:dyDescent="0.2">
      <c r="A499" s="447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</row>
    <row r="500" spans="1:21" x14ac:dyDescent="0.2">
      <c r="A500" s="447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</row>
    <row r="501" spans="1:21" x14ac:dyDescent="0.2">
      <c r="A501" s="447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</row>
    <row r="502" spans="1:21" x14ac:dyDescent="0.2">
      <c r="A502" s="447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</row>
    <row r="503" spans="1:21" x14ac:dyDescent="0.2">
      <c r="A503" s="447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</row>
    <row r="504" spans="1:21" x14ac:dyDescent="0.2">
      <c r="A504" s="447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</row>
    <row r="505" spans="1:21" x14ac:dyDescent="0.2">
      <c r="A505" s="447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</row>
    <row r="506" spans="1:21" x14ac:dyDescent="0.2">
      <c r="A506" s="447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</row>
    <row r="507" spans="1:21" x14ac:dyDescent="0.2">
      <c r="A507" s="447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</row>
    <row r="508" spans="1:21" x14ac:dyDescent="0.2">
      <c r="A508" s="447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</row>
    <row r="509" spans="1:21" x14ac:dyDescent="0.2">
      <c r="A509" s="447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</row>
    <row r="510" spans="1:21" x14ac:dyDescent="0.2">
      <c r="A510" s="447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</row>
    <row r="511" spans="1:21" x14ac:dyDescent="0.2">
      <c r="A511" s="447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</row>
    <row r="512" spans="1:21" x14ac:dyDescent="0.2">
      <c r="A512" s="447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</row>
    <row r="513" spans="1:21" x14ac:dyDescent="0.2">
      <c r="A513" s="447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</row>
    <row r="514" spans="1:21" x14ac:dyDescent="0.2">
      <c r="A514" s="447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</row>
    <row r="515" spans="1:21" x14ac:dyDescent="0.2">
      <c r="A515" s="447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</row>
    <row r="516" spans="1:21" x14ac:dyDescent="0.2">
      <c r="A516" s="447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</row>
    <row r="517" spans="1:21" x14ac:dyDescent="0.2">
      <c r="A517" s="447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</row>
    <row r="518" spans="1:21" x14ac:dyDescent="0.2">
      <c r="A518" s="447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</row>
    <row r="519" spans="1:21" x14ac:dyDescent="0.2">
      <c r="A519" s="447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</row>
    <row r="520" spans="1:21" x14ac:dyDescent="0.2">
      <c r="A520" s="447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</row>
    <row r="521" spans="1:21" x14ac:dyDescent="0.2">
      <c r="A521" s="447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</row>
    <row r="522" spans="1:21" x14ac:dyDescent="0.2">
      <c r="A522" s="447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</row>
    <row r="523" spans="1:21" x14ac:dyDescent="0.2">
      <c r="A523" s="447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</row>
    <row r="524" spans="1:21" x14ac:dyDescent="0.2">
      <c r="A524" s="447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</row>
    <row r="525" spans="1:21" x14ac:dyDescent="0.2">
      <c r="A525" s="447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</row>
    <row r="526" spans="1:21" x14ac:dyDescent="0.2">
      <c r="A526" s="447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</row>
    <row r="527" spans="1:21" x14ac:dyDescent="0.2">
      <c r="A527" s="447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</row>
    <row r="528" spans="1:21" x14ac:dyDescent="0.2">
      <c r="A528" s="447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</row>
    <row r="529" spans="1:21" x14ac:dyDescent="0.2">
      <c r="A529" s="447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</row>
    <row r="530" spans="1:21" x14ac:dyDescent="0.2">
      <c r="A530" s="447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</row>
    <row r="531" spans="1:21" x14ac:dyDescent="0.2">
      <c r="A531" s="447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</row>
    <row r="532" spans="1:21" x14ac:dyDescent="0.2">
      <c r="A532" s="447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</row>
    <row r="533" spans="1:21" x14ac:dyDescent="0.2">
      <c r="A533" s="447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</row>
    <row r="534" spans="1:21" x14ac:dyDescent="0.2">
      <c r="A534" s="447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</row>
    <row r="535" spans="1:21" x14ac:dyDescent="0.2">
      <c r="A535" s="447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</row>
    <row r="536" spans="1:21" x14ac:dyDescent="0.2">
      <c r="A536" s="447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</row>
    <row r="537" spans="1:21" x14ac:dyDescent="0.2">
      <c r="A537" s="447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</row>
    <row r="538" spans="1:21" x14ac:dyDescent="0.2">
      <c r="A538" s="447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</row>
    <row r="539" spans="1:21" x14ac:dyDescent="0.2">
      <c r="A539" s="447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</row>
    <row r="540" spans="1:21" x14ac:dyDescent="0.2">
      <c r="A540" s="447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</row>
    <row r="541" spans="1:21" x14ac:dyDescent="0.2">
      <c r="A541" s="447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</row>
    <row r="542" spans="1:21" x14ac:dyDescent="0.2">
      <c r="A542" s="447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</row>
    <row r="543" spans="1:21" x14ac:dyDescent="0.2">
      <c r="A543" s="447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</row>
    <row r="544" spans="1:21" x14ac:dyDescent="0.2">
      <c r="A544" s="447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</row>
    <row r="545" spans="1:21" x14ac:dyDescent="0.2">
      <c r="A545" s="447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</row>
    <row r="546" spans="1:21" x14ac:dyDescent="0.2">
      <c r="A546" s="447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</row>
    <row r="547" spans="1:21" x14ac:dyDescent="0.2">
      <c r="A547" s="447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</row>
    <row r="548" spans="1:21" x14ac:dyDescent="0.2">
      <c r="A548" s="447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</row>
    <row r="549" spans="1:21" x14ac:dyDescent="0.2">
      <c r="A549" s="447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</row>
    <row r="550" spans="1:21" x14ac:dyDescent="0.2">
      <c r="A550" s="447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</row>
    <row r="551" spans="1:21" x14ac:dyDescent="0.2">
      <c r="A551" s="447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</row>
    <row r="552" spans="1:21" x14ac:dyDescent="0.2">
      <c r="A552" s="447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</row>
    <row r="553" spans="1:21" x14ac:dyDescent="0.2">
      <c r="A553" s="447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</row>
    <row r="554" spans="1:21" x14ac:dyDescent="0.2">
      <c r="A554" s="447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</row>
    <row r="555" spans="1:21" x14ac:dyDescent="0.2">
      <c r="A555" s="447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</row>
    <row r="556" spans="1:21" x14ac:dyDescent="0.2">
      <c r="A556" s="447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</row>
    <row r="557" spans="1:21" x14ac:dyDescent="0.2">
      <c r="A557" s="447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</row>
    <row r="558" spans="1:21" x14ac:dyDescent="0.2">
      <c r="A558" s="447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</row>
    <row r="559" spans="1:21" x14ac:dyDescent="0.2">
      <c r="A559" s="447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</row>
    <row r="560" spans="1:21" x14ac:dyDescent="0.2">
      <c r="A560" s="447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</row>
    <row r="561" spans="1:21" x14ac:dyDescent="0.2">
      <c r="A561" s="447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</row>
    <row r="562" spans="1:21" x14ac:dyDescent="0.2">
      <c r="A562" s="447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</row>
    <row r="563" spans="1:21" x14ac:dyDescent="0.2">
      <c r="A563" s="447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</row>
    <row r="564" spans="1:21" x14ac:dyDescent="0.2">
      <c r="A564" s="447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</row>
    <row r="565" spans="1:21" x14ac:dyDescent="0.2">
      <c r="A565" s="447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</row>
    <row r="566" spans="1:21" x14ac:dyDescent="0.2">
      <c r="A566" s="447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</row>
    <row r="567" spans="1:21" x14ac:dyDescent="0.2">
      <c r="A567" s="447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</row>
    <row r="568" spans="1:21" x14ac:dyDescent="0.2">
      <c r="A568" s="447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</row>
    <row r="569" spans="1:21" x14ac:dyDescent="0.2">
      <c r="A569" s="447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</row>
    <row r="570" spans="1:21" x14ac:dyDescent="0.2">
      <c r="A570" s="447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</row>
    <row r="571" spans="1:21" x14ac:dyDescent="0.2">
      <c r="A571" s="447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</row>
    <row r="572" spans="1:21" x14ac:dyDescent="0.2">
      <c r="A572" s="447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</row>
    <row r="573" spans="1:21" x14ac:dyDescent="0.2">
      <c r="A573" s="447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</row>
    <row r="574" spans="1:21" x14ac:dyDescent="0.2">
      <c r="A574" s="447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</row>
    <row r="575" spans="1:21" x14ac:dyDescent="0.2">
      <c r="A575" s="447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</row>
    <row r="576" spans="1:21" x14ac:dyDescent="0.2">
      <c r="A576" s="447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</row>
    <row r="577" spans="1:21" x14ac:dyDescent="0.2">
      <c r="A577" s="447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</row>
    <row r="578" spans="1:21" x14ac:dyDescent="0.2">
      <c r="A578" s="447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</row>
    <row r="579" spans="1:21" x14ac:dyDescent="0.2">
      <c r="A579" s="447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</row>
    <row r="580" spans="1:21" x14ac:dyDescent="0.2">
      <c r="A580" s="447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</row>
    <row r="581" spans="1:21" x14ac:dyDescent="0.2">
      <c r="A581" s="447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</row>
    <row r="582" spans="1:21" x14ac:dyDescent="0.2">
      <c r="A582" s="447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</row>
    <row r="583" spans="1:21" x14ac:dyDescent="0.2">
      <c r="A583" s="447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</row>
    <row r="584" spans="1:21" x14ac:dyDescent="0.2">
      <c r="A584" s="447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</row>
    <row r="585" spans="1:21" x14ac:dyDescent="0.2">
      <c r="A585" s="447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</row>
    <row r="586" spans="1:21" x14ac:dyDescent="0.2">
      <c r="A586" s="447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</row>
    <row r="587" spans="1:21" x14ac:dyDescent="0.2">
      <c r="A587" s="447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</row>
    <row r="588" spans="1:21" x14ac:dyDescent="0.2">
      <c r="A588" s="447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</row>
    <row r="589" spans="1:21" x14ac:dyDescent="0.2">
      <c r="A589" s="447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</row>
    <row r="590" spans="1:21" x14ac:dyDescent="0.2">
      <c r="A590" s="447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</row>
    <row r="591" spans="1:21" x14ac:dyDescent="0.2">
      <c r="A591" s="447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</row>
    <row r="592" spans="1:21" x14ac:dyDescent="0.2">
      <c r="A592" s="447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</row>
    <row r="593" spans="1:21" x14ac:dyDescent="0.2">
      <c r="A593" s="447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</row>
    <row r="594" spans="1:21" x14ac:dyDescent="0.2">
      <c r="A594" s="447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</row>
    <row r="595" spans="1:21" x14ac:dyDescent="0.2">
      <c r="A595" s="447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</row>
    <row r="596" spans="1:21" x14ac:dyDescent="0.2">
      <c r="A596" s="447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</row>
    <row r="597" spans="1:21" x14ac:dyDescent="0.2">
      <c r="A597" s="447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</row>
    <row r="598" spans="1:21" x14ac:dyDescent="0.2">
      <c r="A598" s="447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</row>
    <row r="599" spans="1:21" x14ac:dyDescent="0.2">
      <c r="A599" s="447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</row>
    <row r="600" spans="1:21" x14ac:dyDescent="0.2">
      <c r="A600" s="447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</row>
    <row r="601" spans="1:21" x14ac:dyDescent="0.2">
      <c r="A601" s="447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</row>
    <row r="602" spans="1:21" x14ac:dyDescent="0.2">
      <c r="A602" s="447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</row>
    <row r="603" spans="1:21" x14ac:dyDescent="0.2">
      <c r="A603" s="447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</row>
    <row r="604" spans="1:21" x14ac:dyDescent="0.2">
      <c r="A604" s="447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</row>
    <row r="605" spans="1:21" x14ac:dyDescent="0.2">
      <c r="A605" s="447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</row>
    <row r="606" spans="1:21" x14ac:dyDescent="0.2">
      <c r="A606" s="447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</row>
    <row r="607" spans="1:21" x14ac:dyDescent="0.2">
      <c r="A607" s="447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</row>
    <row r="608" spans="1:21" x14ac:dyDescent="0.2">
      <c r="A608" s="447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</row>
    <row r="609" spans="1:21" x14ac:dyDescent="0.2">
      <c r="A609" s="447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</row>
    <row r="610" spans="1:21" x14ac:dyDescent="0.2">
      <c r="A610" s="447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</row>
    <row r="611" spans="1:21" x14ac:dyDescent="0.2">
      <c r="A611" s="447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</row>
    <row r="612" spans="1:21" x14ac:dyDescent="0.2">
      <c r="A612" s="447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</row>
    <row r="613" spans="1:21" x14ac:dyDescent="0.2">
      <c r="A613" s="447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</row>
    <row r="614" spans="1:21" x14ac:dyDescent="0.2">
      <c r="A614" s="447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</row>
    <row r="615" spans="1:21" x14ac:dyDescent="0.2">
      <c r="A615" s="447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</row>
    <row r="616" spans="1:21" x14ac:dyDescent="0.2">
      <c r="A616" s="447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</row>
    <row r="617" spans="1:21" x14ac:dyDescent="0.2">
      <c r="A617" s="447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</row>
    <row r="618" spans="1:21" x14ac:dyDescent="0.2">
      <c r="A618" s="447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</row>
    <row r="619" spans="1:21" x14ac:dyDescent="0.2">
      <c r="A619" s="447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</row>
    <row r="620" spans="1:21" x14ac:dyDescent="0.2">
      <c r="A620" s="447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</row>
    <row r="621" spans="1:21" x14ac:dyDescent="0.2">
      <c r="A621" s="447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</row>
    <row r="622" spans="1:21" x14ac:dyDescent="0.2">
      <c r="A622" s="447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</row>
    <row r="623" spans="1:21" x14ac:dyDescent="0.2">
      <c r="A623" s="447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</row>
    <row r="624" spans="1:21" x14ac:dyDescent="0.2">
      <c r="A624" s="447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</row>
    <row r="625" spans="1:21" x14ac:dyDescent="0.2">
      <c r="A625" s="447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</row>
    <row r="626" spans="1:21" x14ac:dyDescent="0.2">
      <c r="A626" s="447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</row>
    <row r="627" spans="1:21" x14ac:dyDescent="0.2">
      <c r="A627" s="447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</row>
    <row r="628" spans="1:21" x14ac:dyDescent="0.2">
      <c r="A628" s="447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</row>
    <row r="629" spans="1:21" x14ac:dyDescent="0.2">
      <c r="A629" s="447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</row>
    <row r="630" spans="1:21" x14ac:dyDescent="0.2">
      <c r="A630" s="447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</row>
    <row r="631" spans="1:21" x14ac:dyDescent="0.2">
      <c r="A631" s="447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</row>
    <row r="632" spans="1:21" x14ac:dyDescent="0.2">
      <c r="A632" s="447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</row>
    <row r="633" spans="1:21" x14ac:dyDescent="0.2">
      <c r="A633" s="447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</row>
    <row r="634" spans="1:21" x14ac:dyDescent="0.2">
      <c r="A634" s="447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</row>
    <row r="635" spans="1:21" x14ac:dyDescent="0.2">
      <c r="A635" s="447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</row>
    <row r="636" spans="1:21" x14ac:dyDescent="0.2">
      <c r="A636" s="447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</row>
    <row r="637" spans="1:21" x14ac:dyDescent="0.2">
      <c r="A637" s="447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</row>
    <row r="638" spans="1:21" x14ac:dyDescent="0.2">
      <c r="A638" s="447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</row>
    <row r="639" spans="1:21" x14ac:dyDescent="0.2">
      <c r="A639" s="447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</row>
    <row r="640" spans="1:21" x14ac:dyDescent="0.2">
      <c r="A640" s="447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</row>
    <row r="641" spans="1:21" x14ac:dyDescent="0.2">
      <c r="A641" s="447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</row>
    <row r="642" spans="1:21" x14ac:dyDescent="0.2">
      <c r="A642" s="447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</row>
    <row r="643" spans="1:21" x14ac:dyDescent="0.2">
      <c r="A643" s="447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</row>
    <row r="644" spans="1:21" x14ac:dyDescent="0.2">
      <c r="A644" s="447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</row>
    <row r="645" spans="1:21" x14ac:dyDescent="0.2">
      <c r="A645" s="447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</row>
    <row r="646" spans="1:21" x14ac:dyDescent="0.2">
      <c r="A646" s="447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</row>
    <row r="647" spans="1:21" x14ac:dyDescent="0.2">
      <c r="A647" s="447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</row>
    <row r="648" spans="1:21" x14ac:dyDescent="0.2">
      <c r="A648" s="447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</row>
    <row r="649" spans="1:21" x14ac:dyDescent="0.2">
      <c r="A649" s="447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</row>
    <row r="650" spans="1:21" x14ac:dyDescent="0.2">
      <c r="A650" s="447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</row>
    <row r="651" spans="1:21" x14ac:dyDescent="0.2">
      <c r="A651" s="447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</row>
    <row r="652" spans="1:21" x14ac:dyDescent="0.2">
      <c r="A652" s="447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</row>
    <row r="653" spans="1:21" x14ac:dyDescent="0.2">
      <c r="A653" s="447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</row>
    <row r="654" spans="1:21" x14ac:dyDescent="0.2">
      <c r="A654" s="447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</row>
    <row r="655" spans="1:21" x14ac:dyDescent="0.2">
      <c r="A655" s="447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</row>
    <row r="656" spans="1:21" x14ac:dyDescent="0.2">
      <c r="A656" s="447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</row>
    <row r="657" spans="1:21" x14ac:dyDescent="0.2">
      <c r="A657" s="447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</row>
    <row r="658" spans="1:21" x14ac:dyDescent="0.2">
      <c r="A658" s="447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</row>
    <row r="659" spans="1:21" x14ac:dyDescent="0.2">
      <c r="A659" s="447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</row>
    <row r="660" spans="1:21" x14ac:dyDescent="0.2">
      <c r="A660" s="447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</row>
    <row r="661" spans="1:21" x14ac:dyDescent="0.2">
      <c r="A661" s="447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</row>
    <row r="662" spans="1:21" x14ac:dyDescent="0.2">
      <c r="A662" s="447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</row>
    <row r="663" spans="1:21" x14ac:dyDescent="0.2">
      <c r="A663" s="447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</row>
    <row r="664" spans="1:21" x14ac:dyDescent="0.2">
      <c r="A664" s="447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</row>
    <row r="665" spans="1:21" x14ac:dyDescent="0.2">
      <c r="A665" s="447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</row>
    <row r="666" spans="1:21" x14ac:dyDescent="0.2">
      <c r="A666" s="447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</row>
    <row r="667" spans="1:21" x14ac:dyDescent="0.2">
      <c r="A667" s="447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</row>
    <row r="668" spans="1:21" x14ac:dyDescent="0.2">
      <c r="A668" s="447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</row>
    <row r="669" spans="1:21" x14ac:dyDescent="0.2">
      <c r="A669" s="447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</row>
    <row r="670" spans="1:21" x14ac:dyDescent="0.2">
      <c r="A670" s="447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</row>
    <row r="671" spans="1:21" x14ac:dyDescent="0.2">
      <c r="A671" s="447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</row>
    <row r="672" spans="1:21" x14ac:dyDescent="0.2">
      <c r="A672" s="447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</row>
    <row r="673" spans="1:21" x14ac:dyDescent="0.2">
      <c r="A673" s="447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</row>
    <row r="674" spans="1:21" x14ac:dyDescent="0.2">
      <c r="A674" s="447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</row>
    <row r="675" spans="1:21" x14ac:dyDescent="0.2">
      <c r="A675" s="447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</row>
    <row r="676" spans="1:21" x14ac:dyDescent="0.2">
      <c r="A676" s="447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</row>
    <row r="677" spans="1:21" x14ac:dyDescent="0.2">
      <c r="A677" s="447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</row>
    <row r="678" spans="1:21" x14ac:dyDescent="0.2">
      <c r="A678" s="447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</row>
    <row r="679" spans="1:21" x14ac:dyDescent="0.2">
      <c r="A679" s="447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</row>
    <row r="680" spans="1:21" x14ac:dyDescent="0.2">
      <c r="A680" s="447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</row>
    <row r="681" spans="1:21" x14ac:dyDescent="0.2">
      <c r="A681" s="447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</row>
    <row r="682" spans="1:21" x14ac:dyDescent="0.2">
      <c r="A682" s="447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</row>
    <row r="683" spans="1:21" x14ac:dyDescent="0.2">
      <c r="A683" s="447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</row>
    <row r="684" spans="1:21" x14ac:dyDescent="0.2">
      <c r="A684" s="447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</row>
    <row r="685" spans="1:21" x14ac:dyDescent="0.2">
      <c r="A685" s="447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</row>
    <row r="686" spans="1:21" x14ac:dyDescent="0.2">
      <c r="A686" s="447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</row>
    <row r="687" spans="1:21" x14ac:dyDescent="0.2">
      <c r="A687" s="447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</row>
    <row r="688" spans="1:21" x14ac:dyDescent="0.2">
      <c r="A688" s="447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</row>
    <row r="689" spans="1:21" x14ac:dyDescent="0.2">
      <c r="A689" s="447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</row>
    <row r="690" spans="1:21" x14ac:dyDescent="0.2">
      <c r="A690" s="447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</row>
    <row r="691" spans="1:21" x14ac:dyDescent="0.2">
      <c r="A691" s="447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</row>
    <row r="692" spans="1:21" x14ac:dyDescent="0.2">
      <c r="A692" s="447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</row>
    <row r="693" spans="1:21" x14ac:dyDescent="0.2">
      <c r="A693" s="447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</row>
    <row r="694" spans="1:21" x14ac:dyDescent="0.2">
      <c r="A694" s="447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</row>
    <row r="695" spans="1:21" x14ac:dyDescent="0.2">
      <c r="A695" s="447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</row>
    <row r="696" spans="1:21" x14ac:dyDescent="0.2">
      <c r="A696" s="447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</row>
    <row r="697" spans="1:21" x14ac:dyDescent="0.2">
      <c r="A697" s="447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</row>
    <row r="698" spans="1:21" x14ac:dyDescent="0.2">
      <c r="A698" s="447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</row>
    <row r="699" spans="1:21" x14ac:dyDescent="0.2">
      <c r="A699" s="447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</row>
    <row r="700" spans="1:21" x14ac:dyDescent="0.2">
      <c r="A700" s="447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</row>
    <row r="701" spans="1:21" x14ac:dyDescent="0.2">
      <c r="A701" s="447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</row>
    <row r="702" spans="1:21" x14ac:dyDescent="0.2">
      <c r="A702" s="447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</row>
    <row r="703" spans="1:21" x14ac:dyDescent="0.2">
      <c r="A703" s="447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</row>
    <row r="704" spans="1:21" x14ac:dyDescent="0.2">
      <c r="A704" s="447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</row>
    <row r="705" spans="1:21" x14ac:dyDescent="0.2">
      <c r="A705" s="447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</row>
    <row r="706" spans="1:21" x14ac:dyDescent="0.2">
      <c r="A706" s="447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</row>
    <row r="707" spans="1:21" x14ac:dyDescent="0.2">
      <c r="A707" s="447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</row>
    <row r="708" spans="1:21" x14ac:dyDescent="0.2">
      <c r="A708" s="447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</row>
    <row r="709" spans="1:21" x14ac:dyDescent="0.2">
      <c r="A709" s="447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</row>
    <row r="710" spans="1:21" x14ac:dyDescent="0.2">
      <c r="A710" s="447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</row>
    <row r="711" spans="1:21" x14ac:dyDescent="0.2">
      <c r="A711" s="447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</row>
    <row r="712" spans="1:21" x14ac:dyDescent="0.2">
      <c r="A712" s="447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</row>
    <row r="713" spans="1:21" x14ac:dyDescent="0.2">
      <c r="A713" s="447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</row>
    <row r="714" spans="1:21" x14ac:dyDescent="0.2">
      <c r="A714" s="447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</row>
    <row r="715" spans="1:21" x14ac:dyDescent="0.2">
      <c r="A715" s="447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</row>
    <row r="716" spans="1:21" x14ac:dyDescent="0.2">
      <c r="A716" s="447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</row>
    <row r="717" spans="1:21" x14ac:dyDescent="0.2">
      <c r="A717" s="447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</row>
    <row r="718" spans="1:21" x14ac:dyDescent="0.2">
      <c r="A718" s="447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</row>
    <row r="719" spans="1:21" x14ac:dyDescent="0.2">
      <c r="A719" s="447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</row>
    <row r="720" spans="1:21" x14ac:dyDescent="0.2">
      <c r="A720" s="447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</row>
    <row r="721" spans="1:21" x14ac:dyDescent="0.2">
      <c r="A721" s="447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</row>
    <row r="722" spans="1:21" x14ac:dyDescent="0.2">
      <c r="A722" s="447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</row>
    <row r="723" spans="1:21" x14ac:dyDescent="0.2">
      <c r="A723" s="447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</row>
    <row r="724" spans="1:21" x14ac:dyDescent="0.2">
      <c r="A724" s="447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</row>
    <row r="725" spans="1:21" x14ac:dyDescent="0.2">
      <c r="A725" s="447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</row>
    <row r="726" spans="1:21" x14ac:dyDescent="0.2">
      <c r="A726" s="447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</row>
    <row r="727" spans="1:21" x14ac:dyDescent="0.2">
      <c r="A727" s="447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</row>
    <row r="728" spans="1:21" x14ac:dyDescent="0.2">
      <c r="A728" s="447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</row>
    <row r="729" spans="1:21" x14ac:dyDescent="0.2">
      <c r="A729" s="447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</row>
    <row r="730" spans="1:21" x14ac:dyDescent="0.2">
      <c r="A730" s="447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</row>
    <row r="731" spans="1:21" x14ac:dyDescent="0.2">
      <c r="A731" s="447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</row>
    <row r="732" spans="1:21" x14ac:dyDescent="0.2">
      <c r="A732" s="447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</row>
    <row r="733" spans="1:21" x14ac:dyDescent="0.2">
      <c r="A733" s="447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</row>
    <row r="734" spans="1:21" x14ac:dyDescent="0.2">
      <c r="A734" s="447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</row>
    <row r="735" spans="1:21" x14ac:dyDescent="0.2">
      <c r="A735" s="447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</row>
    <row r="736" spans="1:21" x14ac:dyDescent="0.2">
      <c r="A736" s="447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</row>
    <row r="737" spans="1:21" x14ac:dyDescent="0.2">
      <c r="A737" s="447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</row>
    <row r="738" spans="1:21" x14ac:dyDescent="0.2">
      <c r="A738" s="447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</row>
    <row r="739" spans="1:21" x14ac:dyDescent="0.2">
      <c r="A739" s="447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</row>
    <row r="740" spans="1:21" x14ac:dyDescent="0.2">
      <c r="A740" s="447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</row>
    <row r="741" spans="1:21" x14ac:dyDescent="0.2">
      <c r="A741" s="447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</row>
    <row r="742" spans="1:21" x14ac:dyDescent="0.2">
      <c r="A742" s="447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</row>
    <row r="743" spans="1:21" x14ac:dyDescent="0.2">
      <c r="A743" s="447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</row>
    <row r="744" spans="1:21" x14ac:dyDescent="0.2">
      <c r="A744" s="447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</row>
    <row r="745" spans="1:21" x14ac:dyDescent="0.2">
      <c r="A745" s="447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</row>
    <row r="746" spans="1:21" x14ac:dyDescent="0.2">
      <c r="A746" s="447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</row>
    <row r="747" spans="1:21" x14ac:dyDescent="0.2">
      <c r="A747" s="447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</row>
    <row r="748" spans="1:21" x14ac:dyDescent="0.2">
      <c r="A748" s="447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</row>
    <row r="749" spans="1:21" x14ac:dyDescent="0.2">
      <c r="A749" s="447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</row>
    <row r="750" spans="1:21" x14ac:dyDescent="0.2">
      <c r="A750" s="447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</row>
    <row r="751" spans="1:21" x14ac:dyDescent="0.2">
      <c r="A751" s="447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</row>
    <row r="752" spans="1:21" x14ac:dyDescent="0.2">
      <c r="A752" s="447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</row>
    <row r="753" spans="1:21" x14ac:dyDescent="0.2">
      <c r="A753" s="447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</row>
    <row r="754" spans="1:21" x14ac:dyDescent="0.2">
      <c r="A754" s="447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</row>
    <row r="755" spans="1:21" x14ac:dyDescent="0.2">
      <c r="A755" s="447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</row>
    <row r="756" spans="1:21" x14ac:dyDescent="0.2">
      <c r="A756" s="447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</row>
    <row r="757" spans="1:21" x14ac:dyDescent="0.2">
      <c r="A757" s="447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</row>
    <row r="758" spans="1:21" x14ac:dyDescent="0.2">
      <c r="A758" s="447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</row>
    <row r="759" spans="1:21" x14ac:dyDescent="0.2">
      <c r="A759" s="447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</row>
    <row r="760" spans="1:21" x14ac:dyDescent="0.2">
      <c r="A760" s="447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</row>
    <row r="761" spans="1:21" x14ac:dyDescent="0.2">
      <c r="A761" s="447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</row>
    <row r="762" spans="1:21" x14ac:dyDescent="0.2">
      <c r="A762" s="447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</row>
    <row r="763" spans="1:21" x14ac:dyDescent="0.2">
      <c r="A763" s="447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</row>
    <row r="764" spans="1:21" x14ac:dyDescent="0.2">
      <c r="A764" s="447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</row>
    <row r="765" spans="1:21" x14ac:dyDescent="0.2">
      <c r="A765" s="447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</row>
    <row r="766" spans="1:21" x14ac:dyDescent="0.2">
      <c r="A766" s="447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</row>
    <row r="767" spans="1:21" x14ac:dyDescent="0.2">
      <c r="A767" s="447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</row>
    <row r="768" spans="1:21" x14ac:dyDescent="0.2">
      <c r="A768" s="447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</row>
    <row r="769" spans="1:21" x14ac:dyDescent="0.2">
      <c r="A769" s="447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</row>
    <row r="770" spans="1:21" x14ac:dyDescent="0.2">
      <c r="A770" s="447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</row>
    <row r="771" spans="1:21" x14ac:dyDescent="0.2">
      <c r="A771" s="447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</row>
    <row r="772" spans="1:21" x14ac:dyDescent="0.2">
      <c r="A772" s="447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</row>
    <row r="773" spans="1:21" x14ac:dyDescent="0.2">
      <c r="A773" s="447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</row>
    <row r="774" spans="1:21" x14ac:dyDescent="0.2">
      <c r="A774" s="447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</row>
    <row r="775" spans="1:21" x14ac:dyDescent="0.2">
      <c r="A775" s="447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</row>
    <row r="776" spans="1:21" x14ac:dyDescent="0.2">
      <c r="A776" s="447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</row>
    <row r="777" spans="1:21" x14ac:dyDescent="0.2">
      <c r="A777" s="447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</row>
    <row r="778" spans="1:21" x14ac:dyDescent="0.2">
      <c r="A778" s="447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</row>
    <row r="779" spans="1:21" x14ac:dyDescent="0.2">
      <c r="A779" s="447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</row>
    <row r="780" spans="1:21" x14ac:dyDescent="0.2">
      <c r="A780" s="447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</row>
    <row r="781" spans="1:21" x14ac:dyDescent="0.2">
      <c r="A781" s="447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</row>
    <row r="782" spans="1:21" x14ac:dyDescent="0.2">
      <c r="A782" s="447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</row>
    <row r="783" spans="1:21" x14ac:dyDescent="0.2">
      <c r="A783" s="447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</row>
    <row r="784" spans="1:21" x14ac:dyDescent="0.2">
      <c r="A784" s="447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</row>
    <row r="785" spans="1:21" x14ac:dyDescent="0.2">
      <c r="A785" s="447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</row>
    <row r="786" spans="1:21" x14ac:dyDescent="0.2">
      <c r="A786" s="447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</row>
    <row r="787" spans="1:21" x14ac:dyDescent="0.2">
      <c r="A787" s="447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</row>
    <row r="788" spans="1:21" x14ac:dyDescent="0.2">
      <c r="A788" s="447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</row>
    <row r="789" spans="1:21" x14ac:dyDescent="0.2">
      <c r="A789" s="447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</row>
    <row r="790" spans="1:21" x14ac:dyDescent="0.2">
      <c r="A790" s="447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</row>
    <row r="791" spans="1:21" x14ac:dyDescent="0.2">
      <c r="A791" s="447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</row>
    <row r="792" spans="1:21" x14ac:dyDescent="0.2">
      <c r="A792" s="447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</row>
    <row r="793" spans="1:21" x14ac:dyDescent="0.2">
      <c r="A793" s="447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</row>
    <row r="794" spans="1:21" x14ac:dyDescent="0.2">
      <c r="A794" s="447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</row>
    <row r="795" spans="1:21" x14ac:dyDescent="0.2">
      <c r="A795" s="447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</row>
    <row r="796" spans="1:21" x14ac:dyDescent="0.2">
      <c r="A796" s="447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</row>
    <row r="797" spans="1:21" x14ac:dyDescent="0.2">
      <c r="A797" s="447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</row>
    <row r="798" spans="1:21" x14ac:dyDescent="0.2">
      <c r="A798" s="447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</row>
    <row r="799" spans="1:21" x14ac:dyDescent="0.2">
      <c r="A799" s="447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</row>
    <row r="800" spans="1:21" x14ac:dyDescent="0.2">
      <c r="A800" s="447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</row>
    <row r="801" spans="1:21" x14ac:dyDescent="0.2">
      <c r="A801" s="447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</row>
    <row r="802" spans="1:21" x14ac:dyDescent="0.2">
      <c r="A802" s="447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</row>
    <row r="803" spans="1:21" x14ac:dyDescent="0.2">
      <c r="A803" s="447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</row>
    <row r="804" spans="1:21" x14ac:dyDescent="0.2">
      <c r="A804" s="447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</row>
    <row r="805" spans="1:21" x14ac:dyDescent="0.2">
      <c r="A805" s="447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</row>
    <row r="806" spans="1:21" x14ac:dyDescent="0.2">
      <c r="A806" s="447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</row>
    <row r="807" spans="1:21" x14ac:dyDescent="0.2">
      <c r="A807" s="447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</row>
    <row r="808" spans="1:21" x14ac:dyDescent="0.2">
      <c r="A808" s="447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</row>
    <row r="809" spans="1:21" x14ac:dyDescent="0.2">
      <c r="A809" s="447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</row>
    <row r="810" spans="1:21" x14ac:dyDescent="0.2">
      <c r="A810" s="447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</row>
    <row r="811" spans="1:21" x14ac:dyDescent="0.2">
      <c r="A811" s="447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</row>
    <row r="812" spans="1:21" x14ac:dyDescent="0.2">
      <c r="A812" s="447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</row>
    <row r="813" spans="1:21" x14ac:dyDescent="0.2">
      <c r="A813" s="447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</row>
    <row r="814" spans="1:21" x14ac:dyDescent="0.2">
      <c r="A814" s="447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</row>
    <row r="815" spans="1:21" x14ac:dyDescent="0.2">
      <c r="A815" s="447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</row>
    <row r="816" spans="1:21" x14ac:dyDescent="0.2">
      <c r="A816" s="447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</row>
    <row r="817" spans="1:21" x14ac:dyDescent="0.2">
      <c r="A817" s="447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</row>
    <row r="818" spans="1:21" x14ac:dyDescent="0.2">
      <c r="A818" s="447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</row>
    <row r="819" spans="1:21" x14ac:dyDescent="0.2">
      <c r="A819" s="447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</row>
    <row r="820" spans="1:21" x14ac:dyDescent="0.2">
      <c r="A820" s="447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</row>
    <row r="821" spans="1:21" x14ac:dyDescent="0.2">
      <c r="A821" s="447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</row>
    <row r="822" spans="1:21" x14ac:dyDescent="0.2">
      <c r="A822" s="447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</row>
    <row r="823" spans="1:21" x14ac:dyDescent="0.2">
      <c r="A823" s="447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</row>
    <row r="824" spans="1:21" x14ac:dyDescent="0.2">
      <c r="A824" s="447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</row>
    <row r="825" spans="1:21" x14ac:dyDescent="0.2">
      <c r="A825" s="447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</row>
    <row r="826" spans="1:21" x14ac:dyDescent="0.2">
      <c r="A826" s="447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</row>
    <row r="827" spans="1:21" x14ac:dyDescent="0.2">
      <c r="A827" s="447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</row>
    <row r="828" spans="1:21" x14ac:dyDescent="0.2">
      <c r="A828" s="447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</row>
    <row r="829" spans="1:21" x14ac:dyDescent="0.2">
      <c r="A829" s="447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</row>
    <row r="830" spans="1:21" x14ac:dyDescent="0.2">
      <c r="A830" s="447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</row>
    <row r="831" spans="1:21" x14ac:dyDescent="0.2">
      <c r="A831" s="447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</row>
    <row r="832" spans="1:21" x14ac:dyDescent="0.2">
      <c r="A832" s="447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</row>
    <row r="833" spans="1:21" x14ac:dyDescent="0.2">
      <c r="A833" s="447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</row>
    <row r="834" spans="1:21" x14ac:dyDescent="0.2">
      <c r="A834" s="447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</row>
    <row r="835" spans="1:21" x14ac:dyDescent="0.2">
      <c r="A835" s="447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</row>
    <row r="836" spans="1:21" x14ac:dyDescent="0.2">
      <c r="A836" s="447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</row>
    <row r="837" spans="1:21" x14ac:dyDescent="0.2">
      <c r="A837" s="447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</row>
    <row r="838" spans="1:21" x14ac:dyDescent="0.2">
      <c r="A838" s="447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</row>
    <row r="839" spans="1:21" x14ac:dyDescent="0.2">
      <c r="A839" s="447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</row>
    <row r="840" spans="1:21" x14ac:dyDescent="0.2">
      <c r="A840" s="447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</row>
    <row r="841" spans="1:21" x14ac:dyDescent="0.2">
      <c r="A841" s="447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</row>
    <row r="842" spans="1:21" x14ac:dyDescent="0.2">
      <c r="A842" s="447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</row>
    <row r="843" spans="1:21" x14ac:dyDescent="0.2">
      <c r="A843" s="447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</row>
    <row r="844" spans="1:21" x14ac:dyDescent="0.2">
      <c r="A844" s="447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</row>
    <row r="845" spans="1:21" x14ac:dyDescent="0.2">
      <c r="A845" s="447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</row>
    <row r="846" spans="1:21" x14ac:dyDescent="0.2">
      <c r="A846" s="447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</row>
    <row r="847" spans="1:21" x14ac:dyDescent="0.2">
      <c r="A847" s="447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</row>
    <row r="848" spans="1:21" x14ac:dyDescent="0.2">
      <c r="A848" s="447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</row>
    <row r="849" spans="1:21" x14ac:dyDescent="0.2">
      <c r="A849" s="447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</row>
    <row r="850" spans="1:21" x14ac:dyDescent="0.2">
      <c r="A850" s="447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</row>
    <row r="851" spans="1:21" x14ac:dyDescent="0.2">
      <c r="A851" s="447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</row>
    <row r="852" spans="1:21" x14ac:dyDescent="0.2">
      <c r="A852" s="447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</row>
    <row r="853" spans="1:21" x14ac:dyDescent="0.2">
      <c r="A853" s="447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</row>
    <row r="854" spans="1:21" x14ac:dyDescent="0.2">
      <c r="A854" s="447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</row>
    <row r="855" spans="1:21" x14ac:dyDescent="0.2">
      <c r="A855" s="447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</row>
    <row r="856" spans="1:21" x14ac:dyDescent="0.2">
      <c r="A856" s="447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</row>
    <row r="857" spans="1:21" x14ac:dyDescent="0.2">
      <c r="A857" s="447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</row>
    <row r="858" spans="1:21" x14ac:dyDescent="0.2">
      <c r="A858" s="447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</row>
    <row r="859" spans="1:21" x14ac:dyDescent="0.2">
      <c r="A859" s="447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</row>
    <row r="860" spans="1:21" x14ac:dyDescent="0.2">
      <c r="A860" s="447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</row>
    <row r="861" spans="1:21" x14ac:dyDescent="0.2">
      <c r="A861" s="447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</row>
    <row r="862" spans="1:21" x14ac:dyDescent="0.2">
      <c r="A862" s="447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</row>
    <row r="863" spans="1:21" x14ac:dyDescent="0.2">
      <c r="A863" s="447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</row>
    <row r="864" spans="1:21" x14ac:dyDescent="0.2">
      <c r="A864" s="447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</row>
    <row r="865" spans="1:21" x14ac:dyDescent="0.2">
      <c r="A865" s="447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</row>
    <row r="866" spans="1:21" x14ac:dyDescent="0.2">
      <c r="A866" s="447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</row>
    <row r="867" spans="1:21" x14ac:dyDescent="0.2">
      <c r="A867" s="447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</row>
    <row r="868" spans="1:21" x14ac:dyDescent="0.2">
      <c r="A868" s="447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</row>
    <row r="869" spans="1:21" x14ac:dyDescent="0.2">
      <c r="A869" s="447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</row>
    <row r="870" spans="1:21" x14ac:dyDescent="0.2">
      <c r="A870" s="447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</row>
    <row r="871" spans="1:21" x14ac:dyDescent="0.2">
      <c r="A871" s="447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</row>
    <row r="872" spans="1:21" x14ac:dyDescent="0.2">
      <c r="A872" s="447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</row>
    <row r="873" spans="1:21" x14ac:dyDescent="0.2">
      <c r="A873" s="447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</row>
    <row r="874" spans="1:21" x14ac:dyDescent="0.2">
      <c r="A874" s="447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</row>
    <row r="875" spans="1:21" x14ac:dyDescent="0.2">
      <c r="A875" s="447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</row>
    <row r="876" spans="1:21" x14ac:dyDescent="0.2">
      <c r="A876" s="447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</row>
    <row r="877" spans="1:21" x14ac:dyDescent="0.2">
      <c r="A877" s="447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</row>
    <row r="878" spans="1:21" x14ac:dyDescent="0.2">
      <c r="A878" s="447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</row>
    <row r="879" spans="1:21" x14ac:dyDescent="0.2">
      <c r="A879" s="447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</row>
    <row r="880" spans="1:21" x14ac:dyDescent="0.2">
      <c r="A880" s="447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</row>
    <row r="881" spans="1:21" x14ac:dyDescent="0.2">
      <c r="A881" s="447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</row>
    <row r="882" spans="1:21" x14ac:dyDescent="0.2">
      <c r="A882" s="447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</row>
    <row r="883" spans="1:21" x14ac:dyDescent="0.2">
      <c r="A883" s="447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</row>
    <row r="884" spans="1:21" x14ac:dyDescent="0.2">
      <c r="A884" s="447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</row>
    <row r="885" spans="1:21" x14ac:dyDescent="0.2">
      <c r="A885" s="447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</row>
    <row r="886" spans="1:21" x14ac:dyDescent="0.2">
      <c r="A886" s="447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</row>
    <row r="887" spans="1:21" x14ac:dyDescent="0.2">
      <c r="A887" s="447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</row>
    <row r="888" spans="1:21" x14ac:dyDescent="0.2">
      <c r="A888" s="447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</row>
    <row r="889" spans="1:21" x14ac:dyDescent="0.2">
      <c r="A889" s="447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</row>
    <row r="890" spans="1:21" x14ac:dyDescent="0.2">
      <c r="A890" s="447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</row>
    <row r="891" spans="1:21" x14ac:dyDescent="0.2">
      <c r="A891" s="447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</row>
    <row r="892" spans="1:21" x14ac:dyDescent="0.2">
      <c r="A892" s="447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</row>
    <row r="893" spans="1:21" x14ac:dyDescent="0.2">
      <c r="A893" s="447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</row>
    <row r="894" spans="1:21" x14ac:dyDescent="0.2">
      <c r="A894" s="447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</row>
    <row r="895" spans="1:21" x14ac:dyDescent="0.2">
      <c r="A895" s="447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</row>
    <row r="896" spans="1:21" x14ac:dyDescent="0.2">
      <c r="A896" s="447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</row>
    <row r="897" spans="1:21" x14ac:dyDescent="0.2">
      <c r="A897" s="447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</row>
    <row r="898" spans="1:21" x14ac:dyDescent="0.2">
      <c r="A898" s="447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</row>
    <row r="899" spans="1:21" x14ac:dyDescent="0.2">
      <c r="A899" s="447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</row>
    <row r="900" spans="1:21" x14ac:dyDescent="0.2">
      <c r="A900" s="447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</row>
    <row r="901" spans="1:21" x14ac:dyDescent="0.2">
      <c r="A901" s="447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</row>
    <row r="902" spans="1:21" x14ac:dyDescent="0.2">
      <c r="A902" s="447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</row>
    <row r="903" spans="1:21" x14ac:dyDescent="0.2">
      <c r="A903" s="447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</row>
    <row r="904" spans="1:21" x14ac:dyDescent="0.2">
      <c r="A904" s="447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</row>
    <row r="905" spans="1:21" x14ac:dyDescent="0.2">
      <c r="A905" s="447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</row>
    <row r="906" spans="1:21" x14ac:dyDescent="0.2">
      <c r="A906" s="447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</row>
    <row r="907" spans="1:21" x14ac:dyDescent="0.2">
      <c r="A907" s="447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</row>
    <row r="908" spans="1:21" x14ac:dyDescent="0.2">
      <c r="A908" s="447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</row>
    <row r="909" spans="1:21" x14ac:dyDescent="0.2">
      <c r="A909" s="447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</row>
    <row r="910" spans="1:21" x14ac:dyDescent="0.2">
      <c r="A910" s="447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</row>
    <row r="911" spans="1:21" x14ac:dyDescent="0.2">
      <c r="A911" s="447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</row>
    <row r="912" spans="1:21" x14ac:dyDescent="0.2">
      <c r="A912" s="447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</row>
    <row r="913" spans="1:21" x14ac:dyDescent="0.2">
      <c r="A913" s="447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</row>
    <row r="914" spans="1:21" x14ac:dyDescent="0.2">
      <c r="A914" s="447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</row>
    <row r="915" spans="1:21" x14ac:dyDescent="0.2">
      <c r="A915" s="447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</row>
    <row r="916" spans="1:21" x14ac:dyDescent="0.2">
      <c r="A916" s="447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</row>
    <row r="917" spans="1:21" x14ac:dyDescent="0.2">
      <c r="A917" s="447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</row>
    <row r="918" spans="1:21" x14ac:dyDescent="0.2">
      <c r="A918" s="447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</row>
    <row r="919" spans="1:21" x14ac:dyDescent="0.2">
      <c r="A919" s="447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</row>
    <row r="920" spans="1:21" x14ac:dyDescent="0.2">
      <c r="A920" s="447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</row>
    <row r="921" spans="1:21" x14ac:dyDescent="0.2">
      <c r="A921" s="447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</row>
    <row r="922" spans="1:21" x14ac:dyDescent="0.2">
      <c r="A922" s="447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</row>
    <row r="923" spans="1:21" x14ac:dyDescent="0.2">
      <c r="A923" s="447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</row>
    <row r="924" spans="1:21" x14ac:dyDescent="0.2">
      <c r="A924" s="447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</row>
    <row r="925" spans="1:21" x14ac:dyDescent="0.2">
      <c r="A925" s="447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</row>
    <row r="926" spans="1:21" x14ac:dyDescent="0.2">
      <c r="A926" s="447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</row>
    <row r="927" spans="1:21" x14ac:dyDescent="0.2">
      <c r="A927" s="447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</row>
    <row r="928" spans="1:21" x14ac:dyDescent="0.2">
      <c r="A928" s="447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</row>
    <row r="929" spans="1:21" x14ac:dyDescent="0.2">
      <c r="A929" s="447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</row>
    <row r="930" spans="1:21" x14ac:dyDescent="0.2">
      <c r="A930" s="447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</row>
    <row r="931" spans="1:21" x14ac:dyDescent="0.2">
      <c r="A931" s="447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</row>
    <row r="932" spans="1:21" x14ac:dyDescent="0.2">
      <c r="A932" s="447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</row>
    <row r="933" spans="1:21" x14ac:dyDescent="0.2">
      <c r="A933" s="447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</row>
    <row r="934" spans="1:21" x14ac:dyDescent="0.2">
      <c r="A934" s="447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</row>
    <row r="935" spans="1:21" x14ac:dyDescent="0.2">
      <c r="A935" s="447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</row>
    <row r="936" spans="1:21" x14ac:dyDescent="0.2">
      <c r="A936" s="447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</row>
    <row r="937" spans="1:21" x14ac:dyDescent="0.2">
      <c r="A937" s="447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</row>
    <row r="938" spans="1:21" x14ac:dyDescent="0.2">
      <c r="A938" s="447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</row>
    <row r="939" spans="1:21" x14ac:dyDescent="0.2">
      <c r="A939" s="447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</row>
    <row r="940" spans="1:21" x14ac:dyDescent="0.2">
      <c r="A940" s="447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</row>
    <row r="941" spans="1:21" x14ac:dyDescent="0.2">
      <c r="A941" s="447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</row>
    <row r="942" spans="1:21" x14ac:dyDescent="0.2">
      <c r="A942" s="447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</row>
    <row r="943" spans="1:21" x14ac:dyDescent="0.2">
      <c r="A943" s="447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</row>
    <row r="944" spans="1:21" x14ac:dyDescent="0.2">
      <c r="A944" s="447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</row>
    <row r="945" spans="1:21" x14ac:dyDescent="0.2">
      <c r="A945" s="447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</row>
    <row r="946" spans="1:21" x14ac:dyDescent="0.2">
      <c r="A946" s="447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</row>
    <row r="947" spans="1:21" x14ac:dyDescent="0.2">
      <c r="A947" s="447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</row>
    <row r="948" spans="1:21" x14ac:dyDescent="0.2">
      <c r="A948" s="447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</row>
    <row r="949" spans="1:21" x14ac:dyDescent="0.2">
      <c r="A949" s="447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</row>
    <row r="950" spans="1:21" x14ac:dyDescent="0.2">
      <c r="A950" s="447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</row>
    <row r="951" spans="1:21" x14ac:dyDescent="0.2">
      <c r="A951" s="447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</row>
    <row r="952" spans="1:21" x14ac:dyDescent="0.2">
      <c r="A952" s="447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</row>
    <row r="953" spans="1:21" x14ac:dyDescent="0.2">
      <c r="A953" s="447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</row>
    <row r="954" spans="1:21" x14ac:dyDescent="0.2">
      <c r="A954" s="447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</row>
    <row r="955" spans="1:21" x14ac:dyDescent="0.2">
      <c r="A955" s="447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</row>
    <row r="956" spans="1:21" x14ac:dyDescent="0.2">
      <c r="A956" s="447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</row>
    <row r="957" spans="1:21" x14ac:dyDescent="0.2">
      <c r="A957" s="447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</row>
    <row r="958" spans="1:21" x14ac:dyDescent="0.2">
      <c r="A958" s="447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</row>
    <row r="959" spans="1:21" x14ac:dyDescent="0.2">
      <c r="A959" s="447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</row>
    <row r="960" spans="1:21" x14ac:dyDescent="0.2">
      <c r="A960" s="447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</row>
    <row r="961" spans="1:21" x14ac:dyDescent="0.2">
      <c r="A961" s="447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</row>
    <row r="962" spans="1:21" x14ac:dyDescent="0.2">
      <c r="A962" s="447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</row>
    <row r="963" spans="1:21" x14ac:dyDescent="0.2">
      <c r="A963" s="447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</row>
    <row r="964" spans="1:21" x14ac:dyDescent="0.2">
      <c r="A964" s="447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</row>
    <row r="965" spans="1:21" x14ac:dyDescent="0.2">
      <c r="A965" s="447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</row>
    <row r="966" spans="1:21" x14ac:dyDescent="0.2">
      <c r="A966" s="447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</row>
    <row r="967" spans="1:21" x14ac:dyDescent="0.2">
      <c r="A967" s="447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</row>
    <row r="968" spans="1:21" x14ac:dyDescent="0.2">
      <c r="A968" s="447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</row>
    <row r="969" spans="1:21" x14ac:dyDescent="0.2">
      <c r="A969" s="447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</row>
    <row r="970" spans="1:21" x14ac:dyDescent="0.2">
      <c r="A970" s="447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</row>
    <row r="971" spans="1:21" x14ac:dyDescent="0.2">
      <c r="A971" s="447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</row>
    <row r="972" spans="1:21" x14ac:dyDescent="0.2">
      <c r="A972" s="447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</row>
    <row r="973" spans="1:21" x14ac:dyDescent="0.2">
      <c r="A973" s="447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</row>
    <row r="974" spans="1:21" x14ac:dyDescent="0.2">
      <c r="A974" s="447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</row>
    <row r="975" spans="1:21" x14ac:dyDescent="0.2">
      <c r="A975" s="447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</row>
    <row r="976" spans="1:21" x14ac:dyDescent="0.2">
      <c r="A976" s="447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</row>
    <row r="977" spans="1:21" x14ac:dyDescent="0.2">
      <c r="A977" s="447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</row>
    <row r="978" spans="1:21" x14ac:dyDescent="0.2">
      <c r="A978" s="447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</row>
    <row r="979" spans="1:21" x14ac:dyDescent="0.2">
      <c r="A979" s="447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</row>
    <row r="980" spans="1:21" x14ac:dyDescent="0.2">
      <c r="A980" s="447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</row>
    <row r="981" spans="1:21" x14ac:dyDescent="0.2">
      <c r="A981" s="447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</row>
    <row r="982" spans="1:21" x14ac:dyDescent="0.2">
      <c r="A982" s="447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</row>
    <row r="983" spans="1:21" x14ac:dyDescent="0.2">
      <c r="A983" s="447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</row>
    <row r="984" spans="1:21" x14ac:dyDescent="0.2">
      <c r="A984" s="447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</row>
    <row r="985" spans="1:21" x14ac:dyDescent="0.2">
      <c r="A985" s="447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</row>
    <row r="986" spans="1:21" x14ac:dyDescent="0.2">
      <c r="A986" s="447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</row>
    <row r="987" spans="1:21" x14ac:dyDescent="0.2">
      <c r="A987" s="447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</row>
    <row r="988" spans="1:21" x14ac:dyDescent="0.2">
      <c r="A988" s="447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</row>
    <row r="989" spans="1:21" x14ac:dyDescent="0.2">
      <c r="A989" s="447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</row>
    <row r="990" spans="1:21" x14ac:dyDescent="0.2">
      <c r="A990" s="447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</row>
    <row r="991" spans="1:21" x14ac:dyDescent="0.2">
      <c r="A991" s="447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</row>
    <row r="992" spans="1:21" x14ac:dyDescent="0.2">
      <c r="A992" s="447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</row>
    <row r="993" spans="1:21" x14ac:dyDescent="0.2">
      <c r="A993" s="447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</row>
    <row r="994" spans="1:21" x14ac:dyDescent="0.2">
      <c r="A994" s="447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</row>
    <row r="995" spans="1:21" x14ac:dyDescent="0.2">
      <c r="A995" s="447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</row>
    <row r="996" spans="1:21" x14ac:dyDescent="0.2">
      <c r="A996" s="447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</row>
    <row r="997" spans="1:21" x14ac:dyDescent="0.2">
      <c r="A997" s="447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</row>
    <row r="998" spans="1:21" x14ac:dyDescent="0.2">
      <c r="A998" s="447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</row>
    <row r="999" spans="1:21" x14ac:dyDescent="0.2">
      <c r="A999" s="447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</row>
    <row r="1000" spans="1:21" x14ac:dyDescent="0.2">
      <c r="A1000" s="447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</row>
    <row r="1001" spans="1:21" x14ac:dyDescent="0.2">
      <c r="A1001" s="447"/>
      <c r="B1001" s="119"/>
      <c r="C1001" s="119"/>
      <c r="D1001" s="119"/>
      <c r="E1001" s="119"/>
      <c r="F1001" s="119"/>
      <c r="G1001" s="119"/>
      <c r="H1001" s="119"/>
      <c r="I1001" s="119"/>
      <c r="J1001" s="119"/>
      <c r="K1001" s="119"/>
      <c r="L1001" s="119"/>
      <c r="M1001" s="119"/>
      <c r="N1001" s="119"/>
      <c r="O1001" s="119"/>
      <c r="P1001" s="119"/>
      <c r="Q1001" s="119"/>
      <c r="R1001" s="119"/>
      <c r="S1001" s="119"/>
      <c r="T1001" s="119"/>
      <c r="U1001" s="119"/>
    </row>
    <row r="1002" spans="1:21" x14ac:dyDescent="0.2">
      <c r="A1002" s="447"/>
      <c r="B1002" s="119"/>
      <c r="C1002" s="119"/>
      <c r="D1002" s="119"/>
      <c r="E1002" s="119"/>
      <c r="F1002" s="119"/>
      <c r="G1002" s="119"/>
      <c r="H1002" s="119"/>
      <c r="I1002" s="119"/>
      <c r="J1002" s="119"/>
      <c r="K1002" s="119"/>
      <c r="L1002" s="119"/>
      <c r="M1002" s="119"/>
      <c r="N1002" s="119"/>
      <c r="O1002" s="119"/>
      <c r="P1002" s="119"/>
      <c r="Q1002" s="119"/>
      <c r="R1002" s="119"/>
      <c r="S1002" s="119"/>
      <c r="T1002" s="119"/>
      <c r="U1002" s="119"/>
    </row>
    <row r="1003" spans="1:21" x14ac:dyDescent="0.2">
      <c r="A1003" s="447"/>
      <c r="B1003" s="119"/>
      <c r="C1003" s="119"/>
      <c r="D1003" s="119"/>
      <c r="E1003" s="119"/>
      <c r="F1003" s="119"/>
      <c r="G1003" s="119"/>
      <c r="H1003" s="119"/>
      <c r="I1003" s="119"/>
      <c r="J1003" s="119"/>
      <c r="K1003" s="119"/>
      <c r="L1003" s="119"/>
      <c r="M1003" s="119"/>
      <c r="N1003" s="119"/>
      <c r="O1003" s="119"/>
      <c r="P1003" s="119"/>
      <c r="Q1003" s="119"/>
      <c r="R1003" s="119"/>
      <c r="S1003" s="119"/>
      <c r="T1003" s="119"/>
      <c r="U1003" s="119"/>
    </row>
    <row r="1004" spans="1:21" x14ac:dyDescent="0.2">
      <c r="A1004" s="447"/>
      <c r="B1004" s="119"/>
      <c r="C1004" s="119"/>
      <c r="D1004" s="119"/>
      <c r="E1004" s="119"/>
      <c r="F1004" s="119"/>
      <c r="G1004" s="119"/>
      <c r="H1004" s="119"/>
      <c r="I1004" s="119"/>
      <c r="J1004" s="119"/>
      <c r="K1004" s="119"/>
      <c r="L1004" s="119"/>
      <c r="M1004" s="119"/>
      <c r="N1004" s="119"/>
      <c r="O1004" s="119"/>
      <c r="P1004" s="119"/>
      <c r="Q1004" s="119"/>
      <c r="R1004" s="119"/>
      <c r="S1004" s="119"/>
      <c r="T1004" s="119"/>
      <c r="U1004" s="119"/>
    </row>
    <row r="1005" spans="1:21" x14ac:dyDescent="0.2">
      <c r="A1005" s="447"/>
      <c r="B1005" s="119"/>
      <c r="C1005" s="119"/>
      <c r="D1005" s="119"/>
      <c r="E1005" s="119"/>
      <c r="F1005" s="119"/>
      <c r="G1005" s="119"/>
      <c r="H1005" s="119"/>
      <c r="I1005" s="119"/>
      <c r="J1005" s="119"/>
      <c r="K1005" s="119"/>
      <c r="L1005" s="119"/>
      <c r="M1005" s="119"/>
      <c r="N1005" s="119"/>
      <c r="O1005" s="119"/>
      <c r="P1005" s="119"/>
      <c r="Q1005" s="119"/>
      <c r="R1005" s="119"/>
      <c r="S1005" s="119"/>
      <c r="T1005" s="119"/>
      <c r="U1005" s="119"/>
    </row>
    <row r="1006" spans="1:21" x14ac:dyDescent="0.2">
      <c r="A1006" s="447"/>
      <c r="B1006" s="119"/>
      <c r="C1006" s="119"/>
      <c r="D1006" s="119"/>
      <c r="E1006" s="119"/>
      <c r="F1006" s="119"/>
      <c r="G1006" s="119"/>
      <c r="H1006" s="119"/>
      <c r="I1006" s="119"/>
      <c r="J1006" s="119"/>
      <c r="K1006" s="119"/>
      <c r="L1006" s="119"/>
      <c r="M1006" s="119"/>
      <c r="N1006" s="119"/>
      <c r="O1006" s="119"/>
      <c r="P1006" s="119"/>
      <c r="Q1006" s="119"/>
      <c r="R1006" s="119"/>
      <c r="S1006" s="119"/>
      <c r="T1006" s="119"/>
      <c r="U1006" s="119"/>
    </row>
    <row r="1007" spans="1:21" x14ac:dyDescent="0.2">
      <c r="A1007" s="447"/>
      <c r="B1007" s="119"/>
      <c r="C1007" s="119"/>
      <c r="D1007" s="119"/>
      <c r="E1007" s="119"/>
      <c r="F1007" s="119"/>
      <c r="G1007" s="119"/>
      <c r="H1007" s="119"/>
      <c r="I1007" s="119"/>
      <c r="J1007" s="119"/>
      <c r="K1007" s="119"/>
      <c r="L1007" s="119"/>
      <c r="M1007" s="119"/>
      <c r="N1007" s="119"/>
      <c r="O1007" s="119"/>
      <c r="P1007" s="119"/>
      <c r="Q1007" s="119"/>
      <c r="R1007" s="119"/>
      <c r="S1007" s="119"/>
      <c r="T1007" s="119"/>
      <c r="U1007" s="119"/>
    </row>
    <row r="1008" spans="1:21" x14ac:dyDescent="0.2">
      <c r="A1008" s="447"/>
      <c r="B1008" s="119"/>
      <c r="C1008" s="119"/>
      <c r="D1008" s="119"/>
      <c r="E1008" s="119"/>
      <c r="F1008" s="119"/>
      <c r="G1008" s="119"/>
      <c r="H1008" s="119"/>
      <c r="I1008" s="119"/>
      <c r="J1008" s="119"/>
      <c r="K1008" s="119"/>
      <c r="L1008" s="119"/>
      <c r="M1008" s="119"/>
      <c r="N1008" s="119"/>
      <c r="O1008" s="119"/>
      <c r="P1008" s="119"/>
      <c r="Q1008" s="119"/>
      <c r="R1008" s="119"/>
      <c r="S1008" s="119"/>
      <c r="T1008" s="119"/>
      <c r="U1008" s="119"/>
    </row>
    <row r="1009" spans="1:21" x14ac:dyDescent="0.2">
      <c r="A1009" s="447"/>
      <c r="B1009" s="119"/>
      <c r="C1009" s="119"/>
      <c r="D1009" s="119"/>
      <c r="E1009" s="119"/>
      <c r="F1009" s="119"/>
      <c r="G1009" s="119"/>
      <c r="H1009" s="119"/>
      <c r="I1009" s="119"/>
      <c r="J1009" s="119"/>
      <c r="K1009" s="119"/>
      <c r="L1009" s="119"/>
      <c r="M1009" s="119"/>
      <c r="N1009" s="119"/>
      <c r="O1009" s="119"/>
      <c r="P1009" s="119"/>
      <c r="Q1009" s="119"/>
      <c r="R1009" s="119"/>
      <c r="S1009" s="119"/>
      <c r="T1009" s="119"/>
      <c r="U1009" s="119"/>
    </row>
    <row r="1010" spans="1:21" x14ac:dyDescent="0.2">
      <c r="A1010" s="447"/>
      <c r="B1010" s="119"/>
      <c r="C1010" s="119"/>
      <c r="D1010" s="119"/>
      <c r="E1010" s="119"/>
      <c r="F1010" s="119"/>
      <c r="G1010" s="119"/>
      <c r="H1010" s="119"/>
      <c r="I1010" s="119"/>
      <c r="J1010" s="119"/>
      <c r="K1010" s="119"/>
      <c r="L1010" s="119"/>
      <c r="M1010" s="119"/>
      <c r="N1010" s="119"/>
      <c r="O1010" s="119"/>
      <c r="P1010" s="119"/>
      <c r="Q1010" s="119"/>
      <c r="R1010" s="119"/>
      <c r="S1010" s="119"/>
      <c r="T1010" s="119"/>
      <c r="U1010" s="119"/>
    </row>
    <row r="1011" spans="1:21" x14ac:dyDescent="0.2">
      <c r="A1011" s="447"/>
      <c r="B1011" s="119"/>
      <c r="C1011" s="119"/>
      <c r="D1011" s="119"/>
      <c r="E1011" s="119"/>
      <c r="F1011" s="119"/>
      <c r="G1011" s="119"/>
      <c r="H1011" s="119"/>
      <c r="I1011" s="119"/>
      <c r="J1011" s="119"/>
      <c r="K1011" s="119"/>
      <c r="L1011" s="119"/>
      <c r="M1011" s="119"/>
      <c r="N1011" s="119"/>
      <c r="O1011" s="119"/>
      <c r="P1011" s="119"/>
      <c r="Q1011" s="119"/>
      <c r="R1011" s="119"/>
      <c r="S1011" s="119"/>
      <c r="T1011" s="119"/>
      <c r="U1011" s="119"/>
    </row>
    <row r="1012" spans="1:21" x14ac:dyDescent="0.2">
      <c r="A1012" s="447"/>
      <c r="B1012" s="119"/>
      <c r="C1012" s="119"/>
      <c r="D1012" s="119"/>
      <c r="E1012" s="119"/>
      <c r="F1012" s="119"/>
      <c r="G1012" s="119"/>
      <c r="H1012" s="119"/>
      <c r="I1012" s="119"/>
      <c r="J1012" s="119"/>
      <c r="K1012" s="119"/>
      <c r="L1012" s="119"/>
      <c r="M1012" s="119"/>
      <c r="N1012" s="119"/>
      <c r="O1012" s="119"/>
      <c r="P1012" s="119"/>
      <c r="Q1012" s="119"/>
      <c r="R1012" s="119"/>
      <c r="S1012" s="119"/>
      <c r="T1012" s="119"/>
      <c r="U1012" s="119"/>
    </row>
    <row r="1013" spans="1:21" x14ac:dyDescent="0.2">
      <c r="A1013" s="447"/>
      <c r="B1013" s="119"/>
      <c r="C1013" s="119"/>
      <c r="D1013" s="119"/>
      <c r="E1013" s="119"/>
      <c r="F1013" s="119"/>
      <c r="G1013" s="119"/>
      <c r="H1013" s="119"/>
      <c r="I1013" s="119"/>
      <c r="J1013" s="119"/>
      <c r="K1013" s="119"/>
      <c r="L1013" s="119"/>
      <c r="M1013" s="119"/>
      <c r="N1013" s="119"/>
      <c r="O1013" s="119"/>
      <c r="P1013" s="119"/>
      <c r="Q1013" s="119"/>
      <c r="R1013" s="119"/>
      <c r="S1013" s="119"/>
      <c r="T1013" s="119"/>
      <c r="U1013" s="119"/>
    </row>
  </sheetData>
  <mergeCells count="24">
    <mergeCell ref="B1:H1"/>
    <mergeCell ref="J2:L2"/>
    <mergeCell ref="J3:K3"/>
    <mergeCell ref="J4:K4"/>
    <mergeCell ref="J5:K5"/>
    <mergeCell ref="J6:K6"/>
    <mergeCell ref="N7:U7"/>
    <mergeCell ref="J7:K7"/>
    <mergeCell ref="J8:K8"/>
    <mergeCell ref="J9:K9"/>
    <mergeCell ref="R9:U9"/>
    <mergeCell ref="J10:K10"/>
    <mergeCell ref="J11:K11"/>
    <mergeCell ref="J12:K12"/>
    <mergeCell ref="F36:H36"/>
    <mergeCell ref="B45:H45"/>
    <mergeCell ref="A66:I66"/>
    <mergeCell ref="J13:K13"/>
    <mergeCell ref="E15:I15"/>
    <mergeCell ref="C17:D17"/>
    <mergeCell ref="E17:F17"/>
    <mergeCell ref="G17:H17"/>
    <mergeCell ref="I17:J17"/>
    <mergeCell ref="B36:C3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U1017"/>
  <sheetViews>
    <sheetView workbookViewId="0"/>
  </sheetViews>
  <sheetFormatPr defaultColWidth="11.21875" defaultRowHeight="15" customHeight="1" x14ac:dyDescent="0.2"/>
  <cols>
    <col min="1" max="1" width="15.1640625" customWidth="1"/>
    <col min="7" max="7" width="11.9609375" customWidth="1"/>
    <col min="13" max="13" width="12.453125" customWidth="1"/>
  </cols>
  <sheetData>
    <row r="1" spans="1:21" x14ac:dyDescent="0.2">
      <c r="A1" s="444"/>
      <c r="B1" s="567" t="s">
        <v>1762</v>
      </c>
      <c r="C1" s="537"/>
      <c r="D1" s="537"/>
      <c r="E1" s="537"/>
      <c r="F1" s="537"/>
      <c r="G1" s="537"/>
      <c r="H1" s="531"/>
    </row>
    <row r="2" spans="1:21" x14ac:dyDescent="0.2">
      <c r="A2" s="445"/>
      <c r="B2" s="446" t="s">
        <v>457</v>
      </c>
      <c r="C2" s="446" t="s">
        <v>201</v>
      </c>
      <c r="D2" s="217" t="s">
        <v>126</v>
      </c>
      <c r="E2" s="217" t="s">
        <v>132</v>
      </c>
      <c r="F2" s="217" t="s">
        <v>136</v>
      </c>
      <c r="G2" s="217" t="s">
        <v>103</v>
      </c>
      <c r="H2" s="217" t="s">
        <v>153</v>
      </c>
      <c r="J2" s="612" t="s">
        <v>1763</v>
      </c>
      <c r="K2" s="533"/>
      <c r="L2" s="533"/>
    </row>
    <row r="3" spans="1:21" x14ac:dyDescent="0.2">
      <c r="A3" s="447"/>
      <c r="B3" s="207" t="s">
        <v>1764</v>
      </c>
      <c r="C3" s="207"/>
      <c r="D3" s="193"/>
      <c r="E3" s="193"/>
      <c r="F3" s="193"/>
      <c r="G3" s="396"/>
      <c r="H3" s="23"/>
      <c r="J3" s="608" t="s">
        <v>1765</v>
      </c>
      <c r="K3" s="533"/>
      <c r="L3" s="93" t="b">
        <v>0</v>
      </c>
    </row>
    <row r="4" spans="1:21" x14ac:dyDescent="0.2">
      <c r="A4" s="448"/>
      <c r="B4" s="103" t="s">
        <v>128</v>
      </c>
      <c r="C4" s="207"/>
      <c r="D4" s="193"/>
      <c r="E4" s="193"/>
      <c r="F4" s="193"/>
      <c r="G4" s="396"/>
      <c r="H4" s="23"/>
      <c r="J4" s="608" t="s">
        <v>1766</v>
      </c>
      <c r="K4" s="533"/>
      <c r="L4" s="93" t="b">
        <v>0</v>
      </c>
    </row>
    <row r="5" spans="1:21" x14ac:dyDescent="0.2">
      <c r="A5" s="447"/>
      <c r="B5" s="207" t="s">
        <v>54</v>
      </c>
      <c r="C5" s="207"/>
      <c r="D5" s="193"/>
      <c r="E5" s="193"/>
      <c r="F5" s="193"/>
      <c r="G5" s="396"/>
      <c r="H5" s="23"/>
      <c r="J5" s="608" t="s">
        <v>1767</v>
      </c>
      <c r="K5" s="533"/>
      <c r="L5" s="93" t="b">
        <v>0</v>
      </c>
    </row>
    <row r="6" spans="1:21" x14ac:dyDescent="0.2">
      <c r="A6" s="448"/>
      <c r="B6" s="103" t="s">
        <v>130</v>
      </c>
      <c r="C6" s="103"/>
      <c r="D6" s="193"/>
      <c r="E6" s="193"/>
      <c r="F6" s="193"/>
      <c r="G6" s="193"/>
      <c r="H6" s="23"/>
      <c r="J6" s="608" t="s">
        <v>1769</v>
      </c>
      <c r="K6" s="533"/>
      <c r="L6" s="93" t="b">
        <v>0</v>
      </c>
    </row>
    <row r="7" spans="1:21" x14ac:dyDescent="0.2">
      <c r="A7" s="448"/>
      <c r="B7" s="103" t="s">
        <v>161</v>
      </c>
      <c r="C7" s="103"/>
      <c r="D7" s="193"/>
      <c r="E7" s="193"/>
      <c r="F7" s="193"/>
      <c r="G7" s="193"/>
      <c r="H7" s="23"/>
      <c r="J7" s="93"/>
      <c r="K7" s="93"/>
      <c r="L7" s="93" t="b">
        <v>0</v>
      </c>
    </row>
    <row r="8" spans="1:21" x14ac:dyDescent="0.2">
      <c r="A8" s="445"/>
      <c r="B8" s="446" t="s">
        <v>40</v>
      </c>
      <c r="C8" s="449"/>
      <c r="D8" s="450"/>
      <c r="E8" s="450"/>
      <c r="F8" s="450"/>
      <c r="G8" s="450"/>
      <c r="H8" s="475"/>
      <c r="J8" s="608" t="s">
        <v>1770</v>
      </c>
      <c r="K8" s="533"/>
      <c r="L8" s="93" t="b">
        <v>0</v>
      </c>
      <c r="M8" s="207"/>
      <c r="N8" s="568" t="s">
        <v>448</v>
      </c>
      <c r="O8" s="537"/>
      <c r="P8" s="537"/>
      <c r="Q8" s="537"/>
      <c r="R8" s="537"/>
      <c r="S8" s="537"/>
      <c r="T8" s="537"/>
      <c r="U8" s="531"/>
    </row>
    <row r="9" spans="1:21" x14ac:dyDescent="0.2">
      <c r="A9" s="447"/>
      <c r="B9" s="103" t="s">
        <v>1771</v>
      </c>
      <c r="C9" s="103"/>
      <c r="D9" s="193"/>
      <c r="E9" s="193"/>
      <c r="F9" s="193"/>
      <c r="G9" s="396"/>
      <c r="H9" s="23"/>
      <c r="J9" s="608" t="s">
        <v>1773</v>
      </c>
      <c r="K9" s="533"/>
      <c r="L9" s="93" t="b">
        <v>0</v>
      </c>
      <c r="M9" s="207"/>
      <c r="N9" s="207"/>
      <c r="O9" s="207"/>
      <c r="P9" s="207"/>
      <c r="Q9" s="207"/>
      <c r="R9" s="207"/>
      <c r="S9" s="207"/>
      <c r="T9" s="207"/>
      <c r="U9" s="207"/>
    </row>
    <row r="10" spans="1:21" x14ac:dyDescent="0.2">
      <c r="A10" s="451"/>
      <c r="B10" s="161">
        <v>142</v>
      </c>
      <c r="C10" s="103"/>
      <c r="D10" s="193"/>
      <c r="E10" s="193"/>
      <c r="F10" s="193"/>
      <c r="G10" s="396"/>
      <c r="H10" s="23"/>
      <c r="J10" s="608" t="s">
        <v>1775</v>
      </c>
      <c r="K10" s="533"/>
      <c r="L10" s="93" t="b">
        <v>0</v>
      </c>
      <c r="M10" s="207" t="s">
        <v>450</v>
      </c>
      <c r="N10" s="247" t="s">
        <v>451</v>
      </c>
      <c r="O10" s="247" t="s">
        <v>452</v>
      </c>
      <c r="P10" s="247" t="s">
        <v>453</v>
      </c>
      <c r="Q10" s="476" t="s">
        <v>1809</v>
      </c>
      <c r="R10" s="611" t="s">
        <v>456</v>
      </c>
      <c r="S10" s="537"/>
      <c r="T10" s="537"/>
      <c r="U10" s="531"/>
    </row>
    <row r="11" spans="1:21" x14ac:dyDescent="0.2">
      <c r="A11" s="447"/>
      <c r="B11" s="207"/>
      <c r="C11" s="207"/>
      <c r="D11" s="396"/>
      <c r="E11" s="396"/>
      <c r="F11" s="396"/>
      <c r="G11" s="396"/>
      <c r="H11" s="23"/>
      <c r="J11" s="608" t="s">
        <v>1776</v>
      </c>
      <c r="K11" s="533"/>
      <c r="L11" s="158" t="b">
        <v>0</v>
      </c>
      <c r="M11" s="207"/>
      <c r="O11" s="207"/>
      <c r="P11" s="207"/>
      <c r="Q11" s="263" t="b">
        <v>0</v>
      </c>
      <c r="R11" s="259" t="s">
        <v>156</v>
      </c>
      <c r="S11" s="259" t="s">
        <v>126</v>
      </c>
      <c r="T11" s="259" t="s">
        <v>132</v>
      </c>
      <c r="U11" s="259" t="s">
        <v>136</v>
      </c>
    </row>
    <row r="12" spans="1:21" x14ac:dyDescent="0.2">
      <c r="A12" s="447"/>
      <c r="B12" s="207"/>
      <c r="C12" s="103" t="s">
        <v>153</v>
      </c>
      <c r="D12" s="396"/>
      <c r="E12" s="396"/>
      <c r="F12" s="396"/>
      <c r="G12" s="396"/>
      <c r="H12" s="23"/>
      <c r="J12" s="608" t="s">
        <v>1777</v>
      </c>
      <c r="K12" s="533"/>
      <c r="L12" s="93" t="b">
        <v>0</v>
      </c>
      <c r="M12" s="261"/>
      <c r="N12" s="103" t="s">
        <v>190</v>
      </c>
      <c r="O12" s="103" t="s">
        <v>462</v>
      </c>
      <c r="P12" s="265"/>
      <c r="Q12" s="263" t="b">
        <v>1</v>
      </c>
      <c r="R12" s="263" t="b">
        <v>0</v>
      </c>
      <c r="S12" s="263" t="b">
        <v>1</v>
      </c>
      <c r="T12" s="263" t="b">
        <v>1</v>
      </c>
      <c r="U12" s="263" t="b">
        <v>1</v>
      </c>
    </row>
    <row r="13" spans="1:21" x14ac:dyDescent="0.2">
      <c r="A13" s="452"/>
      <c r="G13" s="453" t="s">
        <v>561</v>
      </c>
      <c r="H13" s="158">
        <f>H12*0.2</f>
        <v>0</v>
      </c>
      <c r="J13" s="608" t="s">
        <v>1778</v>
      </c>
      <c r="K13" s="533"/>
      <c r="L13" s="93" t="b">
        <v>0</v>
      </c>
      <c r="M13" s="23"/>
      <c r="N13" s="103" t="s">
        <v>172</v>
      </c>
      <c r="O13" s="22" t="s">
        <v>462</v>
      </c>
      <c r="P13" s="23"/>
      <c r="Q13" s="263" t="b">
        <v>1</v>
      </c>
      <c r="R13" s="263" t="b">
        <v>1</v>
      </c>
      <c r="S13" s="263" t="b">
        <v>1</v>
      </c>
      <c r="T13" s="263" t="b">
        <v>1</v>
      </c>
      <c r="U13" s="263" t="b">
        <v>1</v>
      </c>
    </row>
    <row r="14" spans="1:21" x14ac:dyDescent="0.2">
      <c r="A14" s="452"/>
      <c r="G14" s="454" t="s">
        <v>1779</v>
      </c>
      <c r="H14" s="158">
        <f>H12-H13</f>
        <v>0</v>
      </c>
      <c r="J14" s="533"/>
      <c r="K14" s="533"/>
      <c r="L14" s="93" t="b">
        <v>0</v>
      </c>
      <c r="M14" s="23"/>
      <c r="N14" s="22" t="s">
        <v>192</v>
      </c>
      <c r="O14" s="22" t="s">
        <v>462</v>
      </c>
      <c r="P14" s="23"/>
      <c r="Q14" s="263" t="b">
        <v>1</v>
      </c>
      <c r="R14" s="261" t="b">
        <v>0</v>
      </c>
      <c r="S14" s="263" t="b">
        <v>1</v>
      </c>
      <c r="T14" s="263" t="b">
        <v>1</v>
      </c>
      <c r="U14" s="263" t="b">
        <v>1</v>
      </c>
    </row>
    <row r="15" spans="1:21" x14ac:dyDescent="0.2">
      <c r="A15" s="452"/>
      <c r="I15" s="93" t="s">
        <v>7</v>
      </c>
      <c r="M15" s="23"/>
      <c r="N15" s="22" t="s">
        <v>308</v>
      </c>
      <c r="O15" s="22" t="s">
        <v>1810</v>
      </c>
      <c r="P15" s="23"/>
      <c r="Q15" s="263" t="b">
        <v>1</v>
      </c>
      <c r="R15" s="261" t="b">
        <v>0</v>
      </c>
      <c r="S15" s="263" t="b">
        <v>1</v>
      </c>
      <c r="T15" s="263" t="b">
        <v>1</v>
      </c>
      <c r="U15" s="263" t="b">
        <v>1</v>
      </c>
    </row>
    <row r="16" spans="1:21" x14ac:dyDescent="0.2">
      <c r="A16" s="455"/>
      <c r="B16" s="165" t="s">
        <v>457</v>
      </c>
      <c r="C16" s="166"/>
      <c r="D16" s="166"/>
      <c r="E16" s="559" t="s">
        <v>458</v>
      </c>
      <c r="F16" s="533"/>
      <c r="G16" s="533"/>
      <c r="H16" s="533"/>
      <c r="I16" s="533"/>
      <c r="J16" s="166"/>
      <c r="K16" s="166"/>
      <c r="L16" s="165" t="s">
        <v>201</v>
      </c>
      <c r="M16" s="23"/>
      <c r="N16" s="22" t="s">
        <v>275</v>
      </c>
      <c r="O16" s="22" t="s">
        <v>1811</v>
      </c>
      <c r="P16" s="23"/>
      <c r="Q16" s="263" t="b">
        <v>1</v>
      </c>
      <c r="R16" s="261" t="b">
        <v>0</v>
      </c>
      <c r="S16" s="263" t="b">
        <v>1</v>
      </c>
      <c r="T16" s="263" t="b">
        <v>1</v>
      </c>
      <c r="U16" s="263" t="b">
        <v>1</v>
      </c>
    </row>
    <row r="17" spans="1:21" x14ac:dyDescent="0.2">
      <c r="A17" s="447"/>
      <c r="B17" s="119"/>
      <c r="C17" s="171" t="s">
        <v>459</v>
      </c>
      <c r="D17" s="171" t="s">
        <v>460</v>
      </c>
      <c r="E17" s="171" t="s">
        <v>459</v>
      </c>
      <c r="F17" s="171" t="s">
        <v>460</v>
      </c>
      <c r="G17" s="171" t="s">
        <v>459</v>
      </c>
      <c r="H17" s="171" t="s">
        <v>460</v>
      </c>
      <c r="I17" s="171" t="s">
        <v>459</v>
      </c>
      <c r="J17" s="171" t="s">
        <v>460</v>
      </c>
      <c r="K17" s="171" t="s">
        <v>459</v>
      </c>
      <c r="L17" s="119"/>
      <c r="M17" s="23"/>
      <c r="N17" s="22" t="s">
        <v>498</v>
      </c>
      <c r="O17" s="22" t="s">
        <v>1812</v>
      </c>
      <c r="P17" s="23"/>
      <c r="Q17" s="263" t="b">
        <v>1</v>
      </c>
      <c r="R17" s="261" t="b">
        <v>0</v>
      </c>
      <c r="S17" s="263" t="b">
        <v>0</v>
      </c>
      <c r="T17" s="263" t="b">
        <v>1</v>
      </c>
      <c r="U17" s="263" t="b">
        <v>1</v>
      </c>
    </row>
    <row r="18" spans="1:21" x14ac:dyDescent="0.2">
      <c r="A18" s="447"/>
      <c r="B18" s="119"/>
      <c r="C18" s="560" t="s">
        <v>156</v>
      </c>
      <c r="D18" s="533"/>
      <c r="E18" s="560" t="s">
        <v>464</v>
      </c>
      <c r="F18" s="533"/>
      <c r="G18" s="560" t="s">
        <v>132</v>
      </c>
      <c r="H18" s="533"/>
      <c r="I18" s="560" t="s">
        <v>136</v>
      </c>
      <c r="J18" s="533"/>
      <c r="K18" s="173" t="s">
        <v>465</v>
      </c>
      <c r="L18" s="119"/>
      <c r="M18" s="23"/>
      <c r="N18" s="22" t="s">
        <v>699</v>
      </c>
      <c r="O18" s="22" t="s">
        <v>1813</v>
      </c>
      <c r="P18" s="23"/>
      <c r="Q18" s="263" t="b">
        <v>1</v>
      </c>
      <c r="R18" s="261" t="b">
        <v>0</v>
      </c>
      <c r="S18" s="263" t="b">
        <v>1</v>
      </c>
      <c r="T18" s="263" t="b">
        <v>1</v>
      </c>
      <c r="U18" s="263" t="b">
        <v>1</v>
      </c>
    </row>
    <row r="19" spans="1:21" x14ac:dyDescent="0.2">
      <c r="A19" s="447"/>
      <c r="B19" s="207" t="s">
        <v>1764</v>
      </c>
      <c r="C19" s="126">
        <v>1</v>
      </c>
      <c r="D19" s="126">
        <v>2</v>
      </c>
      <c r="E19" s="175">
        <v>3</v>
      </c>
      <c r="F19" s="126">
        <v>8</v>
      </c>
      <c r="G19" s="175">
        <v>4</v>
      </c>
      <c r="H19" s="126">
        <v>12</v>
      </c>
      <c r="I19" s="175">
        <v>4</v>
      </c>
      <c r="J19" s="126">
        <v>12</v>
      </c>
      <c r="K19" s="119"/>
      <c r="L19" s="119"/>
      <c r="M19" s="23"/>
      <c r="N19" s="22" t="s">
        <v>196</v>
      </c>
      <c r="O19" s="22" t="s">
        <v>1814</v>
      </c>
      <c r="P19" s="23"/>
      <c r="Q19" s="263" t="b">
        <v>1</v>
      </c>
      <c r="R19" s="263" t="b">
        <v>1</v>
      </c>
      <c r="S19" s="263" t="b">
        <v>1</v>
      </c>
      <c r="T19" s="263" t="b">
        <v>1</v>
      </c>
      <c r="U19" s="263" t="b">
        <v>1</v>
      </c>
    </row>
    <row r="20" spans="1:21" x14ac:dyDescent="0.2">
      <c r="A20" s="448"/>
      <c r="B20" s="103" t="s">
        <v>128</v>
      </c>
      <c r="C20" s="126">
        <v>5</v>
      </c>
      <c r="D20" s="126">
        <v>4</v>
      </c>
      <c r="E20" s="175">
        <v>8</v>
      </c>
      <c r="F20" s="126">
        <v>8</v>
      </c>
      <c r="G20" s="175">
        <v>9</v>
      </c>
      <c r="H20" s="126">
        <v>12</v>
      </c>
      <c r="I20" s="175">
        <v>9</v>
      </c>
      <c r="J20" s="126">
        <v>12</v>
      </c>
      <c r="K20" s="119"/>
      <c r="L20" s="119"/>
      <c r="M20" s="23"/>
      <c r="N20" s="22" t="s">
        <v>313</v>
      </c>
      <c r="O20" s="22" t="s">
        <v>1815</v>
      </c>
      <c r="P20" s="23"/>
      <c r="Q20" s="263" t="b">
        <v>1</v>
      </c>
      <c r="R20" s="263" t="b">
        <v>1</v>
      </c>
      <c r="S20" s="263" t="b">
        <v>1</v>
      </c>
      <c r="T20" s="263" t="b">
        <v>1</v>
      </c>
      <c r="U20" s="263" t="b">
        <v>1</v>
      </c>
    </row>
    <row r="21" spans="1:21" x14ac:dyDescent="0.2">
      <c r="A21" s="447"/>
      <c r="B21" s="207" t="s">
        <v>54</v>
      </c>
      <c r="C21" s="126">
        <v>2</v>
      </c>
      <c r="D21" s="126">
        <v>4</v>
      </c>
      <c r="E21" s="175">
        <v>5</v>
      </c>
      <c r="F21" s="126">
        <v>8</v>
      </c>
      <c r="G21" s="175">
        <v>6</v>
      </c>
      <c r="H21" s="126">
        <v>12</v>
      </c>
      <c r="I21" s="175">
        <v>6</v>
      </c>
      <c r="J21" s="126">
        <v>12</v>
      </c>
      <c r="K21" s="119"/>
      <c r="L21" s="119"/>
      <c r="M21" s="261"/>
      <c r="N21" s="103" t="s">
        <v>1602</v>
      </c>
      <c r="O21" s="103" t="s">
        <v>1816</v>
      </c>
      <c r="P21" s="265"/>
      <c r="Q21" s="263" t="b">
        <v>1</v>
      </c>
      <c r="R21" s="261" t="b">
        <v>0</v>
      </c>
      <c r="S21" s="263" t="b">
        <v>1</v>
      </c>
      <c r="T21" s="263" t="b">
        <v>1</v>
      </c>
      <c r="U21" s="263" t="b">
        <v>1</v>
      </c>
    </row>
    <row r="22" spans="1:21" x14ac:dyDescent="0.2">
      <c r="A22" s="448"/>
      <c r="B22" s="103" t="s">
        <v>130</v>
      </c>
      <c r="C22" s="126">
        <v>3</v>
      </c>
      <c r="D22" s="126">
        <v>6</v>
      </c>
      <c r="E22" s="175">
        <v>4</v>
      </c>
      <c r="F22" s="126">
        <v>17</v>
      </c>
      <c r="G22" s="175">
        <v>5</v>
      </c>
      <c r="H22" s="126">
        <v>19</v>
      </c>
      <c r="I22" s="175">
        <v>5</v>
      </c>
      <c r="J22" s="126">
        <v>19</v>
      </c>
      <c r="K22" s="119"/>
      <c r="L22" s="126"/>
      <c r="M22" s="261"/>
      <c r="N22" s="103" t="s">
        <v>1488</v>
      </c>
      <c r="O22" s="103" t="s">
        <v>1817</v>
      </c>
      <c r="P22" s="265"/>
      <c r="Q22" s="263" t="b">
        <v>1</v>
      </c>
      <c r="R22" s="261" t="b">
        <v>0</v>
      </c>
      <c r="S22" s="263" t="b">
        <v>1</v>
      </c>
      <c r="T22" s="263" t="b">
        <v>1</v>
      </c>
      <c r="U22" s="263" t="b">
        <v>1</v>
      </c>
    </row>
    <row r="23" spans="1:21" x14ac:dyDescent="0.2">
      <c r="A23" s="447"/>
      <c r="B23" s="207" t="s">
        <v>1771</v>
      </c>
      <c r="C23" s="175" t="s">
        <v>92</v>
      </c>
      <c r="D23" s="175" t="s">
        <v>92</v>
      </c>
      <c r="E23" s="175">
        <v>2</v>
      </c>
      <c r="F23" s="126">
        <v>12</v>
      </c>
      <c r="G23" s="175">
        <v>2</v>
      </c>
      <c r="H23" s="126">
        <v>12</v>
      </c>
      <c r="I23" s="175">
        <v>2</v>
      </c>
      <c r="J23" s="126">
        <v>12</v>
      </c>
      <c r="K23" s="119"/>
      <c r="L23" s="119"/>
      <c r="M23" s="261"/>
      <c r="N23" s="103" t="s">
        <v>175</v>
      </c>
      <c r="O23" s="103" t="s">
        <v>1817</v>
      </c>
      <c r="P23" s="265"/>
      <c r="Q23" s="263" t="b">
        <v>1</v>
      </c>
      <c r="R23" s="261" t="b">
        <v>0</v>
      </c>
      <c r="S23" s="263" t="b">
        <v>1</v>
      </c>
      <c r="T23" s="263" t="b">
        <v>1</v>
      </c>
      <c r="U23" s="263" t="b">
        <v>1</v>
      </c>
    </row>
    <row r="24" spans="1:21" x14ac:dyDescent="0.2">
      <c r="A24" s="451"/>
      <c r="B24" s="407">
        <v>152</v>
      </c>
      <c r="C24" s="175" t="s">
        <v>92</v>
      </c>
      <c r="D24" s="175" t="s">
        <v>92</v>
      </c>
      <c r="E24" s="175">
        <v>2</v>
      </c>
      <c r="F24" s="126">
        <v>12</v>
      </c>
      <c r="G24" s="175">
        <v>2</v>
      </c>
      <c r="H24" s="126">
        <v>12</v>
      </c>
      <c r="I24" s="175">
        <v>2</v>
      </c>
      <c r="J24" s="126">
        <v>12</v>
      </c>
      <c r="K24" s="119"/>
      <c r="L24" s="119"/>
      <c r="M24" s="261"/>
      <c r="N24" s="103" t="s">
        <v>933</v>
      </c>
      <c r="O24" s="103" t="s">
        <v>1817</v>
      </c>
      <c r="P24" s="265"/>
      <c r="Q24" s="263" t="b">
        <v>1</v>
      </c>
      <c r="R24" s="261" t="b">
        <v>0</v>
      </c>
      <c r="S24" s="263" t="b">
        <v>1</v>
      </c>
      <c r="T24" s="263" t="b">
        <v>1</v>
      </c>
      <c r="U24" s="263" t="b">
        <v>1</v>
      </c>
    </row>
    <row r="25" spans="1:21" x14ac:dyDescent="0.2">
      <c r="A25" s="451"/>
      <c r="B25" s="161" t="s">
        <v>161</v>
      </c>
      <c r="C25" s="126">
        <v>3</v>
      </c>
      <c r="D25" s="126">
        <v>4</v>
      </c>
      <c r="E25" s="175">
        <v>9</v>
      </c>
      <c r="F25" s="126">
        <v>8</v>
      </c>
      <c r="G25" s="175">
        <v>9</v>
      </c>
      <c r="H25" s="126">
        <v>12</v>
      </c>
      <c r="I25" s="175">
        <v>9</v>
      </c>
      <c r="J25" s="126">
        <v>12</v>
      </c>
      <c r="K25" s="119"/>
      <c r="L25" s="119"/>
      <c r="M25" s="261"/>
      <c r="N25" s="103" t="s">
        <v>461</v>
      </c>
      <c r="O25" s="103" t="s">
        <v>462</v>
      </c>
      <c r="P25" s="265"/>
      <c r="Q25" s="263" t="b">
        <v>1</v>
      </c>
      <c r="R25" s="263" t="b">
        <v>0</v>
      </c>
      <c r="S25" s="261" t="b">
        <v>0</v>
      </c>
      <c r="T25" s="263" t="b">
        <v>0</v>
      </c>
      <c r="U25" s="261" t="b">
        <v>0</v>
      </c>
    </row>
    <row r="26" spans="1:21" x14ac:dyDescent="0.2">
      <c r="A26" s="451"/>
      <c r="B26" s="477" t="s">
        <v>153</v>
      </c>
      <c r="C26" s="171">
        <f t="shared" ref="C26:F26" si="0">SUM(C19:C25)</f>
        <v>14</v>
      </c>
      <c r="D26" s="158">
        <f t="shared" si="0"/>
        <v>20</v>
      </c>
      <c r="E26" s="171">
        <f t="shared" si="0"/>
        <v>33</v>
      </c>
      <c r="F26" s="158">
        <f t="shared" si="0"/>
        <v>73</v>
      </c>
      <c r="G26" s="171">
        <f>SUM(G19:G25)</f>
        <v>37</v>
      </c>
      <c r="H26" s="119">
        <f t="shared" ref="H26:J26" si="1">SUM(H19:H25)</f>
        <v>91</v>
      </c>
      <c r="I26" s="171">
        <f t="shared" si="1"/>
        <v>37</v>
      </c>
      <c r="J26" s="119">
        <f t="shared" si="1"/>
        <v>91</v>
      </c>
      <c r="K26" s="119"/>
      <c r="L26" s="119"/>
      <c r="M26" s="261"/>
      <c r="N26" s="103" t="s">
        <v>623</v>
      </c>
      <c r="O26" s="103" t="s">
        <v>624</v>
      </c>
      <c r="P26" s="265"/>
      <c r="Q26" s="263" t="b">
        <v>1</v>
      </c>
      <c r="R26" s="261" t="b">
        <v>0</v>
      </c>
      <c r="S26" s="261" t="b">
        <v>0</v>
      </c>
      <c r="T26" s="263" t="b">
        <v>0</v>
      </c>
      <c r="U26" s="261" t="b">
        <v>0</v>
      </c>
    </row>
    <row r="27" spans="1:21" x14ac:dyDescent="0.2">
      <c r="A27" s="451"/>
      <c r="B27" s="407"/>
      <c r="C27" s="119"/>
      <c r="D27" s="119"/>
      <c r="E27" s="176"/>
      <c r="F27" s="119"/>
      <c r="G27" s="176"/>
      <c r="H27" s="119"/>
      <c r="I27" s="176"/>
      <c r="J27" s="119"/>
      <c r="K27" s="119"/>
      <c r="L27" s="119"/>
      <c r="M27" s="261"/>
      <c r="N27" s="103" t="s">
        <v>792</v>
      </c>
      <c r="O27" s="103" t="s">
        <v>793</v>
      </c>
      <c r="P27" s="265"/>
      <c r="Q27" s="263" t="b">
        <v>1</v>
      </c>
      <c r="R27" s="261" t="b">
        <v>0</v>
      </c>
      <c r="S27" s="263" t="b">
        <v>1</v>
      </c>
      <c r="T27" s="263" t="b">
        <v>1</v>
      </c>
      <c r="U27" s="263" t="b">
        <v>1</v>
      </c>
    </row>
    <row r="28" spans="1:21" x14ac:dyDescent="0.2">
      <c r="A28" s="456"/>
      <c r="B28" s="179" t="s">
        <v>1782</v>
      </c>
      <c r="C28" s="403"/>
      <c r="D28" s="403"/>
      <c r="E28" s="178"/>
      <c r="F28" s="403"/>
      <c r="G28" s="178"/>
      <c r="H28" s="403"/>
      <c r="I28" s="178"/>
      <c r="J28" s="403"/>
      <c r="K28" s="403"/>
      <c r="L28" s="119"/>
      <c r="M28" s="261"/>
      <c r="N28" s="103" t="s">
        <v>1818</v>
      </c>
      <c r="O28" s="103" t="s">
        <v>1466</v>
      </c>
      <c r="P28" s="265"/>
      <c r="Q28" s="263" t="b">
        <v>1</v>
      </c>
      <c r="R28" s="261"/>
      <c r="S28" s="263" t="b">
        <v>1</v>
      </c>
      <c r="T28" s="263" t="b">
        <v>1</v>
      </c>
      <c r="U28" s="263" t="b">
        <v>1</v>
      </c>
    </row>
    <row r="29" spans="1:21" x14ac:dyDescent="0.2">
      <c r="A29" s="456"/>
      <c r="B29" s="179" t="s">
        <v>487</v>
      </c>
      <c r="C29" s="189">
        <v>2</v>
      </c>
      <c r="D29" s="403"/>
      <c r="E29" s="177">
        <v>2</v>
      </c>
      <c r="F29" s="403"/>
      <c r="G29" s="177">
        <v>2</v>
      </c>
      <c r="H29" s="403"/>
      <c r="I29" s="177">
        <v>2</v>
      </c>
      <c r="J29" s="403"/>
      <c r="K29" s="403"/>
      <c r="L29" s="119"/>
      <c r="M29" s="261"/>
      <c r="N29" s="103" t="s">
        <v>1819</v>
      </c>
      <c r="O29" s="207"/>
      <c r="P29" s="265"/>
      <c r="Q29" s="263" t="b">
        <v>0</v>
      </c>
      <c r="R29" s="261"/>
      <c r="S29" s="263" t="b">
        <v>1</v>
      </c>
      <c r="T29" s="263" t="b">
        <v>1</v>
      </c>
      <c r="U29" s="263" t="b">
        <v>1</v>
      </c>
    </row>
    <row r="30" spans="1:21" x14ac:dyDescent="0.2">
      <c r="A30" s="457"/>
      <c r="B30" s="180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261"/>
      <c r="N30" s="103" t="s">
        <v>1820</v>
      </c>
      <c r="O30" s="103" t="s">
        <v>1821</v>
      </c>
      <c r="P30" s="265"/>
      <c r="Q30" s="263" t="b">
        <v>1</v>
      </c>
      <c r="R30" s="261"/>
      <c r="S30" s="263" t="b">
        <v>1</v>
      </c>
      <c r="T30" s="263" t="b">
        <v>1</v>
      </c>
      <c r="U30" s="263" t="b">
        <v>1</v>
      </c>
    </row>
    <row r="31" spans="1:21" x14ac:dyDescent="0.2">
      <c r="A31" s="447"/>
      <c r="B31" s="119"/>
      <c r="C31" s="119"/>
      <c r="D31" s="119"/>
      <c r="E31" s="176"/>
      <c r="F31" s="119"/>
      <c r="G31" s="176"/>
      <c r="H31" s="119"/>
      <c r="I31" s="176"/>
      <c r="J31" s="119"/>
      <c r="K31" s="119"/>
      <c r="L31" s="119"/>
      <c r="M31" s="261"/>
      <c r="N31" s="103" t="s">
        <v>1822</v>
      </c>
      <c r="O31" s="103" t="s">
        <v>1823</v>
      </c>
      <c r="P31" s="265"/>
      <c r="Q31" s="263" t="b">
        <v>1</v>
      </c>
      <c r="R31" s="261"/>
      <c r="S31" s="263" t="b">
        <v>1</v>
      </c>
      <c r="T31" s="263" t="b">
        <v>1</v>
      </c>
      <c r="U31" s="263" t="b">
        <v>1</v>
      </c>
    </row>
    <row r="32" spans="1:21" x14ac:dyDescent="0.2">
      <c r="A32" s="458"/>
      <c r="B32" s="182" t="s">
        <v>497</v>
      </c>
      <c r="C32" s="183">
        <f t="shared" ref="C32:L32" si="2">SUM(C19:C31)</f>
        <v>30</v>
      </c>
      <c r="D32" s="183">
        <f t="shared" si="2"/>
        <v>40</v>
      </c>
      <c r="E32" s="183">
        <f t="shared" si="2"/>
        <v>68</v>
      </c>
      <c r="F32" s="183">
        <f t="shared" si="2"/>
        <v>146</v>
      </c>
      <c r="G32" s="183">
        <f t="shared" si="2"/>
        <v>76</v>
      </c>
      <c r="H32" s="183">
        <f t="shared" si="2"/>
        <v>182</v>
      </c>
      <c r="I32" s="183">
        <f t="shared" si="2"/>
        <v>76</v>
      </c>
      <c r="J32" s="183">
        <f t="shared" si="2"/>
        <v>182</v>
      </c>
      <c r="K32" s="183">
        <f t="shared" si="2"/>
        <v>0</v>
      </c>
      <c r="L32" s="183">
        <f t="shared" si="2"/>
        <v>0</v>
      </c>
      <c r="M32" s="261"/>
      <c r="N32" s="103" t="s">
        <v>1824</v>
      </c>
      <c r="O32" s="103" t="s">
        <v>1825</v>
      </c>
      <c r="P32" s="265"/>
      <c r="Q32" s="263" t="b">
        <v>1</v>
      </c>
      <c r="R32" s="261"/>
      <c r="S32" s="263" t="b">
        <v>1</v>
      </c>
      <c r="T32" s="263" t="b">
        <v>1</v>
      </c>
      <c r="U32" s="263" t="b">
        <v>1</v>
      </c>
    </row>
    <row r="33" spans="1:21" x14ac:dyDescent="0.2">
      <c r="A33" s="459"/>
      <c r="B33" s="275"/>
      <c r="C33" s="119"/>
      <c r="D33" s="119"/>
      <c r="E33" s="176"/>
      <c r="F33" s="119"/>
      <c r="G33" s="176"/>
      <c r="H33" s="119"/>
      <c r="I33" s="176"/>
      <c r="J33" s="119"/>
      <c r="K33" s="119"/>
      <c r="L33" s="119"/>
      <c r="M33" s="261"/>
      <c r="N33" s="219" t="s">
        <v>816</v>
      </c>
      <c r="O33" s="219" t="s">
        <v>817</v>
      </c>
      <c r="P33" s="460"/>
      <c r="Q33" s="263" t="b">
        <v>1</v>
      </c>
      <c r="R33" s="270"/>
      <c r="S33" s="263" t="b">
        <v>1</v>
      </c>
      <c r="T33" s="263" t="b">
        <v>1</v>
      </c>
      <c r="U33" s="263" t="b">
        <v>1</v>
      </c>
    </row>
    <row r="34" spans="1:21" x14ac:dyDescent="0.2">
      <c r="A34" s="448"/>
      <c r="B34" s="126" t="s">
        <v>1784</v>
      </c>
      <c r="C34" s="119">
        <f>SUM(C19, C20, C21, C22, E19, E20, E21, E22, E24, E23, G19, G20, G21, G22, G23, G24, I19, I20, I21, I22, I23, I24)</f>
        <v>91</v>
      </c>
      <c r="D34" s="119"/>
      <c r="E34" s="119"/>
      <c r="F34" s="119"/>
      <c r="G34" s="119"/>
      <c r="H34" s="119"/>
      <c r="I34" s="119"/>
      <c r="J34" s="119"/>
      <c r="K34" s="119"/>
      <c r="L34" s="119"/>
      <c r="M34" s="261"/>
      <c r="N34" s="219" t="s">
        <v>312</v>
      </c>
      <c r="O34" s="219" t="s">
        <v>1826</v>
      </c>
      <c r="P34" s="460"/>
      <c r="Q34" s="263" t="b">
        <v>1</v>
      </c>
      <c r="R34" s="270"/>
      <c r="S34" s="263" t="b">
        <v>1</v>
      </c>
      <c r="T34" s="263" t="b">
        <v>1</v>
      </c>
      <c r="U34" s="263" t="b">
        <v>1</v>
      </c>
    </row>
    <row r="35" spans="1:21" x14ac:dyDescent="0.2">
      <c r="A35" s="447"/>
      <c r="B35" s="119"/>
      <c r="C35" s="176"/>
      <c r="D35" s="176"/>
      <c r="E35" s="176"/>
      <c r="F35" s="119"/>
      <c r="G35" s="176"/>
      <c r="H35" s="119"/>
      <c r="I35" s="176"/>
      <c r="J35" s="119"/>
      <c r="K35" s="119"/>
      <c r="L35" s="119"/>
      <c r="M35" s="261"/>
      <c r="N35" s="103" t="s">
        <v>276</v>
      </c>
      <c r="O35" s="103" t="s">
        <v>815</v>
      </c>
      <c r="P35" s="265"/>
      <c r="Q35" s="263" t="b">
        <v>1</v>
      </c>
      <c r="R35" s="261"/>
      <c r="S35" s="263" t="b">
        <v>1</v>
      </c>
      <c r="T35" s="263" t="b">
        <v>1</v>
      </c>
      <c r="U35" s="263" t="b">
        <v>1</v>
      </c>
    </row>
    <row r="36" spans="1:21" x14ac:dyDescent="0.2">
      <c r="A36" s="447"/>
      <c r="B36" s="119"/>
      <c r="C36" s="119"/>
      <c r="D36" s="119"/>
      <c r="E36" s="176"/>
      <c r="F36" s="119"/>
      <c r="G36" s="176"/>
      <c r="H36" s="119"/>
      <c r="I36" s="176"/>
      <c r="J36" s="119"/>
      <c r="K36" s="119"/>
      <c r="L36" s="119"/>
      <c r="M36" s="261"/>
      <c r="N36" s="103" t="s">
        <v>670</v>
      </c>
      <c r="O36" s="103" t="s">
        <v>671</v>
      </c>
      <c r="P36" s="265"/>
      <c r="Q36" s="263" t="b">
        <v>1</v>
      </c>
      <c r="R36" s="261"/>
      <c r="S36" s="263" t="b">
        <v>1</v>
      </c>
      <c r="T36" s="263" t="b">
        <v>1</v>
      </c>
      <c r="U36" s="263" t="b">
        <v>1</v>
      </c>
    </row>
    <row r="37" spans="1:21" x14ac:dyDescent="0.2">
      <c r="A37" s="447"/>
      <c r="B37" s="119"/>
      <c r="C37" s="119"/>
      <c r="D37" s="119"/>
      <c r="E37" s="176"/>
      <c r="F37" s="119"/>
      <c r="G37" s="176"/>
      <c r="H37" s="119"/>
      <c r="I37" s="176"/>
      <c r="J37" s="119"/>
      <c r="K37" s="119"/>
      <c r="L37" s="119"/>
      <c r="M37" s="261"/>
      <c r="N37" s="103" t="s">
        <v>818</v>
      </c>
      <c r="O37" s="103" t="s">
        <v>819</v>
      </c>
      <c r="P37" s="265"/>
      <c r="Q37" s="263" t="b">
        <v>1</v>
      </c>
      <c r="R37" s="261"/>
      <c r="S37" s="263" t="b">
        <v>1</v>
      </c>
      <c r="T37" s="263" t="b">
        <v>1</v>
      </c>
      <c r="U37" s="263" t="b">
        <v>1</v>
      </c>
    </row>
    <row r="38" spans="1:21" x14ac:dyDescent="0.2">
      <c r="A38" s="461"/>
      <c r="B38" s="462"/>
      <c r="C38" s="463"/>
      <c r="D38" s="463"/>
      <c r="E38" s="176"/>
      <c r="F38" s="119"/>
      <c r="G38" s="176"/>
      <c r="H38" s="119"/>
      <c r="I38" s="176"/>
      <c r="J38" s="119"/>
      <c r="K38" s="119"/>
      <c r="L38" s="119"/>
      <c r="M38" s="261"/>
      <c r="N38" s="103" t="s">
        <v>820</v>
      </c>
      <c r="O38" s="103" t="s">
        <v>1827</v>
      </c>
      <c r="P38" s="265"/>
      <c r="Q38" s="263" t="b">
        <v>1</v>
      </c>
      <c r="R38" s="261"/>
      <c r="S38" s="263" t="b">
        <v>1</v>
      </c>
      <c r="T38" s="263" t="b">
        <v>1</v>
      </c>
      <c r="U38" s="263" t="b">
        <v>1</v>
      </c>
    </row>
    <row r="39" spans="1:21" x14ac:dyDescent="0.2">
      <c r="A39" s="464"/>
      <c r="B39" s="607" t="s">
        <v>1787</v>
      </c>
      <c r="C39" s="533"/>
      <c r="D39" s="465" t="s">
        <v>1788</v>
      </c>
      <c r="E39" s="176"/>
      <c r="F39" s="609" t="s">
        <v>430</v>
      </c>
      <c r="G39" s="533"/>
      <c r="H39" s="533"/>
      <c r="I39" s="176"/>
      <c r="J39" s="119"/>
      <c r="K39" s="119"/>
      <c r="L39" s="119"/>
      <c r="M39" s="261"/>
      <c r="N39" s="103" t="s">
        <v>810</v>
      </c>
      <c r="O39" s="103" t="s">
        <v>811</v>
      </c>
      <c r="P39" s="265"/>
      <c r="Q39" s="263" t="b">
        <v>1</v>
      </c>
      <c r="R39" s="261"/>
      <c r="S39" s="263" t="b">
        <v>1</v>
      </c>
      <c r="T39" s="263" t="b">
        <v>1</v>
      </c>
      <c r="U39" s="263" t="b">
        <v>1</v>
      </c>
    </row>
    <row r="40" spans="1:21" x14ac:dyDescent="0.2">
      <c r="A40" s="478"/>
      <c r="B40" s="93" t="s">
        <v>1828</v>
      </c>
      <c r="C40" s="478">
        <v>2025</v>
      </c>
      <c r="D40" s="478" t="s">
        <v>1829</v>
      </c>
      <c r="F40" s="93"/>
      <c r="G40" s="93"/>
      <c r="M40" s="261"/>
      <c r="N40" s="103" t="s">
        <v>174</v>
      </c>
      <c r="O40" s="103" t="s">
        <v>1816</v>
      </c>
      <c r="P40" s="265"/>
      <c r="Q40" s="263" t="b">
        <v>1</v>
      </c>
      <c r="R40" s="261"/>
      <c r="S40" s="263" t="b">
        <v>1</v>
      </c>
      <c r="T40" s="263" t="b">
        <v>1</v>
      </c>
      <c r="U40" s="263" t="b">
        <v>1</v>
      </c>
    </row>
    <row r="41" spans="1:21" x14ac:dyDescent="0.2">
      <c r="A41" s="479" t="s">
        <v>128</v>
      </c>
      <c r="B41" s="480">
        <v>44765</v>
      </c>
      <c r="C41" s="481">
        <v>60000</v>
      </c>
      <c r="D41" s="482">
        <v>63166</v>
      </c>
      <c r="F41" s="93" t="s">
        <v>431</v>
      </c>
      <c r="G41" s="93">
        <v>4</v>
      </c>
      <c r="M41" s="261"/>
      <c r="N41" s="103" t="s">
        <v>411</v>
      </c>
      <c r="O41" s="103" t="s">
        <v>812</v>
      </c>
      <c r="P41" s="265"/>
      <c r="Q41" s="263" t="b">
        <v>1</v>
      </c>
      <c r="R41" s="261"/>
      <c r="S41" s="263" t="b">
        <v>1</v>
      </c>
      <c r="T41" s="263" t="b">
        <v>1</v>
      </c>
      <c r="U41" s="263" t="b">
        <v>1</v>
      </c>
    </row>
    <row r="42" spans="1:21" x14ac:dyDescent="0.2">
      <c r="A42" s="483" t="s">
        <v>1038</v>
      </c>
      <c r="B42" s="480">
        <v>14284</v>
      </c>
      <c r="C42" s="484">
        <v>20000</v>
      </c>
      <c r="D42" s="485">
        <v>12482</v>
      </c>
      <c r="E42" s="119"/>
      <c r="F42" s="126" t="s">
        <v>433</v>
      </c>
      <c r="G42" s="126">
        <v>6</v>
      </c>
      <c r="H42" s="119"/>
      <c r="I42" s="119"/>
      <c r="J42" s="119"/>
      <c r="K42" s="119"/>
      <c r="L42" s="119"/>
      <c r="M42" s="261"/>
      <c r="N42" s="103" t="s">
        <v>1830</v>
      </c>
      <c r="O42" s="103" t="s">
        <v>1831</v>
      </c>
      <c r="P42" s="265"/>
      <c r="Q42" s="263" t="b">
        <v>1</v>
      </c>
      <c r="R42" s="261"/>
      <c r="S42" s="263" t="b">
        <v>1</v>
      </c>
      <c r="T42" s="263" t="b">
        <v>1</v>
      </c>
      <c r="U42" s="263" t="b">
        <v>1</v>
      </c>
    </row>
    <row r="43" spans="1:21" x14ac:dyDescent="0.2">
      <c r="A43" s="483" t="s">
        <v>302</v>
      </c>
      <c r="B43" s="480">
        <v>21918</v>
      </c>
      <c r="C43" s="484">
        <v>30000</v>
      </c>
      <c r="D43" s="485">
        <v>27334</v>
      </c>
      <c r="E43" s="119"/>
      <c r="F43" s="126" t="s">
        <v>434</v>
      </c>
      <c r="G43" s="126">
        <v>2</v>
      </c>
      <c r="H43" s="119"/>
      <c r="I43" s="119"/>
      <c r="J43" s="119"/>
      <c r="K43" s="119"/>
      <c r="L43" s="119"/>
      <c r="M43" s="261"/>
      <c r="N43" s="103" t="s">
        <v>907</v>
      </c>
      <c r="O43" s="103" t="s">
        <v>595</v>
      </c>
      <c r="P43" s="265"/>
      <c r="Q43" s="263" t="b">
        <v>0</v>
      </c>
      <c r="R43" s="261"/>
      <c r="S43" s="261" t="b">
        <v>0</v>
      </c>
      <c r="T43" s="263" t="b">
        <v>0</v>
      </c>
      <c r="U43" s="263" t="b">
        <v>0</v>
      </c>
    </row>
    <row r="44" spans="1:21" x14ac:dyDescent="0.2">
      <c r="A44" s="483" t="s">
        <v>47</v>
      </c>
      <c r="B44" s="480">
        <v>19022</v>
      </c>
      <c r="C44" s="484">
        <v>30000</v>
      </c>
      <c r="D44" s="485">
        <v>21988</v>
      </c>
      <c r="E44" s="119"/>
      <c r="F44" s="126" t="s">
        <v>436</v>
      </c>
      <c r="G44" s="126">
        <v>4</v>
      </c>
      <c r="H44" s="119"/>
      <c r="I44" s="119"/>
      <c r="J44" s="119"/>
      <c r="K44" s="119"/>
      <c r="L44" s="119"/>
      <c r="M44" s="261"/>
      <c r="N44" s="103" t="s">
        <v>190</v>
      </c>
      <c r="O44" s="103" t="s">
        <v>462</v>
      </c>
      <c r="P44" s="265"/>
      <c r="Q44" s="263" t="b">
        <v>0</v>
      </c>
      <c r="R44" s="261"/>
      <c r="S44" s="261" t="b">
        <v>0</v>
      </c>
      <c r="T44" s="263" t="b">
        <v>0</v>
      </c>
      <c r="U44" s="263" t="b">
        <v>0</v>
      </c>
    </row>
    <row r="45" spans="1:21" x14ac:dyDescent="0.2">
      <c r="A45" s="483" t="s">
        <v>585</v>
      </c>
      <c r="B45" s="480">
        <v>5000</v>
      </c>
      <c r="C45" s="484">
        <v>8000</v>
      </c>
      <c r="D45" s="485"/>
      <c r="E45" s="119"/>
      <c r="F45" s="126" t="s">
        <v>437</v>
      </c>
      <c r="G45" s="126">
        <v>2</v>
      </c>
      <c r="H45" s="119"/>
      <c r="I45" s="119"/>
      <c r="J45" s="119"/>
      <c r="K45" s="119"/>
      <c r="L45" s="119"/>
      <c r="M45" s="261"/>
      <c r="N45" s="103" t="s">
        <v>494</v>
      </c>
      <c r="O45" s="103" t="s">
        <v>495</v>
      </c>
      <c r="P45" s="265"/>
      <c r="Q45" s="263" t="b">
        <v>1</v>
      </c>
      <c r="R45" s="261"/>
      <c r="S45" s="263" t="b">
        <v>0</v>
      </c>
      <c r="T45" s="263" t="b">
        <v>1</v>
      </c>
      <c r="U45" s="263" t="b">
        <v>1</v>
      </c>
    </row>
    <row r="46" spans="1:21" x14ac:dyDescent="0.2">
      <c r="A46" s="483" t="s">
        <v>585</v>
      </c>
      <c r="B46" s="480">
        <v>9556</v>
      </c>
      <c r="C46" s="484">
        <v>12000</v>
      </c>
      <c r="D46" s="485"/>
      <c r="E46" s="119"/>
      <c r="F46" s="126" t="s">
        <v>438</v>
      </c>
      <c r="G46" s="126">
        <v>2</v>
      </c>
      <c r="H46" s="119"/>
      <c r="I46" s="119"/>
      <c r="J46" s="119"/>
      <c r="K46" s="119"/>
      <c r="L46" s="119"/>
      <c r="M46" s="261"/>
      <c r="N46" s="103" t="s">
        <v>582</v>
      </c>
      <c r="O46" s="103" t="s">
        <v>900</v>
      </c>
      <c r="P46" s="265"/>
      <c r="Q46" s="263" t="b">
        <v>1</v>
      </c>
      <c r="R46" s="261"/>
      <c r="S46" s="263" t="b">
        <v>1</v>
      </c>
      <c r="T46" s="263" t="b">
        <v>1</v>
      </c>
      <c r="U46" s="263" t="b">
        <v>1</v>
      </c>
    </row>
    <row r="47" spans="1:21" x14ac:dyDescent="0.2">
      <c r="A47" s="483" t="s">
        <v>52</v>
      </c>
      <c r="B47" s="484" t="s">
        <v>92</v>
      </c>
      <c r="C47" s="484">
        <v>50000</v>
      </c>
      <c r="D47" s="485">
        <v>32726.5</v>
      </c>
      <c r="E47" s="119"/>
      <c r="F47" s="126" t="s">
        <v>440</v>
      </c>
      <c r="G47" s="126">
        <v>4</v>
      </c>
      <c r="H47" s="119">
        <f>SUM(G42, G41, G43, G45, G44, G46, G47)</f>
        <v>24</v>
      </c>
      <c r="I47" s="119"/>
      <c r="J47" s="119"/>
      <c r="K47" s="119"/>
      <c r="L47" s="119"/>
      <c r="M47" s="261"/>
      <c r="N47" s="103" t="s">
        <v>1832</v>
      </c>
      <c r="O47" s="103" t="s">
        <v>613</v>
      </c>
      <c r="P47" s="265"/>
      <c r="Q47" s="263" t="b">
        <v>1</v>
      </c>
      <c r="R47" s="261"/>
      <c r="S47" s="263" t="b">
        <v>1</v>
      </c>
      <c r="T47" s="263" t="b">
        <v>1</v>
      </c>
      <c r="U47" s="263" t="b">
        <v>1</v>
      </c>
    </row>
    <row r="48" spans="1:21" x14ac:dyDescent="0.2">
      <c r="A48" s="483" t="s">
        <v>153</v>
      </c>
      <c r="B48" s="484">
        <f t="shared" ref="B48:D48" si="3">SUM(B41:B47)</f>
        <v>114545</v>
      </c>
      <c r="C48" s="484">
        <f t="shared" si="3"/>
        <v>210000</v>
      </c>
      <c r="D48" s="484">
        <f t="shared" si="3"/>
        <v>157696.5</v>
      </c>
      <c r="E48" s="119"/>
      <c r="F48" s="126"/>
      <c r="G48" s="126"/>
      <c r="H48" s="119"/>
      <c r="I48" s="119"/>
      <c r="J48" s="119"/>
      <c r="K48" s="119"/>
      <c r="L48" s="119"/>
      <c r="M48" s="261"/>
      <c r="N48" s="103" t="s">
        <v>1833</v>
      </c>
      <c r="O48" s="103" t="s">
        <v>1834</v>
      </c>
      <c r="P48" s="265"/>
      <c r="Q48" s="263" t="b">
        <v>1</v>
      </c>
      <c r="R48" s="261"/>
      <c r="S48" s="263" t="b">
        <v>1</v>
      </c>
      <c r="T48" s="263" t="b">
        <v>1</v>
      </c>
      <c r="U48" s="263" t="b">
        <v>1</v>
      </c>
    </row>
    <row r="49" spans="1:21" x14ac:dyDescent="0.2">
      <c r="A49" s="447"/>
      <c r="B49" s="119"/>
      <c r="C49" s="119"/>
      <c r="D49" s="486"/>
      <c r="E49" s="119"/>
      <c r="F49" s="119"/>
      <c r="G49" s="119"/>
      <c r="H49" s="119"/>
      <c r="I49" s="119"/>
      <c r="J49" s="119"/>
      <c r="K49" s="119"/>
      <c r="L49" s="119"/>
      <c r="M49" s="261"/>
      <c r="N49" s="103" t="s">
        <v>194</v>
      </c>
      <c r="O49" s="207"/>
      <c r="P49" s="267" t="s">
        <v>173</v>
      </c>
      <c r="Q49" s="263" t="b">
        <v>1</v>
      </c>
      <c r="R49" s="263"/>
      <c r="S49" s="263" t="b">
        <v>1</v>
      </c>
      <c r="T49" s="263" t="b">
        <v>1</v>
      </c>
      <c r="U49" s="263" t="b">
        <v>1</v>
      </c>
    </row>
    <row r="50" spans="1:21" x14ac:dyDescent="0.2">
      <c r="A50" s="470"/>
      <c r="B50" s="610" t="s">
        <v>1801</v>
      </c>
      <c r="C50" s="533"/>
      <c r="D50" s="533"/>
      <c r="E50" s="533"/>
      <c r="F50" s="533"/>
      <c r="G50" s="533"/>
      <c r="H50" s="533"/>
      <c r="I50" s="119"/>
      <c r="J50" s="119"/>
      <c r="K50" s="119"/>
      <c r="L50" s="119"/>
      <c r="M50" s="261"/>
      <c r="N50" s="103" t="s">
        <v>1835</v>
      </c>
      <c r="O50" s="207"/>
      <c r="P50" s="267" t="s">
        <v>1836</v>
      </c>
      <c r="Q50" s="263" t="b">
        <v>1</v>
      </c>
      <c r="R50" s="261"/>
      <c r="S50" s="263" t="b">
        <v>1</v>
      </c>
      <c r="T50" s="263" t="b">
        <v>1</v>
      </c>
      <c r="U50" s="263" t="b">
        <v>1</v>
      </c>
    </row>
    <row r="51" spans="1:21" x14ac:dyDescent="0.2">
      <c r="A51" s="444"/>
      <c r="B51" s="271" t="s">
        <v>111</v>
      </c>
      <c r="C51" s="271" t="s">
        <v>205</v>
      </c>
      <c r="D51" s="271" t="s">
        <v>128</v>
      </c>
      <c r="E51" s="271" t="s">
        <v>1802</v>
      </c>
      <c r="F51" s="271" t="s">
        <v>207</v>
      </c>
      <c r="G51" s="271" t="s">
        <v>134</v>
      </c>
      <c r="H51" s="171"/>
      <c r="I51" s="119"/>
      <c r="J51" s="119"/>
      <c r="K51" s="119"/>
      <c r="L51" s="119"/>
      <c r="M51" s="169"/>
      <c r="N51" s="119"/>
      <c r="O51" s="119"/>
      <c r="P51" s="123"/>
      <c r="Q51" s="119"/>
      <c r="R51" s="169"/>
      <c r="S51" s="169"/>
      <c r="T51" s="261" t="b">
        <v>0</v>
      </c>
      <c r="U51" s="263" t="b">
        <v>1</v>
      </c>
    </row>
    <row r="52" spans="1:21" x14ac:dyDescent="0.2">
      <c r="A52" s="471"/>
      <c r="B52" s="93" t="s">
        <v>128</v>
      </c>
      <c r="C52" s="126" t="b">
        <v>0</v>
      </c>
      <c r="D52" s="126" t="b">
        <v>1</v>
      </c>
      <c r="E52" s="126" t="b">
        <v>0</v>
      </c>
      <c r="F52" s="119" t="b">
        <v>0</v>
      </c>
      <c r="G52" s="119" t="b">
        <v>0</v>
      </c>
      <c r="H52" s="119" t="b">
        <v>0</v>
      </c>
      <c r="I52" s="119"/>
      <c r="J52" s="119"/>
      <c r="K52" s="119"/>
      <c r="L52" s="487"/>
      <c r="M52" s="488" t="s">
        <v>1837</v>
      </c>
      <c r="N52" s="487"/>
      <c r="O52" s="119"/>
      <c r="P52" s="123"/>
      <c r="Q52" s="119"/>
      <c r="R52" s="169"/>
      <c r="S52" s="169"/>
      <c r="T52" s="169"/>
      <c r="U52" s="169"/>
    </row>
    <row r="53" spans="1:21" x14ac:dyDescent="0.2">
      <c r="A53" s="448"/>
      <c r="B53" s="126" t="s">
        <v>1038</v>
      </c>
      <c r="C53" s="126" t="b">
        <v>0</v>
      </c>
      <c r="D53" s="126" t="b">
        <v>1</v>
      </c>
      <c r="E53" s="119" t="b">
        <v>0</v>
      </c>
      <c r="F53" s="119" t="b">
        <v>0</v>
      </c>
      <c r="G53" s="119" t="b">
        <v>0</v>
      </c>
      <c r="H53" s="119" t="b">
        <v>0</v>
      </c>
      <c r="I53" s="119"/>
      <c r="J53" s="119"/>
      <c r="K53" s="119"/>
      <c r="L53" s="489" t="s">
        <v>96</v>
      </c>
      <c r="M53" s="490" t="s">
        <v>1838</v>
      </c>
      <c r="N53" s="489" t="s">
        <v>1839</v>
      </c>
      <c r="O53" s="119"/>
      <c r="P53" s="123"/>
      <c r="Q53" s="119"/>
      <c r="R53" s="169"/>
      <c r="S53" s="169"/>
      <c r="T53" s="169"/>
      <c r="U53" s="169"/>
    </row>
    <row r="54" spans="1:21" x14ac:dyDescent="0.2">
      <c r="A54" s="448"/>
      <c r="B54" s="126" t="s">
        <v>302</v>
      </c>
      <c r="C54" s="126" t="b">
        <v>0</v>
      </c>
      <c r="D54" s="126" t="b">
        <v>1</v>
      </c>
      <c r="E54" s="126" t="b">
        <v>0</v>
      </c>
      <c r="F54" s="119" t="b">
        <v>0</v>
      </c>
      <c r="G54" s="119" t="b">
        <v>0</v>
      </c>
      <c r="H54" s="119" t="b">
        <v>0</v>
      </c>
      <c r="I54" s="119"/>
      <c r="J54" s="119"/>
      <c r="K54" s="119"/>
      <c r="L54" s="126" t="s">
        <v>138</v>
      </c>
      <c r="M54" s="491">
        <v>0.3125</v>
      </c>
      <c r="N54" s="492">
        <v>0.91666666666666663</v>
      </c>
      <c r="O54" s="119"/>
      <c r="P54" s="123"/>
      <c r="Q54" s="119"/>
      <c r="R54" s="169"/>
      <c r="S54" s="169"/>
      <c r="T54" s="169"/>
      <c r="U54" s="169"/>
    </row>
    <row r="55" spans="1:21" x14ac:dyDescent="0.2">
      <c r="A55" s="448"/>
      <c r="B55" s="126" t="s">
        <v>47</v>
      </c>
      <c r="C55" s="126" t="b">
        <v>0</v>
      </c>
      <c r="D55" s="126" t="b">
        <v>1</v>
      </c>
      <c r="E55" s="119" t="b">
        <v>0</v>
      </c>
      <c r="F55" s="119" t="b">
        <v>0</v>
      </c>
      <c r="G55" s="119" t="b">
        <v>0</v>
      </c>
      <c r="H55" s="119" t="b">
        <v>0</v>
      </c>
      <c r="I55" s="119"/>
      <c r="J55" s="119"/>
      <c r="K55" s="119"/>
      <c r="L55" s="126" t="s">
        <v>1709</v>
      </c>
      <c r="M55" s="491">
        <v>0.3125</v>
      </c>
      <c r="N55" s="492">
        <v>0.91666666666666663</v>
      </c>
      <c r="O55" s="119"/>
      <c r="P55" s="123"/>
      <c r="Q55" s="119"/>
      <c r="R55" s="169"/>
      <c r="S55" s="169"/>
      <c r="T55" s="169"/>
      <c r="U55" s="169"/>
    </row>
    <row r="56" spans="1:21" x14ac:dyDescent="0.2">
      <c r="A56" s="448"/>
      <c r="B56" s="126" t="s">
        <v>585</v>
      </c>
      <c r="C56" s="126" t="b">
        <v>0</v>
      </c>
      <c r="D56" s="126" t="b">
        <v>1</v>
      </c>
      <c r="E56" s="119" t="b">
        <v>0</v>
      </c>
      <c r="F56" s="119" t="b">
        <v>0</v>
      </c>
      <c r="G56" s="119" t="b">
        <v>0</v>
      </c>
      <c r="H56" s="119" t="b">
        <v>0</v>
      </c>
      <c r="I56" s="119"/>
      <c r="J56" s="119"/>
      <c r="K56" s="119"/>
      <c r="L56" s="126" t="s">
        <v>464</v>
      </c>
      <c r="M56" s="491">
        <v>0.3125</v>
      </c>
      <c r="N56" s="492">
        <v>0.91666666666666663</v>
      </c>
      <c r="O56" s="119"/>
      <c r="P56" s="123"/>
      <c r="Q56" s="119"/>
      <c r="R56" s="169"/>
      <c r="S56" s="169"/>
      <c r="T56" s="169"/>
      <c r="U56" s="169"/>
    </row>
    <row r="57" spans="1:21" x14ac:dyDescent="0.2">
      <c r="A57" s="448"/>
      <c r="B57" s="126" t="s">
        <v>585</v>
      </c>
      <c r="C57" s="126" t="b">
        <v>0</v>
      </c>
      <c r="D57" s="126" t="b">
        <v>1</v>
      </c>
      <c r="E57" s="119" t="b">
        <v>0</v>
      </c>
      <c r="F57" s="119" t="b">
        <v>0</v>
      </c>
      <c r="G57" s="119" t="b">
        <v>0</v>
      </c>
      <c r="H57" s="119" t="b">
        <v>0</v>
      </c>
      <c r="I57" s="119"/>
      <c r="J57" s="119"/>
      <c r="K57" s="119"/>
      <c r="L57" s="126" t="s">
        <v>1710</v>
      </c>
      <c r="M57" s="491">
        <v>0.3125</v>
      </c>
      <c r="N57" s="492">
        <v>0.91666666666666663</v>
      </c>
      <c r="O57" s="119"/>
      <c r="P57" s="123"/>
      <c r="Q57" s="119"/>
      <c r="R57" s="169"/>
      <c r="S57" s="169"/>
      <c r="T57" s="169"/>
      <c r="U57" s="169"/>
    </row>
    <row r="58" spans="1:21" x14ac:dyDescent="0.2">
      <c r="A58" s="447"/>
      <c r="B58" s="126" t="s">
        <v>52</v>
      </c>
      <c r="C58" s="126" t="b">
        <v>0</v>
      </c>
      <c r="D58" s="126" t="b">
        <v>1</v>
      </c>
      <c r="E58" s="126" t="b">
        <v>0</v>
      </c>
      <c r="F58" s="126" t="b">
        <v>0</v>
      </c>
      <c r="G58" s="126" t="b">
        <v>0</v>
      </c>
      <c r="H58" s="126" t="b">
        <v>0</v>
      </c>
      <c r="I58" s="119"/>
      <c r="J58" s="119"/>
      <c r="K58" s="119"/>
      <c r="L58" s="126" t="s">
        <v>1711</v>
      </c>
      <c r="M58" s="491">
        <v>0.41666666666666669</v>
      </c>
      <c r="N58" s="492">
        <v>0.75</v>
      </c>
      <c r="O58" s="119"/>
      <c r="P58" s="123"/>
      <c r="Q58" s="119"/>
      <c r="R58" s="169"/>
      <c r="S58" s="169"/>
      <c r="T58" s="169"/>
      <c r="U58" s="169"/>
    </row>
    <row r="59" spans="1:21" x14ac:dyDescent="0.2">
      <c r="A59" s="447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69"/>
      <c r="N59" s="119"/>
      <c r="O59" s="119"/>
      <c r="P59" s="123"/>
      <c r="Q59" s="119"/>
      <c r="R59" s="169"/>
      <c r="S59" s="169"/>
      <c r="T59" s="169"/>
      <c r="U59" s="169"/>
    </row>
    <row r="60" spans="1:21" x14ac:dyDescent="0.2">
      <c r="A60" s="447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69"/>
      <c r="N60" s="119"/>
      <c r="O60" s="119"/>
      <c r="P60" s="123"/>
      <c r="Q60" s="119"/>
      <c r="R60" s="169"/>
      <c r="S60" s="169"/>
      <c r="T60" s="169"/>
      <c r="U60" s="169"/>
    </row>
    <row r="61" spans="1:21" x14ac:dyDescent="0.2">
      <c r="A61" s="447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69"/>
      <c r="N61" s="119"/>
      <c r="O61" s="119"/>
      <c r="P61" s="123"/>
      <c r="Q61" s="119"/>
      <c r="R61" s="169"/>
      <c r="S61" s="169"/>
      <c r="T61" s="169"/>
      <c r="U61" s="169"/>
    </row>
    <row r="62" spans="1:21" x14ac:dyDescent="0.2">
      <c r="A62" s="472"/>
      <c r="B62" s="473" t="s">
        <v>1804</v>
      </c>
      <c r="C62" s="473" t="s">
        <v>1805</v>
      </c>
      <c r="D62" s="473" t="s">
        <v>1806</v>
      </c>
      <c r="E62" s="473" t="s">
        <v>1807</v>
      </c>
      <c r="F62" s="474"/>
      <c r="G62" s="474"/>
      <c r="H62" s="474"/>
      <c r="I62" s="119"/>
      <c r="J62" s="119"/>
      <c r="K62" s="568" t="s">
        <v>448</v>
      </c>
      <c r="L62" s="537"/>
      <c r="M62" s="537"/>
      <c r="N62" s="537"/>
      <c r="O62" s="537"/>
      <c r="P62" s="537"/>
      <c r="Q62" s="537"/>
      <c r="R62" s="531"/>
      <c r="S62" s="169"/>
      <c r="T62" s="169"/>
      <c r="U62" s="169"/>
    </row>
    <row r="63" spans="1:21" x14ac:dyDescent="0.2">
      <c r="A63" s="448"/>
      <c r="B63" s="126" t="s">
        <v>649</v>
      </c>
      <c r="C63" s="126">
        <v>4</v>
      </c>
      <c r="D63" s="126">
        <v>1</v>
      </c>
      <c r="E63" s="126">
        <v>1</v>
      </c>
      <c r="F63" s="119"/>
      <c r="G63" s="119"/>
      <c r="H63" s="119"/>
      <c r="I63" s="119"/>
      <c r="J63" s="119"/>
      <c r="K63" s="207"/>
      <c r="L63" s="207"/>
      <c r="M63" s="207"/>
      <c r="N63" s="207"/>
      <c r="O63" s="207"/>
      <c r="P63" s="207"/>
      <c r="Q63" s="207"/>
      <c r="R63" s="207"/>
      <c r="S63" s="169"/>
      <c r="T63" s="169"/>
      <c r="U63" s="169"/>
    </row>
    <row r="64" spans="1:21" x14ac:dyDescent="0.2">
      <c r="A64" s="448"/>
      <c r="B64" s="126" t="s">
        <v>142</v>
      </c>
      <c r="C64" s="126">
        <v>8</v>
      </c>
      <c r="D64" s="126">
        <v>1</v>
      </c>
      <c r="E64" s="126">
        <v>1</v>
      </c>
      <c r="F64" s="119"/>
      <c r="G64" s="119"/>
      <c r="H64" s="119"/>
      <c r="I64" s="119"/>
      <c r="J64" s="119"/>
      <c r="K64" s="247" t="s">
        <v>451</v>
      </c>
      <c r="L64" s="247" t="s">
        <v>452</v>
      </c>
      <c r="M64" s="247" t="s">
        <v>453</v>
      </c>
      <c r="N64" s="476" t="s">
        <v>776</v>
      </c>
      <c r="O64" s="611" t="s">
        <v>456</v>
      </c>
      <c r="P64" s="537"/>
      <c r="Q64" s="537"/>
      <c r="R64" s="531"/>
      <c r="S64" s="169"/>
      <c r="T64" s="169"/>
      <c r="U64" s="169"/>
    </row>
    <row r="65" spans="1:21" x14ac:dyDescent="0.2">
      <c r="A65" s="448"/>
      <c r="B65" s="126" t="s">
        <v>585</v>
      </c>
      <c r="C65" s="126">
        <v>3</v>
      </c>
      <c r="D65" s="126"/>
      <c r="E65" s="126"/>
      <c r="F65" s="119"/>
      <c r="G65" s="119"/>
      <c r="H65" s="119"/>
      <c r="I65" s="119"/>
      <c r="J65" s="119"/>
      <c r="L65" s="207"/>
      <c r="M65" s="207"/>
      <c r="N65" s="263" t="b">
        <v>0</v>
      </c>
      <c r="O65" s="259" t="s">
        <v>156</v>
      </c>
      <c r="P65" s="259" t="s">
        <v>126</v>
      </c>
      <c r="Q65" s="259" t="s">
        <v>132</v>
      </c>
      <c r="R65" s="259" t="s">
        <v>136</v>
      </c>
      <c r="S65" s="169"/>
      <c r="T65" s="169"/>
      <c r="U65" s="169"/>
    </row>
    <row r="66" spans="1:21" x14ac:dyDescent="0.2">
      <c r="A66" s="448"/>
      <c r="B66" s="126" t="s">
        <v>585</v>
      </c>
      <c r="C66" s="126">
        <v>3</v>
      </c>
      <c r="D66" s="126"/>
      <c r="E66" s="126"/>
      <c r="F66" s="119"/>
      <c r="G66" s="119"/>
      <c r="H66" s="119"/>
      <c r="I66" s="119"/>
      <c r="J66" s="119"/>
      <c r="K66" s="103" t="s">
        <v>190</v>
      </c>
      <c r="L66" s="103" t="s">
        <v>462</v>
      </c>
      <c r="M66" s="265"/>
      <c r="N66" s="263" t="b">
        <v>0</v>
      </c>
      <c r="O66" s="263" t="b">
        <v>0</v>
      </c>
      <c r="P66" s="263" t="b">
        <v>1</v>
      </c>
      <c r="Q66" s="263" t="b">
        <v>1</v>
      </c>
      <c r="R66" s="263" t="b">
        <v>1</v>
      </c>
      <c r="S66" s="169"/>
      <c r="T66" s="169"/>
      <c r="U66" s="169"/>
    </row>
    <row r="67" spans="1:21" x14ac:dyDescent="0.2">
      <c r="A67" s="448"/>
      <c r="B67" s="126" t="s">
        <v>47</v>
      </c>
      <c r="C67" s="126">
        <v>5</v>
      </c>
      <c r="D67" s="126"/>
      <c r="E67" s="126"/>
      <c r="F67" s="119"/>
      <c r="G67" s="119"/>
      <c r="H67" s="119"/>
      <c r="I67" s="119"/>
      <c r="J67" s="119"/>
      <c r="K67" s="103" t="s">
        <v>172</v>
      </c>
      <c r="L67" s="22" t="s">
        <v>462</v>
      </c>
      <c r="M67" s="23"/>
      <c r="N67" s="263" t="b">
        <v>0</v>
      </c>
      <c r="O67" s="263" t="b">
        <v>1</v>
      </c>
      <c r="P67" s="263" t="b">
        <v>1</v>
      </c>
      <c r="Q67" s="263" t="b">
        <v>1</v>
      </c>
      <c r="R67" s="263" t="b">
        <v>1</v>
      </c>
      <c r="S67" s="169"/>
      <c r="T67" s="169"/>
      <c r="U67" s="169"/>
    </row>
    <row r="68" spans="1:21" x14ac:dyDescent="0.2">
      <c r="A68" s="448"/>
      <c r="B68" s="126" t="s">
        <v>302</v>
      </c>
      <c r="C68" s="126">
        <v>6</v>
      </c>
      <c r="D68" s="119"/>
      <c r="E68" s="119"/>
      <c r="F68" s="119"/>
      <c r="G68" s="119"/>
      <c r="H68" s="119"/>
      <c r="I68" s="119"/>
      <c r="J68" s="119"/>
      <c r="K68" s="22" t="s">
        <v>192</v>
      </c>
      <c r="L68" s="22" t="s">
        <v>462</v>
      </c>
      <c r="M68" s="23"/>
      <c r="N68" s="263" t="b">
        <v>0</v>
      </c>
      <c r="O68" s="261" t="b">
        <v>0</v>
      </c>
      <c r="P68" s="263" t="b">
        <v>1</v>
      </c>
      <c r="Q68" s="263" t="b">
        <v>1</v>
      </c>
      <c r="R68" s="263" t="b">
        <v>1</v>
      </c>
      <c r="S68" s="169"/>
      <c r="T68" s="169"/>
      <c r="U68" s="169"/>
    </row>
    <row r="69" spans="1:21" x14ac:dyDescent="0.2">
      <c r="A69" s="447"/>
      <c r="B69" s="126" t="s">
        <v>52</v>
      </c>
      <c r="C69" s="126">
        <v>8</v>
      </c>
      <c r="D69" s="119"/>
      <c r="E69" s="119"/>
      <c r="F69" s="119"/>
      <c r="G69" s="119"/>
      <c r="H69" s="119"/>
      <c r="I69" s="119"/>
      <c r="J69" s="119"/>
      <c r="K69" s="22" t="s">
        <v>308</v>
      </c>
      <c r="L69" s="22" t="s">
        <v>1810</v>
      </c>
      <c r="M69" s="23"/>
      <c r="N69" s="263" t="b">
        <v>0</v>
      </c>
      <c r="O69" s="261" t="b">
        <v>0</v>
      </c>
      <c r="P69" s="263" t="b">
        <v>1</v>
      </c>
      <c r="Q69" s="263" t="b">
        <v>1</v>
      </c>
      <c r="R69" s="263" t="b">
        <v>1</v>
      </c>
      <c r="S69" s="169"/>
      <c r="T69" s="169"/>
      <c r="U69" s="169"/>
    </row>
    <row r="70" spans="1:21" x14ac:dyDescent="0.2">
      <c r="A70" s="447"/>
      <c r="B70" s="119"/>
      <c r="C70" s="119">
        <f>SUM(C63:C69)</f>
        <v>37</v>
      </c>
      <c r="D70" s="119"/>
      <c r="E70" s="119"/>
      <c r="F70" s="119"/>
      <c r="G70" s="119"/>
      <c r="H70" s="119"/>
      <c r="I70" s="119"/>
      <c r="J70" s="119"/>
      <c r="K70" s="22" t="s">
        <v>275</v>
      </c>
      <c r="L70" s="22" t="s">
        <v>1811</v>
      </c>
      <c r="M70" s="23"/>
      <c r="N70" s="263" t="b">
        <v>0</v>
      </c>
      <c r="O70" s="261" t="b">
        <v>0</v>
      </c>
      <c r="P70" s="263" t="b">
        <v>1</v>
      </c>
      <c r="Q70" s="263" t="b">
        <v>1</v>
      </c>
      <c r="R70" s="263" t="b">
        <v>1</v>
      </c>
      <c r="S70" s="169"/>
      <c r="T70" s="169"/>
      <c r="U70" s="169"/>
    </row>
    <row r="71" spans="1:21" x14ac:dyDescent="0.2">
      <c r="A71" s="606" t="s">
        <v>128</v>
      </c>
      <c r="B71" s="533"/>
      <c r="C71" s="533"/>
      <c r="D71" s="533"/>
      <c r="E71" s="533"/>
      <c r="F71" s="533"/>
      <c r="G71" s="533"/>
      <c r="H71" s="533"/>
      <c r="I71" s="533"/>
      <c r="J71" s="119"/>
      <c r="K71" s="22" t="s">
        <v>498</v>
      </c>
      <c r="L71" s="22" t="s">
        <v>1812</v>
      </c>
      <c r="M71" s="23"/>
      <c r="N71" s="263" t="b">
        <v>0</v>
      </c>
      <c r="O71" s="261" t="b">
        <v>0</v>
      </c>
      <c r="P71" s="263" t="b">
        <v>0</v>
      </c>
      <c r="Q71" s="263" t="b">
        <v>1</v>
      </c>
      <c r="R71" s="263" t="b">
        <v>1</v>
      </c>
      <c r="S71" s="169"/>
      <c r="T71" s="169"/>
      <c r="U71" s="169"/>
    </row>
    <row r="72" spans="1:21" x14ac:dyDescent="0.2">
      <c r="A72" s="126">
        <v>11</v>
      </c>
      <c r="B72" s="126">
        <v>1</v>
      </c>
      <c r="C72" s="126">
        <v>2</v>
      </c>
      <c r="D72" s="126">
        <v>3</v>
      </c>
      <c r="E72" s="126">
        <v>4</v>
      </c>
      <c r="F72" s="126">
        <v>5</v>
      </c>
      <c r="G72" s="126">
        <v>6</v>
      </c>
      <c r="H72" s="126">
        <v>7</v>
      </c>
      <c r="I72" s="126">
        <v>8</v>
      </c>
      <c r="J72" s="119"/>
      <c r="K72" s="22" t="s">
        <v>699</v>
      </c>
      <c r="L72" s="22" t="s">
        <v>1813</v>
      </c>
      <c r="M72" s="23"/>
      <c r="N72" s="263" t="b">
        <v>0</v>
      </c>
      <c r="O72" s="261" t="b">
        <v>0</v>
      </c>
      <c r="P72" s="263" t="b">
        <v>1</v>
      </c>
      <c r="Q72" s="263" t="b">
        <v>1</v>
      </c>
      <c r="R72" s="263" t="b">
        <v>1</v>
      </c>
      <c r="S72" s="169"/>
      <c r="T72" s="169"/>
      <c r="U72" s="169"/>
    </row>
    <row r="73" spans="1:21" x14ac:dyDescent="0.2">
      <c r="A73" s="448" t="s">
        <v>1808</v>
      </c>
      <c r="B73" s="119"/>
      <c r="C73" s="119"/>
      <c r="D73" s="119"/>
      <c r="E73" s="119"/>
      <c r="F73" s="119"/>
      <c r="G73" s="119"/>
      <c r="H73" s="119"/>
      <c r="I73" s="119"/>
      <c r="J73" s="119"/>
      <c r="K73" s="22" t="s">
        <v>196</v>
      </c>
      <c r="L73" s="22" t="s">
        <v>1814</v>
      </c>
      <c r="M73" s="23"/>
      <c r="N73" s="263" t="b">
        <v>0</v>
      </c>
      <c r="O73" s="263" t="b">
        <v>1</v>
      </c>
      <c r="P73" s="263" t="b">
        <v>1</v>
      </c>
      <c r="Q73" s="263" t="b">
        <v>1</v>
      </c>
      <c r="R73" s="263" t="b">
        <v>1</v>
      </c>
      <c r="S73" s="169"/>
      <c r="T73" s="169"/>
      <c r="U73" s="169"/>
    </row>
    <row r="74" spans="1:21" x14ac:dyDescent="0.2">
      <c r="A74" s="447"/>
      <c r="B74" s="119"/>
      <c r="C74" s="119"/>
      <c r="D74" s="119"/>
      <c r="E74" s="119"/>
      <c r="F74" s="119"/>
      <c r="G74" s="119"/>
      <c r="H74" s="119"/>
      <c r="I74" s="119"/>
      <c r="J74" s="119"/>
      <c r="K74" s="22" t="s">
        <v>313</v>
      </c>
      <c r="L74" s="22" t="s">
        <v>1815</v>
      </c>
      <c r="M74" s="23"/>
      <c r="N74" s="263" t="b">
        <v>0</v>
      </c>
      <c r="O74" s="263" t="b">
        <v>1</v>
      </c>
      <c r="P74" s="263" t="b">
        <v>1</v>
      </c>
      <c r="Q74" s="263" t="b">
        <v>1</v>
      </c>
      <c r="R74" s="263" t="b">
        <v>1</v>
      </c>
      <c r="S74" s="169"/>
      <c r="T74" s="169"/>
      <c r="U74" s="169"/>
    </row>
    <row r="75" spans="1:21" x14ac:dyDescent="0.2">
      <c r="A75" s="447"/>
      <c r="B75" s="119"/>
      <c r="C75" s="119"/>
      <c r="D75" s="119"/>
      <c r="E75" s="119"/>
      <c r="F75" s="119"/>
      <c r="G75" s="119"/>
      <c r="H75" s="119"/>
      <c r="I75" s="119"/>
      <c r="J75" s="119"/>
      <c r="K75" s="103" t="s">
        <v>1602</v>
      </c>
      <c r="L75" s="103" t="s">
        <v>1816</v>
      </c>
      <c r="M75" s="265"/>
      <c r="N75" s="263" t="b">
        <v>0</v>
      </c>
      <c r="O75" s="261" t="b">
        <v>0</v>
      </c>
      <c r="P75" s="263" t="b">
        <v>1</v>
      </c>
      <c r="Q75" s="263" t="b">
        <v>1</v>
      </c>
      <c r="R75" s="263" t="b">
        <v>1</v>
      </c>
      <c r="S75" s="169"/>
      <c r="T75" s="169"/>
      <c r="U75" s="169"/>
    </row>
    <row r="76" spans="1:21" x14ac:dyDescent="0.2">
      <c r="A76" s="447"/>
      <c r="B76" s="119"/>
      <c r="C76" s="119"/>
      <c r="D76" s="119"/>
      <c r="E76" s="119"/>
      <c r="F76" s="119"/>
      <c r="G76" s="119"/>
      <c r="H76" s="119"/>
      <c r="I76" s="119"/>
      <c r="J76" s="119"/>
      <c r="K76" s="103" t="s">
        <v>1488</v>
      </c>
      <c r="L76" s="103" t="s">
        <v>1817</v>
      </c>
      <c r="M76" s="265"/>
      <c r="N76" s="263" t="b">
        <v>0</v>
      </c>
      <c r="O76" s="261" t="b">
        <v>0</v>
      </c>
      <c r="P76" s="263" t="b">
        <v>1</v>
      </c>
      <c r="Q76" s="263" t="b">
        <v>1</v>
      </c>
      <c r="R76" s="263" t="b">
        <v>1</v>
      </c>
      <c r="S76" s="169"/>
      <c r="T76" s="169"/>
      <c r="U76" s="169"/>
    </row>
    <row r="77" spans="1:21" x14ac:dyDescent="0.2">
      <c r="A77" s="447"/>
      <c r="B77" s="119"/>
      <c r="C77" s="119"/>
      <c r="D77" s="119"/>
      <c r="E77" s="119"/>
      <c r="F77" s="119"/>
      <c r="G77" s="119"/>
      <c r="H77" s="119"/>
      <c r="I77" s="119"/>
      <c r="J77" s="119"/>
      <c r="K77" s="103" t="s">
        <v>175</v>
      </c>
      <c r="L77" s="103" t="s">
        <v>1817</v>
      </c>
      <c r="M77" s="265"/>
      <c r="N77" s="263" t="b">
        <v>0</v>
      </c>
      <c r="O77" s="261" t="b">
        <v>0</v>
      </c>
      <c r="P77" s="263" t="b">
        <v>1</v>
      </c>
      <c r="Q77" s="263" t="b">
        <v>1</v>
      </c>
      <c r="R77" s="263" t="b">
        <v>1</v>
      </c>
      <c r="S77" s="169"/>
      <c r="T77" s="169"/>
      <c r="U77" s="169"/>
    </row>
    <row r="78" spans="1:21" x14ac:dyDescent="0.2">
      <c r="A78" s="567">
        <v>2024</v>
      </c>
      <c r="B78" s="537"/>
      <c r="C78" s="537"/>
      <c r="D78" s="537"/>
      <c r="E78" s="537"/>
      <c r="F78" s="537"/>
      <c r="G78" s="531"/>
      <c r="H78" s="119"/>
      <c r="I78" s="119"/>
      <c r="J78" s="119"/>
      <c r="K78" s="103" t="s">
        <v>933</v>
      </c>
      <c r="L78" s="103" t="s">
        <v>1817</v>
      </c>
      <c r="M78" s="265"/>
      <c r="N78" s="263" t="b">
        <v>0</v>
      </c>
      <c r="O78" s="261" t="b">
        <v>0</v>
      </c>
      <c r="P78" s="263" t="b">
        <v>1</v>
      </c>
      <c r="Q78" s="263" t="b">
        <v>1</v>
      </c>
      <c r="R78" s="263" t="b">
        <v>1</v>
      </c>
      <c r="S78" s="169"/>
      <c r="T78" s="169"/>
      <c r="U78" s="169"/>
    </row>
    <row r="79" spans="1:21" x14ac:dyDescent="0.2">
      <c r="A79" s="446" t="s">
        <v>457</v>
      </c>
      <c r="B79" s="446" t="s">
        <v>201</v>
      </c>
      <c r="C79" s="217" t="s">
        <v>126</v>
      </c>
      <c r="D79" s="217" t="s">
        <v>132</v>
      </c>
      <c r="E79" s="217" t="s">
        <v>136</v>
      </c>
      <c r="F79" s="217" t="s">
        <v>103</v>
      </c>
      <c r="G79" s="217" t="s">
        <v>153</v>
      </c>
      <c r="H79" s="119"/>
      <c r="I79" s="119"/>
      <c r="J79" s="119"/>
      <c r="K79" s="103" t="s">
        <v>461</v>
      </c>
      <c r="L79" s="103" t="s">
        <v>462</v>
      </c>
      <c r="M79" s="265"/>
      <c r="N79" s="263" t="b">
        <v>0</v>
      </c>
      <c r="O79" s="263" t="b">
        <v>0</v>
      </c>
      <c r="P79" s="261" t="b">
        <v>0</v>
      </c>
      <c r="Q79" s="263" t="b">
        <v>0</v>
      </c>
      <c r="R79" s="261" t="b">
        <v>0</v>
      </c>
      <c r="S79" s="169"/>
      <c r="T79" s="169"/>
      <c r="U79" s="169"/>
    </row>
    <row r="80" spans="1:21" x14ac:dyDescent="0.2">
      <c r="A80" s="207" t="s">
        <v>1764</v>
      </c>
      <c r="B80" s="207" t="s">
        <v>467</v>
      </c>
      <c r="C80" s="193">
        <v>2010</v>
      </c>
      <c r="D80" s="193">
        <v>5663.8</v>
      </c>
      <c r="E80" s="193">
        <v>6611</v>
      </c>
      <c r="F80" s="396"/>
      <c r="G80" s="396">
        <f t="shared" ref="G80:G88" si="4">SUM(C80:F80)</f>
        <v>14284.8</v>
      </c>
      <c r="H80" s="119"/>
      <c r="I80" s="119"/>
      <c r="J80" s="119"/>
      <c r="K80" s="103" t="s">
        <v>623</v>
      </c>
      <c r="L80" s="103" t="s">
        <v>624</v>
      </c>
      <c r="M80" s="265"/>
      <c r="N80" s="263" t="b">
        <v>0</v>
      </c>
      <c r="O80" s="261" t="b">
        <v>0</v>
      </c>
      <c r="P80" s="261" t="b">
        <v>0</v>
      </c>
      <c r="Q80" s="263" t="b">
        <v>0</v>
      </c>
      <c r="R80" s="261" t="b">
        <v>0</v>
      </c>
      <c r="S80" s="169"/>
      <c r="T80" s="169"/>
      <c r="U80" s="169"/>
    </row>
    <row r="81" spans="1:21" x14ac:dyDescent="0.2">
      <c r="A81" s="103" t="s">
        <v>128</v>
      </c>
      <c r="B81" s="207" t="s">
        <v>467</v>
      </c>
      <c r="C81" s="193">
        <v>9571</v>
      </c>
      <c r="D81" s="193">
        <v>18789</v>
      </c>
      <c r="E81" s="193">
        <v>16405.5</v>
      </c>
      <c r="F81" s="396"/>
      <c r="G81" s="396">
        <f t="shared" si="4"/>
        <v>44765.5</v>
      </c>
      <c r="H81" s="119"/>
      <c r="I81" s="119"/>
      <c r="J81" s="119"/>
      <c r="K81" s="103" t="s">
        <v>792</v>
      </c>
      <c r="L81" s="103" t="s">
        <v>793</v>
      </c>
      <c r="M81" s="265"/>
      <c r="N81" s="263" t="b">
        <v>0</v>
      </c>
      <c r="O81" s="261" t="b">
        <v>0</v>
      </c>
      <c r="P81" s="263" t="b">
        <v>1</v>
      </c>
      <c r="Q81" s="263" t="b">
        <v>1</v>
      </c>
      <c r="R81" s="263" t="b">
        <v>1</v>
      </c>
      <c r="S81" s="169"/>
      <c r="T81" s="169"/>
      <c r="U81" s="169"/>
    </row>
    <row r="82" spans="1:21" x14ac:dyDescent="0.2">
      <c r="A82" s="207" t="s">
        <v>54</v>
      </c>
      <c r="B82" s="207" t="s">
        <v>467</v>
      </c>
      <c r="C82" s="193">
        <v>4319</v>
      </c>
      <c r="D82" s="193">
        <v>8931</v>
      </c>
      <c r="E82" s="193">
        <v>8668.5</v>
      </c>
      <c r="F82" s="396"/>
      <c r="G82" s="396">
        <f t="shared" si="4"/>
        <v>21918.5</v>
      </c>
      <c r="H82" s="119"/>
      <c r="I82" s="119"/>
      <c r="J82" s="119"/>
      <c r="K82" s="103" t="s">
        <v>1818</v>
      </c>
      <c r="L82" s="103" t="s">
        <v>1466</v>
      </c>
      <c r="M82" s="265"/>
      <c r="N82" s="263" t="b">
        <v>0</v>
      </c>
      <c r="O82" s="261"/>
      <c r="P82" s="263" t="b">
        <v>1</v>
      </c>
      <c r="Q82" s="263" t="b">
        <v>1</v>
      </c>
      <c r="R82" s="263" t="b">
        <v>1</v>
      </c>
      <c r="S82" s="169"/>
      <c r="T82" s="169"/>
      <c r="U82" s="169"/>
    </row>
    <row r="83" spans="1:21" x14ac:dyDescent="0.2">
      <c r="A83" s="103" t="s">
        <v>130</v>
      </c>
      <c r="B83" s="103" t="s">
        <v>1768</v>
      </c>
      <c r="C83" s="193">
        <v>3198</v>
      </c>
      <c r="D83" s="193">
        <v>6361</v>
      </c>
      <c r="E83" s="193">
        <v>7056</v>
      </c>
      <c r="F83" s="193">
        <v>2407</v>
      </c>
      <c r="G83" s="396">
        <f t="shared" si="4"/>
        <v>19022</v>
      </c>
      <c r="H83" s="119"/>
      <c r="I83" s="119"/>
      <c r="J83" s="119"/>
      <c r="K83" s="103" t="s">
        <v>1819</v>
      </c>
      <c r="L83" s="207"/>
      <c r="M83" s="265"/>
      <c r="N83" s="263" t="b">
        <v>0</v>
      </c>
      <c r="O83" s="261"/>
      <c r="P83" s="263" t="b">
        <v>1</v>
      </c>
      <c r="Q83" s="263" t="b">
        <v>1</v>
      </c>
      <c r="R83" s="263" t="b">
        <v>1</v>
      </c>
      <c r="S83" s="169"/>
      <c r="T83" s="169"/>
      <c r="U83" s="169"/>
    </row>
    <row r="84" spans="1:21" x14ac:dyDescent="0.2">
      <c r="A84" s="446" t="s">
        <v>40</v>
      </c>
      <c r="B84" s="449"/>
      <c r="C84" s="450"/>
      <c r="D84" s="450"/>
      <c r="E84" s="450"/>
      <c r="F84" s="450"/>
      <c r="G84" s="450">
        <f t="shared" si="4"/>
        <v>0</v>
      </c>
      <c r="H84" s="119"/>
      <c r="I84" s="119"/>
      <c r="J84" s="119"/>
      <c r="K84" s="103" t="s">
        <v>1820</v>
      </c>
      <c r="L84" s="103" t="s">
        <v>1821</v>
      </c>
      <c r="M84" s="265"/>
      <c r="N84" s="263" t="b">
        <v>0</v>
      </c>
      <c r="O84" s="261"/>
      <c r="P84" s="263" t="b">
        <v>1</v>
      </c>
      <c r="Q84" s="263" t="b">
        <v>1</v>
      </c>
      <c r="R84" s="263" t="b">
        <v>1</v>
      </c>
      <c r="S84" s="169"/>
      <c r="T84" s="169"/>
      <c r="U84" s="169"/>
    </row>
    <row r="85" spans="1:21" x14ac:dyDescent="0.2">
      <c r="A85" s="103" t="s">
        <v>1771</v>
      </c>
      <c r="B85" s="103" t="s">
        <v>1772</v>
      </c>
      <c r="C85" s="193">
        <v>1054</v>
      </c>
      <c r="D85" s="193">
        <v>2281</v>
      </c>
      <c r="E85" s="193">
        <v>1665.13</v>
      </c>
      <c r="F85" s="396"/>
      <c r="G85" s="396">
        <f t="shared" si="4"/>
        <v>5000.13</v>
      </c>
      <c r="H85" s="119"/>
      <c r="I85" s="119"/>
      <c r="J85" s="119"/>
      <c r="K85" s="103" t="s">
        <v>1822</v>
      </c>
      <c r="L85" s="103" t="s">
        <v>1823</v>
      </c>
      <c r="M85" s="265"/>
      <c r="N85" s="263" t="b">
        <v>0</v>
      </c>
      <c r="O85" s="261"/>
      <c r="P85" s="263" t="b">
        <v>1</v>
      </c>
      <c r="Q85" s="263" t="b">
        <v>1</v>
      </c>
      <c r="R85" s="263" t="b">
        <v>1</v>
      </c>
      <c r="S85" s="169"/>
      <c r="T85" s="169"/>
      <c r="U85" s="169"/>
    </row>
    <row r="86" spans="1:21" x14ac:dyDescent="0.2">
      <c r="A86" s="161">
        <v>142</v>
      </c>
      <c r="B86" s="103" t="s">
        <v>1774</v>
      </c>
      <c r="C86" s="193">
        <v>2082</v>
      </c>
      <c r="D86" s="193">
        <v>4298</v>
      </c>
      <c r="E86" s="193">
        <v>3176.5</v>
      </c>
      <c r="F86" s="396"/>
      <c r="G86" s="396">
        <f t="shared" si="4"/>
        <v>9556.5</v>
      </c>
      <c r="H86" s="119"/>
      <c r="I86" s="119"/>
      <c r="J86" s="119"/>
      <c r="K86" s="103" t="s">
        <v>1824</v>
      </c>
      <c r="L86" s="103" t="s">
        <v>1825</v>
      </c>
      <c r="M86" s="265"/>
      <c r="N86" s="263" t="b">
        <v>0</v>
      </c>
      <c r="O86" s="261"/>
      <c r="P86" s="263" t="b">
        <v>1</v>
      </c>
      <c r="Q86" s="263" t="b">
        <v>1</v>
      </c>
      <c r="R86" s="263" t="b">
        <v>1</v>
      </c>
      <c r="S86" s="169"/>
      <c r="T86" s="169"/>
      <c r="U86" s="169"/>
    </row>
    <row r="87" spans="1:21" x14ac:dyDescent="0.2">
      <c r="A87" s="207"/>
      <c r="B87" s="207"/>
      <c r="C87" s="396"/>
      <c r="D87" s="396"/>
      <c r="E87" s="396"/>
      <c r="F87" s="396"/>
      <c r="G87" s="396">
        <f t="shared" si="4"/>
        <v>0</v>
      </c>
      <c r="H87" s="119"/>
      <c r="I87" s="119"/>
      <c r="J87" s="119"/>
      <c r="K87" s="219" t="s">
        <v>816</v>
      </c>
      <c r="L87" s="219" t="s">
        <v>817</v>
      </c>
      <c r="M87" s="460"/>
      <c r="N87" s="263" t="b">
        <v>0</v>
      </c>
      <c r="O87" s="270"/>
      <c r="P87" s="263" t="b">
        <v>1</v>
      </c>
      <c r="Q87" s="263" t="b">
        <v>1</v>
      </c>
      <c r="R87" s="263" t="b">
        <v>1</v>
      </c>
      <c r="S87" s="169"/>
      <c r="T87" s="169"/>
      <c r="U87" s="169"/>
    </row>
    <row r="88" spans="1:21" x14ac:dyDescent="0.2">
      <c r="A88" s="207"/>
      <c r="B88" s="103" t="s">
        <v>153</v>
      </c>
      <c r="C88" s="396">
        <f t="shared" ref="C88:F88" si="5">SUM(C80:C86)</f>
        <v>22234</v>
      </c>
      <c r="D88" s="396">
        <f t="shared" si="5"/>
        <v>46323.8</v>
      </c>
      <c r="E88" s="396">
        <f t="shared" si="5"/>
        <v>43582.63</v>
      </c>
      <c r="F88" s="396">
        <f t="shared" si="5"/>
        <v>2407</v>
      </c>
      <c r="G88" s="396">
        <f t="shared" si="4"/>
        <v>114547.43</v>
      </c>
      <c r="H88" s="119"/>
      <c r="I88" s="119"/>
      <c r="J88" s="119"/>
      <c r="K88" s="219" t="s">
        <v>312</v>
      </c>
      <c r="L88" s="219" t="s">
        <v>1826</v>
      </c>
      <c r="M88" s="460"/>
      <c r="N88" s="263" t="b">
        <v>0</v>
      </c>
      <c r="O88" s="270"/>
      <c r="P88" s="263" t="b">
        <v>1</v>
      </c>
      <c r="Q88" s="263" t="b">
        <v>1</v>
      </c>
      <c r="R88" s="263" t="b">
        <v>1</v>
      </c>
      <c r="S88" s="169"/>
      <c r="T88" s="169"/>
      <c r="U88" s="169"/>
    </row>
    <row r="89" spans="1:21" x14ac:dyDescent="0.2">
      <c r="F89" s="453" t="s">
        <v>561</v>
      </c>
      <c r="G89" s="398">
        <f>G88*0.2</f>
        <v>22909.486000000001</v>
      </c>
      <c r="H89" s="119"/>
      <c r="I89" s="119"/>
      <c r="J89" s="119"/>
      <c r="K89" s="103" t="s">
        <v>276</v>
      </c>
      <c r="L89" s="103" t="s">
        <v>815</v>
      </c>
      <c r="M89" s="265"/>
      <c r="N89" s="263" t="b">
        <v>0</v>
      </c>
      <c r="O89" s="261"/>
      <c r="P89" s="263" t="b">
        <v>1</v>
      </c>
      <c r="Q89" s="263" t="b">
        <v>1</v>
      </c>
      <c r="R89" s="263" t="b">
        <v>1</v>
      </c>
      <c r="S89" s="169"/>
      <c r="T89" s="169"/>
      <c r="U89" s="169"/>
    </row>
    <row r="90" spans="1:21" x14ac:dyDescent="0.2">
      <c r="F90" s="454" t="s">
        <v>1779</v>
      </c>
      <c r="G90" s="398">
        <f>G88-G89</f>
        <v>91637.943999999989</v>
      </c>
      <c r="H90" s="119"/>
      <c r="I90" s="119"/>
      <c r="J90" s="119"/>
      <c r="K90" s="103" t="s">
        <v>670</v>
      </c>
      <c r="L90" s="103" t="s">
        <v>671</v>
      </c>
      <c r="M90" s="265"/>
      <c r="N90" s="263" t="b">
        <v>0</v>
      </c>
      <c r="O90" s="261"/>
      <c r="P90" s="263" t="b">
        <v>1</v>
      </c>
      <c r="Q90" s="263" t="b">
        <v>1</v>
      </c>
      <c r="R90" s="263" t="b">
        <v>1</v>
      </c>
      <c r="S90" s="169"/>
      <c r="T90" s="169"/>
      <c r="U90" s="169"/>
    </row>
    <row r="91" spans="1:21" x14ac:dyDescent="0.2">
      <c r="A91" s="447"/>
      <c r="B91" s="119"/>
      <c r="C91" s="119"/>
      <c r="D91" s="119"/>
      <c r="E91" s="119"/>
      <c r="F91" s="119"/>
      <c r="G91" s="119"/>
      <c r="H91" s="119"/>
      <c r="I91" s="119"/>
      <c r="J91" s="119"/>
      <c r="K91" s="103" t="s">
        <v>818</v>
      </c>
      <c r="L91" s="103" t="s">
        <v>819</v>
      </c>
      <c r="M91" s="265"/>
      <c r="N91" s="263" t="b">
        <v>0</v>
      </c>
      <c r="O91" s="261"/>
      <c r="P91" s="263" t="b">
        <v>1</v>
      </c>
      <c r="Q91" s="263" t="b">
        <v>1</v>
      </c>
      <c r="R91" s="263" t="b">
        <v>1</v>
      </c>
      <c r="S91" s="169"/>
      <c r="T91" s="169"/>
      <c r="U91" s="169"/>
    </row>
    <row r="92" spans="1:21" x14ac:dyDescent="0.2">
      <c r="A92" s="447"/>
      <c r="B92" s="119"/>
      <c r="C92" s="119"/>
      <c r="D92" s="119"/>
      <c r="E92" s="119"/>
      <c r="F92" s="119"/>
      <c r="G92" s="119"/>
      <c r="H92" s="119"/>
      <c r="I92" s="119"/>
      <c r="J92" s="119"/>
      <c r="K92" s="103" t="s">
        <v>820</v>
      </c>
      <c r="L92" s="103" t="s">
        <v>1827</v>
      </c>
      <c r="M92" s="265"/>
      <c r="N92" s="263" t="b">
        <v>0</v>
      </c>
      <c r="O92" s="261"/>
      <c r="P92" s="263" t="b">
        <v>1</v>
      </c>
      <c r="Q92" s="263" t="b">
        <v>1</v>
      </c>
      <c r="R92" s="263" t="b">
        <v>1</v>
      </c>
      <c r="S92" s="169"/>
      <c r="T92" s="169"/>
      <c r="U92" s="169"/>
    </row>
    <row r="93" spans="1:21" x14ac:dyDescent="0.2">
      <c r="A93" s="493" t="s">
        <v>1840</v>
      </c>
      <c r="B93" s="259"/>
      <c r="C93" s="259"/>
      <c r="D93" s="259"/>
      <c r="E93" s="259"/>
      <c r="F93" s="259"/>
      <c r="G93" s="259"/>
      <c r="H93" s="119"/>
      <c r="I93" s="119"/>
      <c r="J93" s="119"/>
      <c r="K93" s="103" t="s">
        <v>810</v>
      </c>
      <c r="L93" s="103" t="s">
        <v>811</v>
      </c>
      <c r="M93" s="265"/>
      <c r="N93" s="263" t="b">
        <v>0</v>
      </c>
      <c r="O93" s="261"/>
      <c r="P93" s="263" t="b">
        <v>1</v>
      </c>
      <c r="Q93" s="263" t="b">
        <v>1</v>
      </c>
      <c r="R93" s="263" t="b">
        <v>1</v>
      </c>
      <c r="S93" s="169"/>
      <c r="T93" s="169"/>
      <c r="U93" s="169"/>
    </row>
    <row r="94" spans="1:21" x14ac:dyDescent="0.2">
      <c r="A94" s="494" t="s">
        <v>687</v>
      </c>
      <c r="B94" s="494" t="s">
        <v>1841</v>
      </c>
      <c r="C94" s="495"/>
      <c r="D94" s="494" t="s">
        <v>1842</v>
      </c>
      <c r="E94" s="494" t="s">
        <v>1842</v>
      </c>
      <c r="F94" s="494" t="s">
        <v>1842</v>
      </c>
      <c r="G94" s="494" t="s">
        <v>1843</v>
      </c>
      <c r="H94" s="119"/>
      <c r="I94" s="119"/>
      <c r="J94" s="119"/>
      <c r="K94" s="103" t="s">
        <v>174</v>
      </c>
      <c r="L94" s="103" t="s">
        <v>1816</v>
      </c>
      <c r="M94" s="265"/>
      <c r="N94" s="263" t="b">
        <v>0</v>
      </c>
      <c r="O94" s="261"/>
      <c r="P94" s="263" t="b">
        <v>1</v>
      </c>
      <c r="Q94" s="263" t="b">
        <v>1</v>
      </c>
      <c r="R94" s="263" t="b">
        <v>1</v>
      </c>
      <c r="S94" s="169"/>
      <c r="T94" s="169"/>
      <c r="U94" s="169"/>
    </row>
    <row r="95" spans="1:21" x14ac:dyDescent="0.2">
      <c r="A95" s="496" t="s">
        <v>1038</v>
      </c>
      <c r="B95" s="497">
        <v>45972</v>
      </c>
      <c r="C95" s="207"/>
      <c r="D95" s="103" t="s">
        <v>1844</v>
      </c>
      <c r="E95" s="103" t="s">
        <v>1486</v>
      </c>
      <c r="F95" s="207"/>
      <c r="G95" s="207"/>
      <c r="H95" s="119"/>
      <c r="I95" s="119"/>
      <c r="J95" s="119"/>
      <c r="K95" s="103" t="s">
        <v>411</v>
      </c>
      <c r="L95" s="103" t="s">
        <v>812</v>
      </c>
      <c r="M95" s="265"/>
      <c r="N95" s="263" t="b">
        <v>0</v>
      </c>
      <c r="O95" s="261"/>
      <c r="P95" s="263" t="b">
        <v>1</v>
      </c>
      <c r="Q95" s="263" t="b">
        <v>1</v>
      </c>
      <c r="R95" s="263" t="b">
        <v>1</v>
      </c>
      <c r="S95" s="169"/>
      <c r="T95" s="169"/>
      <c r="U95" s="169"/>
    </row>
    <row r="96" spans="1:21" x14ac:dyDescent="0.2">
      <c r="A96" s="496"/>
      <c r="B96" s="497">
        <v>45701</v>
      </c>
      <c r="C96" s="207"/>
      <c r="D96" s="103" t="s">
        <v>1845</v>
      </c>
      <c r="E96" s="103" t="s">
        <v>1846</v>
      </c>
      <c r="F96" s="103"/>
      <c r="G96" s="207"/>
      <c r="H96" s="119"/>
      <c r="I96" s="119"/>
      <c r="J96" s="119"/>
      <c r="K96" s="103" t="s">
        <v>1830</v>
      </c>
      <c r="L96" s="103" t="s">
        <v>1831</v>
      </c>
      <c r="M96" s="265"/>
      <c r="N96" s="263" t="b">
        <v>0</v>
      </c>
      <c r="O96" s="261"/>
      <c r="P96" s="263" t="b">
        <v>1</v>
      </c>
      <c r="Q96" s="263" t="b">
        <v>1</v>
      </c>
      <c r="R96" s="263" t="b">
        <v>1</v>
      </c>
      <c r="S96" s="169"/>
      <c r="T96" s="169"/>
      <c r="U96" s="169"/>
    </row>
    <row r="97" spans="1:21" x14ac:dyDescent="0.2">
      <c r="A97" s="496" t="s">
        <v>142</v>
      </c>
      <c r="B97" s="497">
        <v>45972</v>
      </c>
      <c r="C97" s="207"/>
      <c r="D97" s="103" t="s">
        <v>1847</v>
      </c>
      <c r="E97" s="103" t="s">
        <v>1848</v>
      </c>
      <c r="F97" s="103" t="s">
        <v>1849</v>
      </c>
      <c r="G97" s="207"/>
      <c r="H97" s="119"/>
      <c r="I97" s="119"/>
      <c r="J97" s="119"/>
      <c r="K97" s="103" t="s">
        <v>907</v>
      </c>
      <c r="L97" s="103" t="s">
        <v>595</v>
      </c>
      <c r="M97" s="265"/>
      <c r="N97" s="263" t="b">
        <v>0</v>
      </c>
      <c r="O97" s="261"/>
      <c r="P97" s="261" t="b">
        <v>0</v>
      </c>
      <c r="Q97" s="263" t="b">
        <v>0</v>
      </c>
      <c r="R97" s="263" t="b">
        <v>0</v>
      </c>
      <c r="S97" s="169"/>
      <c r="T97" s="169"/>
      <c r="U97" s="169"/>
    </row>
    <row r="98" spans="1:21" x14ac:dyDescent="0.2">
      <c r="A98" s="496"/>
      <c r="B98" s="497">
        <v>45701</v>
      </c>
      <c r="C98" s="207"/>
      <c r="D98" s="103" t="s">
        <v>1850</v>
      </c>
      <c r="E98" s="103" t="s">
        <v>1851</v>
      </c>
      <c r="F98" s="103" t="s">
        <v>1852</v>
      </c>
      <c r="G98" s="103" t="s">
        <v>1853</v>
      </c>
      <c r="H98" s="119"/>
      <c r="I98" s="119"/>
      <c r="J98" s="119"/>
      <c r="K98" s="103" t="s">
        <v>190</v>
      </c>
      <c r="L98" s="103" t="s">
        <v>462</v>
      </c>
      <c r="M98" s="265"/>
      <c r="N98" s="263" t="b">
        <v>0</v>
      </c>
      <c r="O98" s="261"/>
      <c r="P98" s="261" t="b">
        <v>0</v>
      </c>
      <c r="Q98" s="263" t="b">
        <v>0</v>
      </c>
      <c r="R98" s="263" t="b">
        <v>0</v>
      </c>
      <c r="S98" s="169"/>
      <c r="T98" s="169"/>
      <c r="U98" s="169"/>
    </row>
    <row r="99" spans="1:21" x14ac:dyDescent="0.2">
      <c r="A99" s="496" t="s">
        <v>302</v>
      </c>
      <c r="B99" s="497">
        <v>45972</v>
      </c>
      <c r="C99" s="207"/>
      <c r="D99" s="103" t="s">
        <v>1472</v>
      </c>
      <c r="E99" s="103" t="s">
        <v>1854</v>
      </c>
      <c r="F99" s="103" t="s">
        <v>1855</v>
      </c>
      <c r="G99" s="103"/>
      <c r="H99" s="119"/>
      <c r="I99" s="119"/>
      <c r="J99" s="119"/>
      <c r="K99" s="103" t="s">
        <v>494</v>
      </c>
      <c r="L99" s="103" t="s">
        <v>495</v>
      </c>
      <c r="M99" s="265"/>
      <c r="N99" s="263" t="b">
        <v>0</v>
      </c>
      <c r="O99" s="261"/>
      <c r="P99" s="263" t="b">
        <v>0</v>
      </c>
      <c r="Q99" s="263" t="b">
        <v>1</v>
      </c>
      <c r="R99" s="263" t="b">
        <v>1</v>
      </c>
      <c r="S99" s="169"/>
      <c r="T99" s="169"/>
      <c r="U99" s="169"/>
    </row>
    <row r="100" spans="1:21" x14ac:dyDescent="0.2">
      <c r="A100" s="496"/>
      <c r="B100" s="497">
        <v>45701</v>
      </c>
      <c r="C100" s="207"/>
      <c r="D100" s="103" t="s">
        <v>1856</v>
      </c>
      <c r="E100" s="103" t="s">
        <v>498</v>
      </c>
      <c r="F100" s="103" t="s">
        <v>1857</v>
      </c>
      <c r="G100" s="207"/>
      <c r="H100" s="119"/>
      <c r="I100" s="119"/>
      <c r="J100" s="119"/>
      <c r="K100" s="103" t="s">
        <v>582</v>
      </c>
      <c r="L100" s="103" t="s">
        <v>900</v>
      </c>
      <c r="M100" s="265"/>
      <c r="N100" s="263" t="b">
        <v>0</v>
      </c>
      <c r="O100" s="261"/>
      <c r="P100" s="263" t="b">
        <v>1</v>
      </c>
      <c r="Q100" s="263" t="b">
        <v>1</v>
      </c>
      <c r="R100" s="263" t="b">
        <v>1</v>
      </c>
      <c r="S100" s="169"/>
      <c r="T100" s="169"/>
      <c r="U100" s="169"/>
    </row>
    <row r="101" spans="1:21" x14ac:dyDescent="0.2">
      <c r="A101" s="496" t="s">
        <v>52</v>
      </c>
      <c r="B101" s="207"/>
      <c r="C101" s="207"/>
      <c r="D101" s="207"/>
      <c r="E101" s="207"/>
      <c r="F101" s="207"/>
      <c r="G101" s="207"/>
      <c r="H101" s="119"/>
      <c r="I101" s="119"/>
      <c r="J101" s="119"/>
      <c r="K101" s="103" t="s">
        <v>1832</v>
      </c>
      <c r="L101" s="103" t="s">
        <v>613</v>
      </c>
      <c r="M101" s="265"/>
      <c r="N101" s="263" t="b">
        <v>0</v>
      </c>
      <c r="O101" s="261"/>
      <c r="P101" s="263" t="b">
        <v>1</v>
      </c>
      <c r="Q101" s="263" t="b">
        <v>1</v>
      </c>
      <c r="R101" s="263" t="b">
        <v>1</v>
      </c>
      <c r="S101" s="169"/>
      <c r="T101" s="169"/>
      <c r="U101" s="169"/>
    </row>
    <row r="102" spans="1:21" x14ac:dyDescent="0.2">
      <c r="A102" s="496"/>
      <c r="B102" s="207"/>
      <c r="C102" s="207"/>
      <c r="D102" s="207"/>
      <c r="E102" s="207"/>
      <c r="F102" s="207"/>
      <c r="G102" s="207"/>
      <c r="H102" s="119"/>
      <c r="I102" s="119"/>
      <c r="J102" s="119"/>
      <c r="K102" s="119"/>
      <c r="L102" s="119"/>
      <c r="M102" s="169"/>
      <c r="N102" s="119"/>
      <c r="O102" s="119"/>
      <c r="P102" s="123"/>
      <c r="Q102" s="119"/>
      <c r="R102" s="169"/>
      <c r="S102" s="169"/>
      <c r="T102" s="169"/>
      <c r="U102" s="169"/>
    </row>
    <row r="103" spans="1:21" x14ac:dyDescent="0.2">
      <c r="A103" s="496" t="s">
        <v>1036</v>
      </c>
      <c r="B103" s="103" t="s">
        <v>1858</v>
      </c>
      <c r="C103" s="103" t="s">
        <v>1859</v>
      </c>
      <c r="D103" s="207"/>
      <c r="E103" s="207"/>
      <c r="F103" s="207"/>
      <c r="G103" s="207"/>
      <c r="H103" s="119"/>
      <c r="I103" s="119"/>
      <c r="J103" s="119"/>
      <c r="K103" s="119"/>
      <c r="L103" s="119"/>
      <c r="M103" s="169"/>
      <c r="N103" s="119"/>
      <c r="O103" s="119"/>
      <c r="P103" s="123"/>
      <c r="Q103" s="119"/>
      <c r="R103" s="169"/>
      <c r="S103" s="169"/>
      <c r="T103" s="169"/>
      <c r="U103" s="169"/>
    </row>
    <row r="104" spans="1:21" x14ac:dyDescent="0.2">
      <c r="A104" s="496" t="s">
        <v>1860</v>
      </c>
      <c r="B104" s="103" t="s">
        <v>1464</v>
      </c>
      <c r="C104" s="103" t="s">
        <v>1861</v>
      </c>
      <c r="D104" s="207"/>
      <c r="E104" s="207"/>
      <c r="F104" s="207"/>
      <c r="G104" s="207"/>
      <c r="H104" s="119"/>
      <c r="I104" s="119"/>
      <c r="J104" s="119"/>
      <c r="K104" s="119"/>
      <c r="L104" s="119"/>
      <c r="M104" s="169"/>
      <c r="N104" s="119"/>
      <c r="O104" s="119"/>
      <c r="P104" s="123"/>
      <c r="Q104" s="119"/>
      <c r="R104" s="169"/>
      <c r="S104" s="169"/>
      <c r="T104" s="169"/>
      <c r="U104" s="169"/>
    </row>
    <row r="105" spans="1:21" x14ac:dyDescent="0.2">
      <c r="A105" s="496" t="s">
        <v>1699</v>
      </c>
      <c r="B105" s="497">
        <v>45877</v>
      </c>
      <c r="C105" s="103">
        <v>3</v>
      </c>
      <c r="D105" s="103">
        <v>2</v>
      </c>
      <c r="E105" s="103" t="s">
        <v>1862</v>
      </c>
      <c r="F105" s="103" t="s">
        <v>1863</v>
      </c>
      <c r="G105" s="103" t="s">
        <v>1864</v>
      </c>
      <c r="H105" s="119"/>
      <c r="I105" s="119"/>
      <c r="J105" s="119"/>
      <c r="K105" s="119"/>
      <c r="L105" s="119"/>
      <c r="M105" s="169"/>
      <c r="N105" s="119"/>
      <c r="O105" s="119"/>
      <c r="P105" s="123"/>
      <c r="Q105" s="119"/>
      <c r="R105" s="169"/>
      <c r="S105" s="169"/>
      <c r="T105" s="169"/>
      <c r="U105" s="169"/>
    </row>
    <row r="106" spans="1:21" x14ac:dyDescent="0.2">
      <c r="A106" s="498"/>
      <c r="B106" s="497"/>
      <c r="C106" s="497"/>
      <c r="D106" s="103">
        <v>3</v>
      </c>
      <c r="E106" s="103" t="s">
        <v>1865</v>
      </c>
      <c r="F106" s="207"/>
      <c r="G106" s="207"/>
      <c r="H106" s="119"/>
      <c r="I106" s="119"/>
      <c r="J106" s="119"/>
      <c r="K106" s="119"/>
      <c r="L106" s="119"/>
      <c r="M106" s="169"/>
      <c r="N106" s="119"/>
      <c r="O106" s="119"/>
      <c r="P106" s="123"/>
      <c r="Q106" s="119"/>
      <c r="R106" s="169"/>
      <c r="S106" s="169"/>
      <c r="T106" s="169"/>
      <c r="U106" s="169"/>
    </row>
    <row r="107" spans="1:21" x14ac:dyDescent="0.2">
      <c r="A107" s="447"/>
      <c r="B107" s="499">
        <v>45698</v>
      </c>
      <c r="C107" s="126">
        <v>2</v>
      </c>
      <c r="D107" s="119"/>
      <c r="E107" s="119"/>
      <c r="F107" s="119"/>
      <c r="G107" s="119"/>
      <c r="H107" s="119"/>
      <c r="I107" s="119"/>
      <c r="J107" s="119"/>
      <c r="K107" s="119"/>
      <c r="L107" s="119"/>
      <c r="M107" s="169"/>
      <c r="N107" s="119"/>
      <c r="O107" s="119"/>
      <c r="P107" s="123"/>
      <c r="Q107" s="119"/>
      <c r="R107" s="169"/>
      <c r="S107" s="169"/>
      <c r="T107" s="169"/>
      <c r="U107" s="169"/>
    </row>
    <row r="108" spans="1:21" x14ac:dyDescent="0.2">
      <c r="A108" s="447"/>
      <c r="B108" s="126" t="s">
        <v>1866</v>
      </c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69"/>
      <c r="N108" s="119"/>
      <c r="O108" s="119"/>
      <c r="P108" s="123"/>
      <c r="Q108" s="119"/>
      <c r="R108" s="169"/>
      <c r="S108" s="169"/>
      <c r="T108" s="169"/>
      <c r="U108" s="169"/>
    </row>
    <row r="109" spans="1:21" x14ac:dyDescent="0.2">
      <c r="A109" s="447"/>
      <c r="B109" s="499">
        <v>45695</v>
      </c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69"/>
      <c r="N109" s="119"/>
      <c r="O109" s="119"/>
      <c r="P109" s="123"/>
      <c r="Q109" s="119"/>
      <c r="R109" s="169"/>
      <c r="S109" s="169"/>
      <c r="T109" s="169"/>
      <c r="U109" s="169"/>
    </row>
    <row r="110" spans="1:21" x14ac:dyDescent="0.2">
      <c r="A110" s="447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69"/>
      <c r="N110" s="119"/>
      <c r="O110" s="119"/>
      <c r="P110" s="123"/>
      <c r="Q110" s="119"/>
      <c r="R110" s="169"/>
      <c r="S110" s="169"/>
      <c r="T110" s="169"/>
      <c r="U110" s="169"/>
    </row>
    <row r="111" spans="1:21" x14ac:dyDescent="0.2">
      <c r="A111" s="447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69"/>
      <c r="N111" s="119"/>
      <c r="O111" s="119"/>
      <c r="P111" s="123"/>
      <c r="Q111" s="119"/>
      <c r="R111" s="169"/>
      <c r="S111" s="169"/>
      <c r="T111" s="169"/>
      <c r="U111" s="169"/>
    </row>
    <row r="112" spans="1:21" x14ac:dyDescent="0.2">
      <c r="A112" s="544" t="s">
        <v>132</v>
      </c>
      <c r="B112" s="545"/>
      <c r="C112" s="545"/>
      <c r="D112" s="545"/>
      <c r="E112" s="545"/>
      <c r="F112" s="545"/>
      <c r="G112" s="545"/>
      <c r="H112" s="545"/>
      <c r="I112" s="545"/>
      <c r="J112" s="545"/>
      <c r="K112" s="545"/>
      <c r="L112" s="545"/>
      <c r="M112" s="545"/>
      <c r="N112" s="545"/>
      <c r="O112" s="546"/>
      <c r="P112" s="123"/>
      <c r="Q112" s="119"/>
      <c r="R112" s="169"/>
      <c r="S112" s="169"/>
      <c r="T112" s="169"/>
      <c r="U112" s="169"/>
    </row>
    <row r="113" spans="1:21" x14ac:dyDescent="0.2">
      <c r="A113" s="547"/>
      <c r="B113" s="548"/>
      <c r="C113" s="548"/>
      <c r="D113" s="548"/>
      <c r="E113" s="548"/>
      <c r="F113" s="548"/>
      <c r="G113" s="548"/>
      <c r="H113" s="548"/>
      <c r="I113" s="548"/>
      <c r="J113" s="548"/>
      <c r="K113" s="548"/>
      <c r="L113" s="548"/>
      <c r="M113" s="548"/>
      <c r="N113" s="548"/>
      <c r="O113" s="549"/>
      <c r="P113" s="123"/>
      <c r="Q113" s="119"/>
      <c r="R113" s="169"/>
      <c r="S113" s="169"/>
      <c r="T113" s="169"/>
      <c r="U113" s="169"/>
    </row>
    <row r="114" spans="1:21" x14ac:dyDescent="0.2">
      <c r="A114" s="23"/>
      <c r="B114" s="604" t="s">
        <v>1867</v>
      </c>
      <c r="C114" s="531"/>
      <c r="D114" s="551" t="s">
        <v>1868</v>
      </c>
      <c r="E114" s="531"/>
      <c r="F114" s="613" t="s">
        <v>1869</v>
      </c>
      <c r="G114" s="533"/>
      <c r="H114" s="614" t="s">
        <v>1870</v>
      </c>
      <c r="I114" s="533"/>
      <c r="J114" s="552" t="s">
        <v>1871</v>
      </c>
      <c r="K114" s="531"/>
      <c r="L114" s="553" t="s">
        <v>1659</v>
      </c>
      <c r="M114" s="531"/>
      <c r="N114" s="615" t="s">
        <v>1872</v>
      </c>
      <c r="O114" s="533"/>
      <c r="P114" s="123"/>
      <c r="Q114" s="119"/>
      <c r="R114" s="169"/>
      <c r="S114" s="169"/>
      <c r="T114" s="169"/>
      <c r="U114" s="169"/>
    </row>
    <row r="115" spans="1:21" x14ac:dyDescent="0.2">
      <c r="A115" s="78" t="s">
        <v>200</v>
      </c>
      <c r="B115" s="103">
        <v>1</v>
      </c>
      <c r="C115" s="103">
        <v>2</v>
      </c>
      <c r="D115" s="103">
        <v>3</v>
      </c>
      <c r="E115" s="103">
        <v>4</v>
      </c>
      <c r="F115" s="103">
        <v>5</v>
      </c>
      <c r="G115" s="103">
        <v>6</v>
      </c>
      <c r="H115" s="103">
        <v>7</v>
      </c>
      <c r="I115" s="103">
        <v>8</v>
      </c>
      <c r="J115" s="103">
        <v>9</v>
      </c>
      <c r="K115" s="103">
        <v>10</v>
      </c>
      <c r="L115" s="103">
        <v>10</v>
      </c>
      <c r="M115" s="103">
        <v>10</v>
      </c>
      <c r="N115" s="103">
        <v>10</v>
      </c>
      <c r="O115" s="103">
        <v>10</v>
      </c>
      <c r="P115" s="123"/>
      <c r="Q115" s="119"/>
      <c r="R115" s="169"/>
      <c r="S115" s="169"/>
      <c r="T115" s="169"/>
      <c r="U115" s="169"/>
    </row>
    <row r="116" spans="1:21" x14ac:dyDescent="0.2">
      <c r="A116" s="97" t="s">
        <v>291</v>
      </c>
      <c r="B116" s="97" t="s">
        <v>594</v>
      </c>
      <c r="C116" s="152"/>
      <c r="D116" s="414"/>
      <c r="E116" s="152"/>
      <c r="F116" s="152"/>
      <c r="G116" s="414"/>
      <c r="H116" s="414"/>
      <c r="I116" s="414"/>
      <c r="J116" s="414"/>
      <c r="K116" s="414"/>
      <c r="L116" s="414"/>
      <c r="M116" s="414"/>
      <c r="N116" s="414"/>
      <c r="O116" s="414"/>
      <c r="P116" s="123"/>
      <c r="Q116" s="119"/>
      <c r="R116" s="169"/>
      <c r="S116" s="169"/>
      <c r="T116" s="169"/>
      <c r="U116" s="169"/>
    </row>
    <row r="117" spans="1:21" x14ac:dyDescent="0.2">
      <c r="A117" s="103" t="s">
        <v>293</v>
      </c>
      <c r="B117" s="412" t="s">
        <v>231</v>
      </c>
      <c r="C117" s="412" t="s">
        <v>1570</v>
      </c>
      <c r="D117" s="413" t="s">
        <v>270</v>
      </c>
      <c r="E117" s="413" t="s">
        <v>267</v>
      </c>
      <c r="F117" s="413" t="s">
        <v>1873</v>
      </c>
      <c r="G117" s="500" t="s">
        <v>1819</v>
      </c>
      <c r="H117" s="161"/>
      <c r="I117" s="161"/>
      <c r="J117" s="103"/>
      <c r="K117" s="207"/>
      <c r="L117" s="207"/>
      <c r="M117" s="261"/>
      <c r="N117" s="207"/>
      <c r="O117" s="207"/>
      <c r="P117" s="123"/>
      <c r="Q117" s="119"/>
      <c r="R117" s="169"/>
      <c r="S117" s="169"/>
      <c r="T117" s="169"/>
      <c r="U117" s="169"/>
    </row>
    <row r="118" spans="1:21" x14ac:dyDescent="0.2">
      <c r="A118" s="103" t="s">
        <v>210</v>
      </c>
      <c r="B118" s="501" t="s">
        <v>1439</v>
      </c>
      <c r="C118" s="501" t="s">
        <v>792</v>
      </c>
      <c r="D118" s="502" t="s">
        <v>1822</v>
      </c>
      <c r="E118" s="502" t="s">
        <v>232</v>
      </c>
      <c r="F118" s="161"/>
      <c r="G118" s="161"/>
      <c r="H118" s="161"/>
      <c r="I118" s="407"/>
      <c r="J118" s="407"/>
      <c r="K118" s="207"/>
      <c r="L118" s="207"/>
      <c r="M118" s="261"/>
      <c r="N118" s="207"/>
      <c r="O118" s="207"/>
      <c r="P118" s="123"/>
      <c r="Q118" s="119"/>
      <c r="R118" s="169"/>
      <c r="S118" s="169"/>
      <c r="T118" s="169"/>
      <c r="U118" s="169"/>
    </row>
    <row r="119" spans="1:21" x14ac:dyDescent="0.2">
      <c r="A119" s="103" t="s">
        <v>435</v>
      </c>
      <c r="B119" s="412" t="s">
        <v>1440</v>
      </c>
      <c r="C119" s="413" t="s">
        <v>249</v>
      </c>
      <c r="D119" s="413" t="s">
        <v>259</v>
      </c>
      <c r="E119" s="413" t="s">
        <v>1874</v>
      </c>
      <c r="F119" s="413" t="s">
        <v>335</v>
      </c>
      <c r="G119" s="413" t="s">
        <v>246</v>
      </c>
      <c r="H119" s="413" t="s">
        <v>1875</v>
      </c>
      <c r="I119" s="413" t="s">
        <v>1876</v>
      </c>
      <c r="J119" s="161"/>
      <c r="K119" s="103"/>
      <c r="L119" s="207"/>
      <c r="M119" s="261"/>
      <c r="N119" s="207"/>
      <c r="O119" s="207"/>
      <c r="P119" s="123"/>
      <c r="Q119" s="119"/>
      <c r="R119" s="169"/>
      <c r="S119" s="169"/>
      <c r="T119" s="169"/>
      <c r="U119" s="169"/>
    </row>
    <row r="120" spans="1:21" x14ac:dyDescent="0.2">
      <c r="A120" s="103" t="s">
        <v>161</v>
      </c>
      <c r="B120" s="161"/>
      <c r="C120" s="161"/>
      <c r="D120" s="161"/>
      <c r="E120" s="161"/>
      <c r="F120" s="161"/>
      <c r="G120" s="161"/>
      <c r="H120" s="161"/>
      <c r="I120" s="161"/>
      <c r="J120" s="161"/>
      <c r="K120" s="207"/>
      <c r="L120" s="207"/>
      <c r="M120" s="261"/>
      <c r="N120" s="207"/>
      <c r="O120" s="207"/>
      <c r="P120" s="123"/>
      <c r="Q120" s="119"/>
      <c r="R120" s="169"/>
      <c r="S120" s="169"/>
      <c r="T120" s="169"/>
      <c r="U120" s="169"/>
    </row>
    <row r="121" spans="1:21" ht="15" customHeight="1" x14ac:dyDescent="0.25">
      <c r="A121" s="103" t="s">
        <v>130</v>
      </c>
      <c r="B121" s="417" t="s">
        <v>238</v>
      </c>
      <c r="C121" s="417" t="s">
        <v>1877</v>
      </c>
      <c r="D121" s="417" t="s">
        <v>1855</v>
      </c>
      <c r="E121" s="411" t="s">
        <v>1824</v>
      </c>
      <c r="F121" s="503" t="s">
        <v>1634</v>
      </c>
      <c r="G121" s="161"/>
      <c r="H121" s="161"/>
      <c r="I121" s="161"/>
      <c r="J121" s="407"/>
      <c r="K121" s="207"/>
      <c r="L121" s="207"/>
      <c r="M121" s="261"/>
      <c r="N121" s="207"/>
      <c r="O121" s="207"/>
      <c r="P121" s="123"/>
      <c r="Q121" s="119"/>
      <c r="R121" s="169"/>
      <c r="S121" s="169"/>
      <c r="T121" s="169"/>
      <c r="U121" s="169"/>
    </row>
    <row r="122" spans="1:21" x14ac:dyDescent="0.2">
      <c r="A122" s="217" t="s">
        <v>444</v>
      </c>
      <c r="B122" s="407"/>
      <c r="C122" s="407"/>
      <c r="D122" s="407"/>
      <c r="E122" s="407"/>
      <c r="F122" s="407"/>
      <c r="G122" s="407"/>
      <c r="H122" s="407"/>
      <c r="I122" s="407"/>
      <c r="J122" s="407"/>
      <c r="K122" s="207"/>
      <c r="L122" s="207"/>
      <c r="M122" s="261"/>
      <c r="N122" s="207"/>
      <c r="O122" s="207"/>
      <c r="P122" s="123"/>
      <c r="Q122" s="119"/>
      <c r="R122" s="169"/>
      <c r="S122" s="169"/>
      <c r="T122" s="169"/>
      <c r="U122" s="169"/>
    </row>
    <row r="123" spans="1:21" x14ac:dyDescent="0.2">
      <c r="A123" s="103" t="s">
        <v>445</v>
      </c>
      <c r="B123" s="412" t="s">
        <v>1855</v>
      </c>
      <c r="C123" s="504" t="s">
        <v>1878</v>
      </c>
      <c r="D123" s="407"/>
      <c r="E123" s="407"/>
      <c r="F123" s="161"/>
      <c r="G123" s="161"/>
      <c r="H123" s="407"/>
      <c r="I123" s="407"/>
      <c r="J123" s="407"/>
      <c r="K123" s="207"/>
      <c r="L123" s="207"/>
      <c r="M123" s="261"/>
      <c r="N123" s="207"/>
      <c r="O123" s="207"/>
      <c r="P123" s="123"/>
      <c r="Q123" s="119"/>
      <c r="R123" s="169"/>
      <c r="S123" s="169"/>
      <c r="T123" s="169"/>
      <c r="U123" s="169"/>
    </row>
    <row r="124" spans="1:21" x14ac:dyDescent="0.2">
      <c r="A124" s="103" t="s">
        <v>446</v>
      </c>
      <c r="B124" s="412" t="s">
        <v>1879</v>
      </c>
      <c r="C124" s="412" t="s">
        <v>249</v>
      </c>
      <c r="D124" s="504" t="s">
        <v>1880</v>
      </c>
      <c r="E124" s="407"/>
      <c r="F124" s="161"/>
      <c r="G124" s="161"/>
      <c r="H124" s="407"/>
      <c r="I124" s="407"/>
      <c r="J124" s="407"/>
      <c r="K124" s="207"/>
      <c r="L124" s="207"/>
      <c r="M124" s="261"/>
      <c r="N124" s="207"/>
      <c r="O124" s="207"/>
      <c r="P124" s="123"/>
      <c r="Q124" s="119"/>
      <c r="R124" s="169"/>
      <c r="S124" s="169"/>
      <c r="T124" s="169"/>
      <c r="U124" s="169"/>
    </row>
    <row r="125" spans="1:21" x14ac:dyDescent="0.2">
      <c r="A125" s="447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69"/>
      <c r="N125" s="119"/>
      <c r="O125" s="119"/>
      <c r="P125" s="123"/>
      <c r="Q125" s="119"/>
      <c r="R125" s="169"/>
      <c r="S125" s="169"/>
      <c r="T125" s="169"/>
      <c r="U125" s="169"/>
    </row>
    <row r="126" spans="1:21" x14ac:dyDescent="0.2">
      <c r="A126" s="447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69"/>
      <c r="N126" s="119"/>
      <c r="O126" s="119"/>
      <c r="P126" s="123"/>
      <c r="Q126" s="119"/>
      <c r="R126" s="169"/>
      <c r="S126" s="169"/>
      <c r="T126" s="169"/>
      <c r="U126" s="169"/>
    </row>
    <row r="127" spans="1:21" x14ac:dyDescent="0.2">
      <c r="A127" s="447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69"/>
      <c r="N127" s="119"/>
      <c r="O127" s="119"/>
      <c r="P127" s="123"/>
      <c r="Q127" s="119"/>
      <c r="R127" s="169"/>
      <c r="S127" s="169"/>
      <c r="T127" s="169"/>
      <c r="U127" s="169"/>
    </row>
    <row r="128" spans="1:21" x14ac:dyDescent="0.2">
      <c r="A128" s="544" t="s">
        <v>136</v>
      </c>
      <c r="B128" s="545"/>
      <c r="C128" s="545"/>
      <c r="D128" s="545"/>
      <c r="E128" s="545"/>
      <c r="F128" s="545"/>
      <c r="G128" s="545"/>
      <c r="H128" s="545"/>
      <c r="I128" s="545"/>
      <c r="J128" s="545"/>
      <c r="K128" s="545"/>
      <c r="L128" s="545"/>
      <c r="M128" s="545"/>
      <c r="N128" s="545"/>
      <c r="O128" s="546"/>
      <c r="P128" s="123"/>
      <c r="Q128" s="119"/>
      <c r="R128" s="169"/>
      <c r="S128" s="169"/>
      <c r="T128" s="169"/>
      <c r="U128" s="169"/>
    </row>
    <row r="129" spans="1:21" x14ac:dyDescent="0.2">
      <c r="A129" s="547"/>
      <c r="B129" s="548"/>
      <c r="C129" s="548"/>
      <c r="D129" s="548"/>
      <c r="E129" s="548"/>
      <c r="F129" s="548"/>
      <c r="G129" s="548"/>
      <c r="H129" s="548"/>
      <c r="I129" s="548"/>
      <c r="J129" s="548"/>
      <c r="K129" s="548"/>
      <c r="L129" s="548"/>
      <c r="M129" s="548"/>
      <c r="N129" s="548"/>
      <c r="O129" s="549"/>
      <c r="P129" s="123"/>
      <c r="Q129" s="119"/>
      <c r="R129" s="169"/>
      <c r="S129" s="169"/>
      <c r="T129" s="169"/>
      <c r="U129" s="169"/>
    </row>
    <row r="130" spans="1:21" x14ac:dyDescent="0.2">
      <c r="A130" s="23"/>
      <c r="B130" s="604" t="s">
        <v>1867</v>
      </c>
      <c r="C130" s="531"/>
      <c r="D130" s="551" t="s">
        <v>1868</v>
      </c>
      <c r="E130" s="531"/>
      <c r="F130" s="613" t="s">
        <v>1881</v>
      </c>
      <c r="G130" s="533"/>
      <c r="H130" s="614" t="s">
        <v>1870</v>
      </c>
      <c r="I130" s="533"/>
      <c r="J130" s="552" t="s">
        <v>1871</v>
      </c>
      <c r="K130" s="531"/>
      <c r="L130" s="553" t="s">
        <v>1882</v>
      </c>
      <c r="M130" s="531"/>
      <c r="N130" s="615" t="s">
        <v>1883</v>
      </c>
      <c r="O130" s="533"/>
      <c r="P130" s="123"/>
      <c r="Q130" s="119"/>
      <c r="R130" s="169"/>
      <c r="S130" s="169"/>
      <c r="T130" s="169"/>
      <c r="U130" s="169"/>
    </row>
    <row r="131" spans="1:21" x14ac:dyDescent="0.2">
      <c r="A131" s="78" t="s">
        <v>200</v>
      </c>
      <c r="B131" s="103">
        <v>1</v>
      </c>
      <c r="C131" s="103">
        <v>2</v>
      </c>
      <c r="D131" s="103">
        <v>3</v>
      </c>
      <c r="E131" s="103">
        <v>4</v>
      </c>
      <c r="F131" s="103">
        <v>5</v>
      </c>
      <c r="G131" s="103">
        <v>6</v>
      </c>
      <c r="H131" s="103">
        <v>7</v>
      </c>
      <c r="I131" s="103">
        <v>8</v>
      </c>
      <c r="J131" s="103">
        <v>9</v>
      </c>
      <c r="K131" s="103">
        <v>10</v>
      </c>
      <c r="L131" s="103">
        <v>10</v>
      </c>
      <c r="M131" s="103">
        <v>10</v>
      </c>
      <c r="N131" s="103">
        <v>10</v>
      </c>
      <c r="O131" s="103">
        <v>10</v>
      </c>
      <c r="P131" s="123"/>
      <c r="Q131" s="119"/>
      <c r="R131" s="169"/>
      <c r="S131" s="169"/>
      <c r="T131" s="169"/>
      <c r="U131" s="169"/>
    </row>
    <row r="132" spans="1:21" x14ac:dyDescent="0.2">
      <c r="A132" s="97" t="s">
        <v>291</v>
      </c>
      <c r="B132" s="97" t="s">
        <v>594</v>
      </c>
      <c r="C132" s="152"/>
      <c r="D132" s="414"/>
      <c r="E132" s="152"/>
      <c r="F132" s="152"/>
      <c r="G132" s="414"/>
      <c r="H132" s="414"/>
      <c r="I132" s="414"/>
      <c r="J132" s="414"/>
      <c r="K132" s="414"/>
      <c r="L132" s="414"/>
      <c r="M132" s="414"/>
      <c r="N132" s="414"/>
      <c r="O132" s="414"/>
      <c r="P132" s="123"/>
      <c r="Q132" s="119"/>
      <c r="R132" s="169"/>
      <c r="S132" s="169"/>
      <c r="T132" s="169"/>
      <c r="U132" s="169"/>
    </row>
    <row r="133" spans="1:21" x14ac:dyDescent="0.2">
      <c r="A133" s="103" t="s">
        <v>293</v>
      </c>
      <c r="B133" s="412" t="s">
        <v>231</v>
      </c>
      <c r="C133" s="412" t="s">
        <v>1570</v>
      </c>
      <c r="D133" s="413" t="s">
        <v>270</v>
      </c>
      <c r="E133" s="413" t="s">
        <v>267</v>
      </c>
      <c r="F133" s="413" t="s">
        <v>1873</v>
      </c>
      <c r="G133" s="93"/>
      <c r="H133" s="161"/>
      <c r="I133" s="161"/>
      <c r="J133" s="103"/>
      <c r="K133" s="207"/>
      <c r="L133" s="207"/>
      <c r="M133" s="261"/>
      <c r="N133" s="207"/>
      <c r="O133" s="207"/>
      <c r="P133" s="123"/>
      <c r="Q133" s="119"/>
      <c r="R133" s="169"/>
      <c r="S133" s="169"/>
      <c r="T133" s="169"/>
      <c r="U133" s="169"/>
    </row>
    <row r="134" spans="1:21" x14ac:dyDescent="0.2">
      <c r="A134" s="103" t="s">
        <v>210</v>
      </c>
      <c r="B134" s="501" t="s">
        <v>1439</v>
      </c>
      <c r="C134" s="501" t="s">
        <v>792</v>
      </c>
      <c r="D134" s="502" t="s">
        <v>1822</v>
      </c>
      <c r="E134" s="502" t="s">
        <v>232</v>
      </c>
      <c r="F134" s="161"/>
      <c r="G134" s="161"/>
      <c r="H134" s="161"/>
      <c r="I134" s="407"/>
      <c r="J134" s="407"/>
      <c r="K134" s="207"/>
      <c r="L134" s="207"/>
      <c r="M134" s="261"/>
      <c r="N134" s="207"/>
      <c r="O134" s="207"/>
      <c r="P134" s="123"/>
      <c r="Q134" s="119"/>
      <c r="R134" s="169"/>
      <c r="S134" s="169"/>
      <c r="T134" s="169"/>
      <c r="U134" s="169"/>
    </row>
    <row r="135" spans="1:21" x14ac:dyDescent="0.2">
      <c r="A135" s="103" t="s">
        <v>435</v>
      </c>
      <c r="B135" s="412" t="s">
        <v>1440</v>
      </c>
      <c r="C135" s="413" t="s">
        <v>249</v>
      </c>
      <c r="D135" s="413" t="s">
        <v>259</v>
      </c>
      <c r="E135" s="413" t="s">
        <v>1874</v>
      </c>
      <c r="F135" s="413" t="s">
        <v>335</v>
      </c>
      <c r="G135" s="413" t="s">
        <v>246</v>
      </c>
      <c r="H135" s="413" t="s">
        <v>1875</v>
      </c>
      <c r="I135" s="413" t="s">
        <v>1884</v>
      </c>
      <c r="J135" s="161"/>
      <c r="K135" s="103"/>
      <c r="L135" s="207"/>
      <c r="M135" s="261"/>
      <c r="N135" s="207"/>
      <c r="O135" s="207"/>
      <c r="P135" s="123"/>
      <c r="Q135" s="119"/>
      <c r="R135" s="169"/>
      <c r="S135" s="169"/>
      <c r="T135" s="169"/>
      <c r="U135" s="169"/>
    </row>
    <row r="136" spans="1:21" x14ac:dyDescent="0.2">
      <c r="A136" s="103" t="s">
        <v>161</v>
      </c>
      <c r="B136" s="161"/>
      <c r="C136" s="161"/>
      <c r="D136" s="161"/>
      <c r="E136" s="161"/>
      <c r="F136" s="161"/>
      <c r="G136" s="161"/>
      <c r="H136" s="161"/>
      <c r="I136" s="161"/>
      <c r="J136" s="161"/>
      <c r="K136" s="207"/>
      <c r="L136" s="207"/>
      <c r="M136" s="261"/>
      <c r="N136" s="207"/>
      <c r="O136" s="207"/>
      <c r="P136" s="123"/>
      <c r="Q136" s="119"/>
      <c r="R136" s="169"/>
      <c r="S136" s="169"/>
      <c r="T136" s="169"/>
      <c r="U136" s="169"/>
    </row>
    <row r="137" spans="1:21" ht="18" x14ac:dyDescent="0.25">
      <c r="A137" s="103" t="s">
        <v>130</v>
      </c>
      <c r="B137" s="417" t="s">
        <v>238</v>
      </c>
      <c r="C137" s="417" t="s">
        <v>1877</v>
      </c>
      <c r="D137" s="417" t="s">
        <v>1855</v>
      </c>
      <c r="E137" s="411" t="s">
        <v>1824</v>
      </c>
      <c r="F137" s="503" t="s">
        <v>1634</v>
      </c>
      <c r="G137" s="161"/>
      <c r="H137" s="161"/>
      <c r="I137" s="161"/>
      <c r="J137" s="407"/>
      <c r="K137" s="207"/>
      <c r="L137" s="207"/>
      <c r="M137" s="261"/>
      <c r="N137" s="207"/>
      <c r="O137" s="207"/>
      <c r="P137" s="123"/>
      <c r="Q137" s="119"/>
      <c r="R137" s="169"/>
      <c r="S137" s="169"/>
      <c r="T137" s="169"/>
      <c r="U137" s="169"/>
    </row>
    <row r="138" spans="1:21" x14ac:dyDescent="0.2">
      <c r="A138" s="217" t="s">
        <v>444</v>
      </c>
      <c r="B138" s="407"/>
      <c r="C138" s="407"/>
      <c r="D138" s="407"/>
      <c r="E138" s="407"/>
      <c r="F138" s="407"/>
      <c r="G138" s="407"/>
      <c r="H138" s="407"/>
      <c r="I138" s="407"/>
      <c r="J138" s="407"/>
      <c r="K138" s="207"/>
      <c r="L138" s="207"/>
      <c r="M138" s="261"/>
      <c r="N138" s="207"/>
      <c r="O138" s="207"/>
      <c r="P138" s="123"/>
      <c r="Q138" s="119"/>
      <c r="R138" s="169"/>
      <c r="S138" s="169"/>
      <c r="T138" s="169"/>
      <c r="U138" s="169"/>
    </row>
    <row r="139" spans="1:21" x14ac:dyDescent="0.2">
      <c r="A139" s="103" t="s">
        <v>445</v>
      </c>
      <c r="B139" s="412" t="s">
        <v>1855</v>
      </c>
      <c r="C139" s="504" t="s">
        <v>1878</v>
      </c>
      <c r="D139" s="407"/>
      <c r="E139" s="407"/>
      <c r="F139" s="161"/>
      <c r="G139" s="161"/>
      <c r="H139" s="407"/>
      <c r="I139" s="407"/>
      <c r="J139" s="407"/>
      <c r="K139" s="207"/>
      <c r="L139" s="207"/>
      <c r="M139" s="261"/>
      <c r="N139" s="207"/>
      <c r="O139" s="207"/>
      <c r="P139" s="123"/>
      <c r="Q139" s="119"/>
      <c r="R139" s="169"/>
      <c r="S139" s="169"/>
      <c r="T139" s="169"/>
      <c r="U139" s="169"/>
    </row>
    <row r="140" spans="1:21" x14ac:dyDescent="0.2">
      <c r="A140" s="103" t="s">
        <v>446</v>
      </c>
      <c r="B140" s="412" t="s">
        <v>1879</v>
      </c>
      <c r="C140" s="412" t="s">
        <v>249</v>
      </c>
      <c r="D140" s="504" t="s">
        <v>1880</v>
      </c>
      <c r="E140" s="407"/>
      <c r="F140" s="161"/>
      <c r="G140" s="161"/>
      <c r="H140" s="407"/>
      <c r="I140" s="407"/>
      <c r="J140" s="407"/>
      <c r="K140" s="207"/>
      <c r="L140" s="207"/>
      <c r="M140" s="261"/>
      <c r="N140" s="207"/>
      <c r="O140" s="207"/>
      <c r="P140" s="123"/>
      <c r="Q140" s="119"/>
      <c r="R140" s="169"/>
      <c r="S140" s="169"/>
      <c r="T140" s="169"/>
      <c r="U140" s="169"/>
    </row>
    <row r="141" spans="1:21" x14ac:dyDescent="0.2">
      <c r="A141" s="447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69"/>
      <c r="N141" s="119"/>
      <c r="O141" s="119"/>
      <c r="P141" s="123"/>
      <c r="Q141" s="119"/>
      <c r="R141" s="169"/>
      <c r="S141" s="169"/>
      <c r="T141" s="169"/>
      <c r="U141" s="169"/>
    </row>
    <row r="142" spans="1:21" x14ac:dyDescent="0.2">
      <c r="A142" s="447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69"/>
      <c r="N142" s="119"/>
      <c r="O142" s="119"/>
      <c r="P142" s="123"/>
      <c r="Q142" s="119"/>
      <c r="R142" s="169"/>
      <c r="S142" s="169"/>
      <c r="T142" s="169"/>
      <c r="U142" s="169"/>
    </row>
    <row r="143" spans="1:21" x14ac:dyDescent="0.2">
      <c r="A143" s="447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69"/>
      <c r="N143" s="119"/>
      <c r="O143" s="119"/>
      <c r="P143" s="123"/>
      <c r="Q143" s="119"/>
      <c r="R143" s="169"/>
      <c r="S143" s="169"/>
      <c r="T143" s="169"/>
      <c r="U143" s="169"/>
    </row>
    <row r="144" spans="1:21" x14ac:dyDescent="0.2">
      <c r="A144" s="447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69"/>
      <c r="N144" s="119"/>
      <c r="O144" s="119"/>
      <c r="P144" s="123"/>
      <c r="Q144" s="119"/>
      <c r="R144" s="169"/>
      <c r="S144" s="169"/>
      <c r="T144" s="169"/>
      <c r="U144" s="169"/>
    </row>
    <row r="145" spans="1:21" x14ac:dyDescent="0.2">
      <c r="A145" s="447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69"/>
      <c r="N145" s="119"/>
      <c r="O145" s="119"/>
      <c r="P145" s="123"/>
      <c r="Q145" s="119"/>
      <c r="R145" s="169"/>
      <c r="S145" s="169"/>
      <c r="T145" s="169"/>
      <c r="U145" s="169"/>
    </row>
    <row r="146" spans="1:21" x14ac:dyDescent="0.2">
      <c r="A146" s="447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69"/>
      <c r="N146" s="119"/>
      <c r="O146" s="119"/>
      <c r="P146" s="123"/>
      <c r="Q146" s="119"/>
      <c r="R146" s="169"/>
      <c r="S146" s="169"/>
      <c r="T146" s="169"/>
      <c r="U146" s="169"/>
    </row>
    <row r="147" spans="1:21" x14ac:dyDescent="0.2">
      <c r="A147" s="447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69"/>
      <c r="N147" s="119"/>
      <c r="O147" s="119"/>
      <c r="P147" s="119"/>
      <c r="Q147" s="119"/>
      <c r="R147" s="169"/>
      <c r="S147" s="169"/>
      <c r="T147" s="169"/>
      <c r="U147" s="169"/>
    </row>
    <row r="148" spans="1:21" x14ac:dyDescent="0.2">
      <c r="A148" s="447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69"/>
      <c r="N148" s="119"/>
      <c r="O148" s="119"/>
      <c r="P148" s="119"/>
      <c r="Q148" s="119"/>
      <c r="R148" s="169"/>
      <c r="S148" s="169"/>
      <c r="T148" s="169"/>
      <c r="U148" s="169"/>
    </row>
    <row r="149" spans="1:21" x14ac:dyDescent="0.2">
      <c r="A149" s="447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69"/>
      <c r="N149" s="119"/>
      <c r="O149" s="119"/>
      <c r="P149" s="123"/>
      <c r="Q149" s="119"/>
      <c r="R149" s="169"/>
      <c r="S149" s="169"/>
      <c r="T149" s="169"/>
      <c r="U149" s="169"/>
    </row>
    <row r="150" spans="1:21" x14ac:dyDescent="0.2">
      <c r="A150" s="447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69"/>
      <c r="N150" s="119"/>
      <c r="O150" s="119"/>
      <c r="P150" s="123"/>
      <c r="Q150" s="119"/>
      <c r="R150" s="169"/>
      <c r="S150" s="169"/>
      <c r="T150" s="169"/>
      <c r="U150" s="169"/>
    </row>
    <row r="151" spans="1:21" x14ac:dyDescent="0.2">
      <c r="A151" s="447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69"/>
      <c r="N151" s="119"/>
      <c r="O151" s="119"/>
      <c r="P151" s="123"/>
      <c r="Q151" s="119"/>
      <c r="R151" s="169"/>
      <c r="S151" s="169"/>
      <c r="T151" s="169"/>
      <c r="U151" s="169"/>
    </row>
    <row r="152" spans="1:21" x14ac:dyDescent="0.2">
      <c r="A152" s="447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69"/>
      <c r="N152" s="119"/>
      <c r="O152" s="119"/>
      <c r="P152" s="123"/>
      <c r="Q152" s="119"/>
      <c r="R152" s="169"/>
      <c r="S152" s="169"/>
      <c r="T152" s="169"/>
      <c r="U152" s="169"/>
    </row>
    <row r="153" spans="1:21" x14ac:dyDescent="0.2">
      <c r="A153" s="447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69"/>
      <c r="N153" s="119"/>
      <c r="O153" s="119"/>
      <c r="P153" s="123"/>
      <c r="Q153" s="119"/>
      <c r="R153" s="169"/>
      <c r="S153" s="169"/>
      <c r="T153" s="169"/>
      <c r="U153" s="169"/>
    </row>
    <row r="154" spans="1:21" x14ac:dyDescent="0.2">
      <c r="A154" s="447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69"/>
      <c r="N154" s="119"/>
      <c r="O154" s="119"/>
      <c r="P154" s="123"/>
      <c r="Q154" s="119"/>
      <c r="R154" s="169"/>
      <c r="S154" s="169"/>
      <c r="T154" s="169"/>
      <c r="U154" s="169"/>
    </row>
    <row r="155" spans="1:21" x14ac:dyDescent="0.2">
      <c r="A155" s="447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69"/>
      <c r="N155" s="119"/>
      <c r="O155" s="119"/>
      <c r="P155" s="123"/>
      <c r="Q155" s="119"/>
      <c r="R155" s="169"/>
      <c r="S155" s="169"/>
      <c r="T155" s="169"/>
      <c r="U155" s="169"/>
    </row>
    <row r="156" spans="1:21" x14ac:dyDescent="0.2">
      <c r="A156" s="447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69"/>
      <c r="N156" s="119"/>
      <c r="O156" s="119"/>
      <c r="P156" s="123"/>
      <c r="Q156" s="119"/>
      <c r="R156" s="169"/>
      <c r="S156" s="169"/>
      <c r="T156" s="169"/>
      <c r="U156" s="169"/>
    </row>
    <row r="157" spans="1:21" x14ac:dyDescent="0.2">
      <c r="A157" s="447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69"/>
      <c r="N157" s="119"/>
      <c r="O157" s="119"/>
      <c r="P157" s="123"/>
      <c r="Q157" s="119"/>
      <c r="R157" s="169"/>
      <c r="S157" s="169"/>
      <c r="T157" s="169"/>
      <c r="U157" s="169"/>
    </row>
    <row r="158" spans="1:21" x14ac:dyDescent="0.2">
      <c r="A158" s="447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69"/>
      <c r="N158" s="119"/>
      <c r="O158" s="119"/>
      <c r="P158" s="123"/>
      <c r="Q158" s="119"/>
      <c r="R158" s="169"/>
      <c r="S158" s="169"/>
      <c r="T158" s="169"/>
      <c r="U158" s="169"/>
    </row>
    <row r="159" spans="1:21" x14ac:dyDescent="0.2">
      <c r="A159" s="447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69"/>
      <c r="N159" s="119"/>
      <c r="O159" s="119"/>
      <c r="P159" s="123"/>
      <c r="Q159" s="119"/>
      <c r="R159" s="169"/>
      <c r="S159" s="169"/>
      <c r="T159" s="169"/>
      <c r="U159" s="169"/>
    </row>
    <row r="160" spans="1:21" x14ac:dyDescent="0.2">
      <c r="A160" s="447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69"/>
      <c r="N160" s="119"/>
      <c r="O160" s="119"/>
      <c r="P160" s="123"/>
      <c r="Q160" s="119"/>
      <c r="R160" s="169"/>
      <c r="S160" s="169"/>
      <c r="T160" s="169"/>
      <c r="U160" s="169"/>
    </row>
    <row r="161" spans="1:21" x14ac:dyDescent="0.2">
      <c r="A161" s="447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69"/>
      <c r="N161" s="119"/>
      <c r="O161" s="119"/>
      <c r="P161" s="123"/>
      <c r="Q161" s="119"/>
      <c r="R161" s="169"/>
      <c r="S161" s="169"/>
      <c r="T161" s="169"/>
      <c r="U161" s="169"/>
    </row>
    <row r="162" spans="1:21" x14ac:dyDescent="0.2">
      <c r="A162" s="447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69"/>
      <c r="N162" s="119"/>
      <c r="O162" s="119"/>
      <c r="P162" s="123"/>
      <c r="Q162" s="119"/>
      <c r="R162" s="169"/>
      <c r="S162" s="169"/>
      <c r="T162" s="169"/>
      <c r="U162" s="169"/>
    </row>
    <row r="163" spans="1:21" x14ac:dyDescent="0.2">
      <c r="A163" s="447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69"/>
      <c r="N163" s="119"/>
      <c r="O163" s="119"/>
      <c r="P163" s="123"/>
      <c r="Q163" s="119"/>
      <c r="R163" s="169"/>
      <c r="S163" s="169"/>
      <c r="T163" s="169"/>
      <c r="U163" s="169"/>
    </row>
    <row r="164" spans="1:21" x14ac:dyDescent="0.2">
      <c r="A164" s="447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69"/>
      <c r="N164" s="119"/>
      <c r="O164" s="119"/>
      <c r="P164" s="123"/>
      <c r="Q164" s="119"/>
      <c r="R164" s="169"/>
      <c r="S164" s="169"/>
      <c r="T164" s="169"/>
      <c r="U164" s="169"/>
    </row>
    <row r="165" spans="1:21" x14ac:dyDescent="0.2">
      <c r="A165" s="447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69"/>
      <c r="N165" s="119"/>
      <c r="O165" s="119"/>
      <c r="P165" s="123"/>
      <c r="Q165" s="119"/>
      <c r="R165" s="169"/>
      <c r="S165" s="169"/>
      <c r="T165" s="169"/>
      <c r="U165" s="169"/>
    </row>
    <row r="166" spans="1:21" x14ac:dyDescent="0.2">
      <c r="A166" s="447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69"/>
      <c r="N166" s="119"/>
      <c r="O166" s="119"/>
      <c r="P166" s="119"/>
      <c r="Q166" s="119"/>
      <c r="R166" s="169"/>
      <c r="S166" s="169"/>
      <c r="T166" s="169"/>
      <c r="U166" s="169"/>
    </row>
    <row r="167" spans="1:21" x14ac:dyDescent="0.2">
      <c r="A167" s="447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69"/>
      <c r="N167" s="119"/>
      <c r="O167" s="119"/>
      <c r="P167" s="119"/>
      <c r="Q167" s="119"/>
      <c r="R167" s="169"/>
      <c r="S167" s="169"/>
      <c r="T167" s="169"/>
      <c r="U167" s="169"/>
    </row>
    <row r="168" spans="1:21" x14ac:dyDescent="0.2">
      <c r="A168" s="447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69"/>
      <c r="N168" s="119"/>
      <c r="O168" s="119"/>
      <c r="P168" s="123"/>
      <c r="Q168" s="119"/>
      <c r="R168" s="169"/>
      <c r="S168" s="169"/>
      <c r="T168" s="169"/>
      <c r="U168" s="169"/>
    </row>
    <row r="169" spans="1:21" x14ac:dyDescent="0.2">
      <c r="A169" s="447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69"/>
      <c r="N169" s="119"/>
      <c r="O169" s="119"/>
      <c r="P169" s="123"/>
      <c r="Q169" s="119"/>
      <c r="R169" s="169"/>
      <c r="S169" s="169"/>
      <c r="T169" s="169"/>
      <c r="U169" s="169"/>
    </row>
    <row r="170" spans="1:21" x14ac:dyDescent="0.2">
      <c r="A170" s="447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69"/>
      <c r="N170" s="119"/>
      <c r="O170" s="119"/>
      <c r="P170" s="123"/>
      <c r="Q170" s="119"/>
      <c r="R170" s="169"/>
      <c r="S170" s="169"/>
      <c r="T170" s="169"/>
      <c r="U170" s="169"/>
    </row>
    <row r="171" spans="1:21" x14ac:dyDescent="0.2">
      <c r="A171" s="447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69"/>
      <c r="N171" s="119"/>
      <c r="O171" s="119"/>
      <c r="P171" s="123"/>
      <c r="Q171" s="119"/>
      <c r="R171" s="169"/>
      <c r="S171" s="169"/>
      <c r="T171" s="169"/>
      <c r="U171" s="169"/>
    </row>
    <row r="172" spans="1:21" x14ac:dyDescent="0.2">
      <c r="A172" s="447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69"/>
      <c r="N172" s="119"/>
      <c r="O172" s="119"/>
      <c r="P172" s="123"/>
      <c r="Q172" s="119"/>
      <c r="R172" s="169"/>
      <c r="S172" s="169"/>
      <c r="T172" s="169"/>
      <c r="U172" s="169"/>
    </row>
    <row r="173" spans="1:21" x14ac:dyDescent="0.2">
      <c r="A173" s="447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69"/>
      <c r="N173" s="119"/>
      <c r="O173" s="119"/>
      <c r="P173" s="123"/>
      <c r="Q173" s="119"/>
      <c r="R173" s="169"/>
      <c r="S173" s="169"/>
      <c r="T173" s="169"/>
      <c r="U173" s="169"/>
    </row>
    <row r="174" spans="1:21" x14ac:dyDescent="0.2">
      <c r="A174" s="447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69"/>
      <c r="N174" s="119"/>
      <c r="O174" s="119"/>
      <c r="P174" s="123"/>
      <c r="Q174" s="119"/>
      <c r="R174" s="169"/>
      <c r="S174" s="169"/>
      <c r="T174" s="169"/>
      <c r="U174" s="169"/>
    </row>
    <row r="175" spans="1:21" x14ac:dyDescent="0.2">
      <c r="A175" s="447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69"/>
      <c r="N175" s="119"/>
      <c r="O175" s="119"/>
      <c r="P175" s="123"/>
      <c r="Q175" s="119"/>
      <c r="R175" s="169"/>
      <c r="S175" s="169"/>
      <c r="T175" s="169"/>
      <c r="U175" s="169"/>
    </row>
    <row r="176" spans="1:21" x14ac:dyDescent="0.2">
      <c r="A176" s="447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69"/>
      <c r="N176" s="119"/>
      <c r="O176" s="119"/>
      <c r="P176" s="123"/>
      <c r="Q176" s="119"/>
      <c r="R176" s="169"/>
      <c r="S176" s="169"/>
      <c r="T176" s="169"/>
      <c r="U176" s="169"/>
    </row>
    <row r="177" spans="1:21" x14ac:dyDescent="0.2">
      <c r="A177" s="447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69"/>
      <c r="N177" s="119"/>
      <c r="O177" s="119"/>
      <c r="P177" s="123"/>
      <c r="Q177" s="119"/>
      <c r="R177" s="169"/>
      <c r="S177" s="169"/>
      <c r="T177" s="169"/>
      <c r="U177" s="169"/>
    </row>
    <row r="178" spans="1:21" x14ac:dyDescent="0.2">
      <c r="A178" s="447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69"/>
      <c r="N178" s="119"/>
      <c r="O178" s="119"/>
      <c r="P178" s="123"/>
      <c r="Q178" s="119"/>
      <c r="R178" s="169"/>
      <c r="S178" s="169"/>
      <c r="T178" s="169"/>
      <c r="U178" s="169"/>
    </row>
    <row r="179" spans="1:21" x14ac:dyDescent="0.2">
      <c r="A179" s="447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69"/>
      <c r="N179" s="119"/>
      <c r="O179" s="119"/>
      <c r="P179" s="123"/>
      <c r="Q179" s="119"/>
      <c r="R179" s="169"/>
      <c r="S179" s="169"/>
      <c r="T179" s="169"/>
      <c r="U179" s="169"/>
    </row>
    <row r="180" spans="1:21" x14ac:dyDescent="0.2">
      <c r="A180" s="447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69"/>
      <c r="N180" s="119"/>
      <c r="O180" s="119"/>
      <c r="P180" s="123"/>
      <c r="Q180" s="119"/>
      <c r="R180" s="169"/>
      <c r="S180" s="169"/>
      <c r="T180" s="169"/>
      <c r="U180" s="169"/>
    </row>
    <row r="181" spans="1:21" x14ac:dyDescent="0.2">
      <c r="A181" s="447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69"/>
      <c r="N181" s="119"/>
      <c r="O181" s="119"/>
      <c r="P181" s="123"/>
      <c r="Q181" s="119"/>
      <c r="R181" s="169"/>
      <c r="S181" s="169"/>
      <c r="T181" s="169"/>
      <c r="U181" s="169"/>
    </row>
    <row r="182" spans="1:21" x14ac:dyDescent="0.2">
      <c r="A182" s="447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69"/>
      <c r="N182" s="119"/>
      <c r="O182" s="119"/>
      <c r="P182" s="123"/>
      <c r="Q182" s="119"/>
      <c r="R182" s="169"/>
      <c r="S182" s="169"/>
      <c r="T182" s="169"/>
      <c r="U182" s="169"/>
    </row>
    <row r="183" spans="1:21" x14ac:dyDescent="0.2">
      <c r="A183" s="447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69"/>
      <c r="N183" s="119"/>
      <c r="O183" s="119"/>
      <c r="P183" s="123"/>
      <c r="Q183" s="119"/>
      <c r="R183" s="169"/>
      <c r="S183" s="169"/>
      <c r="T183" s="169"/>
      <c r="U183" s="169"/>
    </row>
    <row r="184" spans="1:21" x14ac:dyDescent="0.2">
      <c r="A184" s="447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69"/>
      <c r="N184" s="119"/>
      <c r="O184" s="119"/>
      <c r="P184" s="123"/>
      <c r="Q184" s="119"/>
      <c r="R184" s="169"/>
      <c r="S184" s="169"/>
      <c r="T184" s="169"/>
      <c r="U184" s="169"/>
    </row>
    <row r="185" spans="1:21" x14ac:dyDescent="0.2">
      <c r="A185" s="447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69"/>
      <c r="N185" s="119"/>
      <c r="O185" s="119"/>
      <c r="P185" s="123"/>
      <c r="Q185" s="119"/>
      <c r="R185" s="169"/>
      <c r="S185" s="169"/>
      <c r="T185" s="169"/>
      <c r="U185" s="169"/>
    </row>
    <row r="186" spans="1:21" x14ac:dyDescent="0.2">
      <c r="A186" s="447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69"/>
      <c r="N186" s="119"/>
      <c r="O186" s="119"/>
      <c r="P186" s="123"/>
      <c r="Q186" s="119"/>
      <c r="R186" s="119"/>
      <c r="S186" s="119"/>
      <c r="T186" s="119"/>
      <c r="U186" s="119"/>
    </row>
    <row r="187" spans="1:21" x14ac:dyDescent="0.2">
      <c r="A187" s="447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69"/>
      <c r="N187" s="119"/>
      <c r="O187" s="119"/>
      <c r="P187" s="123"/>
      <c r="Q187" s="119"/>
      <c r="R187" s="119"/>
      <c r="S187" s="119"/>
      <c r="T187" s="119"/>
      <c r="U187" s="119"/>
    </row>
    <row r="188" spans="1:21" x14ac:dyDescent="0.2">
      <c r="A188" s="447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69"/>
      <c r="N188" s="119"/>
      <c r="O188" s="119"/>
      <c r="P188" s="123"/>
      <c r="Q188" s="119"/>
      <c r="R188" s="119"/>
      <c r="S188" s="119"/>
      <c r="T188" s="119"/>
      <c r="U188" s="119"/>
    </row>
    <row r="189" spans="1:21" x14ac:dyDescent="0.2">
      <c r="A189" s="447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69"/>
      <c r="N189" s="119"/>
      <c r="O189" s="119"/>
      <c r="P189" s="123"/>
      <c r="Q189" s="119"/>
      <c r="R189" s="119"/>
      <c r="S189" s="119"/>
      <c r="T189" s="119"/>
      <c r="U189" s="119"/>
    </row>
    <row r="190" spans="1:21" x14ac:dyDescent="0.2">
      <c r="A190" s="447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69"/>
      <c r="N190" s="119"/>
      <c r="O190" s="119"/>
      <c r="P190" s="123"/>
      <c r="Q190" s="119"/>
      <c r="R190" s="119"/>
      <c r="S190" s="119"/>
      <c r="T190" s="119"/>
      <c r="U190" s="119"/>
    </row>
    <row r="191" spans="1:21" x14ac:dyDescent="0.2">
      <c r="A191" s="447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69"/>
      <c r="N191" s="119"/>
      <c r="O191" s="119"/>
      <c r="P191" s="123"/>
      <c r="Q191" s="119"/>
      <c r="R191" s="119"/>
      <c r="S191" s="119"/>
      <c r="T191" s="119"/>
      <c r="U191" s="119"/>
    </row>
    <row r="192" spans="1:21" x14ac:dyDescent="0.2">
      <c r="A192" s="447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69"/>
      <c r="N192" s="119"/>
      <c r="O192" s="119"/>
      <c r="P192" s="123"/>
      <c r="Q192" s="119"/>
      <c r="R192" s="119"/>
      <c r="S192" s="119"/>
      <c r="T192" s="119"/>
      <c r="U192" s="119"/>
    </row>
    <row r="193" spans="1:21" x14ac:dyDescent="0.2">
      <c r="A193" s="447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69"/>
      <c r="N193" s="119"/>
      <c r="O193" s="119"/>
      <c r="P193" s="123"/>
      <c r="Q193" s="119"/>
      <c r="R193" s="119"/>
      <c r="S193" s="119"/>
      <c r="T193" s="119"/>
      <c r="U193" s="119"/>
    </row>
    <row r="194" spans="1:21" x14ac:dyDescent="0.2">
      <c r="A194" s="447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69"/>
      <c r="N194" s="119"/>
      <c r="O194" s="119"/>
      <c r="P194" s="123"/>
      <c r="Q194" s="119"/>
      <c r="R194" s="119"/>
      <c r="S194" s="119"/>
      <c r="T194" s="119"/>
      <c r="U194" s="119"/>
    </row>
    <row r="195" spans="1:21" x14ac:dyDescent="0.2">
      <c r="A195" s="447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69"/>
      <c r="N195" s="119"/>
      <c r="O195" s="119"/>
      <c r="P195" s="123"/>
      <c r="Q195" s="119"/>
      <c r="R195" s="119"/>
      <c r="S195" s="119"/>
      <c r="T195" s="119"/>
      <c r="U195" s="119"/>
    </row>
    <row r="196" spans="1:21" x14ac:dyDescent="0.2">
      <c r="A196" s="447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69"/>
      <c r="N196" s="119"/>
      <c r="O196" s="119"/>
      <c r="P196" s="123"/>
      <c r="Q196" s="119"/>
      <c r="R196" s="119"/>
      <c r="S196" s="119"/>
      <c r="T196" s="119"/>
      <c r="U196" s="119"/>
    </row>
    <row r="197" spans="1:21" x14ac:dyDescent="0.2">
      <c r="A197" s="447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69"/>
      <c r="N197" s="119"/>
      <c r="O197" s="119"/>
      <c r="P197" s="123"/>
      <c r="Q197" s="119"/>
      <c r="R197" s="119"/>
      <c r="S197" s="119"/>
      <c r="T197" s="119"/>
      <c r="U197" s="119"/>
    </row>
    <row r="198" spans="1:21" x14ac:dyDescent="0.2">
      <c r="A198" s="447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69"/>
      <c r="N198" s="119"/>
      <c r="O198" s="119"/>
      <c r="P198" s="123"/>
      <c r="Q198" s="119"/>
      <c r="R198" s="119"/>
      <c r="S198" s="119"/>
      <c r="T198" s="119"/>
      <c r="U198" s="119"/>
    </row>
    <row r="199" spans="1:21" x14ac:dyDescent="0.2">
      <c r="A199" s="447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69"/>
      <c r="N199" s="119"/>
      <c r="O199" s="119"/>
      <c r="P199" s="123"/>
      <c r="Q199" s="119"/>
      <c r="R199" s="119"/>
      <c r="S199" s="119"/>
      <c r="T199" s="119"/>
      <c r="U199" s="119"/>
    </row>
    <row r="200" spans="1:21" x14ac:dyDescent="0.2">
      <c r="A200" s="447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</row>
    <row r="201" spans="1:21" x14ac:dyDescent="0.2">
      <c r="A201" s="447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</row>
    <row r="202" spans="1:21" x14ac:dyDescent="0.2">
      <c r="A202" s="447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</row>
    <row r="203" spans="1:21" x14ac:dyDescent="0.2">
      <c r="A203" s="447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</row>
    <row r="204" spans="1:21" x14ac:dyDescent="0.2">
      <c r="A204" s="447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</row>
    <row r="205" spans="1:21" x14ac:dyDescent="0.2">
      <c r="A205" s="447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</row>
    <row r="206" spans="1:21" x14ac:dyDescent="0.2">
      <c r="A206" s="447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</row>
    <row r="207" spans="1:21" x14ac:dyDescent="0.2">
      <c r="A207" s="447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</row>
    <row r="208" spans="1:21" x14ac:dyDescent="0.2">
      <c r="A208" s="447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</row>
    <row r="209" spans="1:21" x14ac:dyDescent="0.2">
      <c r="A209" s="447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</row>
    <row r="210" spans="1:21" x14ac:dyDescent="0.2">
      <c r="A210" s="447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</row>
    <row r="211" spans="1:21" x14ac:dyDescent="0.2">
      <c r="A211" s="447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</row>
    <row r="212" spans="1:21" x14ac:dyDescent="0.2">
      <c r="A212" s="447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</row>
    <row r="213" spans="1:21" x14ac:dyDescent="0.2">
      <c r="A213" s="447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</row>
    <row r="214" spans="1:21" x14ac:dyDescent="0.2">
      <c r="A214" s="447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</row>
    <row r="215" spans="1:21" x14ac:dyDescent="0.2">
      <c r="A215" s="447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</row>
    <row r="216" spans="1:21" x14ac:dyDescent="0.2">
      <c r="A216" s="447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</row>
    <row r="217" spans="1:21" x14ac:dyDescent="0.2">
      <c r="A217" s="447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</row>
    <row r="218" spans="1:21" x14ac:dyDescent="0.2">
      <c r="A218" s="447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</row>
    <row r="219" spans="1:21" x14ac:dyDescent="0.2">
      <c r="A219" s="447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</row>
    <row r="220" spans="1:21" x14ac:dyDescent="0.2">
      <c r="A220" s="447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</row>
    <row r="221" spans="1:21" x14ac:dyDescent="0.2">
      <c r="A221" s="447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</row>
    <row r="222" spans="1:21" x14ac:dyDescent="0.2">
      <c r="A222" s="447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</row>
    <row r="223" spans="1:21" x14ac:dyDescent="0.2">
      <c r="A223" s="447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</row>
    <row r="224" spans="1:21" x14ac:dyDescent="0.2">
      <c r="A224" s="447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</row>
    <row r="225" spans="1:21" x14ac:dyDescent="0.2">
      <c r="A225" s="447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</row>
    <row r="226" spans="1:21" x14ac:dyDescent="0.2">
      <c r="A226" s="447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</row>
    <row r="227" spans="1:21" x14ac:dyDescent="0.2">
      <c r="A227" s="447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</row>
    <row r="228" spans="1:21" x14ac:dyDescent="0.2">
      <c r="A228" s="447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</row>
    <row r="229" spans="1:21" x14ac:dyDescent="0.2">
      <c r="A229" s="447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</row>
    <row r="230" spans="1:21" x14ac:dyDescent="0.2">
      <c r="A230" s="447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</row>
    <row r="231" spans="1:21" x14ac:dyDescent="0.2">
      <c r="A231" s="447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</row>
    <row r="232" spans="1:21" x14ac:dyDescent="0.2">
      <c r="A232" s="447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</row>
    <row r="233" spans="1:21" x14ac:dyDescent="0.2">
      <c r="A233" s="447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</row>
    <row r="234" spans="1:21" x14ac:dyDescent="0.2">
      <c r="A234" s="447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</row>
    <row r="235" spans="1:21" x14ac:dyDescent="0.2">
      <c r="A235" s="447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</row>
    <row r="236" spans="1:21" x14ac:dyDescent="0.2">
      <c r="A236" s="447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</row>
    <row r="237" spans="1:21" x14ac:dyDescent="0.2">
      <c r="A237" s="447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</row>
    <row r="238" spans="1:21" x14ac:dyDescent="0.2">
      <c r="A238" s="447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</row>
    <row r="239" spans="1:21" x14ac:dyDescent="0.2">
      <c r="A239" s="447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</row>
    <row r="240" spans="1:21" x14ac:dyDescent="0.2">
      <c r="A240" s="447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</row>
    <row r="241" spans="1:21" x14ac:dyDescent="0.2">
      <c r="A241" s="447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</row>
    <row r="242" spans="1:21" x14ac:dyDescent="0.2">
      <c r="A242" s="447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</row>
    <row r="243" spans="1:21" x14ac:dyDescent="0.2">
      <c r="A243" s="447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</row>
    <row r="244" spans="1:21" x14ac:dyDescent="0.2">
      <c r="A244" s="447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</row>
    <row r="245" spans="1:21" x14ac:dyDescent="0.2">
      <c r="A245" s="447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</row>
    <row r="246" spans="1:21" x14ac:dyDescent="0.2">
      <c r="A246" s="447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</row>
    <row r="247" spans="1:21" x14ac:dyDescent="0.2">
      <c r="A247" s="447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</row>
    <row r="248" spans="1:21" x14ac:dyDescent="0.2">
      <c r="A248" s="447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</row>
    <row r="249" spans="1:21" x14ac:dyDescent="0.2">
      <c r="A249" s="447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</row>
    <row r="250" spans="1:21" x14ac:dyDescent="0.2">
      <c r="A250" s="447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</row>
    <row r="251" spans="1:21" x14ac:dyDescent="0.2">
      <c r="A251" s="447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</row>
    <row r="252" spans="1:21" x14ac:dyDescent="0.2">
      <c r="A252" s="447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</row>
    <row r="253" spans="1:21" x14ac:dyDescent="0.2">
      <c r="A253" s="447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</row>
    <row r="254" spans="1:21" x14ac:dyDescent="0.2">
      <c r="A254" s="447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</row>
    <row r="255" spans="1:21" x14ac:dyDescent="0.2">
      <c r="A255" s="447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</row>
    <row r="256" spans="1:21" x14ac:dyDescent="0.2">
      <c r="A256" s="447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</row>
    <row r="257" spans="1:21" x14ac:dyDescent="0.2">
      <c r="A257" s="447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</row>
    <row r="258" spans="1:21" x14ac:dyDescent="0.2">
      <c r="A258" s="447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</row>
    <row r="259" spans="1:21" x14ac:dyDescent="0.2">
      <c r="A259" s="447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</row>
    <row r="260" spans="1:21" x14ac:dyDescent="0.2">
      <c r="A260" s="447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</row>
    <row r="261" spans="1:21" x14ac:dyDescent="0.2">
      <c r="A261" s="447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</row>
    <row r="262" spans="1:21" x14ac:dyDescent="0.2">
      <c r="A262" s="447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</row>
    <row r="263" spans="1:21" x14ac:dyDescent="0.2">
      <c r="A263" s="447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</row>
    <row r="264" spans="1:21" x14ac:dyDescent="0.2">
      <c r="A264" s="447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</row>
    <row r="265" spans="1:21" x14ac:dyDescent="0.2">
      <c r="A265" s="447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</row>
    <row r="266" spans="1:21" x14ac:dyDescent="0.2">
      <c r="A266" s="447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</row>
    <row r="267" spans="1:21" x14ac:dyDescent="0.2">
      <c r="A267" s="447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</row>
    <row r="268" spans="1:21" x14ac:dyDescent="0.2">
      <c r="A268" s="447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</row>
    <row r="269" spans="1:21" x14ac:dyDescent="0.2">
      <c r="A269" s="447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</row>
    <row r="270" spans="1:21" x14ac:dyDescent="0.2">
      <c r="A270" s="447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</row>
    <row r="271" spans="1:21" x14ac:dyDescent="0.2">
      <c r="A271" s="447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</row>
    <row r="272" spans="1:21" x14ac:dyDescent="0.2">
      <c r="A272" s="447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</row>
    <row r="273" spans="1:21" x14ac:dyDescent="0.2">
      <c r="A273" s="447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</row>
    <row r="274" spans="1:21" x14ac:dyDescent="0.2">
      <c r="A274" s="447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</row>
    <row r="275" spans="1:21" x14ac:dyDescent="0.2">
      <c r="A275" s="447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</row>
    <row r="276" spans="1:21" x14ac:dyDescent="0.2">
      <c r="A276" s="447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</row>
    <row r="277" spans="1:21" x14ac:dyDescent="0.2">
      <c r="A277" s="447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</row>
    <row r="278" spans="1:21" x14ac:dyDescent="0.2">
      <c r="A278" s="447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</row>
    <row r="279" spans="1:21" x14ac:dyDescent="0.2">
      <c r="A279" s="447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</row>
    <row r="280" spans="1:21" x14ac:dyDescent="0.2">
      <c r="A280" s="447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</row>
    <row r="281" spans="1:21" x14ac:dyDescent="0.2">
      <c r="A281" s="447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</row>
    <row r="282" spans="1:21" x14ac:dyDescent="0.2">
      <c r="A282" s="447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</row>
    <row r="283" spans="1:21" x14ac:dyDescent="0.2">
      <c r="A283" s="447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</row>
    <row r="284" spans="1:21" x14ac:dyDescent="0.2">
      <c r="A284" s="447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</row>
    <row r="285" spans="1:21" x14ac:dyDescent="0.2">
      <c r="A285" s="447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</row>
    <row r="286" spans="1:21" x14ac:dyDescent="0.2">
      <c r="A286" s="447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</row>
    <row r="287" spans="1:21" x14ac:dyDescent="0.2">
      <c r="A287" s="447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</row>
    <row r="288" spans="1:21" x14ac:dyDescent="0.2">
      <c r="A288" s="447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</row>
    <row r="289" spans="1:21" x14ac:dyDescent="0.2">
      <c r="A289" s="447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</row>
    <row r="290" spans="1:21" x14ac:dyDescent="0.2">
      <c r="A290" s="447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</row>
    <row r="291" spans="1:21" x14ac:dyDescent="0.2">
      <c r="A291" s="447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</row>
    <row r="292" spans="1:21" x14ac:dyDescent="0.2">
      <c r="A292" s="447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</row>
    <row r="293" spans="1:21" x14ac:dyDescent="0.2">
      <c r="A293" s="447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</row>
    <row r="294" spans="1:21" x14ac:dyDescent="0.2">
      <c r="A294" s="447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</row>
    <row r="295" spans="1:21" x14ac:dyDescent="0.2">
      <c r="A295" s="447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</row>
    <row r="296" spans="1:21" x14ac:dyDescent="0.2">
      <c r="A296" s="447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</row>
    <row r="297" spans="1:21" x14ac:dyDescent="0.2">
      <c r="A297" s="447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</row>
    <row r="298" spans="1:21" x14ac:dyDescent="0.2">
      <c r="A298" s="447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</row>
    <row r="299" spans="1:21" x14ac:dyDescent="0.2">
      <c r="A299" s="447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</row>
    <row r="300" spans="1:21" x14ac:dyDescent="0.2">
      <c r="A300" s="447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</row>
    <row r="301" spans="1:21" x14ac:dyDescent="0.2">
      <c r="A301" s="447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</row>
    <row r="302" spans="1:21" x14ac:dyDescent="0.2">
      <c r="A302" s="447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</row>
    <row r="303" spans="1:21" x14ac:dyDescent="0.2">
      <c r="A303" s="447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</row>
    <row r="304" spans="1:21" x14ac:dyDescent="0.2">
      <c r="A304" s="447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</row>
    <row r="305" spans="1:21" x14ac:dyDescent="0.2">
      <c r="A305" s="447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</row>
    <row r="306" spans="1:21" x14ac:dyDescent="0.2">
      <c r="A306" s="447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</row>
    <row r="307" spans="1:21" x14ac:dyDescent="0.2">
      <c r="A307" s="447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</row>
    <row r="308" spans="1:21" x14ac:dyDescent="0.2">
      <c r="A308" s="447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</row>
    <row r="309" spans="1:21" x14ac:dyDescent="0.2">
      <c r="A309" s="447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</row>
    <row r="310" spans="1:21" x14ac:dyDescent="0.2">
      <c r="A310" s="447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</row>
    <row r="311" spans="1:21" x14ac:dyDescent="0.2">
      <c r="A311" s="447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</row>
    <row r="312" spans="1:21" x14ac:dyDescent="0.2">
      <c r="A312" s="447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</row>
    <row r="313" spans="1:21" x14ac:dyDescent="0.2">
      <c r="A313" s="447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</row>
    <row r="314" spans="1:21" x14ac:dyDescent="0.2">
      <c r="A314" s="447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</row>
    <row r="315" spans="1:21" x14ac:dyDescent="0.2">
      <c r="A315" s="447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</row>
    <row r="316" spans="1:21" x14ac:dyDescent="0.2">
      <c r="A316" s="447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</row>
    <row r="317" spans="1:21" x14ac:dyDescent="0.2">
      <c r="A317" s="447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</row>
    <row r="318" spans="1:21" x14ac:dyDescent="0.2">
      <c r="A318" s="447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</row>
    <row r="319" spans="1:21" x14ac:dyDescent="0.2">
      <c r="A319" s="447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</row>
    <row r="320" spans="1:21" x14ac:dyDescent="0.2">
      <c r="A320" s="447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</row>
    <row r="321" spans="1:21" x14ac:dyDescent="0.2">
      <c r="A321" s="447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</row>
    <row r="322" spans="1:21" x14ac:dyDescent="0.2">
      <c r="A322" s="447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</row>
    <row r="323" spans="1:21" x14ac:dyDescent="0.2">
      <c r="A323" s="447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</row>
    <row r="324" spans="1:21" x14ac:dyDescent="0.2">
      <c r="A324" s="447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</row>
    <row r="325" spans="1:21" x14ac:dyDescent="0.2">
      <c r="A325" s="447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</row>
    <row r="326" spans="1:21" x14ac:dyDescent="0.2">
      <c r="A326" s="447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</row>
    <row r="327" spans="1:21" x14ac:dyDescent="0.2">
      <c r="A327" s="447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</row>
    <row r="328" spans="1:21" x14ac:dyDescent="0.2">
      <c r="A328" s="447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</row>
    <row r="329" spans="1:21" x14ac:dyDescent="0.2">
      <c r="A329" s="447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</row>
    <row r="330" spans="1:21" x14ac:dyDescent="0.2">
      <c r="A330" s="447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</row>
    <row r="331" spans="1:21" x14ac:dyDescent="0.2">
      <c r="A331" s="447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</row>
    <row r="332" spans="1:21" x14ac:dyDescent="0.2">
      <c r="A332" s="447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</row>
    <row r="333" spans="1:21" x14ac:dyDescent="0.2">
      <c r="A333" s="447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</row>
    <row r="334" spans="1:21" x14ac:dyDescent="0.2">
      <c r="A334" s="447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</row>
    <row r="335" spans="1:21" x14ac:dyDescent="0.2">
      <c r="A335" s="447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</row>
    <row r="336" spans="1:21" x14ac:dyDescent="0.2">
      <c r="A336" s="447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</row>
    <row r="337" spans="1:21" x14ac:dyDescent="0.2">
      <c r="A337" s="447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</row>
    <row r="338" spans="1:21" x14ac:dyDescent="0.2">
      <c r="A338" s="447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</row>
    <row r="339" spans="1:21" x14ac:dyDescent="0.2">
      <c r="A339" s="447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</row>
    <row r="340" spans="1:21" x14ac:dyDescent="0.2">
      <c r="A340" s="447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</row>
    <row r="341" spans="1:21" x14ac:dyDescent="0.2">
      <c r="A341" s="447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</row>
    <row r="342" spans="1:21" x14ac:dyDescent="0.2">
      <c r="A342" s="447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</row>
    <row r="343" spans="1:21" x14ac:dyDescent="0.2">
      <c r="A343" s="447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</row>
    <row r="344" spans="1:21" x14ac:dyDescent="0.2">
      <c r="A344" s="447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</row>
    <row r="345" spans="1:21" x14ac:dyDescent="0.2">
      <c r="A345" s="447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</row>
    <row r="346" spans="1:21" x14ac:dyDescent="0.2">
      <c r="A346" s="447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</row>
    <row r="347" spans="1:21" x14ac:dyDescent="0.2">
      <c r="A347" s="447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</row>
    <row r="348" spans="1:21" x14ac:dyDescent="0.2">
      <c r="A348" s="447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</row>
    <row r="349" spans="1:21" x14ac:dyDescent="0.2">
      <c r="A349" s="447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</row>
    <row r="350" spans="1:21" x14ac:dyDescent="0.2">
      <c r="A350" s="447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</row>
    <row r="351" spans="1:21" x14ac:dyDescent="0.2">
      <c r="A351" s="447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</row>
    <row r="352" spans="1:21" x14ac:dyDescent="0.2">
      <c r="A352" s="447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</row>
    <row r="353" spans="1:21" x14ac:dyDescent="0.2">
      <c r="A353" s="447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</row>
    <row r="354" spans="1:21" x14ac:dyDescent="0.2">
      <c r="A354" s="447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</row>
    <row r="355" spans="1:21" x14ac:dyDescent="0.2">
      <c r="A355" s="447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</row>
    <row r="356" spans="1:21" x14ac:dyDescent="0.2">
      <c r="A356" s="447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</row>
    <row r="357" spans="1:21" x14ac:dyDescent="0.2">
      <c r="A357" s="447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</row>
    <row r="358" spans="1:21" x14ac:dyDescent="0.2">
      <c r="A358" s="447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</row>
    <row r="359" spans="1:21" x14ac:dyDescent="0.2">
      <c r="A359" s="447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</row>
    <row r="360" spans="1:21" x14ac:dyDescent="0.2">
      <c r="A360" s="447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</row>
    <row r="361" spans="1:21" x14ac:dyDescent="0.2">
      <c r="A361" s="447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</row>
    <row r="362" spans="1:21" x14ac:dyDescent="0.2">
      <c r="A362" s="447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</row>
    <row r="363" spans="1:21" x14ac:dyDescent="0.2">
      <c r="A363" s="447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</row>
    <row r="364" spans="1:21" x14ac:dyDescent="0.2">
      <c r="A364" s="447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</row>
    <row r="365" spans="1:21" x14ac:dyDescent="0.2">
      <c r="A365" s="447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</row>
    <row r="366" spans="1:21" x14ac:dyDescent="0.2">
      <c r="A366" s="447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</row>
    <row r="367" spans="1:21" x14ac:dyDescent="0.2">
      <c r="A367" s="447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</row>
    <row r="368" spans="1:21" x14ac:dyDescent="0.2">
      <c r="A368" s="447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</row>
    <row r="369" spans="1:21" x14ac:dyDescent="0.2">
      <c r="A369" s="447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</row>
    <row r="370" spans="1:21" x14ac:dyDescent="0.2">
      <c r="A370" s="447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</row>
    <row r="371" spans="1:21" x14ac:dyDescent="0.2">
      <c r="A371" s="447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</row>
    <row r="372" spans="1:21" x14ac:dyDescent="0.2">
      <c r="A372" s="447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</row>
    <row r="373" spans="1:21" x14ac:dyDescent="0.2">
      <c r="A373" s="447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</row>
    <row r="374" spans="1:21" x14ac:dyDescent="0.2">
      <c r="A374" s="447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</row>
    <row r="375" spans="1:21" x14ac:dyDescent="0.2">
      <c r="A375" s="447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</row>
    <row r="376" spans="1:21" x14ac:dyDescent="0.2">
      <c r="A376" s="447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</row>
    <row r="377" spans="1:21" x14ac:dyDescent="0.2">
      <c r="A377" s="447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</row>
    <row r="378" spans="1:21" x14ac:dyDescent="0.2">
      <c r="A378" s="447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</row>
    <row r="379" spans="1:21" x14ac:dyDescent="0.2">
      <c r="A379" s="447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</row>
    <row r="380" spans="1:21" x14ac:dyDescent="0.2">
      <c r="A380" s="447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</row>
    <row r="381" spans="1:21" x14ac:dyDescent="0.2">
      <c r="A381" s="447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</row>
    <row r="382" spans="1:21" x14ac:dyDescent="0.2">
      <c r="A382" s="447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</row>
    <row r="383" spans="1:21" x14ac:dyDescent="0.2">
      <c r="A383" s="447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</row>
    <row r="384" spans="1:21" x14ac:dyDescent="0.2">
      <c r="A384" s="447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</row>
    <row r="385" spans="1:21" x14ac:dyDescent="0.2">
      <c r="A385" s="447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</row>
    <row r="386" spans="1:21" x14ac:dyDescent="0.2">
      <c r="A386" s="447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</row>
    <row r="387" spans="1:21" x14ac:dyDescent="0.2">
      <c r="A387" s="447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</row>
    <row r="388" spans="1:21" x14ac:dyDescent="0.2">
      <c r="A388" s="447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</row>
    <row r="389" spans="1:21" x14ac:dyDescent="0.2">
      <c r="A389" s="447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</row>
    <row r="390" spans="1:21" x14ac:dyDescent="0.2">
      <c r="A390" s="447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</row>
    <row r="391" spans="1:21" x14ac:dyDescent="0.2">
      <c r="A391" s="447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</row>
    <row r="392" spans="1:21" x14ac:dyDescent="0.2">
      <c r="A392" s="447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</row>
    <row r="393" spans="1:21" x14ac:dyDescent="0.2">
      <c r="A393" s="447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</row>
    <row r="394" spans="1:21" x14ac:dyDescent="0.2">
      <c r="A394" s="447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</row>
    <row r="395" spans="1:21" x14ac:dyDescent="0.2">
      <c r="A395" s="447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</row>
    <row r="396" spans="1:21" x14ac:dyDescent="0.2">
      <c r="A396" s="447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</row>
    <row r="397" spans="1:21" x14ac:dyDescent="0.2">
      <c r="A397" s="447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</row>
    <row r="398" spans="1:21" x14ac:dyDescent="0.2">
      <c r="A398" s="447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</row>
    <row r="399" spans="1:21" x14ac:dyDescent="0.2">
      <c r="A399" s="447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</row>
    <row r="400" spans="1:21" x14ac:dyDescent="0.2">
      <c r="A400" s="447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</row>
    <row r="401" spans="1:21" x14ac:dyDescent="0.2">
      <c r="A401" s="447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</row>
    <row r="402" spans="1:21" x14ac:dyDescent="0.2">
      <c r="A402" s="447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</row>
    <row r="403" spans="1:21" x14ac:dyDescent="0.2">
      <c r="A403" s="447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</row>
    <row r="404" spans="1:21" x14ac:dyDescent="0.2">
      <c r="A404" s="447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</row>
    <row r="405" spans="1:21" x14ac:dyDescent="0.2">
      <c r="A405" s="447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</row>
    <row r="406" spans="1:21" x14ac:dyDescent="0.2">
      <c r="A406" s="447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</row>
    <row r="407" spans="1:21" x14ac:dyDescent="0.2">
      <c r="A407" s="447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</row>
    <row r="408" spans="1:21" x14ac:dyDescent="0.2">
      <c r="A408" s="447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</row>
    <row r="409" spans="1:21" x14ac:dyDescent="0.2">
      <c r="A409" s="447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</row>
    <row r="410" spans="1:21" x14ac:dyDescent="0.2">
      <c r="A410" s="447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</row>
    <row r="411" spans="1:21" x14ac:dyDescent="0.2">
      <c r="A411" s="447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</row>
    <row r="412" spans="1:21" x14ac:dyDescent="0.2">
      <c r="A412" s="447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</row>
    <row r="413" spans="1:21" x14ac:dyDescent="0.2">
      <c r="A413" s="447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</row>
    <row r="414" spans="1:21" x14ac:dyDescent="0.2">
      <c r="A414" s="447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</row>
    <row r="415" spans="1:21" x14ac:dyDescent="0.2">
      <c r="A415" s="447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</row>
    <row r="416" spans="1:21" x14ac:dyDescent="0.2">
      <c r="A416" s="447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</row>
    <row r="417" spans="1:21" x14ac:dyDescent="0.2">
      <c r="A417" s="447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</row>
    <row r="418" spans="1:21" x14ac:dyDescent="0.2">
      <c r="A418" s="447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</row>
    <row r="419" spans="1:21" x14ac:dyDescent="0.2">
      <c r="A419" s="447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</row>
    <row r="420" spans="1:21" x14ac:dyDescent="0.2">
      <c r="A420" s="447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</row>
    <row r="421" spans="1:21" x14ac:dyDescent="0.2">
      <c r="A421" s="447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</row>
    <row r="422" spans="1:21" x14ac:dyDescent="0.2">
      <c r="A422" s="447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</row>
    <row r="423" spans="1:21" x14ac:dyDescent="0.2">
      <c r="A423" s="447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</row>
    <row r="424" spans="1:21" x14ac:dyDescent="0.2">
      <c r="A424" s="447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</row>
    <row r="425" spans="1:21" x14ac:dyDescent="0.2">
      <c r="A425" s="447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</row>
    <row r="426" spans="1:21" x14ac:dyDescent="0.2">
      <c r="A426" s="447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</row>
    <row r="427" spans="1:21" x14ac:dyDescent="0.2">
      <c r="A427" s="447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</row>
    <row r="428" spans="1:21" x14ac:dyDescent="0.2">
      <c r="A428" s="447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</row>
    <row r="429" spans="1:21" x14ac:dyDescent="0.2">
      <c r="A429" s="447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</row>
    <row r="430" spans="1:21" x14ac:dyDescent="0.2">
      <c r="A430" s="447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</row>
    <row r="431" spans="1:21" x14ac:dyDescent="0.2">
      <c r="A431" s="447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</row>
    <row r="432" spans="1:21" x14ac:dyDescent="0.2">
      <c r="A432" s="447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</row>
    <row r="433" spans="1:21" x14ac:dyDescent="0.2">
      <c r="A433" s="447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</row>
    <row r="434" spans="1:21" x14ac:dyDescent="0.2">
      <c r="A434" s="447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</row>
    <row r="435" spans="1:21" x14ac:dyDescent="0.2">
      <c r="A435" s="447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</row>
    <row r="436" spans="1:21" x14ac:dyDescent="0.2">
      <c r="A436" s="447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</row>
    <row r="437" spans="1:21" x14ac:dyDescent="0.2">
      <c r="A437" s="447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</row>
    <row r="438" spans="1:21" x14ac:dyDescent="0.2">
      <c r="A438" s="447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</row>
    <row r="439" spans="1:21" x14ac:dyDescent="0.2">
      <c r="A439" s="447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</row>
    <row r="440" spans="1:21" x14ac:dyDescent="0.2">
      <c r="A440" s="447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</row>
    <row r="441" spans="1:21" x14ac:dyDescent="0.2">
      <c r="A441" s="447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</row>
    <row r="442" spans="1:21" x14ac:dyDescent="0.2">
      <c r="A442" s="447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</row>
    <row r="443" spans="1:21" x14ac:dyDescent="0.2">
      <c r="A443" s="447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</row>
    <row r="444" spans="1:21" x14ac:dyDescent="0.2">
      <c r="A444" s="447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</row>
    <row r="445" spans="1:21" x14ac:dyDescent="0.2">
      <c r="A445" s="447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</row>
    <row r="446" spans="1:21" x14ac:dyDescent="0.2">
      <c r="A446" s="447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</row>
    <row r="447" spans="1:21" x14ac:dyDescent="0.2">
      <c r="A447" s="447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</row>
    <row r="448" spans="1:21" x14ac:dyDescent="0.2">
      <c r="A448" s="447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</row>
    <row r="449" spans="1:21" x14ac:dyDescent="0.2">
      <c r="A449" s="447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</row>
    <row r="450" spans="1:21" x14ac:dyDescent="0.2">
      <c r="A450" s="447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</row>
    <row r="451" spans="1:21" x14ac:dyDescent="0.2">
      <c r="A451" s="447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</row>
    <row r="452" spans="1:21" x14ac:dyDescent="0.2">
      <c r="A452" s="447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</row>
    <row r="453" spans="1:21" x14ac:dyDescent="0.2">
      <c r="A453" s="447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</row>
    <row r="454" spans="1:21" x14ac:dyDescent="0.2">
      <c r="A454" s="447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</row>
    <row r="455" spans="1:21" x14ac:dyDescent="0.2">
      <c r="A455" s="447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</row>
    <row r="456" spans="1:21" x14ac:dyDescent="0.2">
      <c r="A456" s="447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</row>
    <row r="457" spans="1:21" x14ac:dyDescent="0.2">
      <c r="A457" s="447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</row>
    <row r="458" spans="1:21" x14ac:dyDescent="0.2">
      <c r="A458" s="447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</row>
    <row r="459" spans="1:21" x14ac:dyDescent="0.2">
      <c r="A459" s="447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</row>
    <row r="460" spans="1:21" x14ac:dyDescent="0.2">
      <c r="A460" s="447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</row>
    <row r="461" spans="1:21" x14ac:dyDescent="0.2">
      <c r="A461" s="447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</row>
    <row r="462" spans="1:21" x14ac:dyDescent="0.2">
      <c r="A462" s="447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</row>
    <row r="463" spans="1:21" x14ac:dyDescent="0.2">
      <c r="A463" s="447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</row>
    <row r="464" spans="1:21" x14ac:dyDescent="0.2">
      <c r="A464" s="447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</row>
    <row r="465" spans="1:21" x14ac:dyDescent="0.2">
      <c r="A465" s="447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</row>
    <row r="466" spans="1:21" x14ac:dyDescent="0.2">
      <c r="A466" s="447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</row>
    <row r="467" spans="1:21" x14ac:dyDescent="0.2">
      <c r="A467" s="447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</row>
    <row r="468" spans="1:21" x14ac:dyDescent="0.2">
      <c r="A468" s="447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</row>
    <row r="469" spans="1:21" x14ac:dyDescent="0.2">
      <c r="A469" s="447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</row>
    <row r="470" spans="1:21" x14ac:dyDescent="0.2">
      <c r="A470" s="447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</row>
    <row r="471" spans="1:21" x14ac:dyDescent="0.2">
      <c r="A471" s="447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</row>
    <row r="472" spans="1:21" x14ac:dyDescent="0.2">
      <c r="A472" s="447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</row>
    <row r="473" spans="1:21" x14ac:dyDescent="0.2">
      <c r="A473" s="447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</row>
    <row r="474" spans="1:21" x14ac:dyDescent="0.2">
      <c r="A474" s="447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</row>
    <row r="475" spans="1:21" x14ac:dyDescent="0.2">
      <c r="A475" s="447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</row>
    <row r="476" spans="1:21" x14ac:dyDescent="0.2">
      <c r="A476" s="447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</row>
    <row r="477" spans="1:21" x14ac:dyDescent="0.2">
      <c r="A477" s="447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</row>
    <row r="478" spans="1:21" x14ac:dyDescent="0.2">
      <c r="A478" s="447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</row>
    <row r="479" spans="1:21" x14ac:dyDescent="0.2">
      <c r="A479" s="447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</row>
    <row r="480" spans="1:21" x14ac:dyDescent="0.2">
      <c r="A480" s="447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</row>
    <row r="481" spans="1:21" x14ac:dyDescent="0.2">
      <c r="A481" s="447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</row>
    <row r="482" spans="1:21" x14ac:dyDescent="0.2">
      <c r="A482" s="447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</row>
    <row r="483" spans="1:21" x14ac:dyDescent="0.2">
      <c r="A483" s="447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</row>
    <row r="484" spans="1:21" x14ac:dyDescent="0.2">
      <c r="A484" s="447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</row>
    <row r="485" spans="1:21" x14ac:dyDescent="0.2">
      <c r="A485" s="447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</row>
    <row r="486" spans="1:21" x14ac:dyDescent="0.2">
      <c r="A486" s="447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</row>
    <row r="487" spans="1:21" x14ac:dyDescent="0.2">
      <c r="A487" s="447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</row>
    <row r="488" spans="1:21" x14ac:dyDescent="0.2">
      <c r="A488" s="447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</row>
    <row r="489" spans="1:21" x14ac:dyDescent="0.2">
      <c r="A489" s="447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</row>
    <row r="490" spans="1:21" x14ac:dyDescent="0.2">
      <c r="A490" s="447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</row>
    <row r="491" spans="1:21" x14ac:dyDescent="0.2">
      <c r="A491" s="447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</row>
    <row r="492" spans="1:21" x14ac:dyDescent="0.2">
      <c r="A492" s="447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</row>
    <row r="493" spans="1:21" x14ac:dyDescent="0.2">
      <c r="A493" s="447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</row>
    <row r="494" spans="1:21" x14ac:dyDescent="0.2">
      <c r="A494" s="447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</row>
    <row r="495" spans="1:21" x14ac:dyDescent="0.2">
      <c r="A495" s="447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</row>
    <row r="496" spans="1:21" x14ac:dyDescent="0.2">
      <c r="A496" s="447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</row>
    <row r="497" spans="1:21" x14ac:dyDescent="0.2">
      <c r="A497" s="447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</row>
    <row r="498" spans="1:21" x14ac:dyDescent="0.2">
      <c r="A498" s="447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</row>
    <row r="499" spans="1:21" x14ac:dyDescent="0.2">
      <c r="A499" s="447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</row>
    <row r="500" spans="1:21" x14ac:dyDescent="0.2">
      <c r="A500" s="447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</row>
    <row r="501" spans="1:21" x14ac:dyDescent="0.2">
      <c r="A501" s="447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</row>
    <row r="502" spans="1:21" x14ac:dyDescent="0.2">
      <c r="A502" s="447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</row>
    <row r="503" spans="1:21" x14ac:dyDescent="0.2">
      <c r="A503" s="447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</row>
    <row r="504" spans="1:21" x14ac:dyDescent="0.2">
      <c r="A504" s="447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</row>
    <row r="505" spans="1:21" x14ac:dyDescent="0.2">
      <c r="A505" s="447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</row>
    <row r="506" spans="1:21" x14ac:dyDescent="0.2">
      <c r="A506" s="447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</row>
    <row r="507" spans="1:21" x14ac:dyDescent="0.2">
      <c r="A507" s="447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</row>
    <row r="508" spans="1:21" x14ac:dyDescent="0.2">
      <c r="A508" s="447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</row>
    <row r="509" spans="1:21" x14ac:dyDescent="0.2">
      <c r="A509" s="447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</row>
    <row r="510" spans="1:21" x14ac:dyDescent="0.2">
      <c r="A510" s="447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</row>
    <row r="511" spans="1:21" x14ac:dyDescent="0.2">
      <c r="A511" s="447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</row>
    <row r="512" spans="1:21" x14ac:dyDescent="0.2">
      <c r="A512" s="447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</row>
    <row r="513" spans="1:21" x14ac:dyDescent="0.2">
      <c r="A513" s="447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</row>
    <row r="514" spans="1:21" x14ac:dyDescent="0.2">
      <c r="A514" s="447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</row>
    <row r="515" spans="1:21" x14ac:dyDescent="0.2">
      <c r="A515" s="447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</row>
    <row r="516" spans="1:21" x14ac:dyDescent="0.2">
      <c r="A516" s="447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</row>
    <row r="517" spans="1:21" x14ac:dyDescent="0.2">
      <c r="A517" s="447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</row>
    <row r="518" spans="1:21" x14ac:dyDescent="0.2">
      <c r="A518" s="447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</row>
    <row r="519" spans="1:21" x14ac:dyDescent="0.2">
      <c r="A519" s="447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</row>
    <row r="520" spans="1:21" x14ac:dyDescent="0.2">
      <c r="A520" s="447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</row>
    <row r="521" spans="1:21" x14ac:dyDescent="0.2">
      <c r="A521" s="447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</row>
    <row r="522" spans="1:21" x14ac:dyDescent="0.2">
      <c r="A522" s="447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</row>
    <row r="523" spans="1:21" x14ac:dyDescent="0.2">
      <c r="A523" s="447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</row>
    <row r="524" spans="1:21" x14ac:dyDescent="0.2">
      <c r="A524" s="447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</row>
    <row r="525" spans="1:21" x14ac:dyDescent="0.2">
      <c r="A525" s="447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</row>
    <row r="526" spans="1:21" x14ac:dyDescent="0.2">
      <c r="A526" s="447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</row>
    <row r="527" spans="1:21" x14ac:dyDescent="0.2">
      <c r="A527" s="447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</row>
    <row r="528" spans="1:21" x14ac:dyDescent="0.2">
      <c r="A528" s="447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</row>
    <row r="529" spans="1:21" x14ac:dyDescent="0.2">
      <c r="A529" s="447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</row>
    <row r="530" spans="1:21" x14ac:dyDescent="0.2">
      <c r="A530" s="447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</row>
    <row r="531" spans="1:21" x14ac:dyDescent="0.2">
      <c r="A531" s="447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</row>
    <row r="532" spans="1:21" x14ac:dyDescent="0.2">
      <c r="A532" s="447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</row>
    <row r="533" spans="1:21" x14ac:dyDescent="0.2">
      <c r="A533" s="447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</row>
    <row r="534" spans="1:21" x14ac:dyDescent="0.2">
      <c r="A534" s="447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</row>
    <row r="535" spans="1:21" x14ac:dyDescent="0.2">
      <c r="A535" s="447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</row>
    <row r="536" spans="1:21" x14ac:dyDescent="0.2">
      <c r="A536" s="447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</row>
    <row r="537" spans="1:21" x14ac:dyDescent="0.2">
      <c r="A537" s="447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</row>
    <row r="538" spans="1:21" x14ac:dyDescent="0.2">
      <c r="A538" s="447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</row>
    <row r="539" spans="1:21" x14ac:dyDescent="0.2">
      <c r="A539" s="447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</row>
    <row r="540" spans="1:21" x14ac:dyDescent="0.2">
      <c r="A540" s="447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</row>
    <row r="541" spans="1:21" x14ac:dyDescent="0.2">
      <c r="A541" s="447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</row>
    <row r="542" spans="1:21" x14ac:dyDescent="0.2">
      <c r="A542" s="447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</row>
    <row r="543" spans="1:21" x14ac:dyDescent="0.2">
      <c r="A543" s="447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</row>
    <row r="544" spans="1:21" x14ac:dyDescent="0.2">
      <c r="A544" s="447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</row>
    <row r="545" spans="1:21" x14ac:dyDescent="0.2">
      <c r="A545" s="447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</row>
    <row r="546" spans="1:21" x14ac:dyDescent="0.2">
      <c r="A546" s="447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</row>
    <row r="547" spans="1:21" x14ac:dyDescent="0.2">
      <c r="A547" s="447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</row>
    <row r="548" spans="1:21" x14ac:dyDescent="0.2">
      <c r="A548" s="447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</row>
    <row r="549" spans="1:21" x14ac:dyDescent="0.2">
      <c r="A549" s="447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</row>
    <row r="550" spans="1:21" x14ac:dyDescent="0.2">
      <c r="A550" s="447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</row>
    <row r="551" spans="1:21" x14ac:dyDescent="0.2">
      <c r="A551" s="447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</row>
    <row r="552" spans="1:21" x14ac:dyDescent="0.2">
      <c r="A552" s="447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</row>
    <row r="553" spans="1:21" x14ac:dyDescent="0.2">
      <c r="A553" s="447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</row>
    <row r="554" spans="1:21" x14ac:dyDescent="0.2">
      <c r="A554" s="447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</row>
    <row r="555" spans="1:21" x14ac:dyDescent="0.2">
      <c r="A555" s="447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</row>
    <row r="556" spans="1:21" x14ac:dyDescent="0.2">
      <c r="A556" s="447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</row>
    <row r="557" spans="1:21" x14ac:dyDescent="0.2">
      <c r="A557" s="447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</row>
    <row r="558" spans="1:21" x14ac:dyDescent="0.2">
      <c r="A558" s="447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</row>
    <row r="559" spans="1:21" x14ac:dyDescent="0.2">
      <c r="A559" s="447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</row>
    <row r="560" spans="1:21" x14ac:dyDescent="0.2">
      <c r="A560" s="447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</row>
    <row r="561" spans="1:21" x14ac:dyDescent="0.2">
      <c r="A561" s="447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</row>
    <row r="562" spans="1:21" x14ac:dyDescent="0.2">
      <c r="A562" s="447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</row>
    <row r="563" spans="1:21" x14ac:dyDescent="0.2">
      <c r="A563" s="447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</row>
    <row r="564" spans="1:21" x14ac:dyDescent="0.2">
      <c r="A564" s="447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</row>
    <row r="565" spans="1:21" x14ac:dyDescent="0.2">
      <c r="A565" s="447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</row>
    <row r="566" spans="1:21" x14ac:dyDescent="0.2">
      <c r="A566" s="447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</row>
    <row r="567" spans="1:21" x14ac:dyDescent="0.2">
      <c r="A567" s="447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</row>
    <row r="568" spans="1:21" x14ac:dyDescent="0.2">
      <c r="A568" s="447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</row>
    <row r="569" spans="1:21" x14ac:dyDescent="0.2">
      <c r="A569" s="447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</row>
    <row r="570" spans="1:21" x14ac:dyDescent="0.2">
      <c r="A570" s="447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</row>
    <row r="571" spans="1:21" x14ac:dyDescent="0.2">
      <c r="A571" s="447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</row>
    <row r="572" spans="1:21" x14ac:dyDescent="0.2">
      <c r="A572" s="447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</row>
    <row r="573" spans="1:21" x14ac:dyDescent="0.2">
      <c r="A573" s="447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</row>
    <row r="574" spans="1:21" x14ac:dyDescent="0.2">
      <c r="A574" s="447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</row>
    <row r="575" spans="1:21" x14ac:dyDescent="0.2">
      <c r="A575" s="447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</row>
    <row r="576" spans="1:21" x14ac:dyDescent="0.2">
      <c r="A576" s="447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</row>
    <row r="577" spans="1:21" x14ac:dyDescent="0.2">
      <c r="A577" s="447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</row>
    <row r="578" spans="1:21" x14ac:dyDescent="0.2">
      <c r="A578" s="447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</row>
    <row r="579" spans="1:21" x14ac:dyDescent="0.2">
      <c r="A579" s="447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</row>
    <row r="580" spans="1:21" x14ac:dyDescent="0.2">
      <c r="A580" s="447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</row>
    <row r="581" spans="1:21" x14ac:dyDescent="0.2">
      <c r="A581" s="447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</row>
    <row r="582" spans="1:21" x14ac:dyDescent="0.2">
      <c r="A582" s="447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</row>
    <row r="583" spans="1:21" x14ac:dyDescent="0.2">
      <c r="A583" s="447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</row>
    <row r="584" spans="1:21" x14ac:dyDescent="0.2">
      <c r="A584" s="447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</row>
    <row r="585" spans="1:21" x14ac:dyDescent="0.2">
      <c r="A585" s="447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</row>
    <row r="586" spans="1:21" x14ac:dyDescent="0.2">
      <c r="A586" s="447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</row>
    <row r="587" spans="1:21" x14ac:dyDescent="0.2">
      <c r="A587" s="447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</row>
    <row r="588" spans="1:21" x14ac:dyDescent="0.2">
      <c r="A588" s="447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</row>
    <row r="589" spans="1:21" x14ac:dyDescent="0.2">
      <c r="A589" s="447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</row>
    <row r="590" spans="1:21" x14ac:dyDescent="0.2">
      <c r="A590" s="447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</row>
    <row r="591" spans="1:21" x14ac:dyDescent="0.2">
      <c r="A591" s="447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</row>
    <row r="592" spans="1:21" x14ac:dyDescent="0.2">
      <c r="A592" s="447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</row>
    <row r="593" spans="1:21" x14ac:dyDescent="0.2">
      <c r="A593" s="447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</row>
    <row r="594" spans="1:21" x14ac:dyDescent="0.2">
      <c r="A594" s="447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</row>
    <row r="595" spans="1:21" x14ac:dyDescent="0.2">
      <c r="A595" s="447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</row>
    <row r="596" spans="1:21" x14ac:dyDescent="0.2">
      <c r="A596" s="447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</row>
    <row r="597" spans="1:21" x14ac:dyDescent="0.2">
      <c r="A597" s="447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</row>
    <row r="598" spans="1:21" x14ac:dyDescent="0.2">
      <c r="A598" s="447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</row>
    <row r="599" spans="1:21" x14ac:dyDescent="0.2">
      <c r="A599" s="447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</row>
    <row r="600" spans="1:21" x14ac:dyDescent="0.2">
      <c r="A600" s="447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</row>
    <row r="601" spans="1:21" x14ac:dyDescent="0.2">
      <c r="A601" s="447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</row>
    <row r="602" spans="1:21" x14ac:dyDescent="0.2">
      <c r="A602" s="447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</row>
    <row r="603" spans="1:21" x14ac:dyDescent="0.2">
      <c r="A603" s="447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</row>
    <row r="604" spans="1:21" x14ac:dyDescent="0.2">
      <c r="A604" s="447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</row>
    <row r="605" spans="1:21" x14ac:dyDescent="0.2">
      <c r="A605" s="447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</row>
    <row r="606" spans="1:21" x14ac:dyDescent="0.2">
      <c r="A606" s="447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</row>
    <row r="607" spans="1:21" x14ac:dyDescent="0.2">
      <c r="A607" s="447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</row>
    <row r="608" spans="1:21" x14ac:dyDescent="0.2">
      <c r="A608" s="447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</row>
    <row r="609" spans="1:21" x14ac:dyDescent="0.2">
      <c r="A609" s="447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</row>
    <row r="610" spans="1:21" x14ac:dyDescent="0.2">
      <c r="A610" s="447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</row>
    <row r="611" spans="1:21" x14ac:dyDescent="0.2">
      <c r="A611" s="447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</row>
    <row r="612" spans="1:21" x14ac:dyDescent="0.2">
      <c r="A612" s="447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</row>
    <row r="613" spans="1:21" x14ac:dyDescent="0.2">
      <c r="A613" s="447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</row>
    <row r="614" spans="1:21" x14ac:dyDescent="0.2">
      <c r="A614" s="447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</row>
    <row r="615" spans="1:21" x14ac:dyDescent="0.2">
      <c r="A615" s="447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</row>
    <row r="616" spans="1:21" x14ac:dyDescent="0.2">
      <c r="A616" s="447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</row>
    <row r="617" spans="1:21" x14ac:dyDescent="0.2">
      <c r="A617" s="447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</row>
    <row r="618" spans="1:21" x14ac:dyDescent="0.2">
      <c r="A618" s="447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</row>
    <row r="619" spans="1:21" x14ac:dyDescent="0.2">
      <c r="A619" s="447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</row>
    <row r="620" spans="1:21" x14ac:dyDescent="0.2">
      <c r="A620" s="447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</row>
    <row r="621" spans="1:21" x14ac:dyDescent="0.2">
      <c r="A621" s="447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</row>
    <row r="622" spans="1:21" x14ac:dyDescent="0.2">
      <c r="A622" s="447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</row>
    <row r="623" spans="1:21" x14ac:dyDescent="0.2">
      <c r="A623" s="447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</row>
    <row r="624" spans="1:21" x14ac:dyDescent="0.2">
      <c r="A624" s="447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</row>
    <row r="625" spans="1:21" x14ac:dyDescent="0.2">
      <c r="A625" s="447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</row>
    <row r="626" spans="1:21" x14ac:dyDescent="0.2">
      <c r="A626" s="447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</row>
    <row r="627" spans="1:21" x14ac:dyDescent="0.2">
      <c r="A627" s="447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</row>
    <row r="628" spans="1:21" x14ac:dyDescent="0.2">
      <c r="A628" s="447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</row>
    <row r="629" spans="1:21" x14ac:dyDescent="0.2">
      <c r="A629" s="447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</row>
    <row r="630" spans="1:21" x14ac:dyDescent="0.2">
      <c r="A630" s="447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</row>
    <row r="631" spans="1:21" x14ac:dyDescent="0.2">
      <c r="A631" s="447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</row>
    <row r="632" spans="1:21" x14ac:dyDescent="0.2">
      <c r="A632" s="447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</row>
    <row r="633" spans="1:21" x14ac:dyDescent="0.2">
      <c r="A633" s="447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</row>
    <row r="634" spans="1:21" x14ac:dyDescent="0.2">
      <c r="A634" s="447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</row>
    <row r="635" spans="1:21" x14ac:dyDescent="0.2">
      <c r="A635" s="447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</row>
    <row r="636" spans="1:21" x14ac:dyDescent="0.2">
      <c r="A636" s="447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</row>
    <row r="637" spans="1:21" x14ac:dyDescent="0.2">
      <c r="A637" s="447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</row>
    <row r="638" spans="1:21" x14ac:dyDescent="0.2">
      <c r="A638" s="447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</row>
    <row r="639" spans="1:21" x14ac:dyDescent="0.2">
      <c r="A639" s="447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</row>
    <row r="640" spans="1:21" x14ac:dyDescent="0.2">
      <c r="A640" s="447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</row>
    <row r="641" spans="1:21" x14ac:dyDescent="0.2">
      <c r="A641" s="447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</row>
    <row r="642" spans="1:21" x14ac:dyDescent="0.2">
      <c r="A642" s="447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</row>
    <row r="643" spans="1:21" x14ac:dyDescent="0.2">
      <c r="A643" s="447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</row>
    <row r="644" spans="1:21" x14ac:dyDescent="0.2">
      <c r="A644" s="447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</row>
    <row r="645" spans="1:21" x14ac:dyDescent="0.2">
      <c r="A645" s="447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</row>
    <row r="646" spans="1:21" x14ac:dyDescent="0.2">
      <c r="A646" s="447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</row>
    <row r="647" spans="1:21" x14ac:dyDescent="0.2">
      <c r="A647" s="447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</row>
    <row r="648" spans="1:21" x14ac:dyDescent="0.2">
      <c r="A648" s="447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</row>
    <row r="649" spans="1:21" x14ac:dyDescent="0.2">
      <c r="A649" s="447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</row>
    <row r="650" spans="1:21" x14ac:dyDescent="0.2">
      <c r="A650" s="447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</row>
    <row r="651" spans="1:21" x14ac:dyDescent="0.2">
      <c r="A651" s="447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</row>
    <row r="652" spans="1:21" x14ac:dyDescent="0.2">
      <c r="A652" s="447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</row>
    <row r="653" spans="1:21" x14ac:dyDescent="0.2">
      <c r="A653" s="447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</row>
    <row r="654" spans="1:21" x14ac:dyDescent="0.2">
      <c r="A654" s="447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</row>
    <row r="655" spans="1:21" x14ac:dyDescent="0.2">
      <c r="A655" s="447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</row>
    <row r="656" spans="1:21" x14ac:dyDescent="0.2">
      <c r="A656" s="447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</row>
    <row r="657" spans="1:21" x14ac:dyDescent="0.2">
      <c r="A657" s="447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</row>
    <row r="658" spans="1:21" x14ac:dyDescent="0.2">
      <c r="A658" s="447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</row>
    <row r="659" spans="1:21" x14ac:dyDescent="0.2">
      <c r="A659" s="447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</row>
    <row r="660" spans="1:21" x14ac:dyDescent="0.2">
      <c r="A660" s="447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</row>
    <row r="661" spans="1:21" x14ac:dyDescent="0.2">
      <c r="A661" s="447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</row>
    <row r="662" spans="1:21" x14ac:dyDescent="0.2">
      <c r="A662" s="447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</row>
    <row r="663" spans="1:21" x14ac:dyDescent="0.2">
      <c r="A663" s="447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</row>
    <row r="664" spans="1:21" x14ac:dyDescent="0.2">
      <c r="A664" s="447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</row>
    <row r="665" spans="1:21" x14ac:dyDescent="0.2">
      <c r="A665" s="447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</row>
    <row r="666" spans="1:21" x14ac:dyDescent="0.2">
      <c r="A666" s="447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</row>
    <row r="667" spans="1:21" x14ac:dyDescent="0.2">
      <c r="A667" s="447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</row>
    <row r="668" spans="1:21" x14ac:dyDescent="0.2">
      <c r="A668" s="447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</row>
    <row r="669" spans="1:21" x14ac:dyDescent="0.2">
      <c r="A669" s="447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</row>
    <row r="670" spans="1:21" x14ac:dyDescent="0.2">
      <c r="A670" s="447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</row>
    <row r="671" spans="1:21" x14ac:dyDescent="0.2">
      <c r="A671" s="447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</row>
    <row r="672" spans="1:21" x14ac:dyDescent="0.2">
      <c r="A672" s="447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</row>
    <row r="673" spans="1:21" x14ac:dyDescent="0.2">
      <c r="A673" s="447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</row>
    <row r="674" spans="1:21" x14ac:dyDescent="0.2">
      <c r="A674" s="447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</row>
    <row r="675" spans="1:21" x14ac:dyDescent="0.2">
      <c r="A675" s="447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</row>
    <row r="676" spans="1:21" x14ac:dyDescent="0.2">
      <c r="A676" s="447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</row>
    <row r="677" spans="1:21" x14ac:dyDescent="0.2">
      <c r="A677" s="447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</row>
    <row r="678" spans="1:21" x14ac:dyDescent="0.2">
      <c r="A678" s="447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</row>
    <row r="679" spans="1:21" x14ac:dyDescent="0.2">
      <c r="A679" s="447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</row>
    <row r="680" spans="1:21" x14ac:dyDescent="0.2">
      <c r="A680" s="447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</row>
    <row r="681" spans="1:21" x14ac:dyDescent="0.2">
      <c r="A681" s="447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</row>
    <row r="682" spans="1:21" x14ac:dyDescent="0.2">
      <c r="A682" s="447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</row>
    <row r="683" spans="1:21" x14ac:dyDescent="0.2">
      <c r="A683" s="447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</row>
    <row r="684" spans="1:21" x14ac:dyDescent="0.2">
      <c r="A684" s="447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</row>
    <row r="685" spans="1:21" x14ac:dyDescent="0.2">
      <c r="A685" s="447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</row>
    <row r="686" spans="1:21" x14ac:dyDescent="0.2">
      <c r="A686" s="447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</row>
    <row r="687" spans="1:21" x14ac:dyDescent="0.2">
      <c r="A687" s="447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</row>
    <row r="688" spans="1:21" x14ac:dyDescent="0.2">
      <c r="A688" s="447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</row>
    <row r="689" spans="1:21" x14ac:dyDescent="0.2">
      <c r="A689" s="447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</row>
    <row r="690" spans="1:21" x14ac:dyDescent="0.2">
      <c r="A690" s="447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</row>
    <row r="691" spans="1:21" x14ac:dyDescent="0.2">
      <c r="A691" s="447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</row>
    <row r="692" spans="1:21" x14ac:dyDescent="0.2">
      <c r="A692" s="447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</row>
    <row r="693" spans="1:21" x14ac:dyDescent="0.2">
      <c r="A693" s="447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</row>
    <row r="694" spans="1:21" x14ac:dyDescent="0.2">
      <c r="A694" s="447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</row>
    <row r="695" spans="1:21" x14ac:dyDescent="0.2">
      <c r="A695" s="447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</row>
    <row r="696" spans="1:21" x14ac:dyDescent="0.2">
      <c r="A696" s="447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</row>
    <row r="697" spans="1:21" x14ac:dyDescent="0.2">
      <c r="A697" s="447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</row>
    <row r="698" spans="1:21" x14ac:dyDescent="0.2">
      <c r="A698" s="447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</row>
    <row r="699" spans="1:21" x14ac:dyDescent="0.2">
      <c r="A699" s="447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</row>
    <row r="700" spans="1:21" x14ac:dyDescent="0.2">
      <c r="A700" s="447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</row>
    <row r="701" spans="1:21" x14ac:dyDescent="0.2">
      <c r="A701" s="447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</row>
    <row r="702" spans="1:21" x14ac:dyDescent="0.2">
      <c r="A702" s="447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</row>
    <row r="703" spans="1:21" x14ac:dyDescent="0.2">
      <c r="A703" s="447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</row>
    <row r="704" spans="1:21" x14ac:dyDescent="0.2">
      <c r="A704" s="447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</row>
    <row r="705" spans="1:21" x14ac:dyDescent="0.2">
      <c r="A705" s="447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</row>
    <row r="706" spans="1:21" x14ac:dyDescent="0.2">
      <c r="A706" s="447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</row>
    <row r="707" spans="1:21" x14ac:dyDescent="0.2">
      <c r="A707" s="447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</row>
    <row r="708" spans="1:21" x14ac:dyDescent="0.2">
      <c r="A708" s="447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</row>
    <row r="709" spans="1:21" x14ac:dyDescent="0.2">
      <c r="A709" s="447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</row>
    <row r="710" spans="1:21" x14ac:dyDescent="0.2">
      <c r="A710" s="447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</row>
    <row r="711" spans="1:21" x14ac:dyDescent="0.2">
      <c r="A711" s="447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</row>
    <row r="712" spans="1:21" x14ac:dyDescent="0.2">
      <c r="A712" s="447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</row>
    <row r="713" spans="1:21" x14ac:dyDescent="0.2">
      <c r="A713" s="447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</row>
    <row r="714" spans="1:21" x14ac:dyDescent="0.2">
      <c r="A714" s="447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</row>
    <row r="715" spans="1:21" x14ac:dyDescent="0.2">
      <c r="A715" s="447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</row>
    <row r="716" spans="1:21" x14ac:dyDescent="0.2">
      <c r="A716" s="447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</row>
    <row r="717" spans="1:21" x14ac:dyDescent="0.2">
      <c r="A717" s="447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</row>
    <row r="718" spans="1:21" x14ac:dyDescent="0.2">
      <c r="A718" s="447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</row>
    <row r="719" spans="1:21" x14ac:dyDescent="0.2">
      <c r="A719" s="447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</row>
    <row r="720" spans="1:21" x14ac:dyDescent="0.2">
      <c r="A720" s="447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</row>
    <row r="721" spans="1:21" x14ac:dyDescent="0.2">
      <c r="A721" s="447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</row>
    <row r="722" spans="1:21" x14ac:dyDescent="0.2">
      <c r="A722" s="447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</row>
    <row r="723" spans="1:21" x14ac:dyDescent="0.2">
      <c r="A723" s="447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</row>
    <row r="724" spans="1:21" x14ac:dyDescent="0.2">
      <c r="A724" s="447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</row>
    <row r="725" spans="1:21" x14ac:dyDescent="0.2">
      <c r="A725" s="447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</row>
    <row r="726" spans="1:21" x14ac:dyDescent="0.2">
      <c r="A726" s="447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</row>
    <row r="727" spans="1:21" x14ac:dyDescent="0.2">
      <c r="A727" s="447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</row>
    <row r="728" spans="1:21" x14ac:dyDescent="0.2">
      <c r="A728" s="447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</row>
    <row r="729" spans="1:21" x14ac:dyDescent="0.2">
      <c r="A729" s="447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</row>
    <row r="730" spans="1:21" x14ac:dyDescent="0.2">
      <c r="A730" s="447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</row>
    <row r="731" spans="1:21" x14ac:dyDescent="0.2">
      <c r="A731" s="447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</row>
    <row r="732" spans="1:21" x14ac:dyDescent="0.2">
      <c r="A732" s="447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</row>
    <row r="733" spans="1:21" x14ac:dyDescent="0.2">
      <c r="A733" s="447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</row>
    <row r="734" spans="1:21" x14ac:dyDescent="0.2">
      <c r="A734" s="447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</row>
    <row r="735" spans="1:21" x14ac:dyDescent="0.2">
      <c r="A735" s="447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</row>
    <row r="736" spans="1:21" x14ac:dyDescent="0.2">
      <c r="A736" s="447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</row>
    <row r="737" spans="1:21" x14ac:dyDescent="0.2">
      <c r="A737" s="447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</row>
    <row r="738" spans="1:21" x14ac:dyDescent="0.2">
      <c r="A738" s="447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</row>
    <row r="739" spans="1:21" x14ac:dyDescent="0.2">
      <c r="A739" s="447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</row>
    <row r="740" spans="1:21" x14ac:dyDescent="0.2">
      <c r="A740" s="447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</row>
    <row r="741" spans="1:21" x14ac:dyDescent="0.2">
      <c r="A741" s="447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</row>
    <row r="742" spans="1:21" x14ac:dyDescent="0.2">
      <c r="A742" s="447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</row>
    <row r="743" spans="1:21" x14ac:dyDescent="0.2">
      <c r="A743" s="447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</row>
    <row r="744" spans="1:21" x14ac:dyDescent="0.2">
      <c r="A744" s="447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</row>
    <row r="745" spans="1:21" x14ac:dyDescent="0.2">
      <c r="A745" s="447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</row>
    <row r="746" spans="1:21" x14ac:dyDescent="0.2">
      <c r="A746" s="447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</row>
    <row r="747" spans="1:21" x14ac:dyDescent="0.2">
      <c r="A747" s="447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</row>
    <row r="748" spans="1:21" x14ac:dyDescent="0.2">
      <c r="A748" s="447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</row>
    <row r="749" spans="1:21" x14ac:dyDescent="0.2">
      <c r="A749" s="447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</row>
    <row r="750" spans="1:21" x14ac:dyDescent="0.2">
      <c r="A750" s="447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</row>
    <row r="751" spans="1:21" x14ac:dyDescent="0.2">
      <c r="A751" s="447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</row>
    <row r="752" spans="1:21" x14ac:dyDescent="0.2">
      <c r="A752" s="447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</row>
    <row r="753" spans="1:21" x14ac:dyDescent="0.2">
      <c r="A753" s="447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</row>
    <row r="754" spans="1:21" x14ac:dyDescent="0.2">
      <c r="A754" s="447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</row>
    <row r="755" spans="1:21" x14ac:dyDescent="0.2">
      <c r="A755" s="447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</row>
    <row r="756" spans="1:21" x14ac:dyDescent="0.2">
      <c r="A756" s="447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</row>
    <row r="757" spans="1:21" x14ac:dyDescent="0.2">
      <c r="A757" s="447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</row>
    <row r="758" spans="1:21" x14ac:dyDescent="0.2">
      <c r="A758" s="447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</row>
    <row r="759" spans="1:21" x14ac:dyDescent="0.2">
      <c r="A759" s="447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</row>
    <row r="760" spans="1:21" x14ac:dyDescent="0.2">
      <c r="A760" s="447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</row>
    <row r="761" spans="1:21" x14ac:dyDescent="0.2">
      <c r="A761" s="447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</row>
    <row r="762" spans="1:21" x14ac:dyDescent="0.2">
      <c r="A762" s="447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</row>
    <row r="763" spans="1:21" x14ac:dyDescent="0.2">
      <c r="A763" s="447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</row>
    <row r="764" spans="1:21" x14ac:dyDescent="0.2">
      <c r="A764" s="447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</row>
    <row r="765" spans="1:21" x14ac:dyDescent="0.2">
      <c r="A765" s="447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</row>
    <row r="766" spans="1:21" x14ac:dyDescent="0.2">
      <c r="A766" s="447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</row>
    <row r="767" spans="1:21" x14ac:dyDescent="0.2">
      <c r="A767" s="447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</row>
    <row r="768" spans="1:21" x14ac:dyDescent="0.2">
      <c r="A768" s="447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</row>
    <row r="769" spans="1:21" x14ac:dyDescent="0.2">
      <c r="A769" s="447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</row>
    <row r="770" spans="1:21" x14ac:dyDescent="0.2">
      <c r="A770" s="447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</row>
    <row r="771" spans="1:21" x14ac:dyDescent="0.2">
      <c r="A771" s="447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</row>
    <row r="772" spans="1:21" x14ac:dyDescent="0.2">
      <c r="A772" s="447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</row>
    <row r="773" spans="1:21" x14ac:dyDescent="0.2">
      <c r="A773" s="447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</row>
    <row r="774" spans="1:21" x14ac:dyDescent="0.2">
      <c r="A774" s="447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</row>
    <row r="775" spans="1:21" x14ac:dyDescent="0.2">
      <c r="A775" s="447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</row>
    <row r="776" spans="1:21" x14ac:dyDescent="0.2">
      <c r="A776" s="447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</row>
    <row r="777" spans="1:21" x14ac:dyDescent="0.2">
      <c r="A777" s="447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</row>
    <row r="778" spans="1:21" x14ac:dyDescent="0.2">
      <c r="A778" s="447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</row>
    <row r="779" spans="1:21" x14ac:dyDescent="0.2">
      <c r="A779" s="447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</row>
    <row r="780" spans="1:21" x14ac:dyDescent="0.2">
      <c r="A780" s="447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</row>
    <row r="781" spans="1:21" x14ac:dyDescent="0.2">
      <c r="A781" s="447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</row>
    <row r="782" spans="1:21" x14ac:dyDescent="0.2">
      <c r="A782" s="447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</row>
    <row r="783" spans="1:21" x14ac:dyDescent="0.2">
      <c r="A783" s="447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</row>
    <row r="784" spans="1:21" x14ac:dyDescent="0.2">
      <c r="A784" s="447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</row>
    <row r="785" spans="1:21" x14ac:dyDescent="0.2">
      <c r="A785" s="447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</row>
    <row r="786" spans="1:21" x14ac:dyDescent="0.2">
      <c r="A786" s="447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</row>
    <row r="787" spans="1:21" x14ac:dyDescent="0.2">
      <c r="A787" s="447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</row>
    <row r="788" spans="1:21" x14ac:dyDescent="0.2">
      <c r="A788" s="447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</row>
    <row r="789" spans="1:21" x14ac:dyDescent="0.2">
      <c r="A789" s="447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</row>
    <row r="790" spans="1:21" x14ac:dyDescent="0.2">
      <c r="A790" s="447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</row>
    <row r="791" spans="1:21" x14ac:dyDescent="0.2">
      <c r="A791" s="447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</row>
    <row r="792" spans="1:21" x14ac:dyDescent="0.2">
      <c r="A792" s="447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</row>
    <row r="793" spans="1:21" x14ac:dyDescent="0.2">
      <c r="A793" s="447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</row>
    <row r="794" spans="1:21" x14ac:dyDescent="0.2">
      <c r="A794" s="447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</row>
    <row r="795" spans="1:21" x14ac:dyDescent="0.2">
      <c r="A795" s="447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</row>
    <row r="796" spans="1:21" x14ac:dyDescent="0.2">
      <c r="A796" s="447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</row>
    <row r="797" spans="1:21" x14ac:dyDescent="0.2">
      <c r="A797" s="447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</row>
    <row r="798" spans="1:21" x14ac:dyDescent="0.2">
      <c r="A798" s="447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</row>
    <row r="799" spans="1:21" x14ac:dyDescent="0.2">
      <c r="A799" s="447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</row>
    <row r="800" spans="1:21" x14ac:dyDescent="0.2">
      <c r="A800" s="447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</row>
    <row r="801" spans="1:21" x14ac:dyDescent="0.2">
      <c r="A801" s="447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</row>
    <row r="802" spans="1:21" x14ac:dyDescent="0.2">
      <c r="A802" s="447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</row>
    <row r="803" spans="1:21" x14ac:dyDescent="0.2">
      <c r="A803" s="447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</row>
    <row r="804" spans="1:21" x14ac:dyDescent="0.2">
      <c r="A804" s="447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</row>
    <row r="805" spans="1:21" x14ac:dyDescent="0.2">
      <c r="A805" s="447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</row>
    <row r="806" spans="1:21" x14ac:dyDescent="0.2">
      <c r="A806" s="447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</row>
    <row r="807" spans="1:21" x14ac:dyDescent="0.2">
      <c r="A807" s="447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</row>
    <row r="808" spans="1:21" x14ac:dyDescent="0.2">
      <c r="A808" s="447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</row>
    <row r="809" spans="1:21" x14ac:dyDescent="0.2">
      <c r="A809" s="447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</row>
    <row r="810" spans="1:21" x14ac:dyDescent="0.2">
      <c r="A810" s="447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</row>
    <row r="811" spans="1:21" x14ac:dyDescent="0.2">
      <c r="A811" s="447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</row>
    <row r="812" spans="1:21" x14ac:dyDescent="0.2">
      <c r="A812" s="447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</row>
    <row r="813" spans="1:21" x14ac:dyDescent="0.2">
      <c r="A813" s="447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</row>
    <row r="814" spans="1:21" x14ac:dyDescent="0.2">
      <c r="A814" s="447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</row>
    <row r="815" spans="1:21" x14ac:dyDescent="0.2">
      <c r="A815" s="447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</row>
    <row r="816" spans="1:21" x14ac:dyDescent="0.2">
      <c r="A816" s="447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</row>
    <row r="817" spans="1:21" x14ac:dyDescent="0.2">
      <c r="A817" s="447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</row>
    <row r="818" spans="1:21" x14ac:dyDescent="0.2">
      <c r="A818" s="447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</row>
    <row r="819" spans="1:21" x14ac:dyDescent="0.2">
      <c r="A819" s="447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</row>
    <row r="820" spans="1:21" x14ac:dyDescent="0.2">
      <c r="A820" s="447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</row>
    <row r="821" spans="1:21" x14ac:dyDescent="0.2">
      <c r="A821" s="447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</row>
    <row r="822" spans="1:21" x14ac:dyDescent="0.2">
      <c r="A822" s="447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</row>
    <row r="823" spans="1:21" x14ac:dyDescent="0.2">
      <c r="A823" s="447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</row>
    <row r="824" spans="1:21" x14ac:dyDescent="0.2">
      <c r="A824" s="447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</row>
    <row r="825" spans="1:21" x14ac:dyDescent="0.2">
      <c r="A825" s="447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</row>
    <row r="826" spans="1:21" x14ac:dyDescent="0.2">
      <c r="A826" s="447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</row>
    <row r="827" spans="1:21" x14ac:dyDescent="0.2">
      <c r="A827" s="447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</row>
    <row r="828" spans="1:21" x14ac:dyDescent="0.2">
      <c r="A828" s="447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</row>
    <row r="829" spans="1:21" x14ac:dyDescent="0.2">
      <c r="A829" s="447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</row>
    <row r="830" spans="1:21" x14ac:dyDescent="0.2">
      <c r="A830" s="447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</row>
    <row r="831" spans="1:21" x14ac:dyDescent="0.2">
      <c r="A831" s="447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</row>
    <row r="832" spans="1:21" x14ac:dyDescent="0.2">
      <c r="A832" s="447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</row>
    <row r="833" spans="1:21" x14ac:dyDescent="0.2">
      <c r="A833" s="447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</row>
    <row r="834" spans="1:21" x14ac:dyDescent="0.2">
      <c r="A834" s="447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</row>
    <row r="835" spans="1:21" x14ac:dyDescent="0.2">
      <c r="A835" s="447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</row>
    <row r="836" spans="1:21" x14ac:dyDescent="0.2">
      <c r="A836" s="447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</row>
    <row r="837" spans="1:21" x14ac:dyDescent="0.2">
      <c r="A837" s="447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</row>
    <row r="838" spans="1:21" x14ac:dyDescent="0.2">
      <c r="A838" s="447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</row>
    <row r="839" spans="1:21" x14ac:dyDescent="0.2">
      <c r="A839" s="447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</row>
    <row r="840" spans="1:21" x14ac:dyDescent="0.2">
      <c r="A840" s="447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</row>
    <row r="841" spans="1:21" x14ac:dyDescent="0.2">
      <c r="A841" s="447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</row>
    <row r="842" spans="1:21" x14ac:dyDescent="0.2">
      <c r="A842" s="447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</row>
    <row r="843" spans="1:21" x14ac:dyDescent="0.2">
      <c r="A843" s="447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</row>
    <row r="844" spans="1:21" x14ac:dyDescent="0.2">
      <c r="A844" s="447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</row>
    <row r="845" spans="1:21" x14ac:dyDescent="0.2">
      <c r="A845" s="447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</row>
    <row r="846" spans="1:21" x14ac:dyDescent="0.2">
      <c r="A846" s="447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</row>
    <row r="847" spans="1:21" x14ac:dyDescent="0.2">
      <c r="A847" s="447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</row>
    <row r="848" spans="1:21" x14ac:dyDescent="0.2">
      <c r="A848" s="447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</row>
    <row r="849" spans="1:21" x14ac:dyDescent="0.2">
      <c r="A849" s="447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</row>
    <row r="850" spans="1:21" x14ac:dyDescent="0.2">
      <c r="A850" s="447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</row>
    <row r="851" spans="1:21" x14ac:dyDescent="0.2">
      <c r="A851" s="447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</row>
    <row r="852" spans="1:21" x14ac:dyDescent="0.2">
      <c r="A852" s="447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</row>
    <row r="853" spans="1:21" x14ac:dyDescent="0.2">
      <c r="A853" s="447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</row>
    <row r="854" spans="1:21" x14ac:dyDescent="0.2">
      <c r="A854" s="447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</row>
    <row r="855" spans="1:21" x14ac:dyDescent="0.2">
      <c r="A855" s="447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</row>
    <row r="856" spans="1:21" x14ac:dyDescent="0.2">
      <c r="A856" s="447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</row>
    <row r="857" spans="1:21" x14ac:dyDescent="0.2">
      <c r="A857" s="447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</row>
    <row r="858" spans="1:21" x14ac:dyDescent="0.2">
      <c r="A858" s="447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</row>
    <row r="859" spans="1:21" x14ac:dyDescent="0.2">
      <c r="A859" s="447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</row>
    <row r="860" spans="1:21" x14ac:dyDescent="0.2">
      <c r="A860" s="447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</row>
    <row r="861" spans="1:21" x14ac:dyDescent="0.2">
      <c r="A861" s="447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</row>
    <row r="862" spans="1:21" x14ac:dyDescent="0.2">
      <c r="A862" s="447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</row>
    <row r="863" spans="1:21" x14ac:dyDescent="0.2">
      <c r="A863" s="447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</row>
    <row r="864" spans="1:21" x14ac:dyDescent="0.2">
      <c r="A864" s="447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</row>
    <row r="865" spans="1:21" x14ac:dyDescent="0.2">
      <c r="A865" s="447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</row>
    <row r="866" spans="1:21" x14ac:dyDescent="0.2">
      <c r="A866" s="447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</row>
    <row r="867" spans="1:21" x14ac:dyDescent="0.2">
      <c r="A867" s="447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</row>
    <row r="868" spans="1:21" x14ac:dyDescent="0.2">
      <c r="A868" s="447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</row>
    <row r="869" spans="1:21" x14ac:dyDescent="0.2">
      <c r="A869" s="447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</row>
    <row r="870" spans="1:21" x14ac:dyDescent="0.2">
      <c r="A870" s="447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</row>
    <row r="871" spans="1:21" x14ac:dyDescent="0.2">
      <c r="A871" s="447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</row>
    <row r="872" spans="1:21" x14ac:dyDescent="0.2">
      <c r="A872" s="447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</row>
    <row r="873" spans="1:21" x14ac:dyDescent="0.2">
      <c r="A873" s="447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</row>
    <row r="874" spans="1:21" x14ac:dyDescent="0.2">
      <c r="A874" s="447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</row>
    <row r="875" spans="1:21" x14ac:dyDescent="0.2">
      <c r="A875" s="447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</row>
    <row r="876" spans="1:21" x14ac:dyDescent="0.2">
      <c r="A876" s="447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</row>
    <row r="877" spans="1:21" x14ac:dyDescent="0.2">
      <c r="A877" s="447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</row>
    <row r="878" spans="1:21" x14ac:dyDescent="0.2">
      <c r="A878" s="447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</row>
    <row r="879" spans="1:21" x14ac:dyDescent="0.2">
      <c r="A879" s="447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</row>
    <row r="880" spans="1:21" x14ac:dyDescent="0.2">
      <c r="A880" s="447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</row>
    <row r="881" spans="1:21" x14ac:dyDescent="0.2">
      <c r="A881" s="447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</row>
    <row r="882" spans="1:21" x14ac:dyDescent="0.2">
      <c r="A882" s="447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</row>
    <row r="883" spans="1:21" x14ac:dyDescent="0.2">
      <c r="A883" s="447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</row>
    <row r="884" spans="1:21" x14ac:dyDescent="0.2">
      <c r="A884" s="447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</row>
    <row r="885" spans="1:21" x14ac:dyDescent="0.2">
      <c r="A885" s="447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</row>
    <row r="886" spans="1:21" x14ac:dyDescent="0.2">
      <c r="A886" s="447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</row>
    <row r="887" spans="1:21" x14ac:dyDescent="0.2">
      <c r="A887" s="447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</row>
    <row r="888" spans="1:21" x14ac:dyDescent="0.2">
      <c r="A888" s="447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</row>
    <row r="889" spans="1:21" x14ac:dyDescent="0.2">
      <c r="A889" s="447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</row>
    <row r="890" spans="1:21" x14ac:dyDescent="0.2">
      <c r="A890" s="447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</row>
    <row r="891" spans="1:21" x14ac:dyDescent="0.2">
      <c r="A891" s="447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</row>
    <row r="892" spans="1:21" x14ac:dyDescent="0.2">
      <c r="A892" s="447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</row>
    <row r="893" spans="1:21" x14ac:dyDescent="0.2">
      <c r="A893" s="447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</row>
    <row r="894" spans="1:21" x14ac:dyDescent="0.2">
      <c r="A894" s="447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</row>
    <row r="895" spans="1:21" x14ac:dyDescent="0.2">
      <c r="A895" s="447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</row>
    <row r="896" spans="1:21" x14ac:dyDescent="0.2">
      <c r="A896" s="447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</row>
    <row r="897" spans="1:21" x14ac:dyDescent="0.2">
      <c r="A897" s="447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</row>
    <row r="898" spans="1:21" x14ac:dyDescent="0.2">
      <c r="A898" s="447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</row>
    <row r="899" spans="1:21" x14ac:dyDescent="0.2">
      <c r="A899" s="447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</row>
    <row r="900" spans="1:21" x14ac:dyDescent="0.2">
      <c r="A900" s="447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</row>
    <row r="901" spans="1:21" x14ac:dyDescent="0.2">
      <c r="A901" s="447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</row>
    <row r="902" spans="1:21" x14ac:dyDescent="0.2">
      <c r="A902" s="447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</row>
    <row r="903" spans="1:21" x14ac:dyDescent="0.2">
      <c r="A903" s="447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</row>
    <row r="904" spans="1:21" x14ac:dyDescent="0.2">
      <c r="A904" s="447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</row>
    <row r="905" spans="1:21" x14ac:dyDescent="0.2">
      <c r="A905" s="447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</row>
    <row r="906" spans="1:21" x14ac:dyDescent="0.2">
      <c r="A906" s="447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</row>
    <row r="907" spans="1:21" x14ac:dyDescent="0.2">
      <c r="A907" s="447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</row>
    <row r="908" spans="1:21" x14ac:dyDescent="0.2">
      <c r="A908" s="447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</row>
    <row r="909" spans="1:21" x14ac:dyDescent="0.2">
      <c r="A909" s="447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</row>
    <row r="910" spans="1:21" x14ac:dyDescent="0.2">
      <c r="A910" s="447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</row>
    <row r="911" spans="1:21" x14ac:dyDescent="0.2">
      <c r="A911" s="447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</row>
    <row r="912" spans="1:21" x14ac:dyDescent="0.2">
      <c r="A912" s="447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</row>
    <row r="913" spans="1:21" x14ac:dyDescent="0.2">
      <c r="A913" s="447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</row>
    <row r="914" spans="1:21" x14ac:dyDescent="0.2">
      <c r="A914" s="447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</row>
    <row r="915" spans="1:21" x14ac:dyDescent="0.2">
      <c r="A915" s="447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</row>
    <row r="916" spans="1:21" x14ac:dyDescent="0.2">
      <c r="A916" s="447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</row>
    <row r="917" spans="1:21" x14ac:dyDescent="0.2">
      <c r="A917" s="447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</row>
    <row r="918" spans="1:21" x14ac:dyDescent="0.2">
      <c r="A918" s="447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</row>
    <row r="919" spans="1:21" x14ac:dyDescent="0.2">
      <c r="A919" s="447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</row>
    <row r="920" spans="1:21" x14ac:dyDescent="0.2">
      <c r="A920" s="447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</row>
    <row r="921" spans="1:21" x14ac:dyDescent="0.2">
      <c r="A921" s="447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</row>
    <row r="922" spans="1:21" x14ac:dyDescent="0.2">
      <c r="A922" s="447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</row>
    <row r="923" spans="1:21" x14ac:dyDescent="0.2">
      <c r="A923" s="447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</row>
    <row r="924" spans="1:21" x14ac:dyDescent="0.2">
      <c r="A924" s="447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</row>
    <row r="925" spans="1:21" x14ac:dyDescent="0.2">
      <c r="A925" s="447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</row>
    <row r="926" spans="1:21" x14ac:dyDescent="0.2">
      <c r="A926" s="447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</row>
    <row r="927" spans="1:21" x14ac:dyDescent="0.2">
      <c r="A927" s="447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</row>
    <row r="928" spans="1:21" x14ac:dyDescent="0.2">
      <c r="A928" s="447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</row>
    <row r="929" spans="1:21" x14ac:dyDescent="0.2">
      <c r="A929" s="447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</row>
    <row r="930" spans="1:21" x14ac:dyDescent="0.2">
      <c r="A930" s="447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</row>
    <row r="931" spans="1:21" x14ac:dyDescent="0.2">
      <c r="A931" s="447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</row>
    <row r="932" spans="1:21" x14ac:dyDescent="0.2">
      <c r="A932" s="447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</row>
    <row r="933" spans="1:21" x14ac:dyDescent="0.2">
      <c r="A933" s="447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</row>
    <row r="934" spans="1:21" x14ac:dyDescent="0.2">
      <c r="A934" s="447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</row>
    <row r="935" spans="1:21" x14ac:dyDescent="0.2">
      <c r="A935" s="447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</row>
    <row r="936" spans="1:21" x14ac:dyDescent="0.2">
      <c r="A936" s="447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</row>
    <row r="937" spans="1:21" x14ac:dyDescent="0.2">
      <c r="A937" s="447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</row>
    <row r="938" spans="1:21" x14ac:dyDescent="0.2">
      <c r="A938" s="447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</row>
    <row r="939" spans="1:21" x14ac:dyDescent="0.2">
      <c r="A939" s="447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</row>
    <row r="940" spans="1:21" x14ac:dyDescent="0.2">
      <c r="A940" s="447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</row>
    <row r="941" spans="1:21" x14ac:dyDescent="0.2">
      <c r="A941" s="447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</row>
    <row r="942" spans="1:21" x14ac:dyDescent="0.2">
      <c r="A942" s="447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</row>
    <row r="943" spans="1:21" x14ac:dyDescent="0.2">
      <c r="A943" s="447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</row>
    <row r="944" spans="1:21" x14ac:dyDescent="0.2">
      <c r="A944" s="447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</row>
    <row r="945" spans="1:21" x14ac:dyDescent="0.2">
      <c r="A945" s="447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</row>
    <row r="946" spans="1:21" x14ac:dyDescent="0.2">
      <c r="A946" s="447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</row>
    <row r="947" spans="1:21" x14ac:dyDescent="0.2">
      <c r="A947" s="447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</row>
    <row r="948" spans="1:21" x14ac:dyDescent="0.2">
      <c r="A948" s="447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</row>
    <row r="949" spans="1:21" x14ac:dyDescent="0.2">
      <c r="A949" s="447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</row>
    <row r="950" spans="1:21" x14ac:dyDescent="0.2">
      <c r="A950" s="447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</row>
    <row r="951" spans="1:21" x14ac:dyDescent="0.2">
      <c r="A951" s="447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</row>
    <row r="952" spans="1:21" x14ac:dyDescent="0.2">
      <c r="A952" s="447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</row>
    <row r="953" spans="1:21" x14ac:dyDescent="0.2">
      <c r="A953" s="447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</row>
    <row r="954" spans="1:21" x14ac:dyDescent="0.2">
      <c r="A954" s="447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</row>
    <row r="955" spans="1:21" x14ac:dyDescent="0.2">
      <c r="A955" s="447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</row>
    <row r="956" spans="1:21" x14ac:dyDescent="0.2">
      <c r="A956" s="447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</row>
    <row r="957" spans="1:21" x14ac:dyDescent="0.2">
      <c r="A957" s="447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</row>
    <row r="958" spans="1:21" x14ac:dyDescent="0.2">
      <c r="A958" s="447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</row>
    <row r="959" spans="1:21" x14ac:dyDescent="0.2">
      <c r="A959" s="447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</row>
    <row r="960" spans="1:21" x14ac:dyDescent="0.2">
      <c r="A960" s="447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</row>
    <row r="961" spans="1:21" x14ac:dyDescent="0.2">
      <c r="A961" s="447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</row>
    <row r="962" spans="1:21" x14ac:dyDescent="0.2">
      <c r="A962" s="447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</row>
    <row r="963" spans="1:21" x14ac:dyDescent="0.2">
      <c r="A963" s="447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</row>
    <row r="964" spans="1:21" x14ac:dyDescent="0.2">
      <c r="A964" s="447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</row>
    <row r="965" spans="1:21" x14ac:dyDescent="0.2">
      <c r="A965" s="447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</row>
    <row r="966" spans="1:21" x14ac:dyDescent="0.2">
      <c r="A966" s="447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</row>
    <row r="967" spans="1:21" x14ac:dyDescent="0.2">
      <c r="A967" s="447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</row>
    <row r="968" spans="1:21" x14ac:dyDescent="0.2">
      <c r="A968" s="447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</row>
    <row r="969" spans="1:21" x14ac:dyDescent="0.2">
      <c r="A969" s="447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</row>
    <row r="970" spans="1:21" x14ac:dyDescent="0.2">
      <c r="A970" s="447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</row>
    <row r="971" spans="1:21" x14ac:dyDescent="0.2">
      <c r="A971" s="447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</row>
    <row r="972" spans="1:21" x14ac:dyDescent="0.2">
      <c r="A972" s="447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</row>
    <row r="973" spans="1:21" x14ac:dyDescent="0.2">
      <c r="A973" s="447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</row>
    <row r="974" spans="1:21" x14ac:dyDescent="0.2">
      <c r="A974" s="447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</row>
    <row r="975" spans="1:21" x14ac:dyDescent="0.2">
      <c r="A975" s="447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</row>
    <row r="976" spans="1:21" x14ac:dyDescent="0.2">
      <c r="A976" s="447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</row>
    <row r="977" spans="1:21" x14ac:dyDescent="0.2">
      <c r="A977" s="447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</row>
    <row r="978" spans="1:21" x14ac:dyDescent="0.2">
      <c r="A978" s="447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</row>
    <row r="979" spans="1:21" x14ac:dyDescent="0.2">
      <c r="A979" s="447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</row>
    <row r="980" spans="1:21" x14ac:dyDescent="0.2">
      <c r="A980" s="447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</row>
    <row r="981" spans="1:21" x14ac:dyDescent="0.2">
      <c r="A981" s="447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</row>
    <row r="982" spans="1:21" x14ac:dyDescent="0.2">
      <c r="A982" s="447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</row>
    <row r="983" spans="1:21" x14ac:dyDescent="0.2">
      <c r="A983" s="447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</row>
    <row r="984" spans="1:21" x14ac:dyDescent="0.2">
      <c r="A984" s="447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</row>
    <row r="985" spans="1:21" x14ac:dyDescent="0.2">
      <c r="A985" s="447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</row>
    <row r="986" spans="1:21" x14ac:dyDescent="0.2">
      <c r="A986" s="447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</row>
    <row r="987" spans="1:21" x14ac:dyDescent="0.2">
      <c r="A987" s="447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</row>
    <row r="988" spans="1:21" x14ac:dyDescent="0.2">
      <c r="A988" s="447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</row>
    <row r="989" spans="1:21" x14ac:dyDescent="0.2">
      <c r="A989" s="447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</row>
    <row r="990" spans="1:21" x14ac:dyDescent="0.2">
      <c r="A990" s="447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</row>
    <row r="991" spans="1:21" x14ac:dyDescent="0.2">
      <c r="A991" s="447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</row>
    <row r="992" spans="1:21" x14ac:dyDescent="0.2">
      <c r="A992" s="447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</row>
    <row r="993" spans="1:21" x14ac:dyDescent="0.2">
      <c r="A993" s="447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</row>
    <row r="994" spans="1:21" x14ac:dyDescent="0.2">
      <c r="A994" s="447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</row>
    <row r="995" spans="1:21" x14ac:dyDescent="0.2">
      <c r="A995" s="447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</row>
    <row r="996" spans="1:21" x14ac:dyDescent="0.2">
      <c r="A996" s="447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</row>
    <row r="997" spans="1:21" x14ac:dyDescent="0.2">
      <c r="A997" s="447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</row>
    <row r="998" spans="1:21" x14ac:dyDescent="0.2">
      <c r="A998" s="447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</row>
    <row r="999" spans="1:21" x14ac:dyDescent="0.2">
      <c r="A999" s="447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</row>
    <row r="1000" spans="1:21" x14ac:dyDescent="0.2">
      <c r="A1000" s="447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</row>
    <row r="1001" spans="1:21" x14ac:dyDescent="0.2">
      <c r="A1001" s="447"/>
      <c r="B1001" s="119"/>
      <c r="C1001" s="119"/>
      <c r="D1001" s="119"/>
      <c r="E1001" s="119"/>
      <c r="F1001" s="119"/>
      <c r="G1001" s="119"/>
      <c r="H1001" s="119"/>
      <c r="I1001" s="119"/>
      <c r="J1001" s="119"/>
      <c r="K1001" s="119"/>
      <c r="L1001" s="119"/>
      <c r="M1001" s="119"/>
      <c r="N1001" s="119"/>
      <c r="O1001" s="119"/>
      <c r="P1001" s="119"/>
      <c r="Q1001" s="119"/>
      <c r="R1001" s="119"/>
      <c r="S1001" s="119"/>
      <c r="T1001" s="119"/>
      <c r="U1001" s="119"/>
    </row>
    <row r="1002" spans="1:21" x14ac:dyDescent="0.2">
      <c r="A1002" s="447"/>
      <c r="B1002" s="119"/>
      <c r="C1002" s="119"/>
      <c r="D1002" s="119"/>
      <c r="E1002" s="119"/>
      <c r="F1002" s="119"/>
      <c r="G1002" s="119"/>
      <c r="H1002" s="119"/>
      <c r="I1002" s="119"/>
      <c r="J1002" s="119"/>
      <c r="K1002" s="119"/>
      <c r="L1002" s="119"/>
      <c r="M1002" s="119"/>
      <c r="N1002" s="119"/>
      <c r="O1002" s="119"/>
      <c r="P1002" s="119"/>
      <c r="Q1002" s="119"/>
      <c r="R1002" s="119"/>
      <c r="S1002" s="119"/>
      <c r="T1002" s="119"/>
      <c r="U1002" s="119"/>
    </row>
    <row r="1003" spans="1:21" x14ac:dyDescent="0.2">
      <c r="A1003" s="447"/>
      <c r="B1003" s="119"/>
      <c r="C1003" s="119"/>
      <c r="D1003" s="119"/>
      <c r="E1003" s="119"/>
      <c r="F1003" s="119"/>
      <c r="G1003" s="119"/>
      <c r="H1003" s="119"/>
      <c r="I1003" s="119"/>
      <c r="J1003" s="119"/>
      <c r="K1003" s="119"/>
      <c r="L1003" s="119"/>
      <c r="M1003" s="119"/>
      <c r="N1003" s="119"/>
      <c r="O1003" s="119"/>
      <c r="P1003" s="119"/>
      <c r="Q1003" s="119"/>
      <c r="R1003" s="119"/>
      <c r="S1003" s="119"/>
      <c r="T1003" s="119"/>
      <c r="U1003" s="119"/>
    </row>
    <row r="1004" spans="1:21" x14ac:dyDescent="0.2">
      <c r="A1004" s="447"/>
      <c r="B1004" s="119"/>
      <c r="C1004" s="119"/>
      <c r="D1004" s="119"/>
      <c r="E1004" s="119"/>
      <c r="F1004" s="119"/>
      <c r="G1004" s="119"/>
      <c r="H1004" s="119"/>
      <c r="I1004" s="119"/>
      <c r="J1004" s="119"/>
      <c r="K1004" s="119"/>
      <c r="L1004" s="119"/>
      <c r="M1004" s="119"/>
      <c r="N1004" s="119"/>
      <c r="O1004" s="119"/>
      <c r="P1004" s="119"/>
      <c r="Q1004" s="119"/>
      <c r="R1004" s="119"/>
      <c r="S1004" s="119"/>
      <c r="T1004" s="119"/>
      <c r="U1004" s="119"/>
    </row>
    <row r="1005" spans="1:21" x14ac:dyDescent="0.2">
      <c r="A1005" s="447"/>
      <c r="B1005" s="119"/>
      <c r="C1005" s="119"/>
      <c r="D1005" s="119"/>
      <c r="E1005" s="119"/>
      <c r="F1005" s="119"/>
      <c r="G1005" s="119"/>
      <c r="H1005" s="119"/>
      <c r="I1005" s="119"/>
      <c r="J1005" s="119"/>
      <c r="K1005" s="119"/>
      <c r="L1005" s="119"/>
      <c r="M1005" s="119"/>
      <c r="N1005" s="119"/>
      <c r="O1005" s="119"/>
      <c r="P1005" s="119"/>
      <c r="Q1005" s="119"/>
      <c r="R1005" s="119"/>
      <c r="S1005" s="119"/>
      <c r="T1005" s="119"/>
      <c r="U1005" s="119"/>
    </row>
    <row r="1006" spans="1:21" x14ac:dyDescent="0.2">
      <c r="A1006" s="447"/>
      <c r="B1006" s="119"/>
      <c r="C1006" s="119"/>
      <c r="D1006" s="119"/>
      <c r="E1006" s="119"/>
      <c r="F1006" s="119"/>
      <c r="G1006" s="119"/>
      <c r="H1006" s="119"/>
      <c r="I1006" s="119"/>
      <c r="J1006" s="119"/>
      <c r="K1006" s="119"/>
      <c r="L1006" s="119"/>
      <c r="M1006" s="119"/>
      <c r="N1006" s="119"/>
      <c r="O1006" s="119"/>
      <c r="P1006" s="119"/>
      <c r="Q1006" s="119"/>
      <c r="R1006" s="119"/>
      <c r="S1006" s="119"/>
      <c r="T1006" s="119"/>
      <c r="U1006" s="119"/>
    </row>
    <row r="1007" spans="1:21" x14ac:dyDescent="0.2">
      <c r="A1007" s="447"/>
      <c r="B1007" s="119"/>
      <c r="C1007" s="119"/>
      <c r="D1007" s="119"/>
      <c r="E1007" s="119"/>
      <c r="F1007" s="119"/>
      <c r="G1007" s="119"/>
      <c r="H1007" s="119"/>
      <c r="I1007" s="119"/>
      <c r="J1007" s="119"/>
      <c r="K1007" s="119"/>
      <c r="L1007" s="119"/>
      <c r="M1007" s="119"/>
      <c r="N1007" s="119"/>
      <c r="O1007" s="119"/>
      <c r="P1007" s="119"/>
      <c r="Q1007" s="119"/>
      <c r="R1007" s="119"/>
      <c r="S1007" s="119"/>
      <c r="T1007" s="119"/>
      <c r="U1007" s="119"/>
    </row>
    <row r="1008" spans="1:21" x14ac:dyDescent="0.2">
      <c r="A1008" s="447"/>
      <c r="B1008" s="119"/>
      <c r="C1008" s="119"/>
      <c r="D1008" s="119"/>
      <c r="E1008" s="119"/>
      <c r="F1008" s="119"/>
      <c r="G1008" s="119"/>
      <c r="H1008" s="119"/>
      <c r="I1008" s="119"/>
      <c r="J1008" s="119"/>
      <c r="K1008" s="119"/>
      <c r="L1008" s="119"/>
      <c r="M1008" s="119"/>
      <c r="N1008" s="119"/>
      <c r="O1008" s="119"/>
      <c r="P1008" s="119"/>
      <c r="Q1008" s="119"/>
      <c r="R1008" s="119"/>
      <c r="S1008" s="119"/>
      <c r="T1008" s="119"/>
      <c r="U1008" s="119"/>
    </row>
    <row r="1009" spans="1:21" x14ac:dyDescent="0.2">
      <c r="A1009" s="447"/>
      <c r="B1009" s="119"/>
      <c r="C1009" s="119"/>
      <c r="D1009" s="119"/>
      <c r="E1009" s="119"/>
      <c r="F1009" s="119"/>
      <c r="G1009" s="119"/>
      <c r="H1009" s="119"/>
      <c r="I1009" s="119"/>
      <c r="J1009" s="119"/>
      <c r="K1009" s="119"/>
      <c r="L1009" s="119"/>
      <c r="M1009" s="119"/>
      <c r="N1009" s="119"/>
      <c r="O1009" s="119"/>
      <c r="P1009" s="119"/>
      <c r="Q1009" s="119"/>
      <c r="R1009" s="119"/>
      <c r="S1009" s="119"/>
      <c r="T1009" s="119"/>
      <c r="U1009" s="119"/>
    </row>
    <row r="1010" spans="1:21" x14ac:dyDescent="0.2">
      <c r="A1010" s="447"/>
      <c r="B1010" s="119"/>
      <c r="C1010" s="119"/>
      <c r="D1010" s="119"/>
      <c r="E1010" s="119"/>
      <c r="F1010" s="119"/>
      <c r="G1010" s="119"/>
      <c r="H1010" s="119"/>
      <c r="I1010" s="119"/>
      <c r="J1010" s="119"/>
      <c r="K1010" s="119"/>
      <c r="L1010" s="119"/>
      <c r="M1010" s="119"/>
      <c r="N1010" s="119"/>
      <c r="O1010" s="119"/>
      <c r="P1010" s="119"/>
      <c r="Q1010" s="119"/>
      <c r="R1010" s="119"/>
      <c r="S1010" s="119"/>
      <c r="T1010" s="119"/>
      <c r="U1010" s="119"/>
    </row>
    <row r="1011" spans="1:21" x14ac:dyDescent="0.2">
      <c r="A1011" s="447"/>
      <c r="B1011" s="119"/>
      <c r="C1011" s="119"/>
      <c r="D1011" s="119"/>
      <c r="E1011" s="119"/>
      <c r="F1011" s="119"/>
      <c r="G1011" s="119"/>
      <c r="H1011" s="119"/>
      <c r="I1011" s="119"/>
      <c r="J1011" s="119"/>
      <c r="K1011" s="119"/>
      <c r="L1011" s="119"/>
      <c r="M1011" s="119"/>
      <c r="N1011" s="119"/>
      <c r="O1011" s="119"/>
      <c r="P1011" s="119"/>
      <c r="Q1011" s="119"/>
      <c r="R1011" s="119"/>
      <c r="S1011" s="119"/>
      <c r="T1011" s="119"/>
      <c r="U1011" s="119"/>
    </row>
    <row r="1012" spans="1:21" x14ac:dyDescent="0.2">
      <c r="A1012" s="447"/>
      <c r="B1012" s="119"/>
      <c r="C1012" s="119"/>
      <c r="D1012" s="119"/>
      <c r="E1012" s="119"/>
      <c r="F1012" s="119"/>
      <c r="G1012" s="119"/>
      <c r="H1012" s="119"/>
      <c r="I1012" s="119"/>
      <c r="J1012" s="119"/>
      <c r="K1012" s="119"/>
      <c r="L1012" s="119"/>
      <c r="M1012" s="119"/>
      <c r="N1012" s="119"/>
      <c r="O1012" s="119"/>
      <c r="P1012" s="119"/>
      <c r="Q1012" s="119"/>
      <c r="R1012" s="119"/>
      <c r="S1012" s="119"/>
      <c r="T1012" s="119"/>
      <c r="U1012" s="119"/>
    </row>
    <row r="1013" spans="1:21" x14ac:dyDescent="0.2">
      <c r="A1013" s="447"/>
      <c r="B1013" s="119"/>
      <c r="C1013" s="119"/>
      <c r="D1013" s="119"/>
      <c r="E1013" s="119"/>
      <c r="F1013" s="119"/>
      <c r="G1013" s="119"/>
      <c r="H1013" s="119"/>
      <c r="I1013" s="119"/>
      <c r="J1013" s="119"/>
      <c r="K1013" s="119"/>
      <c r="L1013" s="119"/>
      <c r="M1013" s="119"/>
      <c r="N1013" s="119"/>
      <c r="O1013" s="119"/>
      <c r="P1013" s="119"/>
      <c r="Q1013" s="119"/>
      <c r="R1013" s="119"/>
      <c r="S1013" s="119"/>
      <c r="T1013" s="119"/>
      <c r="U1013" s="119"/>
    </row>
    <row r="1014" spans="1:21" x14ac:dyDescent="0.2">
      <c r="A1014" s="447"/>
      <c r="B1014" s="119"/>
      <c r="C1014" s="119"/>
      <c r="D1014" s="119"/>
      <c r="E1014" s="119"/>
      <c r="F1014" s="119"/>
      <c r="G1014" s="119"/>
      <c r="H1014" s="119"/>
      <c r="I1014" s="119"/>
      <c r="J1014" s="119"/>
      <c r="K1014" s="119"/>
      <c r="L1014" s="119"/>
      <c r="M1014" s="119"/>
      <c r="N1014" s="119"/>
      <c r="O1014" s="119"/>
      <c r="P1014" s="119"/>
      <c r="Q1014" s="119"/>
      <c r="R1014" s="119"/>
      <c r="S1014" s="119"/>
      <c r="T1014" s="119"/>
      <c r="U1014" s="119"/>
    </row>
    <row r="1015" spans="1:21" x14ac:dyDescent="0.2">
      <c r="A1015" s="447"/>
      <c r="B1015" s="119"/>
      <c r="C1015" s="119"/>
      <c r="D1015" s="119"/>
      <c r="E1015" s="119"/>
      <c r="F1015" s="119"/>
      <c r="G1015" s="119"/>
      <c r="H1015" s="119"/>
      <c r="I1015" s="119"/>
      <c r="J1015" s="119"/>
      <c r="K1015" s="119"/>
      <c r="L1015" s="119"/>
      <c r="M1015" s="119"/>
      <c r="N1015" s="119"/>
      <c r="O1015" s="119"/>
      <c r="P1015" s="119"/>
      <c r="Q1015" s="119"/>
      <c r="R1015" s="119"/>
      <c r="S1015" s="119"/>
      <c r="T1015" s="119"/>
      <c r="U1015" s="119"/>
    </row>
    <row r="1016" spans="1:21" x14ac:dyDescent="0.2">
      <c r="A1016" s="447"/>
      <c r="B1016" s="119"/>
      <c r="C1016" s="119"/>
      <c r="D1016" s="119"/>
      <c r="E1016" s="119"/>
      <c r="F1016" s="119"/>
      <c r="G1016" s="119"/>
      <c r="H1016" s="119"/>
      <c r="I1016" s="119"/>
      <c r="J1016" s="119"/>
      <c r="K1016" s="119"/>
      <c r="L1016" s="119"/>
      <c r="M1016" s="119"/>
      <c r="N1016" s="119"/>
      <c r="O1016" s="119"/>
      <c r="P1016" s="119"/>
      <c r="Q1016" s="119"/>
      <c r="R1016" s="119"/>
      <c r="S1016" s="119"/>
      <c r="T1016" s="119"/>
      <c r="U1016" s="119"/>
    </row>
    <row r="1017" spans="1:21" x14ac:dyDescent="0.2">
      <c r="A1017" s="447"/>
      <c r="B1017" s="119"/>
      <c r="C1017" s="119"/>
      <c r="D1017" s="119"/>
      <c r="E1017" s="119"/>
      <c r="F1017" s="119"/>
      <c r="G1017" s="119"/>
      <c r="H1017" s="119"/>
      <c r="I1017" s="119"/>
      <c r="J1017" s="119"/>
      <c r="K1017" s="119"/>
      <c r="L1017" s="119"/>
      <c r="M1017" s="119"/>
      <c r="N1017" s="119"/>
      <c r="O1017" s="119"/>
      <c r="P1017" s="119"/>
      <c r="Q1017" s="119"/>
      <c r="R1017" s="119"/>
      <c r="S1017" s="119"/>
      <c r="T1017" s="119"/>
      <c r="U1017" s="119"/>
    </row>
  </sheetData>
  <mergeCells count="43">
    <mergeCell ref="B1:H1"/>
    <mergeCell ref="J2:L2"/>
    <mergeCell ref="J3:K3"/>
    <mergeCell ref="J4:K4"/>
    <mergeCell ref="J5:K5"/>
    <mergeCell ref="J6:K6"/>
    <mergeCell ref="N8:U8"/>
    <mergeCell ref="J8:K8"/>
    <mergeCell ref="J9:K9"/>
    <mergeCell ref="J10:K10"/>
    <mergeCell ref="R10:U10"/>
    <mergeCell ref="J11:K11"/>
    <mergeCell ref="J12:K12"/>
    <mergeCell ref="J13:K13"/>
    <mergeCell ref="J14:K14"/>
    <mergeCell ref="E16:I16"/>
    <mergeCell ref="C18:D18"/>
    <mergeCell ref="E18:F18"/>
    <mergeCell ref="G18:H18"/>
    <mergeCell ref="I18:J18"/>
    <mergeCell ref="B39:C39"/>
    <mergeCell ref="F39:H39"/>
    <mergeCell ref="B50:H50"/>
    <mergeCell ref="K62:R62"/>
    <mergeCell ref="O64:R64"/>
    <mergeCell ref="A71:I71"/>
    <mergeCell ref="A78:G78"/>
    <mergeCell ref="A112:O113"/>
    <mergeCell ref="A128:O129"/>
    <mergeCell ref="B130:C130"/>
    <mergeCell ref="D130:E130"/>
    <mergeCell ref="F130:G130"/>
    <mergeCell ref="H130:I130"/>
    <mergeCell ref="J130:K130"/>
    <mergeCell ref="L130:M130"/>
    <mergeCell ref="N130:O130"/>
    <mergeCell ref="B114:C114"/>
    <mergeCell ref="D114:E114"/>
    <mergeCell ref="F114:G114"/>
    <mergeCell ref="H114:I114"/>
    <mergeCell ref="J114:K114"/>
    <mergeCell ref="L114:M114"/>
    <mergeCell ref="N114:O11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5:L1002"/>
  <sheetViews>
    <sheetView workbookViewId="0"/>
  </sheetViews>
  <sheetFormatPr defaultColWidth="11.21875" defaultRowHeight="15" customHeight="1" x14ac:dyDescent="0.2"/>
  <cols>
    <col min="1" max="1" width="6.65625" customWidth="1"/>
    <col min="2" max="2" width="22.1953125" customWidth="1"/>
    <col min="3" max="3" width="12.453125" customWidth="1"/>
    <col min="4" max="4" width="10.8515625" customWidth="1"/>
    <col min="5" max="7" width="12.328125" customWidth="1"/>
    <col min="8" max="8" width="18" customWidth="1"/>
    <col min="9" max="9" width="12.69921875" customWidth="1"/>
    <col min="10" max="12" width="10.8515625" customWidth="1"/>
    <col min="13" max="13" width="18.6171875" customWidth="1"/>
    <col min="14" max="28" width="10.8515625" customWidth="1"/>
  </cols>
  <sheetData>
    <row r="5" spans="2:12" x14ac:dyDescent="0.2">
      <c r="E5" s="1" t="s">
        <v>0</v>
      </c>
      <c r="F5" s="19"/>
      <c r="G5" s="19"/>
    </row>
    <row r="6" spans="2:12" x14ac:dyDescent="0.2">
      <c r="E6" s="2" t="s">
        <v>1</v>
      </c>
      <c r="F6" s="19"/>
      <c r="G6" s="19"/>
    </row>
    <row r="11" spans="2:12" x14ac:dyDescent="0.2">
      <c r="B11" s="3" t="s">
        <v>2</v>
      </c>
      <c r="C11" s="616" t="s">
        <v>1885</v>
      </c>
      <c r="D11" s="537"/>
      <c r="E11" s="537"/>
      <c r="F11" s="537"/>
      <c r="G11" s="531"/>
      <c r="H11" s="3" t="s">
        <v>2</v>
      </c>
      <c r="I11" s="616" t="s">
        <v>1885</v>
      </c>
      <c r="J11" s="537"/>
      <c r="K11" s="537"/>
      <c r="L11" s="531"/>
    </row>
    <row r="12" spans="2:12" x14ac:dyDescent="0.2">
      <c r="B12" s="4"/>
      <c r="C12" s="12" t="s">
        <v>1886</v>
      </c>
      <c r="D12" s="12" t="s">
        <v>1887</v>
      </c>
      <c r="E12" s="12" t="s">
        <v>1888</v>
      </c>
      <c r="F12" s="12" t="s">
        <v>1889</v>
      </c>
      <c r="G12" s="12" t="s">
        <v>1890</v>
      </c>
      <c r="H12" s="4" t="s">
        <v>7</v>
      </c>
      <c r="I12" s="12" t="s">
        <v>1886</v>
      </c>
      <c r="J12" s="12" t="s">
        <v>1887</v>
      </c>
      <c r="K12" s="12" t="s">
        <v>1888</v>
      </c>
      <c r="L12" s="12" t="s">
        <v>1889</v>
      </c>
    </row>
    <row r="13" spans="2:12" x14ac:dyDescent="0.2">
      <c r="B13" s="6" t="s">
        <v>8</v>
      </c>
      <c r="C13" s="4"/>
      <c r="D13" s="5"/>
      <c r="E13" s="5"/>
      <c r="F13" s="5"/>
      <c r="G13" s="5"/>
      <c r="H13" s="6" t="s">
        <v>9</v>
      </c>
      <c r="I13" s="4"/>
      <c r="J13" s="5"/>
      <c r="K13" s="5"/>
      <c r="L13" s="5"/>
    </row>
    <row r="14" spans="2:12" x14ac:dyDescent="0.2">
      <c r="B14" s="4" t="s">
        <v>10</v>
      </c>
      <c r="C14" s="4"/>
      <c r="D14" s="5"/>
      <c r="E14" s="5"/>
      <c r="F14" s="12" t="s">
        <v>1891</v>
      </c>
      <c r="G14" s="5"/>
      <c r="H14" s="4" t="s">
        <v>1892</v>
      </c>
      <c r="I14" s="8" t="s">
        <v>1893</v>
      </c>
      <c r="J14" s="5"/>
      <c r="K14" s="5"/>
      <c r="L14" s="5"/>
    </row>
    <row r="15" spans="2:12" x14ac:dyDescent="0.2">
      <c r="B15" s="11" t="s">
        <v>1894</v>
      </c>
      <c r="C15" s="11" t="s">
        <v>1891</v>
      </c>
      <c r="D15" s="12" t="s">
        <v>1891</v>
      </c>
      <c r="E15" s="12" t="s">
        <v>1891</v>
      </c>
      <c r="F15" s="5"/>
      <c r="G15" s="5"/>
      <c r="H15" s="10" t="s">
        <v>19</v>
      </c>
      <c r="I15" s="11" t="s">
        <v>1895</v>
      </c>
      <c r="J15" s="5"/>
      <c r="K15" s="5"/>
      <c r="L15" s="12" t="s">
        <v>1896</v>
      </c>
    </row>
    <row r="16" spans="2:12" x14ac:dyDescent="0.2">
      <c r="B16" s="11" t="s">
        <v>1897</v>
      </c>
      <c r="C16" s="11" t="s">
        <v>1898</v>
      </c>
      <c r="D16" s="12" t="s">
        <v>1891</v>
      </c>
      <c r="E16" s="505" t="s">
        <v>1891</v>
      </c>
      <c r="F16" s="505" t="s">
        <v>1891</v>
      </c>
      <c r="G16" s="506"/>
      <c r="H16" s="10" t="s">
        <v>23</v>
      </c>
      <c r="I16" s="10"/>
      <c r="J16" s="5"/>
      <c r="K16" s="506"/>
      <c r="L16" s="506"/>
    </row>
    <row r="17" spans="2:12" x14ac:dyDescent="0.2">
      <c r="B17" s="11" t="s">
        <v>1899</v>
      </c>
      <c r="C17" s="11" t="s">
        <v>1900</v>
      </c>
      <c r="D17" s="12" t="s">
        <v>1900</v>
      </c>
      <c r="E17" s="12" t="s">
        <v>1901</v>
      </c>
      <c r="F17" s="12" t="s">
        <v>1902</v>
      </c>
      <c r="G17" s="5"/>
      <c r="H17" s="10" t="s">
        <v>25</v>
      </c>
      <c r="I17" s="10"/>
      <c r="J17" s="5"/>
      <c r="K17" s="5"/>
      <c r="L17" s="5"/>
    </row>
    <row r="18" spans="2:12" x14ac:dyDescent="0.2">
      <c r="B18" s="11" t="s">
        <v>1903</v>
      </c>
      <c r="C18" s="11" t="s">
        <v>1904</v>
      </c>
      <c r="D18" s="12" t="s">
        <v>1900</v>
      </c>
      <c r="E18" s="505" t="s">
        <v>1905</v>
      </c>
      <c r="F18" s="505" t="s">
        <v>1906</v>
      </c>
      <c r="G18" s="506"/>
      <c r="H18" s="11" t="s">
        <v>1907</v>
      </c>
      <c r="I18" s="11" t="s">
        <v>1908</v>
      </c>
      <c r="J18" s="5"/>
      <c r="K18" s="506"/>
      <c r="L18" s="506"/>
    </row>
    <row r="19" spans="2:12" x14ac:dyDescent="0.2">
      <c r="B19" s="4" t="s">
        <v>27</v>
      </c>
      <c r="C19" s="8" t="s">
        <v>1909</v>
      </c>
      <c r="D19" s="12" t="s">
        <v>1898</v>
      </c>
      <c r="E19" s="12" t="s">
        <v>1910</v>
      </c>
      <c r="F19" s="12" t="s">
        <v>1900</v>
      </c>
      <c r="G19" s="5"/>
      <c r="H19" s="10" t="s">
        <v>31</v>
      </c>
      <c r="I19" s="4"/>
      <c r="J19" s="5"/>
      <c r="K19" s="5"/>
      <c r="L19" s="5"/>
    </row>
    <row r="20" spans="2:12" x14ac:dyDescent="0.2">
      <c r="B20" s="6" t="s">
        <v>30</v>
      </c>
      <c r="C20" s="4"/>
      <c r="D20" s="5"/>
      <c r="E20" s="5"/>
      <c r="F20" s="5"/>
      <c r="G20" s="5"/>
      <c r="H20" s="10" t="s">
        <v>34</v>
      </c>
      <c r="I20" s="8" t="s">
        <v>1900</v>
      </c>
      <c r="J20" s="12" t="s">
        <v>1900</v>
      </c>
      <c r="K20" s="12" t="s">
        <v>1900</v>
      </c>
      <c r="L20" s="12" t="s">
        <v>1895</v>
      </c>
    </row>
    <row r="21" spans="2:12" ht="15.75" customHeight="1" x14ac:dyDescent="0.2">
      <c r="B21" s="10" t="s">
        <v>35</v>
      </c>
      <c r="C21" s="11" t="s">
        <v>1900</v>
      </c>
      <c r="D21" s="12" t="s">
        <v>1900</v>
      </c>
      <c r="E21" s="506"/>
      <c r="F21" s="506"/>
      <c r="G21" s="506"/>
      <c r="H21" s="10" t="s">
        <v>36</v>
      </c>
      <c r="I21" s="10"/>
      <c r="J21" s="5"/>
      <c r="K21" s="506"/>
      <c r="L21" s="506"/>
    </row>
    <row r="22" spans="2:12" ht="15.75" customHeight="1" x14ac:dyDescent="0.2">
      <c r="B22" s="10" t="s">
        <v>38</v>
      </c>
      <c r="C22" s="10"/>
      <c r="D22" s="5"/>
      <c r="E22" s="5"/>
      <c r="F22" s="12" t="s">
        <v>1896</v>
      </c>
      <c r="G22" s="5"/>
      <c r="H22" s="6" t="s">
        <v>40</v>
      </c>
      <c r="I22" s="10"/>
      <c r="J22" s="5"/>
      <c r="K22" s="5"/>
      <c r="L22" s="5"/>
    </row>
    <row r="23" spans="2:12" ht="15.75" customHeight="1" x14ac:dyDescent="0.2">
      <c r="B23" s="10"/>
      <c r="C23" s="10"/>
      <c r="D23" s="5"/>
      <c r="E23" s="506"/>
      <c r="F23" s="506"/>
      <c r="G23" s="506"/>
      <c r="H23" s="11" t="s">
        <v>1911</v>
      </c>
      <c r="I23" s="11" t="s">
        <v>1912</v>
      </c>
      <c r="J23" s="5"/>
      <c r="K23" s="506"/>
      <c r="L23" s="506"/>
    </row>
    <row r="24" spans="2:12" ht="15.75" customHeight="1" x14ac:dyDescent="0.2">
      <c r="B24" s="10" t="s">
        <v>1913</v>
      </c>
      <c r="C24" s="10"/>
      <c r="D24" s="5"/>
      <c r="E24" s="506"/>
      <c r="F24" s="506"/>
      <c r="G24" s="506"/>
      <c r="H24" s="10" t="s">
        <v>49</v>
      </c>
      <c r="I24" s="11"/>
      <c r="J24" s="5"/>
      <c r="K24" s="506"/>
      <c r="L24" s="506"/>
    </row>
    <row r="25" spans="2:12" ht="15.75" customHeight="1" x14ac:dyDescent="0.2">
      <c r="B25" s="11" t="s">
        <v>44</v>
      </c>
      <c r="C25" s="11" t="s">
        <v>1891</v>
      </c>
      <c r="D25" s="12" t="s">
        <v>1891</v>
      </c>
      <c r="E25" s="12" t="s">
        <v>1891</v>
      </c>
      <c r="F25" s="12" t="s">
        <v>1896</v>
      </c>
      <c r="G25" s="5"/>
      <c r="H25" s="4" t="s">
        <v>51</v>
      </c>
      <c r="I25" s="11" t="s">
        <v>1912</v>
      </c>
      <c r="J25" s="5"/>
      <c r="K25" s="5"/>
      <c r="L25" s="5"/>
    </row>
    <row r="26" spans="2:12" ht="15.75" customHeight="1" x14ac:dyDescent="0.2">
      <c r="B26" s="10" t="s">
        <v>47</v>
      </c>
      <c r="C26" s="11" t="s">
        <v>1905</v>
      </c>
      <c r="D26" s="12" t="s">
        <v>1900</v>
      </c>
      <c r="E26" s="5"/>
      <c r="F26" s="12" t="s">
        <v>1891</v>
      </c>
      <c r="G26" s="5"/>
      <c r="H26" s="4" t="s">
        <v>53</v>
      </c>
      <c r="I26" s="10"/>
      <c r="J26" s="5"/>
      <c r="K26" s="5"/>
      <c r="L26" s="5"/>
    </row>
    <row r="27" spans="2:12" ht="15.75" customHeight="1" x14ac:dyDescent="0.2">
      <c r="B27" s="10" t="s">
        <v>1914</v>
      </c>
      <c r="C27" s="11"/>
      <c r="D27" s="5"/>
      <c r="E27" s="5"/>
      <c r="F27" s="12" t="s">
        <v>1900</v>
      </c>
      <c r="G27" s="5"/>
      <c r="H27" s="4" t="s">
        <v>55</v>
      </c>
      <c r="I27" s="10"/>
      <c r="J27" s="5"/>
      <c r="K27" s="5"/>
      <c r="L27" s="5"/>
    </row>
    <row r="28" spans="2:12" ht="15.75" customHeight="1" x14ac:dyDescent="0.2">
      <c r="B28" s="10" t="s">
        <v>52</v>
      </c>
      <c r="C28" s="11" t="s">
        <v>1915</v>
      </c>
      <c r="D28" s="12" t="s">
        <v>1915</v>
      </c>
      <c r="E28" s="5"/>
      <c r="F28" s="12" t="s">
        <v>1916</v>
      </c>
      <c r="G28" s="5"/>
      <c r="H28" s="4" t="s">
        <v>57</v>
      </c>
      <c r="I28" s="10"/>
      <c r="J28" s="5"/>
      <c r="K28" s="5"/>
      <c r="L28" s="5"/>
    </row>
    <row r="29" spans="2:12" ht="15.75" customHeight="1" x14ac:dyDescent="0.2">
      <c r="B29" s="4" t="s">
        <v>54</v>
      </c>
      <c r="C29" s="8" t="s">
        <v>1895</v>
      </c>
      <c r="D29" s="12" t="s">
        <v>1904</v>
      </c>
      <c r="E29" s="12" t="s">
        <v>1904</v>
      </c>
      <c r="F29" s="12"/>
      <c r="G29" s="5"/>
      <c r="H29" s="4" t="s">
        <v>59</v>
      </c>
      <c r="I29" s="4"/>
      <c r="J29" s="5"/>
      <c r="K29" s="5"/>
      <c r="L29" s="5"/>
    </row>
    <row r="30" spans="2:12" ht="15.75" customHeight="1" x14ac:dyDescent="0.2">
      <c r="B30" s="10" t="s">
        <v>58</v>
      </c>
      <c r="C30" s="11" t="s">
        <v>1904</v>
      </c>
      <c r="D30" s="12" t="s">
        <v>1895</v>
      </c>
      <c r="E30" s="12" t="s">
        <v>1900</v>
      </c>
      <c r="F30" s="5"/>
      <c r="G30" s="5"/>
      <c r="H30" s="4" t="s">
        <v>62</v>
      </c>
      <c r="I30" s="10"/>
      <c r="J30" s="5"/>
      <c r="K30" s="5"/>
      <c r="L30" s="5"/>
    </row>
    <row r="31" spans="2:12" ht="15.75" customHeight="1" x14ac:dyDescent="0.2">
      <c r="B31" s="10" t="s">
        <v>1917</v>
      </c>
      <c r="C31" s="10"/>
      <c r="D31" s="5"/>
      <c r="E31" s="5"/>
      <c r="F31" s="5"/>
      <c r="G31" s="5"/>
      <c r="H31" s="4" t="s">
        <v>64</v>
      </c>
      <c r="I31" s="10"/>
      <c r="J31" s="5"/>
      <c r="K31" s="5"/>
      <c r="L31" s="5"/>
    </row>
    <row r="32" spans="2:12" ht="15.75" customHeight="1" x14ac:dyDescent="0.2">
      <c r="B32" s="4" t="s">
        <v>61</v>
      </c>
      <c r="C32" s="8" t="s">
        <v>1910</v>
      </c>
      <c r="D32" s="12" t="s">
        <v>1895</v>
      </c>
      <c r="E32" s="12" t="s">
        <v>1918</v>
      </c>
      <c r="F32" s="5"/>
      <c r="G32" s="5"/>
      <c r="H32" s="4" t="s">
        <v>66</v>
      </c>
      <c r="I32" s="4"/>
      <c r="J32" s="5"/>
      <c r="K32" s="5"/>
      <c r="L32" s="5"/>
    </row>
    <row r="33" spans="2:12" ht="15.75" customHeight="1" x14ac:dyDescent="0.2">
      <c r="B33" s="6" t="s">
        <v>63</v>
      </c>
      <c r="C33" s="4"/>
      <c r="D33" s="5"/>
      <c r="E33" s="5"/>
      <c r="F33" s="5"/>
      <c r="G33" s="5"/>
      <c r="H33" s="4" t="s">
        <v>69</v>
      </c>
      <c r="I33" s="4"/>
      <c r="J33" s="5"/>
      <c r="K33" s="5"/>
      <c r="L33" s="5"/>
    </row>
    <row r="34" spans="2:12" ht="15.75" customHeight="1" x14ac:dyDescent="0.2">
      <c r="B34" s="10" t="s">
        <v>65</v>
      </c>
      <c r="C34" s="11" t="s">
        <v>1919</v>
      </c>
      <c r="D34" s="5"/>
      <c r="E34" s="5"/>
      <c r="F34" s="5"/>
      <c r="G34" s="5"/>
      <c r="H34" s="4" t="s">
        <v>71</v>
      </c>
      <c r="I34" s="10"/>
      <c r="J34" s="5"/>
      <c r="K34" s="5"/>
      <c r="L34" s="5"/>
    </row>
    <row r="35" spans="2:12" ht="15.75" customHeight="1" x14ac:dyDescent="0.2">
      <c r="B35" s="11" t="s">
        <v>1920</v>
      </c>
      <c r="C35" s="11" t="s">
        <v>1891</v>
      </c>
      <c r="D35" s="5"/>
      <c r="E35" s="5"/>
      <c r="F35" s="12" t="s">
        <v>1891</v>
      </c>
      <c r="G35" s="5"/>
      <c r="H35" s="4" t="s">
        <v>73</v>
      </c>
      <c r="I35" s="10"/>
      <c r="J35" s="5"/>
      <c r="K35" s="5"/>
      <c r="L35" s="5"/>
    </row>
    <row r="36" spans="2:12" ht="15.75" customHeight="1" x14ac:dyDescent="0.2">
      <c r="B36" s="4" t="s">
        <v>70</v>
      </c>
      <c r="C36" s="4"/>
      <c r="D36" s="5"/>
      <c r="E36" s="5"/>
      <c r="F36" s="5"/>
      <c r="G36" s="5"/>
      <c r="H36" s="10" t="s">
        <v>75</v>
      </c>
      <c r="I36" s="4"/>
      <c r="J36" s="5"/>
      <c r="K36" s="5"/>
      <c r="L36" s="5"/>
    </row>
    <row r="37" spans="2:12" ht="15.75" customHeight="1" x14ac:dyDescent="0.2">
      <c r="B37" s="4" t="s">
        <v>72</v>
      </c>
      <c r="C37" s="8" t="s">
        <v>1921</v>
      </c>
      <c r="D37" s="5"/>
      <c r="E37" s="5"/>
      <c r="F37" s="5"/>
      <c r="G37" s="5"/>
      <c r="H37" s="10" t="s">
        <v>77</v>
      </c>
      <c r="I37" s="4"/>
      <c r="J37" s="5"/>
      <c r="K37" s="5"/>
      <c r="L37" s="5"/>
    </row>
    <row r="38" spans="2:12" ht="15.75" customHeight="1" x14ac:dyDescent="0.2">
      <c r="B38" s="4" t="s">
        <v>74</v>
      </c>
      <c r="C38" s="8" t="s">
        <v>1915</v>
      </c>
      <c r="D38" s="5"/>
      <c r="E38" s="5"/>
      <c r="F38" s="12" t="s">
        <v>1896</v>
      </c>
      <c r="G38" s="5"/>
      <c r="H38" s="4" t="s">
        <v>79</v>
      </c>
      <c r="I38" s="4"/>
      <c r="J38" s="5"/>
      <c r="K38" s="5"/>
      <c r="L38" s="5"/>
    </row>
    <row r="39" spans="2:12" ht="15.75" customHeight="1" x14ac:dyDescent="0.2">
      <c r="B39" s="8" t="s">
        <v>1922</v>
      </c>
      <c r="C39" s="4"/>
      <c r="D39" s="5"/>
      <c r="E39" s="5"/>
      <c r="F39" s="5"/>
      <c r="G39" s="5"/>
      <c r="H39" s="4" t="s">
        <v>81</v>
      </c>
      <c r="I39" s="4"/>
      <c r="J39" s="5"/>
      <c r="K39" s="5"/>
      <c r="L39" s="5"/>
    </row>
    <row r="40" spans="2:12" ht="15.75" customHeight="1" x14ac:dyDescent="0.2">
      <c r="B40" s="8" t="s">
        <v>76</v>
      </c>
      <c r="C40" s="8" t="s">
        <v>1895</v>
      </c>
      <c r="D40" s="12" t="s">
        <v>1904</v>
      </c>
      <c r="E40" s="5"/>
      <c r="F40" s="5"/>
      <c r="G40" s="5"/>
      <c r="H40" s="4" t="s">
        <v>83</v>
      </c>
      <c r="I40" s="4"/>
      <c r="J40" s="5"/>
      <c r="K40" s="5"/>
      <c r="L40" s="5"/>
    </row>
    <row r="41" spans="2:12" ht="15.75" customHeight="1" x14ac:dyDescent="0.2">
      <c r="B41" s="8" t="s">
        <v>1923</v>
      </c>
      <c r="C41" s="4"/>
      <c r="D41" s="5"/>
      <c r="E41" s="5"/>
      <c r="F41" s="5"/>
      <c r="G41" s="5"/>
      <c r="H41" s="4"/>
      <c r="I41" s="4"/>
      <c r="J41" s="5"/>
      <c r="K41" s="5"/>
      <c r="L41" s="5"/>
    </row>
    <row r="42" spans="2:12" ht="15.75" customHeight="1" x14ac:dyDescent="0.2">
      <c r="B42" s="4" t="s">
        <v>80</v>
      </c>
      <c r="C42" s="8" t="s">
        <v>1924</v>
      </c>
      <c r="D42" s="5"/>
      <c r="E42" s="12" t="s">
        <v>1904</v>
      </c>
      <c r="F42" s="5"/>
      <c r="G42" s="5"/>
      <c r="H42" s="6" t="s">
        <v>85</v>
      </c>
      <c r="I42" s="4"/>
      <c r="J42" s="5"/>
      <c r="K42" s="5"/>
      <c r="L42" s="5"/>
    </row>
    <row r="43" spans="2:12" ht="15.75" customHeight="1" x14ac:dyDescent="0.2">
      <c r="B43" s="4" t="s">
        <v>82</v>
      </c>
      <c r="C43" s="4"/>
      <c r="D43" s="5"/>
      <c r="E43" s="5"/>
      <c r="F43" s="5"/>
      <c r="G43" s="5"/>
      <c r="H43" s="8" t="s">
        <v>86</v>
      </c>
      <c r="I43" s="4"/>
      <c r="J43" s="5"/>
      <c r="K43" s="5"/>
      <c r="L43" s="5"/>
    </row>
    <row r="44" spans="2:12" ht="15.75" customHeight="1" x14ac:dyDescent="0.2">
      <c r="B44" s="93" t="s">
        <v>1782</v>
      </c>
      <c r="C44" s="93" t="s">
        <v>1925</v>
      </c>
      <c r="D44" s="93" t="s">
        <v>1900</v>
      </c>
      <c r="H44" s="8" t="s">
        <v>88</v>
      </c>
      <c r="I44" s="4"/>
      <c r="J44" s="5"/>
      <c r="K44" s="5"/>
      <c r="L44" s="23"/>
    </row>
    <row r="45" spans="2:12" ht="15.75" customHeight="1" x14ac:dyDescent="0.2">
      <c r="H45" s="4" t="s">
        <v>89</v>
      </c>
      <c r="I45" s="4"/>
      <c r="J45" s="5"/>
      <c r="K45" s="5"/>
      <c r="L45" s="23"/>
    </row>
    <row r="46" spans="2:12" ht="15.75" customHeight="1" x14ac:dyDescent="0.2">
      <c r="H46" s="4" t="s">
        <v>90</v>
      </c>
      <c r="I46" s="4"/>
      <c r="J46" s="5"/>
      <c r="K46" s="5"/>
      <c r="L46" s="23"/>
    </row>
    <row r="47" spans="2:12" ht="15.75" customHeight="1" x14ac:dyDescent="0.2">
      <c r="H47" s="4" t="s">
        <v>91</v>
      </c>
      <c r="I47" s="4"/>
      <c r="J47" s="5"/>
      <c r="K47" s="5"/>
      <c r="L47" s="23"/>
    </row>
    <row r="48" spans="2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2">
    <mergeCell ref="C11:G11"/>
    <mergeCell ref="I11:L11"/>
  </mergeCells>
  <pageMargins left="0.70866141732283472" right="0.70866141732283472" top="0.74803149606299213" bottom="0.74803149606299213" header="0" footer="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Right="0"/>
  </sheetPr>
  <dimension ref="A1:NO998"/>
  <sheetViews>
    <sheetView workbookViewId="0">
      <pane xSplit="1" ySplit="2" topLeftCell="B3" activePane="bottomRight" state="frozen"/>
      <selection pane="bottomLeft" activeCell="A3" sqref="A3"/>
      <selection pane="topRight" activeCell="B1" sqref="B1"/>
      <selection pane="bottomRight" activeCell="B3" sqref="B3"/>
    </sheetView>
  </sheetViews>
  <sheetFormatPr defaultColWidth="11.21875" defaultRowHeight="15" customHeight="1" outlineLevelRow="1" x14ac:dyDescent="0.2"/>
  <cols>
    <col min="1" max="1" width="34.7734375" customWidth="1"/>
    <col min="2" max="10" width="3.328125" customWidth="1"/>
    <col min="11" max="32" width="4.3125" customWidth="1"/>
    <col min="33" max="41" width="3.328125" customWidth="1"/>
    <col min="42" max="61" width="4.3125" customWidth="1"/>
    <col min="62" max="70" width="3.328125" customWidth="1"/>
    <col min="71" max="92" width="4.3125" customWidth="1"/>
    <col min="93" max="101" width="3.328125" customWidth="1"/>
    <col min="102" max="122" width="4.3125" customWidth="1"/>
    <col min="123" max="131" width="3.328125" customWidth="1"/>
    <col min="132" max="153" width="4.3125" customWidth="1"/>
    <col min="154" max="162" width="3.328125" customWidth="1"/>
    <col min="163" max="183" width="4.3125" customWidth="1"/>
    <col min="184" max="192" width="3.328125" customWidth="1"/>
    <col min="193" max="214" width="4.3125" customWidth="1"/>
    <col min="215" max="223" width="3.328125" customWidth="1"/>
    <col min="224" max="245" width="4.3125" customWidth="1"/>
    <col min="246" max="254" width="3.328125" customWidth="1"/>
    <col min="255" max="284" width="4.3125" customWidth="1"/>
    <col min="285" max="306" width="5.17578125" customWidth="1"/>
    <col min="307" max="315" width="4.3125" customWidth="1"/>
    <col min="316" max="336" width="5.17578125" customWidth="1"/>
    <col min="337" max="345" width="4.3125" customWidth="1"/>
    <col min="346" max="367" width="5.17578125" customWidth="1"/>
    <col min="368" max="376" width="3.328125" customWidth="1"/>
    <col min="377" max="379" width="4.3125" customWidth="1"/>
  </cols>
  <sheetData>
    <row r="1" spans="1:379" ht="15" customHeight="1" outlineLevel="1" x14ac:dyDescent="0.4">
      <c r="A1" s="618">
        <v>2024</v>
      </c>
      <c r="B1" s="617" t="s">
        <v>1926</v>
      </c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617" t="s">
        <v>1927</v>
      </c>
      <c r="AH1" s="533"/>
      <c r="AI1" s="533"/>
      <c r="AJ1" s="533"/>
      <c r="AK1" s="533"/>
      <c r="AL1" s="533"/>
      <c r="AM1" s="533"/>
      <c r="AN1" s="533"/>
      <c r="AO1" s="533"/>
      <c r="AP1" s="533"/>
      <c r="AQ1" s="533"/>
      <c r="AR1" s="533"/>
      <c r="AS1" s="533"/>
      <c r="AT1" s="533"/>
      <c r="AU1" s="533"/>
      <c r="AV1" s="533"/>
      <c r="AW1" s="533"/>
      <c r="AX1" s="533"/>
      <c r="AY1" s="533"/>
      <c r="AZ1" s="533"/>
      <c r="BA1" s="533"/>
      <c r="BB1" s="533"/>
      <c r="BC1" s="533"/>
      <c r="BD1" s="533"/>
      <c r="BE1" s="533"/>
      <c r="BF1" s="533"/>
      <c r="BG1" s="533"/>
      <c r="BH1" s="533"/>
      <c r="BI1" s="533"/>
      <c r="BJ1" s="617" t="s">
        <v>1928</v>
      </c>
      <c r="BK1" s="533"/>
      <c r="BL1" s="533"/>
      <c r="BM1" s="533"/>
      <c r="BN1" s="533"/>
      <c r="BO1" s="533"/>
      <c r="BP1" s="533"/>
      <c r="BQ1" s="533"/>
      <c r="BR1" s="533"/>
      <c r="BS1" s="533"/>
      <c r="BT1" s="533"/>
      <c r="BU1" s="533"/>
      <c r="BV1" s="533"/>
      <c r="BW1" s="533"/>
      <c r="BX1" s="533"/>
      <c r="BY1" s="533"/>
      <c r="BZ1" s="533"/>
      <c r="CA1" s="533"/>
      <c r="CB1" s="533"/>
      <c r="CC1" s="533"/>
      <c r="CD1" s="533"/>
      <c r="CE1" s="533"/>
      <c r="CF1" s="533"/>
      <c r="CG1" s="533"/>
      <c r="CH1" s="533"/>
      <c r="CI1" s="533"/>
      <c r="CJ1" s="533"/>
      <c r="CK1" s="533"/>
      <c r="CL1" s="533"/>
      <c r="CM1" s="533"/>
      <c r="CN1" s="533"/>
      <c r="CO1" s="617" t="s">
        <v>1929</v>
      </c>
      <c r="CP1" s="533"/>
      <c r="CQ1" s="533"/>
      <c r="CR1" s="533"/>
      <c r="CS1" s="533"/>
      <c r="CT1" s="533"/>
      <c r="CU1" s="533"/>
      <c r="CV1" s="533"/>
      <c r="CW1" s="533"/>
      <c r="CX1" s="533"/>
      <c r="CY1" s="533"/>
      <c r="CZ1" s="533"/>
      <c r="DA1" s="533"/>
      <c r="DB1" s="533"/>
      <c r="DC1" s="533"/>
      <c r="DD1" s="533"/>
      <c r="DE1" s="533"/>
      <c r="DF1" s="533"/>
      <c r="DG1" s="533"/>
      <c r="DH1" s="533"/>
      <c r="DI1" s="533"/>
      <c r="DJ1" s="533"/>
      <c r="DK1" s="533"/>
      <c r="DL1" s="533"/>
      <c r="DM1" s="533"/>
      <c r="DN1" s="533"/>
      <c r="DO1" s="533"/>
      <c r="DP1" s="533"/>
      <c r="DQ1" s="533"/>
      <c r="DR1" s="533"/>
      <c r="DS1" s="617" t="s">
        <v>1930</v>
      </c>
      <c r="DT1" s="533"/>
      <c r="DU1" s="533"/>
      <c r="DV1" s="533"/>
      <c r="DW1" s="533"/>
      <c r="DX1" s="533"/>
      <c r="DY1" s="533"/>
      <c r="DZ1" s="533"/>
      <c r="EA1" s="533"/>
      <c r="EB1" s="533"/>
      <c r="EC1" s="533"/>
      <c r="ED1" s="533"/>
      <c r="EE1" s="533"/>
      <c r="EF1" s="533"/>
      <c r="EG1" s="533"/>
      <c r="EH1" s="533"/>
      <c r="EI1" s="533"/>
      <c r="EJ1" s="533"/>
      <c r="EK1" s="533"/>
      <c r="EL1" s="533"/>
      <c r="EM1" s="533"/>
      <c r="EN1" s="533"/>
      <c r="EO1" s="533"/>
      <c r="EP1" s="533"/>
      <c r="EQ1" s="533"/>
      <c r="ER1" s="533"/>
      <c r="ES1" s="533"/>
      <c r="ET1" s="533"/>
      <c r="EU1" s="533"/>
      <c r="EV1" s="533"/>
      <c r="EW1" s="533"/>
      <c r="EX1" s="617" t="s">
        <v>1931</v>
      </c>
      <c r="EY1" s="533"/>
      <c r="EZ1" s="533"/>
      <c r="FA1" s="533"/>
      <c r="FB1" s="533"/>
      <c r="FC1" s="533"/>
      <c r="FD1" s="533"/>
      <c r="FE1" s="533"/>
      <c r="FF1" s="533"/>
      <c r="FG1" s="533"/>
      <c r="FH1" s="533"/>
      <c r="FI1" s="533"/>
      <c r="FJ1" s="533"/>
      <c r="FK1" s="533"/>
      <c r="FL1" s="533"/>
      <c r="FM1" s="533"/>
      <c r="FN1" s="533"/>
      <c r="FO1" s="533"/>
      <c r="FP1" s="533"/>
      <c r="FQ1" s="533"/>
      <c r="FR1" s="533"/>
      <c r="FS1" s="533"/>
      <c r="FT1" s="533"/>
      <c r="FU1" s="533"/>
      <c r="FV1" s="533"/>
      <c r="FW1" s="533"/>
      <c r="FX1" s="533"/>
      <c r="FY1" s="533"/>
      <c r="FZ1" s="533"/>
      <c r="GA1" s="533"/>
      <c r="GB1" s="617" t="s">
        <v>1932</v>
      </c>
      <c r="GC1" s="533"/>
      <c r="GD1" s="533"/>
      <c r="GE1" s="533"/>
      <c r="GF1" s="533"/>
      <c r="GG1" s="533"/>
      <c r="GH1" s="533"/>
      <c r="GI1" s="533"/>
      <c r="GJ1" s="533"/>
      <c r="GK1" s="533"/>
      <c r="GL1" s="533"/>
      <c r="GM1" s="533"/>
      <c r="GN1" s="533"/>
      <c r="GO1" s="533"/>
      <c r="GP1" s="533"/>
      <c r="GQ1" s="533"/>
      <c r="GR1" s="533"/>
      <c r="GS1" s="533"/>
      <c r="GT1" s="533"/>
      <c r="GU1" s="533"/>
      <c r="GV1" s="533"/>
      <c r="GW1" s="533"/>
      <c r="GX1" s="533"/>
      <c r="GY1" s="533"/>
      <c r="GZ1" s="533"/>
      <c r="HA1" s="533"/>
      <c r="HB1" s="533"/>
      <c r="HC1" s="533"/>
      <c r="HD1" s="533"/>
      <c r="HE1" s="533"/>
      <c r="HF1" s="533"/>
      <c r="HG1" s="617" t="s">
        <v>1933</v>
      </c>
      <c r="HH1" s="533"/>
      <c r="HI1" s="533"/>
      <c r="HJ1" s="533"/>
      <c r="HK1" s="533"/>
      <c r="HL1" s="533"/>
      <c r="HM1" s="533"/>
      <c r="HN1" s="533"/>
      <c r="HO1" s="533"/>
      <c r="HP1" s="533"/>
      <c r="HQ1" s="533"/>
      <c r="HR1" s="533"/>
      <c r="HS1" s="533"/>
      <c r="HT1" s="533"/>
      <c r="HU1" s="533"/>
      <c r="HV1" s="533"/>
      <c r="HW1" s="533"/>
      <c r="HX1" s="533"/>
      <c r="HY1" s="533"/>
      <c r="HZ1" s="533"/>
      <c r="IA1" s="533"/>
      <c r="IB1" s="533"/>
      <c r="IC1" s="533"/>
      <c r="ID1" s="533"/>
      <c r="IE1" s="533"/>
      <c r="IF1" s="533"/>
      <c r="IG1" s="533"/>
      <c r="IH1" s="533"/>
      <c r="II1" s="533"/>
      <c r="IJ1" s="533"/>
      <c r="IK1" s="533"/>
      <c r="IL1" s="617" t="s">
        <v>1934</v>
      </c>
      <c r="IM1" s="533"/>
      <c r="IN1" s="533"/>
      <c r="IO1" s="533"/>
      <c r="IP1" s="533"/>
      <c r="IQ1" s="533"/>
      <c r="IR1" s="533"/>
      <c r="IS1" s="533"/>
      <c r="IT1" s="533"/>
      <c r="IU1" s="533"/>
      <c r="IV1" s="533"/>
      <c r="IW1" s="533"/>
      <c r="IX1" s="533"/>
      <c r="IY1" s="533"/>
      <c r="IZ1" s="533"/>
      <c r="JA1" s="533"/>
      <c r="JB1" s="533"/>
      <c r="JC1" s="533"/>
      <c r="JD1" s="533"/>
      <c r="JE1" s="533"/>
      <c r="JF1" s="533"/>
      <c r="JG1" s="533"/>
      <c r="JH1" s="533"/>
      <c r="JI1" s="533"/>
      <c r="JJ1" s="533"/>
      <c r="JK1" s="533"/>
      <c r="JL1" s="533"/>
      <c r="JM1" s="533"/>
      <c r="JN1" s="533"/>
      <c r="JO1" s="533"/>
      <c r="JP1" s="617" t="s">
        <v>1935</v>
      </c>
      <c r="JQ1" s="533"/>
      <c r="JR1" s="533"/>
      <c r="JS1" s="533"/>
      <c r="JT1" s="533"/>
      <c r="JU1" s="533"/>
      <c r="JV1" s="533"/>
      <c r="JW1" s="533"/>
      <c r="JX1" s="533"/>
      <c r="JY1" s="533"/>
      <c r="JZ1" s="533"/>
      <c r="KA1" s="533"/>
      <c r="KB1" s="533"/>
      <c r="KC1" s="533"/>
      <c r="KD1" s="533"/>
      <c r="KE1" s="533"/>
      <c r="KF1" s="533"/>
      <c r="KG1" s="533"/>
      <c r="KH1" s="533"/>
      <c r="KI1" s="533"/>
      <c r="KJ1" s="533"/>
      <c r="KK1" s="533"/>
      <c r="KL1" s="533"/>
      <c r="KM1" s="533"/>
      <c r="KN1" s="533"/>
      <c r="KO1" s="533"/>
      <c r="KP1" s="533"/>
      <c r="KQ1" s="533"/>
      <c r="KR1" s="533"/>
      <c r="KS1" s="533"/>
      <c r="KT1" s="533"/>
      <c r="KU1" s="617" t="s">
        <v>1936</v>
      </c>
      <c r="KV1" s="533"/>
      <c r="KW1" s="533"/>
      <c r="KX1" s="533"/>
      <c r="KY1" s="533"/>
      <c r="KZ1" s="533"/>
      <c r="LA1" s="533"/>
      <c r="LB1" s="533"/>
      <c r="LC1" s="533"/>
      <c r="LD1" s="533"/>
      <c r="LE1" s="533"/>
      <c r="LF1" s="533"/>
      <c r="LG1" s="533"/>
      <c r="LH1" s="533"/>
      <c r="LI1" s="533"/>
      <c r="LJ1" s="533"/>
      <c r="LK1" s="533"/>
      <c r="LL1" s="533"/>
      <c r="LM1" s="533"/>
      <c r="LN1" s="533"/>
      <c r="LO1" s="533"/>
      <c r="LP1" s="533"/>
      <c r="LQ1" s="533"/>
      <c r="LR1" s="533"/>
      <c r="LS1" s="533"/>
      <c r="LT1" s="533"/>
      <c r="LU1" s="533"/>
      <c r="LV1" s="533"/>
      <c r="LW1" s="533"/>
      <c r="LX1" s="533"/>
      <c r="LY1" s="617" t="s">
        <v>1937</v>
      </c>
      <c r="LZ1" s="533"/>
      <c r="MA1" s="533"/>
      <c r="MB1" s="533"/>
      <c r="MC1" s="533"/>
      <c r="MD1" s="533"/>
      <c r="ME1" s="533"/>
      <c r="MF1" s="533"/>
      <c r="MG1" s="533"/>
      <c r="MH1" s="533"/>
      <c r="MI1" s="533"/>
      <c r="MJ1" s="533"/>
      <c r="MK1" s="533"/>
      <c r="ML1" s="533"/>
      <c r="MM1" s="533"/>
      <c r="MN1" s="533"/>
      <c r="MO1" s="533"/>
      <c r="MP1" s="533"/>
      <c r="MQ1" s="533"/>
      <c r="MR1" s="533"/>
      <c r="MS1" s="533"/>
      <c r="MT1" s="533"/>
      <c r="MU1" s="533"/>
      <c r="MV1" s="533"/>
      <c r="MW1" s="533"/>
      <c r="MX1" s="533"/>
      <c r="MY1" s="533"/>
      <c r="MZ1" s="533"/>
      <c r="NA1" s="533"/>
      <c r="NB1" s="533"/>
      <c r="NC1" s="533"/>
      <c r="ND1" s="617" t="s">
        <v>1926</v>
      </c>
      <c r="NE1" s="533"/>
      <c r="NF1" s="533"/>
      <c r="NG1" s="533"/>
      <c r="NH1" s="533"/>
      <c r="NI1" s="533"/>
      <c r="NJ1" s="533"/>
      <c r="NK1" s="533"/>
      <c r="NL1" s="533"/>
      <c r="NM1" s="533"/>
      <c r="NN1" s="533"/>
      <c r="NO1" s="533"/>
    </row>
    <row r="2" spans="1:379" outlineLevel="1" x14ac:dyDescent="0.2">
      <c r="A2" s="533"/>
      <c r="B2" s="507">
        <v>45292</v>
      </c>
      <c r="C2" s="507">
        <v>45293</v>
      </c>
      <c r="D2" s="507">
        <v>45294</v>
      </c>
      <c r="E2" s="507">
        <v>45295</v>
      </c>
      <c r="F2" s="507">
        <v>45296</v>
      </c>
      <c r="G2" s="507">
        <v>45297</v>
      </c>
      <c r="H2" s="507">
        <v>45298</v>
      </c>
      <c r="I2" s="507">
        <v>45299</v>
      </c>
      <c r="J2" s="507">
        <v>45300</v>
      </c>
      <c r="K2" s="507">
        <v>45301</v>
      </c>
      <c r="L2" s="507">
        <v>45302</v>
      </c>
      <c r="M2" s="507">
        <v>45303</v>
      </c>
      <c r="N2" s="507">
        <v>45304</v>
      </c>
      <c r="O2" s="507">
        <v>45305</v>
      </c>
      <c r="P2" s="507">
        <v>45306</v>
      </c>
      <c r="Q2" s="507">
        <v>45307</v>
      </c>
      <c r="R2" s="507">
        <v>45308</v>
      </c>
      <c r="S2" s="507">
        <v>45309</v>
      </c>
      <c r="T2" s="507">
        <v>45310</v>
      </c>
      <c r="U2" s="507">
        <v>45311</v>
      </c>
      <c r="V2" s="507">
        <v>45312</v>
      </c>
      <c r="W2" s="507">
        <v>45313</v>
      </c>
      <c r="X2" s="507">
        <v>45314</v>
      </c>
      <c r="Y2" s="507">
        <v>45315</v>
      </c>
      <c r="Z2" s="507">
        <v>45316</v>
      </c>
      <c r="AA2" s="507">
        <v>45317</v>
      </c>
      <c r="AB2" s="507">
        <v>45318</v>
      </c>
      <c r="AC2" s="507">
        <v>45319</v>
      </c>
      <c r="AD2" s="507">
        <v>45320</v>
      </c>
      <c r="AE2" s="507">
        <v>45321</v>
      </c>
      <c r="AF2" s="507">
        <v>45322</v>
      </c>
      <c r="AG2" s="507">
        <v>45323</v>
      </c>
      <c r="AH2" s="507">
        <v>45324</v>
      </c>
      <c r="AI2" s="507">
        <v>45325</v>
      </c>
      <c r="AJ2" s="507">
        <v>45326</v>
      </c>
      <c r="AK2" s="507">
        <v>45327</v>
      </c>
      <c r="AL2" s="507">
        <v>45328</v>
      </c>
      <c r="AM2" s="507">
        <v>45329</v>
      </c>
      <c r="AN2" s="507">
        <v>45330</v>
      </c>
      <c r="AO2" s="507">
        <v>45331</v>
      </c>
      <c r="AP2" s="507">
        <v>45332</v>
      </c>
      <c r="AQ2" s="507">
        <v>45333</v>
      </c>
      <c r="AR2" s="507">
        <v>45334</v>
      </c>
      <c r="AS2" s="507">
        <v>45335</v>
      </c>
      <c r="AT2" s="507">
        <v>45336</v>
      </c>
      <c r="AU2" s="507">
        <v>45337</v>
      </c>
      <c r="AV2" s="507">
        <v>45338</v>
      </c>
      <c r="AW2" s="507">
        <v>45339</v>
      </c>
      <c r="AX2" s="507">
        <v>45340</v>
      </c>
      <c r="AY2" s="507">
        <v>45341</v>
      </c>
      <c r="AZ2" s="507">
        <v>45342</v>
      </c>
      <c r="BA2" s="507">
        <v>45343</v>
      </c>
      <c r="BB2" s="507">
        <v>45344</v>
      </c>
      <c r="BC2" s="507">
        <v>45345</v>
      </c>
      <c r="BD2" s="507">
        <v>45346</v>
      </c>
      <c r="BE2" s="507">
        <v>45347</v>
      </c>
      <c r="BF2" s="507">
        <v>45348</v>
      </c>
      <c r="BG2" s="507">
        <v>45349</v>
      </c>
      <c r="BH2" s="507">
        <v>45350</v>
      </c>
      <c r="BI2" s="507">
        <v>45351</v>
      </c>
      <c r="BJ2" s="507">
        <v>45352</v>
      </c>
      <c r="BK2" s="507">
        <v>45353</v>
      </c>
      <c r="BL2" s="507">
        <v>45354</v>
      </c>
      <c r="BM2" s="507">
        <v>45355</v>
      </c>
      <c r="BN2" s="507">
        <v>45356</v>
      </c>
      <c r="BO2" s="507">
        <v>45357</v>
      </c>
      <c r="BP2" s="507">
        <v>45358</v>
      </c>
      <c r="BQ2" s="507">
        <v>45359</v>
      </c>
      <c r="BR2" s="507">
        <v>45360</v>
      </c>
      <c r="BS2" s="507">
        <v>45361</v>
      </c>
      <c r="BT2" s="507">
        <v>45362</v>
      </c>
      <c r="BU2" s="507">
        <v>45363</v>
      </c>
      <c r="BV2" s="507">
        <v>45364</v>
      </c>
      <c r="BW2" s="507">
        <v>45365</v>
      </c>
      <c r="BX2" s="507">
        <v>45366</v>
      </c>
      <c r="BY2" s="507">
        <v>45367</v>
      </c>
      <c r="BZ2" s="507">
        <v>45368</v>
      </c>
      <c r="CA2" s="507">
        <v>45369</v>
      </c>
      <c r="CB2" s="507">
        <v>45370</v>
      </c>
      <c r="CC2" s="507">
        <v>45371</v>
      </c>
      <c r="CD2" s="507">
        <v>45372</v>
      </c>
      <c r="CE2" s="507">
        <v>45373</v>
      </c>
      <c r="CF2" s="507">
        <v>45374</v>
      </c>
      <c r="CG2" s="507">
        <v>45375</v>
      </c>
      <c r="CH2" s="507">
        <v>45376</v>
      </c>
      <c r="CI2" s="507">
        <v>45377</v>
      </c>
      <c r="CJ2" s="507">
        <v>45378</v>
      </c>
      <c r="CK2" s="507">
        <v>45379</v>
      </c>
      <c r="CL2" s="507">
        <v>45380</v>
      </c>
      <c r="CM2" s="507">
        <v>45381</v>
      </c>
      <c r="CN2" s="507">
        <v>45382</v>
      </c>
      <c r="CO2" s="507">
        <v>45383</v>
      </c>
      <c r="CP2" s="507">
        <v>45384</v>
      </c>
      <c r="CQ2" s="507">
        <v>45385</v>
      </c>
      <c r="CR2" s="507">
        <v>45386</v>
      </c>
      <c r="CS2" s="507">
        <v>45387</v>
      </c>
      <c r="CT2" s="507">
        <v>45388</v>
      </c>
      <c r="CU2" s="507">
        <v>45389</v>
      </c>
      <c r="CV2" s="507">
        <v>45390</v>
      </c>
      <c r="CW2" s="507">
        <v>45391</v>
      </c>
      <c r="CX2" s="507">
        <v>45392</v>
      </c>
      <c r="CY2" s="507">
        <v>45393</v>
      </c>
      <c r="CZ2" s="507">
        <v>45394</v>
      </c>
      <c r="DA2" s="507">
        <v>45395</v>
      </c>
      <c r="DB2" s="507">
        <v>45396</v>
      </c>
      <c r="DC2" s="507">
        <v>45397</v>
      </c>
      <c r="DD2" s="507">
        <v>45398</v>
      </c>
      <c r="DE2" s="507">
        <v>45399</v>
      </c>
      <c r="DF2" s="507">
        <v>45400</v>
      </c>
      <c r="DG2" s="507">
        <v>45401</v>
      </c>
      <c r="DH2" s="507">
        <v>45402</v>
      </c>
      <c r="DI2" s="507">
        <v>45403</v>
      </c>
      <c r="DJ2" s="507">
        <v>45404</v>
      </c>
      <c r="DK2" s="507">
        <v>45405</v>
      </c>
      <c r="DL2" s="507">
        <v>45406</v>
      </c>
      <c r="DM2" s="507">
        <v>45407</v>
      </c>
      <c r="DN2" s="507">
        <v>45408</v>
      </c>
      <c r="DO2" s="507">
        <v>45409</v>
      </c>
      <c r="DP2" s="507">
        <v>45410</v>
      </c>
      <c r="DQ2" s="507">
        <v>45411</v>
      </c>
      <c r="DR2" s="507">
        <v>45412</v>
      </c>
      <c r="DS2" s="507">
        <v>45413</v>
      </c>
      <c r="DT2" s="507">
        <v>45414</v>
      </c>
      <c r="DU2" s="507">
        <v>45415</v>
      </c>
      <c r="DV2" s="507">
        <v>45416</v>
      </c>
      <c r="DW2" s="507">
        <v>45417</v>
      </c>
      <c r="DX2" s="507">
        <v>45418</v>
      </c>
      <c r="DY2" s="507">
        <v>45419</v>
      </c>
      <c r="DZ2" s="507">
        <v>45420</v>
      </c>
      <c r="EA2" s="507">
        <v>45421</v>
      </c>
      <c r="EB2" s="507">
        <v>45422</v>
      </c>
      <c r="EC2" s="507">
        <v>45423</v>
      </c>
      <c r="ED2" s="507">
        <v>45424</v>
      </c>
      <c r="EE2" s="507">
        <v>45425</v>
      </c>
      <c r="EF2" s="507">
        <v>45426</v>
      </c>
      <c r="EG2" s="507">
        <v>45427</v>
      </c>
      <c r="EH2" s="507">
        <v>45428</v>
      </c>
      <c r="EI2" s="507">
        <v>45429</v>
      </c>
      <c r="EJ2" s="507">
        <v>45430</v>
      </c>
      <c r="EK2" s="507">
        <v>45431</v>
      </c>
      <c r="EL2" s="507">
        <v>45432</v>
      </c>
      <c r="EM2" s="507">
        <v>45433</v>
      </c>
      <c r="EN2" s="507">
        <v>45434</v>
      </c>
      <c r="EO2" s="507">
        <v>45435</v>
      </c>
      <c r="EP2" s="507">
        <v>45436</v>
      </c>
      <c r="EQ2" s="507">
        <v>45437</v>
      </c>
      <c r="ER2" s="507">
        <v>45438</v>
      </c>
      <c r="ES2" s="507">
        <v>45439</v>
      </c>
      <c r="ET2" s="507">
        <v>45440</v>
      </c>
      <c r="EU2" s="507">
        <v>45441</v>
      </c>
      <c r="EV2" s="507">
        <v>45442</v>
      </c>
      <c r="EW2" s="507">
        <v>45443</v>
      </c>
      <c r="EX2" s="507">
        <v>45444</v>
      </c>
      <c r="EY2" s="507">
        <v>45445</v>
      </c>
      <c r="EZ2" s="507">
        <v>45446</v>
      </c>
      <c r="FA2" s="507">
        <v>45447</v>
      </c>
      <c r="FB2" s="507">
        <v>45448</v>
      </c>
      <c r="FC2" s="507">
        <v>45449</v>
      </c>
      <c r="FD2" s="507">
        <v>45450</v>
      </c>
      <c r="FE2" s="507">
        <v>45451</v>
      </c>
      <c r="FF2" s="507">
        <v>45452</v>
      </c>
      <c r="FG2" s="507">
        <v>45453</v>
      </c>
      <c r="FH2" s="507">
        <v>45454</v>
      </c>
      <c r="FI2" s="507">
        <v>45455</v>
      </c>
      <c r="FJ2" s="507">
        <v>45456</v>
      </c>
      <c r="FK2" s="507">
        <v>45457</v>
      </c>
      <c r="FL2" s="507">
        <v>45458</v>
      </c>
      <c r="FM2" s="507">
        <v>45459</v>
      </c>
      <c r="FN2" s="507">
        <v>45460</v>
      </c>
      <c r="FO2" s="507">
        <v>45461</v>
      </c>
      <c r="FP2" s="507">
        <v>45462</v>
      </c>
      <c r="FQ2" s="507">
        <v>45463</v>
      </c>
      <c r="FR2" s="507">
        <v>45464</v>
      </c>
      <c r="FS2" s="507">
        <v>45465</v>
      </c>
      <c r="FT2" s="507">
        <v>45466</v>
      </c>
      <c r="FU2" s="507">
        <v>45467</v>
      </c>
      <c r="FV2" s="507">
        <v>45468</v>
      </c>
      <c r="FW2" s="507">
        <v>45469</v>
      </c>
      <c r="FX2" s="507">
        <v>45470</v>
      </c>
      <c r="FY2" s="507">
        <v>45471</v>
      </c>
      <c r="FZ2" s="507">
        <v>45472</v>
      </c>
      <c r="GA2" s="507">
        <v>45473</v>
      </c>
      <c r="GB2" s="507">
        <v>45474</v>
      </c>
      <c r="GC2" s="507">
        <v>45475</v>
      </c>
      <c r="GD2" s="507">
        <v>45476</v>
      </c>
      <c r="GE2" s="507">
        <v>45477</v>
      </c>
      <c r="GF2" s="507">
        <v>45478</v>
      </c>
      <c r="GG2" s="507">
        <v>45479</v>
      </c>
      <c r="GH2" s="507">
        <v>45480</v>
      </c>
      <c r="GI2" s="507">
        <v>45481</v>
      </c>
      <c r="GJ2" s="507">
        <v>45482</v>
      </c>
      <c r="GK2" s="507">
        <v>45483</v>
      </c>
      <c r="GL2" s="507">
        <v>45484</v>
      </c>
      <c r="GM2" s="507">
        <v>45485</v>
      </c>
      <c r="GN2" s="507">
        <v>45486</v>
      </c>
      <c r="GO2" s="507">
        <v>45487</v>
      </c>
      <c r="GP2" s="507">
        <v>45488</v>
      </c>
      <c r="GQ2" s="507">
        <v>45489</v>
      </c>
      <c r="GR2" s="507">
        <v>45490</v>
      </c>
      <c r="GS2" s="507">
        <v>45491</v>
      </c>
      <c r="GT2" s="507">
        <v>45492</v>
      </c>
      <c r="GU2" s="507">
        <v>45493</v>
      </c>
      <c r="GV2" s="507">
        <v>45494</v>
      </c>
      <c r="GW2" s="507">
        <v>45495</v>
      </c>
      <c r="GX2" s="507">
        <v>45496</v>
      </c>
      <c r="GY2" s="507">
        <v>45497</v>
      </c>
      <c r="GZ2" s="507">
        <v>45498</v>
      </c>
      <c r="HA2" s="507">
        <v>45499</v>
      </c>
      <c r="HB2" s="507">
        <v>45500</v>
      </c>
      <c r="HC2" s="507">
        <v>45501</v>
      </c>
      <c r="HD2" s="507">
        <v>45502</v>
      </c>
      <c r="HE2" s="507">
        <v>45503</v>
      </c>
      <c r="HF2" s="507">
        <v>45504</v>
      </c>
      <c r="HG2" s="507">
        <v>45505</v>
      </c>
      <c r="HH2" s="507">
        <v>45506</v>
      </c>
      <c r="HI2" s="507">
        <v>45507</v>
      </c>
      <c r="HJ2" s="507">
        <v>45508</v>
      </c>
      <c r="HK2" s="507">
        <v>45509</v>
      </c>
      <c r="HL2" s="507">
        <v>45510</v>
      </c>
      <c r="HM2" s="507">
        <v>45511</v>
      </c>
      <c r="HN2" s="507">
        <v>45512</v>
      </c>
      <c r="HO2" s="507">
        <v>45513</v>
      </c>
      <c r="HP2" s="507">
        <v>45514</v>
      </c>
      <c r="HQ2" s="507">
        <v>45515</v>
      </c>
      <c r="HR2" s="507">
        <v>45516</v>
      </c>
      <c r="HS2" s="507">
        <v>45517</v>
      </c>
      <c r="HT2" s="507">
        <v>45518</v>
      </c>
      <c r="HU2" s="507">
        <v>45519</v>
      </c>
      <c r="HV2" s="507">
        <v>45520</v>
      </c>
      <c r="HW2" s="507">
        <v>45521</v>
      </c>
      <c r="HX2" s="507">
        <v>45522</v>
      </c>
      <c r="HY2" s="507">
        <v>45523</v>
      </c>
      <c r="HZ2" s="507">
        <v>45524</v>
      </c>
      <c r="IA2" s="507">
        <v>45525</v>
      </c>
      <c r="IB2" s="507">
        <v>45526</v>
      </c>
      <c r="IC2" s="507">
        <v>45527</v>
      </c>
      <c r="ID2" s="507">
        <v>45528</v>
      </c>
      <c r="IE2" s="507">
        <v>45529</v>
      </c>
      <c r="IF2" s="507">
        <v>45530</v>
      </c>
      <c r="IG2" s="507">
        <v>45531</v>
      </c>
      <c r="IH2" s="507">
        <v>45532</v>
      </c>
      <c r="II2" s="507">
        <v>45533</v>
      </c>
      <c r="IJ2" s="507">
        <v>45534</v>
      </c>
      <c r="IK2" s="507">
        <v>45535</v>
      </c>
      <c r="IL2" s="507">
        <v>45536</v>
      </c>
      <c r="IM2" s="507">
        <v>45537</v>
      </c>
      <c r="IN2" s="507">
        <v>45538</v>
      </c>
      <c r="IO2" s="507">
        <v>45539</v>
      </c>
      <c r="IP2" s="507">
        <v>45540</v>
      </c>
      <c r="IQ2" s="507">
        <v>45541</v>
      </c>
      <c r="IR2" s="507">
        <v>45542</v>
      </c>
      <c r="IS2" s="507">
        <v>45543</v>
      </c>
      <c r="IT2" s="507">
        <v>45544</v>
      </c>
      <c r="IU2" s="507">
        <v>45545</v>
      </c>
      <c r="IV2" s="507">
        <v>45546</v>
      </c>
      <c r="IW2" s="507">
        <v>45547</v>
      </c>
      <c r="IX2" s="507">
        <v>45548</v>
      </c>
      <c r="IY2" s="507">
        <v>45549</v>
      </c>
      <c r="IZ2" s="507">
        <v>45550</v>
      </c>
      <c r="JA2" s="507">
        <v>45551</v>
      </c>
      <c r="JB2" s="507">
        <v>45552</v>
      </c>
      <c r="JC2" s="507">
        <v>45553</v>
      </c>
      <c r="JD2" s="507">
        <v>45554</v>
      </c>
      <c r="JE2" s="507">
        <v>45555</v>
      </c>
      <c r="JF2" s="507">
        <v>45556</v>
      </c>
      <c r="JG2" s="507">
        <v>45557</v>
      </c>
      <c r="JH2" s="507">
        <v>45558</v>
      </c>
      <c r="JI2" s="507">
        <v>45559</v>
      </c>
      <c r="JJ2" s="507">
        <v>45560</v>
      </c>
      <c r="JK2" s="507">
        <v>45561</v>
      </c>
      <c r="JL2" s="507">
        <v>45562</v>
      </c>
      <c r="JM2" s="507">
        <v>45563</v>
      </c>
      <c r="JN2" s="507">
        <v>45564</v>
      </c>
      <c r="JO2" s="507">
        <v>45565</v>
      </c>
      <c r="JP2" s="507">
        <v>45566</v>
      </c>
      <c r="JQ2" s="507">
        <v>45567</v>
      </c>
      <c r="JR2" s="507">
        <v>45568</v>
      </c>
      <c r="JS2" s="507">
        <v>45569</v>
      </c>
      <c r="JT2" s="507">
        <v>45570</v>
      </c>
      <c r="JU2" s="507">
        <v>45571</v>
      </c>
      <c r="JV2" s="507">
        <v>45572</v>
      </c>
      <c r="JW2" s="507">
        <v>45573</v>
      </c>
      <c r="JX2" s="507">
        <v>45574</v>
      </c>
      <c r="JY2" s="507">
        <v>45575</v>
      </c>
      <c r="JZ2" s="507">
        <v>45576</v>
      </c>
      <c r="KA2" s="507">
        <v>45577</v>
      </c>
      <c r="KB2" s="507">
        <v>45578</v>
      </c>
      <c r="KC2" s="507">
        <v>45579</v>
      </c>
      <c r="KD2" s="507">
        <v>45580</v>
      </c>
      <c r="KE2" s="507">
        <v>45581</v>
      </c>
      <c r="KF2" s="507">
        <v>45582</v>
      </c>
      <c r="KG2" s="507">
        <v>45583</v>
      </c>
      <c r="KH2" s="507">
        <v>45584</v>
      </c>
      <c r="KI2" s="507">
        <v>45585</v>
      </c>
      <c r="KJ2" s="507">
        <v>45586</v>
      </c>
      <c r="KK2" s="507">
        <v>45587</v>
      </c>
      <c r="KL2" s="507">
        <v>45588</v>
      </c>
      <c r="KM2" s="507">
        <v>45589</v>
      </c>
      <c r="KN2" s="507">
        <v>45590</v>
      </c>
      <c r="KO2" s="507">
        <v>45591</v>
      </c>
      <c r="KP2" s="507">
        <v>45592</v>
      </c>
      <c r="KQ2" s="507">
        <v>45593</v>
      </c>
      <c r="KR2" s="507">
        <v>45594</v>
      </c>
      <c r="KS2" s="507">
        <v>45595</v>
      </c>
      <c r="KT2" s="507">
        <v>45596</v>
      </c>
      <c r="KU2" s="507">
        <v>45597</v>
      </c>
      <c r="KV2" s="507">
        <v>45598</v>
      </c>
      <c r="KW2" s="507">
        <v>45599</v>
      </c>
      <c r="KX2" s="507">
        <v>45600</v>
      </c>
      <c r="KY2" s="507">
        <v>45601</v>
      </c>
      <c r="KZ2" s="507">
        <v>45602</v>
      </c>
      <c r="LA2" s="507">
        <v>45603</v>
      </c>
      <c r="LB2" s="507">
        <v>45604</v>
      </c>
      <c r="LC2" s="507">
        <v>45605</v>
      </c>
      <c r="LD2" s="507">
        <v>45606</v>
      </c>
      <c r="LE2" s="507">
        <v>45607</v>
      </c>
      <c r="LF2" s="507">
        <v>45608</v>
      </c>
      <c r="LG2" s="507">
        <v>45609</v>
      </c>
      <c r="LH2" s="507">
        <v>45610</v>
      </c>
      <c r="LI2" s="507">
        <v>45611</v>
      </c>
      <c r="LJ2" s="507">
        <v>45612</v>
      </c>
      <c r="LK2" s="507">
        <v>45613</v>
      </c>
      <c r="LL2" s="507">
        <v>45614</v>
      </c>
      <c r="LM2" s="507">
        <v>45615</v>
      </c>
      <c r="LN2" s="507">
        <v>45616</v>
      </c>
      <c r="LO2" s="507">
        <v>45617</v>
      </c>
      <c r="LP2" s="507">
        <v>45618</v>
      </c>
      <c r="LQ2" s="507">
        <v>45619</v>
      </c>
      <c r="LR2" s="507">
        <v>45620</v>
      </c>
      <c r="LS2" s="507">
        <v>45621</v>
      </c>
      <c r="LT2" s="507">
        <v>45622</v>
      </c>
      <c r="LU2" s="507">
        <v>45623</v>
      </c>
      <c r="LV2" s="507">
        <v>45624</v>
      </c>
      <c r="LW2" s="507">
        <v>45625</v>
      </c>
      <c r="LX2" s="507">
        <v>45626</v>
      </c>
      <c r="LY2" s="507">
        <v>45627</v>
      </c>
      <c r="LZ2" s="507">
        <v>45628</v>
      </c>
      <c r="MA2" s="507">
        <v>45629</v>
      </c>
      <c r="MB2" s="507">
        <v>45630</v>
      </c>
      <c r="MC2" s="507">
        <v>45631</v>
      </c>
      <c r="MD2" s="507">
        <v>45632</v>
      </c>
      <c r="ME2" s="507">
        <v>45633</v>
      </c>
      <c r="MF2" s="507">
        <v>45634</v>
      </c>
      <c r="MG2" s="507">
        <v>45635</v>
      </c>
      <c r="MH2" s="507">
        <v>45636</v>
      </c>
      <c r="MI2" s="507">
        <v>45637</v>
      </c>
      <c r="MJ2" s="507">
        <v>45638</v>
      </c>
      <c r="MK2" s="507">
        <v>45639</v>
      </c>
      <c r="ML2" s="507">
        <v>45640</v>
      </c>
      <c r="MM2" s="507">
        <v>45641</v>
      </c>
      <c r="MN2" s="507">
        <v>45642</v>
      </c>
      <c r="MO2" s="507">
        <v>45643</v>
      </c>
      <c r="MP2" s="507">
        <v>45644</v>
      </c>
      <c r="MQ2" s="507">
        <v>45645</v>
      </c>
      <c r="MR2" s="507">
        <v>45646</v>
      </c>
      <c r="MS2" s="507">
        <v>45647</v>
      </c>
      <c r="MT2" s="507">
        <v>45648</v>
      </c>
      <c r="MU2" s="507">
        <v>45649</v>
      </c>
      <c r="MV2" s="507">
        <v>45650</v>
      </c>
      <c r="MW2" s="507">
        <v>45651</v>
      </c>
      <c r="MX2" s="507">
        <v>45652</v>
      </c>
      <c r="MY2" s="507">
        <v>45653</v>
      </c>
      <c r="MZ2" s="507">
        <v>45654</v>
      </c>
      <c r="NA2" s="507">
        <v>45655</v>
      </c>
      <c r="NB2" s="507">
        <v>45656</v>
      </c>
      <c r="NC2" s="507">
        <v>45657</v>
      </c>
      <c r="ND2" s="507">
        <v>45658</v>
      </c>
      <c r="NE2" s="507">
        <v>45659</v>
      </c>
      <c r="NF2" s="507">
        <v>45660</v>
      </c>
      <c r="NG2" s="507">
        <v>45661</v>
      </c>
      <c r="NH2" s="507">
        <v>45662</v>
      </c>
      <c r="NI2" s="507">
        <v>45663</v>
      </c>
      <c r="NJ2" s="507">
        <v>45664</v>
      </c>
      <c r="NK2" s="507">
        <v>45665</v>
      </c>
      <c r="NL2" s="507">
        <v>45666</v>
      </c>
      <c r="NM2" s="507">
        <v>45667</v>
      </c>
      <c r="NN2" s="507">
        <v>45668</v>
      </c>
      <c r="NO2" s="507">
        <v>45669</v>
      </c>
    </row>
    <row r="3" spans="1:379" ht="29.25" outlineLevel="1" x14ac:dyDescent="0.4">
      <c r="A3" s="508" t="s">
        <v>1938</v>
      </c>
      <c r="B3" s="17" t="s">
        <v>1939</v>
      </c>
      <c r="C3" s="17" t="s">
        <v>1940</v>
      </c>
      <c r="D3" s="17" t="s">
        <v>1941</v>
      </c>
      <c r="E3" s="17" t="s">
        <v>1940</v>
      </c>
      <c r="F3" s="17" t="s">
        <v>1942</v>
      </c>
      <c r="G3" s="17" t="s">
        <v>1943</v>
      </c>
      <c r="H3" s="17" t="s">
        <v>1943</v>
      </c>
      <c r="I3" s="17" t="s">
        <v>1939</v>
      </c>
      <c r="J3" s="17" t="s">
        <v>1940</v>
      </c>
      <c r="K3" s="17" t="s">
        <v>1941</v>
      </c>
      <c r="L3" s="17" t="s">
        <v>1940</v>
      </c>
      <c r="M3" s="17" t="s">
        <v>1942</v>
      </c>
      <c r="N3" s="17" t="s">
        <v>1943</v>
      </c>
      <c r="O3" s="17" t="s">
        <v>1943</v>
      </c>
      <c r="P3" s="17" t="s">
        <v>1939</v>
      </c>
      <c r="Q3" s="17" t="s">
        <v>1940</v>
      </c>
      <c r="R3" s="17" t="s">
        <v>1941</v>
      </c>
      <c r="S3" s="17" t="s">
        <v>1940</v>
      </c>
      <c r="T3" s="17" t="s">
        <v>1942</v>
      </c>
      <c r="U3" s="17" t="s">
        <v>1943</v>
      </c>
      <c r="V3" s="17" t="s">
        <v>1943</v>
      </c>
      <c r="W3" s="17" t="s">
        <v>1939</v>
      </c>
      <c r="X3" s="17" t="s">
        <v>1940</v>
      </c>
      <c r="Y3" s="17" t="s">
        <v>1941</v>
      </c>
      <c r="Z3" s="17" t="s">
        <v>1940</v>
      </c>
      <c r="AA3" s="17" t="s">
        <v>1942</v>
      </c>
      <c r="AB3" s="17" t="s">
        <v>1943</v>
      </c>
      <c r="AC3" s="17" t="s">
        <v>1943</v>
      </c>
      <c r="AD3" s="17" t="s">
        <v>1939</v>
      </c>
      <c r="AE3" s="17" t="s">
        <v>1940</v>
      </c>
      <c r="AF3" s="17" t="s">
        <v>1941</v>
      </c>
      <c r="AG3" s="17" t="s">
        <v>1940</v>
      </c>
      <c r="AH3" s="17" t="s">
        <v>1942</v>
      </c>
      <c r="AI3" s="17" t="s">
        <v>1943</v>
      </c>
      <c r="AJ3" s="17" t="s">
        <v>1943</v>
      </c>
      <c r="AK3" s="17" t="s">
        <v>1939</v>
      </c>
      <c r="AL3" s="17" t="s">
        <v>1940</v>
      </c>
      <c r="AM3" s="17" t="s">
        <v>1941</v>
      </c>
      <c r="AN3" s="17" t="s">
        <v>1940</v>
      </c>
      <c r="AO3" s="17" t="s">
        <v>1942</v>
      </c>
      <c r="AP3" s="17" t="s">
        <v>1943</v>
      </c>
      <c r="AQ3" s="17" t="s">
        <v>1943</v>
      </c>
      <c r="AR3" s="17" t="s">
        <v>1939</v>
      </c>
      <c r="AS3" s="17" t="s">
        <v>1940</v>
      </c>
      <c r="AT3" s="17" t="s">
        <v>1941</v>
      </c>
      <c r="AU3" s="17" t="s">
        <v>1940</v>
      </c>
      <c r="AV3" s="17" t="s">
        <v>1942</v>
      </c>
      <c r="AW3" s="17" t="s">
        <v>1943</v>
      </c>
      <c r="AX3" s="17" t="s">
        <v>1943</v>
      </c>
      <c r="AY3" s="17" t="s">
        <v>1939</v>
      </c>
      <c r="AZ3" s="17" t="s">
        <v>1940</v>
      </c>
      <c r="BA3" s="17" t="s">
        <v>1941</v>
      </c>
      <c r="BB3" s="17" t="s">
        <v>1940</v>
      </c>
      <c r="BC3" s="17" t="s">
        <v>1942</v>
      </c>
      <c r="BD3" s="17" t="s">
        <v>1943</v>
      </c>
      <c r="BE3" s="17" t="s">
        <v>1943</v>
      </c>
      <c r="BF3" s="17" t="s">
        <v>1939</v>
      </c>
      <c r="BG3" s="17" t="s">
        <v>1940</v>
      </c>
      <c r="BH3" s="17" t="s">
        <v>1941</v>
      </c>
      <c r="BI3" s="17" t="s">
        <v>1940</v>
      </c>
      <c r="BJ3" s="17" t="s">
        <v>1942</v>
      </c>
      <c r="BK3" s="17" t="s">
        <v>1943</v>
      </c>
      <c r="BL3" s="17" t="s">
        <v>1943</v>
      </c>
      <c r="BM3" s="17" t="s">
        <v>1939</v>
      </c>
      <c r="BN3" s="17" t="s">
        <v>1940</v>
      </c>
      <c r="BO3" s="17" t="s">
        <v>1941</v>
      </c>
      <c r="BP3" s="17" t="s">
        <v>1940</v>
      </c>
      <c r="BQ3" s="17" t="s">
        <v>1942</v>
      </c>
      <c r="BR3" s="17" t="s">
        <v>1943</v>
      </c>
      <c r="BS3" s="17" t="s">
        <v>1943</v>
      </c>
      <c r="BT3" s="17" t="s">
        <v>1939</v>
      </c>
      <c r="BU3" s="17" t="s">
        <v>1940</v>
      </c>
      <c r="BV3" s="17" t="s">
        <v>1941</v>
      </c>
      <c r="BW3" s="17" t="s">
        <v>1940</v>
      </c>
      <c r="BX3" s="17" t="s">
        <v>1942</v>
      </c>
      <c r="BY3" s="17" t="s">
        <v>1943</v>
      </c>
      <c r="BZ3" s="17" t="s">
        <v>1943</v>
      </c>
      <c r="CA3" s="17" t="s">
        <v>1939</v>
      </c>
      <c r="CB3" s="17" t="s">
        <v>1940</v>
      </c>
      <c r="CC3" s="17" t="s">
        <v>1941</v>
      </c>
      <c r="CD3" s="17" t="s">
        <v>1940</v>
      </c>
      <c r="CE3" s="17" t="s">
        <v>1942</v>
      </c>
      <c r="CF3" s="17" t="s">
        <v>1943</v>
      </c>
      <c r="CG3" s="17" t="s">
        <v>1943</v>
      </c>
      <c r="CH3" s="17" t="s">
        <v>1939</v>
      </c>
      <c r="CI3" s="17" t="s">
        <v>1940</v>
      </c>
      <c r="CJ3" s="17" t="s">
        <v>1941</v>
      </c>
      <c r="CK3" s="17" t="s">
        <v>1940</v>
      </c>
      <c r="CL3" s="17" t="s">
        <v>1942</v>
      </c>
      <c r="CM3" s="17" t="s">
        <v>1943</v>
      </c>
      <c r="CN3" s="17" t="s">
        <v>1943</v>
      </c>
      <c r="CO3" s="17" t="s">
        <v>1939</v>
      </c>
      <c r="CP3" s="17" t="s">
        <v>1940</v>
      </c>
      <c r="CQ3" s="17" t="s">
        <v>1941</v>
      </c>
      <c r="CR3" s="17" t="s">
        <v>1940</v>
      </c>
      <c r="CS3" s="17" t="s">
        <v>1942</v>
      </c>
      <c r="CT3" s="17" t="s">
        <v>1943</v>
      </c>
      <c r="CU3" s="17" t="s">
        <v>1943</v>
      </c>
      <c r="CV3" s="17" t="s">
        <v>1939</v>
      </c>
      <c r="CW3" s="17" t="s">
        <v>1940</v>
      </c>
      <c r="CX3" s="17" t="s">
        <v>1941</v>
      </c>
      <c r="CY3" s="17" t="s">
        <v>1940</v>
      </c>
      <c r="CZ3" s="17" t="s">
        <v>1942</v>
      </c>
      <c r="DA3" s="17" t="s">
        <v>1943</v>
      </c>
      <c r="DB3" s="17" t="s">
        <v>1943</v>
      </c>
      <c r="DC3" s="17" t="s">
        <v>1939</v>
      </c>
      <c r="DD3" s="17" t="s">
        <v>1940</v>
      </c>
      <c r="DE3" s="17" t="s">
        <v>1941</v>
      </c>
      <c r="DF3" s="17" t="s">
        <v>1940</v>
      </c>
      <c r="DG3" s="17" t="s">
        <v>1942</v>
      </c>
      <c r="DH3" s="17" t="s">
        <v>1943</v>
      </c>
      <c r="DI3" s="17" t="s">
        <v>1943</v>
      </c>
      <c r="DJ3" s="17" t="s">
        <v>1939</v>
      </c>
      <c r="DK3" s="17" t="s">
        <v>1940</v>
      </c>
      <c r="DL3" s="17" t="s">
        <v>1941</v>
      </c>
      <c r="DM3" s="17" t="s">
        <v>1940</v>
      </c>
      <c r="DN3" s="17" t="s">
        <v>1942</v>
      </c>
      <c r="DO3" s="17" t="s">
        <v>1943</v>
      </c>
      <c r="DP3" s="17" t="s">
        <v>1943</v>
      </c>
      <c r="DQ3" s="17" t="s">
        <v>1939</v>
      </c>
      <c r="DR3" s="17" t="s">
        <v>1940</v>
      </c>
      <c r="DS3" s="17" t="s">
        <v>1941</v>
      </c>
      <c r="DT3" s="17" t="s">
        <v>1940</v>
      </c>
      <c r="DU3" s="17" t="s">
        <v>1942</v>
      </c>
      <c r="DV3" s="17" t="s">
        <v>1943</v>
      </c>
      <c r="DW3" s="17" t="s">
        <v>1943</v>
      </c>
      <c r="DX3" s="17" t="s">
        <v>1939</v>
      </c>
      <c r="DY3" s="17" t="s">
        <v>1940</v>
      </c>
      <c r="DZ3" s="17" t="s">
        <v>1941</v>
      </c>
      <c r="EA3" s="17" t="s">
        <v>1940</v>
      </c>
      <c r="EB3" s="17" t="s">
        <v>1942</v>
      </c>
      <c r="EC3" s="17" t="s">
        <v>1943</v>
      </c>
      <c r="ED3" s="17" t="s">
        <v>1943</v>
      </c>
      <c r="EE3" s="17" t="s">
        <v>1939</v>
      </c>
      <c r="EF3" s="17" t="s">
        <v>1940</v>
      </c>
      <c r="EG3" s="17" t="s">
        <v>1941</v>
      </c>
      <c r="EH3" s="17" t="s">
        <v>1940</v>
      </c>
      <c r="EI3" s="17" t="s">
        <v>1942</v>
      </c>
      <c r="EJ3" s="17" t="s">
        <v>1943</v>
      </c>
      <c r="EK3" s="17" t="s">
        <v>1943</v>
      </c>
      <c r="EL3" s="17" t="s">
        <v>1939</v>
      </c>
      <c r="EM3" s="17" t="s">
        <v>1940</v>
      </c>
      <c r="EN3" s="17" t="s">
        <v>1941</v>
      </c>
      <c r="EO3" s="17" t="s">
        <v>1940</v>
      </c>
      <c r="EP3" s="17" t="s">
        <v>1942</v>
      </c>
      <c r="EQ3" s="17" t="s">
        <v>1943</v>
      </c>
      <c r="ER3" s="17" t="s">
        <v>1943</v>
      </c>
      <c r="ES3" s="17" t="s">
        <v>1939</v>
      </c>
      <c r="ET3" s="17" t="s">
        <v>1940</v>
      </c>
      <c r="EU3" s="17" t="s">
        <v>1941</v>
      </c>
      <c r="EV3" s="17" t="s">
        <v>1940</v>
      </c>
      <c r="EW3" s="17" t="s">
        <v>1942</v>
      </c>
      <c r="EX3" s="17" t="s">
        <v>1943</v>
      </c>
      <c r="EY3" s="17" t="s">
        <v>1943</v>
      </c>
      <c r="EZ3" s="17" t="s">
        <v>1939</v>
      </c>
      <c r="FA3" s="17" t="s">
        <v>1940</v>
      </c>
      <c r="FB3" s="17" t="s">
        <v>1941</v>
      </c>
      <c r="FC3" s="17" t="s">
        <v>1940</v>
      </c>
      <c r="FD3" s="17" t="s">
        <v>1942</v>
      </c>
      <c r="FE3" s="17" t="s">
        <v>1943</v>
      </c>
      <c r="FF3" s="17" t="s">
        <v>1943</v>
      </c>
      <c r="FG3" s="17" t="s">
        <v>1939</v>
      </c>
      <c r="FH3" s="17" t="s">
        <v>1940</v>
      </c>
      <c r="FI3" s="17" t="s">
        <v>1941</v>
      </c>
      <c r="FJ3" s="17" t="s">
        <v>1940</v>
      </c>
      <c r="FK3" s="17" t="s">
        <v>1942</v>
      </c>
      <c r="FL3" s="17" t="s">
        <v>1943</v>
      </c>
      <c r="FM3" s="17" t="s">
        <v>1943</v>
      </c>
      <c r="FN3" s="17" t="s">
        <v>1939</v>
      </c>
      <c r="FO3" s="17" t="s">
        <v>1940</v>
      </c>
      <c r="FP3" s="17" t="s">
        <v>1941</v>
      </c>
      <c r="FQ3" s="17" t="s">
        <v>1940</v>
      </c>
      <c r="FR3" s="17" t="s">
        <v>1942</v>
      </c>
      <c r="FS3" s="17" t="s">
        <v>1943</v>
      </c>
      <c r="FT3" s="17" t="s">
        <v>1943</v>
      </c>
      <c r="FU3" s="17" t="s">
        <v>1939</v>
      </c>
      <c r="FV3" s="17" t="s">
        <v>1940</v>
      </c>
      <c r="FW3" s="17" t="s">
        <v>1941</v>
      </c>
      <c r="FX3" s="17" t="s">
        <v>1940</v>
      </c>
      <c r="FY3" s="17" t="s">
        <v>1942</v>
      </c>
      <c r="FZ3" s="17" t="s">
        <v>1943</v>
      </c>
      <c r="GA3" s="17" t="s">
        <v>1943</v>
      </c>
      <c r="GB3" s="17" t="s">
        <v>1939</v>
      </c>
      <c r="GC3" s="17" t="s">
        <v>1940</v>
      </c>
      <c r="GD3" s="17" t="s">
        <v>1941</v>
      </c>
      <c r="GE3" s="17" t="s">
        <v>1940</v>
      </c>
      <c r="GF3" s="17" t="s">
        <v>1942</v>
      </c>
      <c r="GG3" s="17" t="s">
        <v>1943</v>
      </c>
      <c r="GH3" s="17" t="s">
        <v>1943</v>
      </c>
      <c r="GI3" s="17" t="s">
        <v>1939</v>
      </c>
      <c r="GJ3" s="17" t="s">
        <v>1940</v>
      </c>
      <c r="GK3" s="17" t="s">
        <v>1941</v>
      </c>
      <c r="GL3" s="17" t="s">
        <v>1940</v>
      </c>
      <c r="GM3" s="17" t="s">
        <v>1942</v>
      </c>
      <c r="GN3" s="17" t="s">
        <v>1943</v>
      </c>
      <c r="GO3" s="17" t="s">
        <v>1943</v>
      </c>
      <c r="GP3" s="17" t="s">
        <v>1939</v>
      </c>
      <c r="GQ3" s="17" t="s">
        <v>1940</v>
      </c>
      <c r="GR3" s="17" t="s">
        <v>1941</v>
      </c>
      <c r="GS3" s="17" t="s">
        <v>1940</v>
      </c>
      <c r="GT3" s="17" t="s">
        <v>1942</v>
      </c>
      <c r="GU3" s="17" t="s">
        <v>1943</v>
      </c>
      <c r="GV3" s="17" t="s">
        <v>1943</v>
      </c>
      <c r="GW3" s="17" t="s">
        <v>1939</v>
      </c>
      <c r="GX3" s="17" t="s">
        <v>1940</v>
      </c>
      <c r="GY3" s="17" t="s">
        <v>1941</v>
      </c>
      <c r="GZ3" s="17" t="s">
        <v>1940</v>
      </c>
      <c r="HA3" s="17" t="s">
        <v>1942</v>
      </c>
      <c r="HB3" s="17" t="s">
        <v>1943</v>
      </c>
      <c r="HC3" s="17" t="s">
        <v>1943</v>
      </c>
      <c r="HD3" s="17" t="s">
        <v>1939</v>
      </c>
      <c r="HE3" s="17" t="s">
        <v>1940</v>
      </c>
      <c r="HF3" s="17" t="s">
        <v>1941</v>
      </c>
      <c r="HG3" s="17" t="s">
        <v>1940</v>
      </c>
      <c r="HH3" s="17" t="s">
        <v>1942</v>
      </c>
      <c r="HI3" s="17" t="s">
        <v>1943</v>
      </c>
      <c r="HJ3" s="17" t="s">
        <v>1943</v>
      </c>
      <c r="HK3" s="17" t="s">
        <v>1939</v>
      </c>
      <c r="HL3" s="17" t="s">
        <v>1940</v>
      </c>
      <c r="HM3" s="17" t="s">
        <v>1941</v>
      </c>
      <c r="HN3" s="17" t="s">
        <v>1940</v>
      </c>
      <c r="HO3" s="17" t="s">
        <v>1942</v>
      </c>
      <c r="HP3" s="17" t="s">
        <v>1943</v>
      </c>
      <c r="HQ3" s="17" t="s">
        <v>1943</v>
      </c>
      <c r="HR3" s="17" t="s">
        <v>1939</v>
      </c>
      <c r="HS3" s="17" t="s">
        <v>1940</v>
      </c>
      <c r="HT3" s="17" t="s">
        <v>1941</v>
      </c>
      <c r="HU3" s="17" t="s">
        <v>1940</v>
      </c>
      <c r="HV3" s="17" t="s">
        <v>1942</v>
      </c>
      <c r="HW3" s="17" t="s">
        <v>1943</v>
      </c>
      <c r="HX3" s="17" t="s">
        <v>1943</v>
      </c>
      <c r="HY3" s="17" t="s">
        <v>1939</v>
      </c>
      <c r="HZ3" s="17" t="s">
        <v>1940</v>
      </c>
      <c r="IA3" s="17" t="s">
        <v>1941</v>
      </c>
      <c r="IB3" s="17" t="s">
        <v>1940</v>
      </c>
      <c r="IC3" s="17" t="s">
        <v>1942</v>
      </c>
      <c r="ID3" s="17" t="s">
        <v>1943</v>
      </c>
      <c r="IE3" s="17" t="s">
        <v>1943</v>
      </c>
      <c r="IF3" s="17" t="s">
        <v>1939</v>
      </c>
      <c r="IG3" s="17" t="s">
        <v>1940</v>
      </c>
      <c r="IH3" s="17" t="s">
        <v>1941</v>
      </c>
      <c r="II3" s="17" t="s">
        <v>1940</v>
      </c>
      <c r="IJ3" s="17" t="s">
        <v>1942</v>
      </c>
      <c r="IK3" s="17" t="s">
        <v>1943</v>
      </c>
      <c r="IL3" s="17" t="s">
        <v>1943</v>
      </c>
      <c r="IM3" s="17" t="s">
        <v>1939</v>
      </c>
      <c r="IN3" s="17" t="s">
        <v>1940</v>
      </c>
      <c r="IO3" s="17" t="s">
        <v>1941</v>
      </c>
      <c r="IP3" s="17" t="s">
        <v>1940</v>
      </c>
      <c r="IQ3" s="17" t="s">
        <v>1942</v>
      </c>
      <c r="IR3" s="17" t="s">
        <v>1943</v>
      </c>
      <c r="IS3" s="17" t="s">
        <v>1943</v>
      </c>
      <c r="IT3" s="17" t="s">
        <v>1939</v>
      </c>
      <c r="IU3" s="17" t="s">
        <v>1940</v>
      </c>
      <c r="IV3" s="17" t="s">
        <v>1941</v>
      </c>
      <c r="IW3" s="17" t="s">
        <v>1940</v>
      </c>
      <c r="IX3" s="17" t="s">
        <v>1942</v>
      </c>
      <c r="IY3" s="17" t="s">
        <v>1943</v>
      </c>
      <c r="IZ3" s="17" t="s">
        <v>1943</v>
      </c>
      <c r="JA3" s="17" t="s">
        <v>1939</v>
      </c>
      <c r="JB3" s="17" t="s">
        <v>1940</v>
      </c>
      <c r="JC3" s="17" t="s">
        <v>1941</v>
      </c>
      <c r="JD3" s="17" t="s">
        <v>1940</v>
      </c>
      <c r="JE3" s="17" t="s">
        <v>1942</v>
      </c>
      <c r="JF3" s="17" t="s">
        <v>1943</v>
      </c>
      <c r="JG3" s="17" t="s">
        <v>1943</v>
      </c>
      <c r="JH3" s="17" t="s">
        <v>1939</v>
      </c>
      <c r="JI3" s="17" t="s">
        <v>1940</v>
      </c>
      <c r="JJ3" s="17" t="s">
        <v>1941</v>
      </c>
      <c r="JK3" s="17" t="s">
        <v>1940</v>
      </c>
      <c r="JL3" s="17" t="s">
        <v>1942</v>
      </c>
      <c r="JM3" s="17" t="s">
        <v>1943</v>
      </c>
      <c r="JN3" s="17" t="s">
        <v>1943</v>
      </c>
      <c r="JO3" s="17" t="s">
        <v>1939</v>
      </c>
      <c r="JP3" s="17" t="s">
        <v>1940</v>
      </c>
      <c r="JQ3" s="17" t="s">
        <v>1941</v>
      </c>
      <c r="JR3" s="17" t="s">
        <v>1940</v>
      </c>
      <c r="JS3" s="17" t="s">
        <v>1942</v>
      </c>
      <c r="JT3" s="17" t="s">
        <v>1943</v>
      </c>
      <c r="JU3" s="17" t="s">
        <v>1943</v>
      </c>
      <c r="JV3" s="17" t="s">
        <v>1939</v>
      </c>
      <c r="JW3" s="17" t="s">
        <v>1940</v>
      </c>
      <c r="JX3" s="17" t="s">
        <v>1941</v>
      </c>
      <c r="JY3" s="17" t="s">
        <v>1940</v>
      </c>
      <c r="JZ3" s="17" t="s">
        <v>1942</v>
      </c>
      <c r="KA3" s="17" t="s">
        <v>1943</v>
      </c>
      <c r="KB3" s="17" t="s">
        <v>1943</v>
      </c>
      <c r="KC3" s="17" t="s">
        <v>1939</v>
      </c>
      <c r="KD3" s="17" t="s">
        <v>1940</v>
      </c>
      <c r="KE3" s="17" t="s">
        <v>1941</v>
      </c>
      <c r="KF3" s="17" t="s">
        <v>1940</v>
      </c>
      <c r="KG3" s="17" t="s">
        <v>1942</v>
      </c>
      <c r="KH3" s="17" t="s">
        <v>1943</v>
      </c>
      <c r="KI3" s="17" t="s">
        <v>1943</v>
      </c>
      <c r="KJ3" s="17" t="s">
        <v>1939</v>
      </c>
      <c r="KK3" s="17" t="s">
        <v>1940</v>
      </c>
      <c r="KL3" s="17" t="s">
        <v>1941</v>
      </c>
      <c r="KM3" s="17" t="s">
        <v>1940</v>
      </c>
      <c r="KN3" s="17" t="s">
        <v>1942</v>
      </c>
      <c r="KO3" s="17" t="s">
        <v>1943</v>
      </c>
      <c r="KP3" s="17" t="s">
        <v>1943</v>
      </c>
      <c r="KQ3" s="17" t="s">
        <v>1939</v>
      </c>
      <c r="KR3" s="17" t="s">
        <v>1940</v>
      </c>
      <c r="KS3" s="17" t="s">
        <v>1941</v>
      </c>
      <c r="KT3" s="17" t="s">
        <v>1940</v>
      </c>
      <c r="KU3" s="17" t="s">
        <v>1942</v>
      </c>
      <c r="KV3" s="17" t="s">
        <v>1943</v>
      </c>
      <c r="KW3" s="17" t="s">
        <v>1943</v>
      </c>
      <c r="KX3" s="17" t="s">
        <v>1939</v>
      </c>
      <c r="KY3" s="17" t="s">
        <v>1940</v>
      </c>
      <c r="KZ3" s="17" t="s">
        <v>1941</v>
      </c>
      <c r="LA3" s="17" t="s">
        <v>1940</v>
      </c>
      <c r="LB3" s="17" t="s">
        <v>1942</v>
      </c>
      <c r="LC3" s="17" t="s">
        <v>1943</v>
      </c>
      <c r="LD3" s="17" t="s">
        <v>1943</v>
      </c>
      <c r="LE3" s="17" t="s">
        <v>1939</v>
      </c>
      <c r="LF3" s="17" t="s">
        <v>1940</v>
      </c>
      <c r="LG3" s="17" t="s">
        <v>1941</v>
      </c>
      <c r="LH3" s="17" t="s">
        <v>1940</v>
      </c>
      <c r="LI3" s="17" t="s">
        <v>1942</v>
      </c>
      <c r="LJ3" s="17" t="s">
        <v>1943</v>
      </c>
      <c r="LK3" s="17" t="s">
        <v>1943</v>
      </c>
      <c r="LL3" s="17" t="s">
        <v>1939</v>
      </c>
      <c r="LM3" s="17" t="s">
        <v>1940</v>
      </c>
      <c r="LN3" s="17" t="s">
        <v>1941</v>
      </c>
      <c r="LO3" s="17" t="s">
        <v>1940</v>
      </c>
      <c r="LP3" s="17" t="s">
        <v>1942</v>
      </c>
      <c r="LQ3" s="17" t="s">
        <v>1943</v>
      </c>
      <c r="LR3" s="17" t="s">
        <v>1943</v>
      </c>
      <c r="LS3" s="17" t="s">
        <v>1939</v>
      </c>
      <c r="LT3" s="17" t="s">
        <v>1940</v>
      </c>
      <c r="LU3" s="17" t="s">
        <v>1941</v>
      </c>
      <c r="LV3" s="17" t="s">
        <v>1940</v>
      </c>
      <c r="LW3" s="17" t="s">
        <v>1942</v>
      </c>
      <c r="LX3" s="17" t="s">
        <v>1943</v>
      </c>
      <c r="LY3" s="17" t="s">
        <v>1943</v>
      </c>
      <c r="LZ3" s="17" t="s">
        <v>1939</v>
      </c>
      <c r="MA3" s="17" t="s">
        <v>1940</v>
      </c>
      <c r="MB3" s="17" t="s">
        <v>1941</v>
      </c>
      <c r="MC3" s="17" t="s">
        <v>1940</v>
      </c>
      <c r="MD3" s="17" t="s">
        <v>1942</v>
      </c>
      <c r="ME3" s="17" t="s">
        <v>1943</v>
      </c>
      <c r="MF3" s="17" t="s">
        <v>1943</v>
      </c>
      <c r="MG3" s="17" t="s">
        <v>1939</v>
      </c>
      <c r="MH3" s="17" t="s">
        <v>1940</v>
      </c>
      <c r="MI3" s="17" t="s">
        <v>1941</v>
      </c>
      <c r="MJ3" s="17" t="s">
        <v>1940</v>
      </c>
      <c r="MK3" s="17" t="s">
        <v>1942</v>
      </c>
      <c r="ML3" s="17" t="s">
        <v>1943</v>
      </c>
      <c r="MM3" s="17" t="s">
        <v>1943</v>
      </c>
      <c r="MN3" s="17" t="s">
        <v>1939</v>
      </c>
      <c r="MO3" s="17" t="s">
        <v>1940</v>
      </c>
      <c r="MP3" s="17" t="s">
        <v>1941</v>
      </c>
      <c r="MQ3" s="17" t="s">
        <v>1940</v>
      </c>
      <c r="MR3" s="17" t="s">
        <v>1942</v>
      </c>
      <c r="MS3" s="17" t="s">
        <v>1943</v>
      </c>
      <c r="MT3" s="17" t="s">
        <v>1943</v>
      </c>
      <c r="MU3" s="17" t="s">
        <v>1939</v>
      </c>
      <c r="MV3" s="17" t="s">
        <v>1940</v>
      </c>
      <c r="MW3" s="17" t="s">
        <v>1941</v>
      </c>
      <c r="MX3" s="17" t="s">
        <v>1940</v>
      </c>
      <c r="MY3" s="17" t="s">
        <v>1942</v>
      </c>
      <c r="MZ3" s="17" t="s">
        <v>1943</v>
      </c>
      <c r="NA3" s="17" t="s">
        <v>1943</v>
      </c>
      <c r="NB3" s="17" t="s">
        <v>1939</v>
      </c>
      <c r="NC3" s="17" t="s">
        <v>1940</v>
      </c>
      <c r="ND3" s="17" t="s">
        <v>1941</v>
      </c>
      <c r="NE3" s="17" t="s">
        <v>1940</v>
      </c>
      <c r="NF3" s="17" t="s">
        <v>1942</v>
      </c>
      <c r="NG3" s="17" t="s">
        <v>1943</v>
      </c>
      <c r="NH3" s="17" t="s">
        <v>1943</v>
      </c>
      <c r="NI3" s="17" t="s">
        <v>1939</v>
      </c>
      <c r="NJ3" s="17" t="s">
        <v>1940</v>
      </c>
      <c r="NK3" s="17" t="s">
        <v>1941</v>
      </c>
      <c r="NL3" s="17" t="s">
        <v>1940</v>
      </c>
      <c r="NM3" s="17" t="s">
        <v>1942</v>
      </c>
      <c r="NN3" s="17" t="s">
        <v>1943</v>
      </c>
      <c r="NO3" s="17" t="s">
        <v>1943</v>
      </c>
    </row>
    <row r="4" spans="1:379" ht="29.25" x14ac:dyDescent="0.4">
      <c r="A4" s="509" t="str">
        <f t="array" ref="A4:A32">Table!B13:B41</f>
        <v>Burger/Chipper Units</v>
      </c>
      <c r="B4" s="510" t="b">
        <v>0</v>
      </c>
      <c r="C4" s="158" t="b">
        <v>0</v>
      </c>
      <c r="D4" s="158" t="b">
        <v>0</v>
      </c>
      <c r="E4" s="158" t="b">
        <v>0</v>
      </c>
      <c r="F4" s="158" t="b">
        <v>0</v>
      </c>
      <c r="G4" s="158" t="b">
        <v>0</v>
      </c>
      <c r="H4" s="158" t="b">
        <v>0</v>
      </c>
      <c r="I4" s="158" t="b">
        <v>0</v>
      </c>
      <c r="J4" s="158" t="b">
        <v>0</v>
      </c>
      <c r="K4" s="158" t="b">
        <v>0</v>
      </c>
      <c r="L4" s="158" t="b">
        <v>0</v>
      </c>
      <c r="M4" s="158" t="b">
        <v>0</v>
      </c>
      <c r="N4" s="93" t="b">
        <v>0</v>
      </c>
      <c r="O4" s="93" t="b">
        <v>0</v>
      </c>
      <c r="P4" s="93" t="b">
        <v>0</v>
      </c>
      <c r="Q4" s="158" t="b">
        <v>0</v>
      </c>
      <c r="R4" s="158" t="b">
        <v>0</v>
      </c>
      <c r="S4" s="158" t="b">
        <v>0</v>
      </c>
      <c r="T4" s="158" t="b">
        <v>0</v>
      </c>
      <c r="U4" s="158" t="b">
        <v>0</v>
      </c>
      <c r="V4" s="158" t="b">
        <v>0</v>
      </c>
      <c r="W4" s="158" t="b">
        <v>0</v>
      </c>
      <c r="X4" s="158" t="b">
        <v>0</v>
      </c>
      <c r="Y4" s="158" t="b">
        <v>0</v>
      </c>
      <c r="Z4" s="158" t="b">
        <v>0</v>
      </c>
      <c r="AA4" s="158" t="b">
        <v>0</v>
      </c>
      <c r="AB4" s="158" t="b">
        <v>0</v>
      </c>
      <c r="AC4" s="158" t="b">
        <v>0</v>
      </c>
      <c r="AD4" s="158" t="b">
        <v>0</v>
      </c>
      <c r="AE4" s="158" t="b">
        <v>0</v>
      </c>
      <c r="AF4" s="158" t="b">
        <v>0</v>
      </c>
      <c r="AG4" s="158" t="b">
        <v>0</v>
      </c>
      <c r="AH4" s="158" t="b">
        <v>0</v>
      </c>
      <c r="AI4" s="158" t="b">
        <v>0</v>
      </c>
      <c r="AJ4" s="158" t="b">
        <v>0</v>
      </c>
      <c r="AK4" s="158" t="b">
        <v>0</v>
      </c>
      <c r="AL4" s="158" t="b">
        <v>0</v>
      </c>
      <c r="AM4" s="158" t="b">
        <v>0</v>
      </c>
      <c r="AN4" s="158" t="b">
        <v>0</v>
      </c>
      <c r="AO4" s="158" t="b">
        <v>0</v>
      </c>
      <c r="AP4" s="158" t="b">
        <v>0</v>
      </c>
      <c r="AQ4" s="158" t="b">
        <v>0</v>
      </c>
      <c r="AR4" s="158" t="b">
        <v>0</v>
      </c>
      <c r="AS4" s="158" t="b">
        <v>0</v>
      </c>
      <c r="AT4" s="158" t="b">
        <v>0</v>
      </c>
      <c r="AU4" s="158" t="b">
        <v>0</v>
      </c>
      <c r="AV4" s="158" t="b">
        <v>0</v>
      </c>
      <c r="AW4" s="158" t="b">
        <v>0</v>
      </c>
      <c r="AX4" s="158" t="b">
        <v>0</v>
      </c>
      <c r="AY4" s="158" t="b">
        <v>0</v>
      </c>
      <c r="AZ4" s="158" t="b">
        <v>0</v>
      </c>
      <c r="BA4" s="158" t="b">
        <v>0</v>
      </c>
      <c r="BB4" s="158" t="b">
        <v>0</v>
      </c>
      <c r="BC4" s="158" t="b">
        <v>0</v>
      </c>
      <c r="BD4" s="158" t="b">
        <v>0</v>
      </c>
      <c r="BE4" s="158" t="b">
        <v>0</v>
      </c>
      <c r="BF4" s="158" t="b">
        <v>0</v>
      </c>
      <c r="BG4" s="158" t="b">
        <v>0</v>
      </c>
      <c r="BH4" s="158" t="b">
        <v>0</v>
      </c>
      <c r="BI4" s="158" t="b">
        <v>0</v>
      </c>
      <c r="BJ4" s="158" t="b">
        <v>0</v>
      </c>
      <c r="BK4" s="158" t="b">
        <v>0</v>
      </c>
      <c r="BL4" s="158" t="b">
        <v>0</v>
      </c>
      <c r="BM4" s="158" t="b">
        <v>0</v>
      </c>
      <c r="BN4" s="158" t="b">
        <v>0</v>
      </c>
      <c r="BO4" s="158" t="b">
        <v>0</v>
      </c>
      <c r="BP4" s="158" t="b">
        <v>0</v>
      </c>
      <c r="BQ4" s="158" t="b">
        <v>0</v>
      </c>
      <c r="BR4" s="158" t="b">
        <v>0</v>
      </c>
      <c r="BS4" s="158" t="b">
        <v>0</v>
      </c>
      <c r="BT4" s="158" t="b">
        <v>0</v>
      </c>
      <c r="BU4" s="158" t="b">
        <v>0</v>
      </c>
      <c r="BV4" s="158" t="b">
        <v>0</v>
      </c>
      <c r="BW4" s="158" t="b">
        <v>0</v>
      </c>
      <c r="BX4" s="158" t="b">
        <v>0</v>
      </c>
      <c r="BY4" s="158" t="b">
        <v>0</v>
      </c>
      <c r="BZ4" s="158" t="b">
        <v>0</v>
      </c>
      <c r="CA4" s="158" t="b">
        <v>0</v>
      </c>
      <c r="CB4" s="158" t="b">
        <v>0</v>
      </c>
      <c r="CC4" s="158" t="b">
        <v>0</v>
      </c>
      <c r="CD4" s="158" t="b">
        <v>0</v>
      </c>
      <c r="CE4" s="158" t="b">
        <v>0</v>
      </c>
      <c r="CF4" s="158" t="b">
        <v>0</v>
      </c>
      <c r="CG4" s="158" t="b">
        <v>0</v>
      </c>
      <c r="CH4" s="158" t="b">
        <v>0</v>
      </c>
      <c r="CI4" s="158" t="b">
        <v>0</v>
      </c>
      <c r="CJ4" s="158" t="b">
        <v>0</v>
      </c>
      <c r="CK4" s="158" t="b">
        <v>0</v>
      </c>
      <c r="CL4" s="158" t="b">
        <v>0</v>
      </c>
      <c r="CM4" s="158" t="b">
        <v>0</v>
      </c>
      <c r="CN4" s="158" t="b">
        <v>0</v>
      </c>
      <c r="CO4" s="158" t="b">
        <v>0</v>
      </c>
      <c r="CP4" s="158" t="b">
        <v>0</v>
      </c>
      <c r="CQ4" s="158" t="b">
        <v>0</v>
      </c>
      <c r="CR4" s="158" t="b">
        <v>0</v>
      </c>
      <c r="CS4" s="158" t="b">
        <v>0</v>
      </c>
      <c r="CT4" s="158" t="b">
        <v>0</v>
      </c>
      <c r="CU4" s="158" t="b">
        <v>0</v>
      </c>
      <c r="CV4" s="158" t="b">
        <v>0</v>
      </c>
      <c r="CW4" s="158" t="b">
        <v>0</v>
      </c>
      <c r="CX4" s="158" t="b">
        <v>0</v>
      </c>
      <c r="CY4" s="158" t="b">
        <v>0</v>
      </c>
      <c r="CZ4" s="158" t="b">
        <v>0</v>
      </c>
      <c r="DA4" s="158" t="b">
        <v>0</v>
      </c>
      <c r="DB4" s="158" t="b">
        <v>0</v>
      </c>
      <c r="DC4" s="158" t="b">
        <v>0</v>
      </c>
      <c r="DD4" s="158" t="b">
        <v>0</v>
      </c>
      <c r="DE4" s="158" t="b">
        <v>0</v>
      </c>
      <c r="DF4" s="158" t="b">
        <v>0</v>
      </c>
      <c r="DG4" s="158" t="b">
        <v>0</v>
      </c>
      <c r="DH4" s="158" t="b">
        <v>0</v>
      </c>
      <c r="DI4" s="158" t="b">
        <v>0</v>
      </c>
      <c r="DJ4" s="158" t="b">
        <v>0</v>
      </c>
      <c r="DK4" s="158" t="b">
        <v>0</v>
      </c>
      <c r="DL4" s="158" t="b">
        <v>0</v>
      </c>
      <c r="DM4" s="158" t="b">
        <v>0</v>
      </c>
      <c r="DN4" s="158" t="b">
        <v>0</v>
      </c>
      <c r="DO4" s="158" t="b">
        <v>0</v>
      </c>
      <c r="DP4" s="158" t="b">
        <v>0</v>
      </c>
      <c r="DQ4" s="158" t="b">
        <v>0</v>
      </c>
      <c r="DR4" s="158" t="b">
        <v>0</v>
      </c>
      <c r="DS4" s="158" t="b">
        <v>0</v>
      </c>
      <c r="DT4" s="158" t="b">
        <v>0</v>
      </c>
      <c r="DU4" s="158" t="b">
        <v>0</v>
      </c>
      <c r="DV4" s="158" t="b">
        <v>0</v>
      </c>
      <c r="DW4" s="158" t="b">
        <v>0</v>
      </c>
      <c r="DX4" s="158" t="b">
        <v>0</v>
      </c>
      <c r="DY4" s="158" t="b">
        <v>0</v>
      </c>
      <c r="DZ4" s="158" t="b">
        <v>0</v>
      </c>
      <c r="EA4" s="158" t="b">
        <v>0</v>
      </c>
      <c r="EB4" s="158" t="b">
        <v>0</v>
      </c>
      <c r="EC4" s="158" t="b">
        <v>0</v>
      </c>
      <c r="ED4" s="158" t="b">
        <v>0</v>
      </c>
      <c r="EE4" s="158" t="b">
        <v>0</v>
      </c>
      <c r="EF4" s="158" t="b">
        <v>0</v>
      </c>
      <c r="EG4" s="158" t="b">
        <v>0</v>
      </c>
      <c r="EH4" s="158" t="b">
        <v>0</v>
      </c>
      <c r="EI4" s="158" t="b">
        <v>0</v>
      </c>
      <c r="EJ4" s="158" t="b">
        <v>0</v>
      </c>
      <c r="EK4" s="158" t="b">
        <v>0</v>
      </c>
      <c r="EL4" s="158" t="b">
        <v>0</v>
      </c>
      <c r="EM4" s="158" t="b">
        <v>0</v>
      </c>
      <c r="EN4" s="158" t="b">
        <v>0</v>
      </c>
      <c r="EO4" s="158" t="b">
        <v>0</v>
      </c>
      <c r="EP4" s="158" t="b">
        <v>0</v>
      </c>
      <c r="EQ4" s="158" t="b">
        <v>0</v>
      </c>
      <c r="ER4" s="158" t="b">
        <v>0</v>
      </c>
      <c r="ES4" s="158" t="b">
        <v>0</v>
      </c>
      <c r="ET4" s="158" t="b">
        <v>0</v>
      </c>
      <c r="EU4" s="158" t="b">
        <v>0</v>
      </c>
      <c r="EV4" s="158" t="b">
        <v>0</v>
      </c>
      <c r="EW4" s="158" t="b">
        <v>0</v>
      </c>
      <c r="EX4" s="158" t="b">
        <v>0</v>
      </c>
      <c r="EY4" s="158" t="b">
        <v>0</v>
      </c>
      <c r="EZ4" s="158" t="b">
        <v>0</v>
      </c>
      <c r="FA4" s="158" t="b">
        <v>0</v>
      </c>
      <c r="FB4" s="158" t="b">
        <v>0</v>
      </c>
      <c r="FC4" s="158" t="b">
        <v>0</v>
      </c>
      <c r="FD4" s="158" t="b">
        <v>0</v>
      </c>
      <c r="FE4" s="158" t="b">
        <v>0</v>
      </c>
      <c r="FF4" s="158" t="b">
        <v>0</v>
      </c>
      <c r="FG4" s="158" t="b">
        <v>0</v>
      </c>
      <c r="FH4" s="158" t="b">
        <v>0</v>
      </c>
      <c r="FI4" s="158" t="b">
        <v>0</v>
      </c>
      <c r="FJ4" s="158" t="b">
        <v>0</v>
      </c>
      <c r="FK4" s="158" t="b">
        <v>0</v>
      </c>
      <c r="FL4" s="158" t="b">
        <v>0</v>
      </c>
      <c r="FM4" s="158" t="b">
        <v>0</v>
      </c>
      <c r="FN4" s="158" t="b">
        <v>0</v>
      </c>
      <c r="FO4" s="158" t="b">
        <v>0</v>
      </c>
      <c r="FP4" s="158" t="b">
        <v>0</v>
      </c>
      <c r="FQ4" s="158" t="b">
        <v>0</v>
      </c>
      <c r="FR4" s="158" t="b">
        <v>0</v>
      </c>
      <c r="FS4" s="158" t="b">
        <v>0</v>
      </c>
      <c r="FT4" s="158" t="b">
        <v>0</v>
      </c>
      <c r="FU4" s="158" t="b">
        <v>0</v>
      </c>
      <c r="FV4" s="158" t="b">
        <v>0</v>
      </c>
      <c r="FW4" s="158" t="b">
        <v>0</v>
      </c>
      <c r="FX4" s="158" t="b">
        <v>0</v>
      </c>
      <c r="FY4" s="158" t="b">
        <v>0</v>
      </c>
      <c r="FZ4" s="158" t="b">
        <v>0</v>
      </c>
      <c r="GA4" s="158" t="b">
        <v>0</v>
      </c>
      <c r="GB4" s="158" t="b">
        <v>0</v>
      </c>
      <c r="GC4" s="158" t="b">
        <v>0</v>
      </c>
      <c r="GD4" s="158" t="b">
        <v>0</v>
      </c>
      <c r="GE4" s="158" t="b">
        <v>0</v>
      </c>
      <c r="GF4" s="158" t="b">
        <v>0</v>
      </c>
      <c r="GG4" s="158" t="b">
        <v>0</v>
      </c>
      <c r="GH4" s="158" t="b">
        <v>0</v>
      </c>
      <c r="GI4" s="158" t="b">
        <v>0</v>
      </c>
      <c r="GJ4" s="158" t="b">
        <v>0</v>
      </c>
      <c r="GK4" s="158" t="b">
        <v>0</v>
      </c>
      <c r="GL4" s="158" t="b">
        <v>0</v>
      </c>
      <c r="GM4" s="158" t="b">
        <v>0</v>
      </c>
      <c r="GN4" s="158" t="b">
        <v>0</v>
      </c>
      <c r="GO4" s="158" t="b">
        <v>0</v>
      </c>
      <c r="GP4" s="158" t="b">
        <v>0</v>
      </c>
      <c r="GQ4" s="158" t="b">
        <v>0</v>
      </c>
      <c r="GR4" s="158" t="b">
        <v>0</v>
      </c>
      <c r="GS4" s="158" t="b">
        <v>0</v>
      </c>
      <c r="GT4" s="158" t="b">
        <v>0</v>
      </c>
      <c r="GU4" s="158" t="b">
        <v>0</v>
      </c>
      <c r="GV4" s="158" t="b">
        <v>0</v>
      </c>
      <c r="GW4" s="158" t="b">
        <v>0</v>
      </c>
      <c r="GX4" s="158" t="b">
        <v>0</v>
      </c>
      <c r="GY4" s="158" t="b">
        <v>0</v>
      </c>
      <c r="GZ4" s="158" t="b">
        <v>0</v>
      </c>
      <c r="HA4" s="158" t="b">
        <v>0</v>
      </c>
      <c r="HB4" s="158" t="b">
        <v>0</v>
      </c>
      <c r="HC4" s="158" t="b">
        <v>0</v>
      </c>
      <c r="HD4" s="158" t="b">
        <v>0</v>
      </c>
      <c r="HE4" s="158" t="b">
        <v>0</v>
      </c>
      <c r="HF4" s="158" t="b">
        <v>0</v>
      </c>
      <c r="HG4" s="158" t="b">
        <v>0</v>
      </c>
      <c r="HH4" s="158" t="b">
        <v>0</v>
      </c>
      <c r="HI4" s="158" t="b">
        <v>0</v>
      </c>
      <c r="HJ4" s="158" t="b">
        <v>0</v>
      </c>
      <c r="HK4" s="158" t="b">
        <v>0</v>
      </c>
      <c r="HL4" s="158" t="b">
        <v>0</v>
      </c>
      <c r="HM4" s="158" t="b">
        <v>0</v>
      </c>
      <c r="HN4" s="158" t="b">
        <v>0</v>
      </c>
      <c r="HO4" s="158" t="b">
        <v>0</v>
      </c>
      <c r="HP4" s="158" t="b">
        <v>0</v>
      </c>
      <c r="HQ4" s="158" t="b">
        <v>0</v>
      </c>
      <c r="HR4" s="158" t="b">
        <v>0</v>
      </c>
      <c r="HS4" s="158" t="b">
        <v>0</v>
      </c>
      <c r="HT4" s="158" t="b">
        <v>0</v>
      </c>
      <c r="HU4" s="158" t="b">
        <v>0</v>
      </c>
      <c r="HV4" s="158" t="b">
        <v>0</v>
      </c>
      <c r="HW4" s="158" t="b">
        <v>0</v>
      </c>
      <c r="HX4" s="158" t="b">
        <v>0</v>
      </c>
      <c r="HY4" s="158" t="b">
        <v>0</v>
      </c>
      <c r="HZ4" s="158" t="b">
        <v>0</v>
      </c>
      <c r="IA4" s="158" t="b">
        <v>0</v>
      </c>
      <c r="IB4" s="158" t="b">
        <v>0</v>
      </c>
      <c r="IC4" s="158" t="b">
        <v>0</v>
      </c>
      <c r="ID4" s="158" t="b">
        <v>0</v>
      </c>
      <c r="IE4" s="158" t="b">
        <v>0</v>
      </c>
      <c r="IF4" s="158" t="b">
        <v>0</v>
      </c>
      <c r="IG4" s="158" t="b">
        <v>0</v>
      </c>
      <c r="IH4" s="158" t="b">
        <v>0</v>
      </c>
      <c r="II4" s="158" t="b">
        <v>0</v>
      </c>
      <c r="IJ4" s="158" t="b">
        <v>0</v>
      </c>
      <c r="IK4" s="158" t="b">
        <v>0</v>
      </c>
      <c r="IL4" s="158" t="b">
        <v>0</v>
      </c>
      <c r="IM4" s="158" t="b">
        <v>0</v>
      </c>
      <c r="IN4" s="158" t="b">
        <v>0</v>
      </c>
      <c r="IO4" s="158" t="b">
        <v>0</v>
      </c>
      <c r="IP4" s="158" t="b">
        <v>0</v>
      </c>
      <c r="IQ4" s="158" t="b">
        <v>0</v>
      </c>
      <c r="IR4" s="158" t="b">
        <v>0</v>
      </c>
      <c r="IS4" s="158" t="b">
        <v>0</v>
      </c>
      <c r="IT4" s="158" t="b">
        <v>0</v>
      </c>
      <c r="IU4" s="158" t="b">
        <v>0</v>
      </c>
      <c r="IV4" s="158" t="b">
        <v>0</v>
      </c>
      <c r="IW4" s="158" t="b">
        <v>0</v>
      </c>
      <c r="IX4" s="158" t="b">
        <v>0</v>
      </c>
      <c r="IY4" s="158" t="b">
        <v>0</v>
      </c>
      <c r="IZ4" s="158" t="b">
        <v>0</v>
      </c>
      <c r="JA4" s="158" t="b">
        <v>0</v>
      </c>
      <c r="JB4" s="158" t="b">
        <v>0</v>
      </c>
      <c r="JC4" s="158" t="b">
        <v>0</v>
      </c>
      <c r="JD4" s="158" t="b">
        <v>0</v>
      </c>
      <c r="JE4" s="158" t="b">
        <v>0</v>
      </c>
      <c r="JF4" s="158" t="b">
        <v>0</v>
      </c>
      <c r="JG4" s="158" t="b">
        <v>0</v>
      </c>
      <c r="JH4" s="158" t="b">
        <v>0</v>
      </c>
      <c r="JI4" s="158" t="b">
        <v>0</v>
      </c>
      <c r="JJ4" s="158" t="b">
        <v>0</v>
      </c>
      <c r="JK4" s="158" t="b">
        <v>0</v>
      </c>
      <c r="JL4" s="158" t="b">
        <v>0</v>
      </c>
      <c r="JM4" s="158" t="b">
        <v>0</v>
      </c>
      <c r="JN4" s="158" t="b">
        <v>0</v>
      </c>
      <c r="JO4" s="158" t="b">
        <v>0</v>
      </c>
      <c r="JP4" s="158" t="b">
        <v>0</v>
      </c>
      <c r="JQ4" s="158" t="b">
        <v>0</v>
      </c>
      <c r="JR4" s="158" t="b">
        <v>0</v>
      </c>
      <c r="JS4" s="158" t="b">
        <v>0</v>
      </c>
      <c r="JT4" s="158" t="b">
        <v>0</v>
      </c>
      <c r="JU4" s="158" t="b">
        <v>0</v>
      </c>
      <c r="JV4" s="158" t="b">
        <v>0</v>
      </c>
      <c r="JW4" s="158" t="b">
        <v>0</v>
      </c>
      <c r="JX4" s="158" t="b">
        <v>0</v>
      </c>
      <c r="JY4" s="158" t="b">
        <v>0</v>
      </c>
      <c r="JZ4" s="158" t="b">
        <v>0</v>
      </c>
      <c r="KA4" s="158" t="b">
        <v>0</v>
      </c>
      <c r="KB4" s="158" t="b">
        <v>0</v>
      </c>
      <c r="KC4" s="158" t="b">
        <v>0</v>
      </c>
      <c r="KD4" s="158" t="b">
        <v>0</v>
      </c>
      <c r="KE4" s="158" t="b">
        <v>0</v>
      </c>
      <c r="KF4" s="158" t="b">
        <v>0</v>
      </c>
      <c r="KG4" s="158" t="b">
        <v>0</v>
      </c>
      <c r="KH4" s="158" t="b">
        <v>0</v>
      </c>
      <c r="KI4" s="158" t="b">
        <v>0</v>
      </c>
      <c r="KJ4" s="158" t="b">
        <v>0</v>
      </c>
      <c r="KK4" s="158" t="b">
        <v>0</v>
      </c>
      <c r="KL4" s="158" t="b">
        <v>0</v>
      </c>
      <c r="KM4" s="158" t="b">
        <v>0</v>
      </c>
      <c r="KN4" s="158" t="b">
        <v>0</v>
      </c>
      <c r="KO4" s="158" t="b">
        <v>0</v>
      </c>
      <c r="KP4" s="158" t="b">
        <v>0</v>
      </c>
      <c r="KQ4" s="158" t="b">
        <v>0</v>
      </c>
      <c r="KR4" s="158" t="b">
        <v>0</v>
      </c>
      <c r="KS4" s="158" t="b">
        <v>0</v>
      </c>
      <c r="KT4" s="158" t="b">
        <v>0</v>
      </c>
      <c r="KU4" s="158" t="b">
        <v>0</v>
      </c>
      <c r="KV4" s="158" t="b">
        <v>0</v>
      </c>
      <c r="KW4" s="158" t="b">
        <v>0</v>
      </c>
      <c r="KX4" s="158" t="b">
        <v>0</v>
      </c>
      <c r="KY4" s="158" t="b">
        <v>0</v>
      </c>
      <c r="KZ4" s="158" t="b">
        <v>0</v>
      </c>
      <c r="LA4" s="158" t="b">
        <v>0</v>
      </c>
      <c r="LB4" s="158" t="b">
        <v>0</v>
      </c>
      <c r="LC4" s="158" t="b">
        <v>0</v>
      </c>
      <c r="LD4" s="158" t="b">
        <v>0</v>
      </c>
      <c r="LE4" s="158" t="b">
        <v>0</v>
      </c>
      <c r="LF4" s="158" t="b">
        <v>0</v>
      </c>
      <c r="LG4" s="158" t="b">
        <v>0</v>
      </c>
      <c r="LH4" s="158" t="b">
        <v>0</v>
      </c>
      <c r="LI4" s="158" t="b">
        <v>0</v>
      </c>
      <c r="LJ4" s="158" t="b">
        <v>0</v>
      </c>
      <c r="LK4" s="158" t="b">
        <v>0</v>
      </c>
      <c r="LL4" s="158" t="b">
        <v>0</v>
      </c>
      <c r="LM4" s="158" t="b">
        <v>0</v>
      </c>
      <c r="LN4" s="158" t="b">
        <v>0</v>
      </c>
      <c r="LO4" s="158" t="b">
        <v>0</v>
      </c>
      <c r="LP4" s="158" t="b">
        <v>0</v>
      </c>
      <c r="LQ4" s="158" t="b">
        <v>0</v>
      </c>
      <c r="LR4" s="158" t="b">
        <v>0</v>
      </c>
      <c r="LS4" s="158" t="b">
        <v>0</v>
      </c>
      <c r="LT4" s="158" t="b">
        <v>0</v>
      </c>
      <c r="LU4" s="158" t="b">
        <v>0</v>
      </c>
      <c r="LV4" s="158" t="b">
        <v>0</v>
      </c>
      <c r="LW4" s="158" t="b">
        <v>0</v>
      </c>
      <c r="LX4" s="158" t="b">
        <v>0</v>
      </c>
      <c r="LY4" s="158" t="b">
        <v>0</v>
      </c>
      <c r="LZ4" s="158" t="b">
        <v>0</v>
      </c>
      <c r="MA4" s="158" t="b">
        <v>0</v>
      </c>
      <c r="MB4" s="158" t="b">
        <v>0</v>
      </c>
      <c r="MC4" s="158" t="b">
        <v>0</v>
      </c>
      <c r="MD4" s="158" t="b">
        <v>0</v>
      </c>
      <c r="ME4" s="158" t="b">
        <v>0</v>
      </c>
      <c r="MF4" s="158" t="b">
        <v>0</v>
      </c>
      <c r="MG4" s="158" t="b">
        <v>0</v>
      </c>
      <c r="MH4" s="158" t="b">
        <v>0</v>
      </c>
      <c r="MI4" s="158" t="b">
        <v>0</v>
      </c>
      <c r="MJ4" s="158" t="b">
        <v>0</v>
      </c>
      <c r="MK4" s="158" t="b">
        <v>0</v>
      </c>
      <c r="ML4" s="158" t="b">
        <v>0</v>
      </c>
      <c r="MM4" s="158" t="b">
        <v>0</v>
      </c>
      <c r="MN4" s="158" t="b">
        <v>0</v>
      </c>
      <c r="MO4" s="158" t="b">
        <v>0</v>
      </c>
      <c r="MP4" s="158" t="b">
        <v>0</v>
      </c>
      <c r="MQ4" s="158" t="b">
        <v>0</v>
      </c>
      <c r="MR4" s="158" t="b">
        <v>0</v>
      </c>
      <c r="MS4" s="158" t="b">
        <v>0</v>
      </c>
      <c r="MT4" s="158" t="b">
        <v>0</v>
      </c>
      <c r="MU4" s="158" t="b">
        <v>0</v>
      </c>
      <c r="MV4" s="158" t="b">
        <v>0</v>
      </c>
      <c r="MW4" s="158" t="b">
        <v>0</v>
      </c>
      <c r="MX4" s="158" t="b">
        <v>0</v>
      </c>
      <c r="MY4" s="158" t="b">
        <v>0</v>
      </c>
      <c r="MZ4" s="158" t="b">
        <v>0</v>
      </c>
      <c r="NA4" s="158" t="b">
        <v>0</v>
      </c>
      <c r="NB4" s="158" t="b">
        <v>0</v>
      </c>
      <c r="NC4" s="158" t="b">
        <v>0</v>
      </c>
      <c r="ND4" s="158" t="b">
        <v>0</v>
      </c>
      <c r="NE4" s="158" t="b">
        <v>0</v>
      </c>
      <c r="NF4" s="158" t="b">
        <v>0</v>
      </c>
      <c r="NG4" s="158" t="b">
        <v>0</v>
      </c>
      <c r="NH4" s="158" t="b">
        <v>0</v>
      </c>
      <c r="NI4" s="158" t="b">
        <v>0</v>
      </c>
      <c r="NJ4" s="158" t="b">
        <v>0</v>
      </c>
      <c r="NK4" s="158" t="b">
        <v>0</v>
      </c>
      <c r="NL4" s="158" t="b">
        <v>0</v>
      </c>
      <c r="NM4" s="158" t="b">
        <v>0</v>
      </c>
      <c r="NN4" s="158" t="b">
        <v>0</v>
      </c>
      <c r="NO4" s="158" t="b">
        <v>0</v>
      </c>
    </row>
    <row r="5" spans="1:379" ht="29.25" x14ac:dyDescent="0.4">
      <c r="A5" s="511" t="str">
        <v>O'Briens Chipper 1</v>
      </c>
      <c r="B5" s="158" t="b">
        <v>0</v>
      </c>
      <c r="C5" s="158" t="b">
        <v>0</v>
      </c>
      <c r="D5" s="158" t="b">
        <v>0</v>
      </c>
      <c r="E5" s="158" t="b">
        <v>0</v>
      </c>
      <c r="F5" s="158" t="b">
        <v>0</v>
      </c>
      <c r="G5" s="158" t="b">
        <v>0</v>
      </c>
      <c r="H5" s="158" t="b">
        <v>0</v>
      </c>
      <c r="I5" s="158" t="b">
        <v>0</v>
      </c>
      <c r="J5" s="158" t="b">
        <v>0</v>
      </c>
      <c r="K5" s="158" t="b">
        <v>0</v>
      </c>
      <c r="L5" s="158" t="b">
        <v>0</v>
      </c>
      <c r="M5" s="158" t="b">
        <v>0</v>
      </c>
      <c r="N5" s="93" t="b">
        <v>0</v>
      </c>
      <c r="O5" s="93" t="b">
        <v>0</v>
      </c>
      <c r="P5" s="93" t="b">
        <v>0</v>
      </c>
      <c r="Q5" s="93" t="b">
        <v>0</v>
      </c>
      <c r="R5" s="93" t="b">
        <v>0</v>
      </c>
      <c r="S5" s="158" t="b">
        <v>0</v>
      </c>
      <c r="T5" s="158" t="b">
        <v>0</v>
      </c>
      <c r="U5" s="158" t="b">
        <v>0</v>
      </c>
      <c r="V5" s="158" t="b">
        <v>0</v>
      </c>
      <c r="W5" s="158" t="b">
        <v>0</v>
      </c>
      <c r="X5" s="158" t="b">
        <v>0</v>
      </c>
      <c r="Y5" s="158" t="b">
        <v>0</v>
      </c>
      <c r="Z5" s="158" t="b">
        <v>0</v>
      </c>
      <c r="AA5" s="158" t="b">
        <v>0</v>
      </c>
      <c r="AB5" s="158" t="b">
        <v>0</v>
      </c>
      <c r="AC5" s="158" t="b">
        <v>0</v>
      </c>
      <c r="AD5" s="158" t="b">
        <v>0</v>
      </c>
      <c r="AE5" s="158" t="b">
        <v>0</v>
      </c>
      <c r="AF5" s="158" t="b">
        <v>0</v>
      </c>
      <c r="AG5" s="158" t="b">
        <v>0</v>
      </c>
      <c r="AH5" s="158" t="b">
        <v>0</v>
      </c>
      <c r="AI5" s="158" t="b">
        <v>0</v>
      </c>
      <c r="AJ5" s="158" t="b">
        <v>0</v>
      </c>
      <c r="AK5" s="158" t="b">
        <v>0</v>
      </c>
      <c r="AL5" s="158" t="b">
        <v>0</v>
      </c>
      <c r="AM5" s="158" t="b">
        <v>0</v>
      </c>
      <c r="AN5" s="158" t="b">
        <v>0</v>
      </c>
      <c r="AO5" s="158" t="b">
        <v>0</v>
      </c>
      <c r="AP5" s="158" t="b">
        <v>0</v>
      </c>
      <c r="AQ5" s="158" t="b">
        <v>0</v>
      </c>
      <c r="AR5" s="158" t="b">
        <v>0</v>
      </c>
      <c r="AS5" s="158" t="b">
        <v>0</v>
      </c>
      <c r="AT5" s="158" t="b">
        <v>0</v>
      </c>
      <c r="AU5" s="158" t="b">
        <v>0</v>
      </c>
      <c r="AV5" s="158" t="b">
        <v>0</v>
      </c>
      <c r="AW5" s="158" t="b">
        <v>0</v>
      </c>
      <c r="AX5" s="158" t="b">
        <v>0</v>
      </c>
      <c r="AY5" s="158" t="b">
        <v>0</v>
      </c>
      <c r="AZ5" s="158" t="b">
        <v>0</v>
      </c>
      <c r="BA5" s="158" t="b">
        <v>0</v>
      </c>
      <c r="BB5" s="158" t="b">
        <v>0</v>
      </c>
      <c r="BC5" s="158" t="b">
        <v>0</v>
      </c>
      <c r="BD5" s="158" t="b">
        <v>0</v>
      </c>
      <c r="BE5" s="158" t="b">
        <v>0</v>
      </c>
      <c r="BF5" s="158" t="b">
        <v>0</v>
      </c>
      <c r="BG5" s="158" t="b">
        <v>0</v>
      </c>
      <c r="BH5" s="158" t="b">
        <v>0</v>
      </c>
      <c r="BI5" s="158" t="b">
        <v>0</v>
      </c>
      <c r="BJ5" s="158" t="b">
        <v>0</v>
      </c>
      <c r="BK5" s="158" t="b">
        <v>0</v>
      </c>
      <c r="BL5" s="158" t="b">
        <v>0</v>
      </c>
      <c r="BM5" s="158" t="b">
        <v>0</v>
      </c>
      <c r="BN5" s="158" t="b">
        <v>0</v>
      </c>
      <c r="BO5" s="158" t="b">
        <v>0</v>
      </c>
      <c r="BP5" s="158" t="b">
        <v>0</v>
      </c>
      <c r="BQ5" s="158" t="b">
        <v>0</v>
      </c>
      <c r="BR5" s="158" t="b">
        <v>0</v>
      </c>
      <c r="BS5" s="158" t="b">
        <v>0</v>
      </c>
      <c r="BT5" s="158" t="b">
        <v>0</v>
      </c>
      <c r="BU5" s="158" t="b">
        <v>0</v>
      </c>
      <c r="BV5" s="158" t="b">
        <v>0</v>
      </c>
      <c r="BW5" s="158" t="b">
        <v>0</v>
      </c>
      <c r="BX5" s="158" t="b">
        <v>0</v>
      </c>
      <c r="BY5" s="158" t="b">
        <v>0</v>
      </c>
      <c r="BZ5" s="93" t="b">
        <v>1</v>
      </c>
      <c r="CA5" s="158" t="b">
        <v>0</v>
      </c>
      <c r="CB5" s="158" t="b">
        <v>0</v>
      </c>
      <c r="CC5" s="158" t="b">
        <v>0</v>
      </c>
      <c r="CD5" s="158" t="b">
        <v>0</v>
      </c>
      <c r="CE5" s="158" t="b">
        <v>0</v>
      </c>
      <c r="CF5" s="158" t="b">
        <v>0</v>
      </c>
      <c r="CG5" s="158" t="b">
        <v>0</v>
      </c>
      <c r="CH5" s="158" t="b">
        <v>0</v>
      </c>
      <c r="CI5" s="158" t="b">
        <v>0</v>
      </c>
      <c r="CJ5" s="158" t="b">
        <v>0</v>
      </c>
      <c r="CK5" s="158" t="b">
        <v>0</v>
      </c>
      <c r="CL5" s="158" t="b">
        <v>0</v>
      </c>
      <c r="CM5" s="158" t="b">
        <v>0</v>
      </c>
      <c r="CN5" s="158" t="b">
        <v>0</v>
      </c>
      <c r="CO5" s="158" t="b">
        <v>0</v>
      </c>
      <c r="CP5" s="158" t="b">
        <v>0</v>
      </c>
      <c r="CQ5" s="158" t="b">
        <v>0</v>
      </c>
      <c r="CR5" s="158" t="b">
        <v>0</v>
      </c>
      <c r="CS5" s="158" t="b">
        <v>0</v>
      </c>
      <c r="CT5" s="158" t="b">
        <v>0</v>
      </c>
      <c r="CU5" s="158" t="b">
        <v>0</v>
      </c>
      <c r="CV5" s="158" t="b">
        <v>0</v>
      </c>
      <c r="CW5" s="158" t="b">
        <v>0</v>
      </c>
      <c r="CX5" s="158" t="b">
        <v>0</v>
      </c>
      <c r="CY5" s="158" t="b">
        <v>0</v>
      </c>
      <c r="CZ5" s="158" t="b">
        <v>0</v>
      </c>
      <c r="DA5" s="158" t="b">
        <v>0</v>
      </c>
      <c r="DB5" s="158" t="b">
        <v>0</v>
      </c>
      <c r="DC5" s="158" t="b">
        <v>0</v>
      </c>
      <c r="DD5" s="158" t="b">
        <v>0</v>
      </c>
      <c r="DE5" s="158" t="b">
        <v>0</v>
      </c>
      <c r="DF5" s="158" t="b">
        <v>0</v>
      </c>
      <c r="DG5" s="158" t="b">
        <v>0</v>
      </c>
      <c r="DH5" s="158" t="b">
        <v>0</v>
      </c>
      <c r="DI5" s="158" t="b">
        <v>0</v>
      </c>
      <c r="DJ5" s="158" t="b">
        <v>0</v>
      </c>
      <c r="DK5" s="158" t="b">
        <v>0</v>
      </c>
      <c r="DL5" s="158" t="b">
        <v>0</v>
      </c>
      <c r="DM5" s="158" t="b">
        <v>0</v>
      </c>
      <c r="DN5" s="158" t="b">
        <v>0</v>
      </c>
      <c r="DO5" s="158" t="b">
        <v>0</v>
      </c>
      <c r="DP5" s="158" t="b">
        <v>0</v>
      </c>
      <c r="DQ5" s="158" t="b">
        <v>0</v>
      </c>
      <c r="DR5" s="93" t="b">
        <v>1</v>
      </c>
      <c r="DS5" s="93" t="b">
        <v>1</v>
      </c>
      <c r="DT5" s="93" t="b">
        <v>1</v>
      </c>
      <c r="DU5" s="93" t="b">
        <v>1</v>
      </c>
      <c r="DV5" s="93" t="b">
        <v>1</v>
      </c>
      <c r="DW5" s="158" t="b">
        <v>0</v>
      </c>
      <c r="DX5" s="158" t="b">
        <v>0</v>
      </c>
      <c r="DY5" s="158" t="b">
        <v>0</v>
      </c>
      <c r="DZ5" s="158" t="b">
        <v>0</v>
      </c>
      <c r="EA5" s="158" t="b">
        <v>0</v>
      </c>
      <c r="EB5" s="158" t="b">
        <v>0</v>
      </c>
      <c r="EC5" s="93" t="b">
        <v>1</v>
      </c>
      <c r="ED5" s="158" t="b">
        <v>0</v>
      </c>
      <c r="EE5" s="158" t="b">
        <v>0</v>
      </c>
      <c r="EF5" s="158" t="b">
        <v>0</v>
      </c>
      <c r="EG5" s="158" t="b">
        <v>0</v>
      </c>
      <c r="EH5" s="158" t="b">
        <v>0</v>
      </c>
      <c r="EI5" s="158" t="b">
        <v>0</v>
      </c>
      <c r="EJ5" s="158" t="b">
        <v>0</v>
      </c>
      <c r="EK5" s="158" t="b">
        <v>0</v>
      </c>
      <c r="EL5" s="158" t="b">
        <v>0</v>
      </c>
      <c r="EM5" s="158" t="b">
        <v>0</v>
      </c>
      <c r="EN5" s="158" t="b">
        <v>0</v>
      </c>
      <c r="EO5" s="158" t="b">
        <v>0</v>
      </c>
      <c r="EP5" s="158" t="b">
        <v>0</v>
      </c>
      <c r="EQ5" s="158" t="b">
        <v>0</v>
      </c>
      <c r="ER5" s="158" t="b">
        <v>0</v>
      </c>
      <c r="ES5" s="158" t="b">
        <v>0</v>
      </c>
      <c r="ET5" s="158" t="b">
        <v>0</v>
      </c>
      <c r="EU5" s="158" t="b">
        <v>0</v>
      </c>
      <c r="EV5" s="158" t="b">
        <v>0</v>
      </c>
      <c r="EW5" s="93" t="b">
        <v>1</v>
      </c>
      <c r="EX5" s="158" t="b">
        <v>0</v>
      </c>
      <c r="EY5" s="158" t="b">
        <v>0</v>
      </c>
      <c r="EZ5" s="158" t="b">
        <v>0</v>
      </c>
      <c r="FA5" s="158" t="b">
        <v>0</v>
      </c>
      <c r="FB5" s="158" t="b">
        <v>0</v>
      </c>
      <c r="FC5" s="158" t="b">
        <v>0</v>
      </c>
      <c r="FD5" s="158" t="b">
        <v>0</v>
      </c>
      <c r="FE5" s="158" t="b">
        <v>0</v>
      </c>
      <c r="FF5" s="158" t="b">
        <v>0</v>
      </c>
      <c r="FG5" s="158" t="b">
        <v>0</v>
      </c>
      <c r="FH5" s="158" t="b">
        <v>0</v>
      </c>
      <c r="FI5" s="158" t="b">
        <v>0</v>
      </c>
      <c r="FJ5" s="158" t="b">
        <v>0</v>
      </c>
      <c r="FK5" s="158" t="b">
        <v>0</v>
      </c>
      <c r="FL5" s="158" t="b">
        <v>0</v>
      </c>
      <c r="FM5" s="158" t="b">
        <v>0</v>
      </c>
      <c r="FN5" s="158" t="b">
        <v>0</v>
      </c>
      <c r="FO5" s="158" t="b">
        <v>0</v>
      </c>
      <c r="FP5" s="158" t="b">
        <v>0</v>
      </c>
      <c r="FQ5" s="158" t="b">
        <v>0</v>
      </c>
      <c r="FR5" s="158" t="b">
        <v>0</v>
      </c>
      <c r="FS5" s="158" t="b">
        <v>0</v>
      </c>
      <c r="FT5" s="93" t="b">
        <v>1</v>
      </c>
      <c r="FU5" s="158" t="b">
        <v>0</v>
      </c>
      <c r="FV5" s="158" t="b">
        <v>0</v>
      </c>
      <c r="FW5" s="158" t="b">
        <v>0</v>
      </c>
      <c r="FX5" s="158" t="b">
        <v>0</v>
      </c>
      <c r="FY5" s="158" t="b">
        <v>0</v>
      </c>
      <c r="FZ5" s="158" t="b">
        <v>0</v>
      </c>
      <c r="GA5" s="158" t="b">
        <v>0</v>
      </c>
      <c r="GB5" s="158" t="b">
        <v>0</v>
      </c>
      <c r="GC5" s="158" t="b">
        <v>0</v>
      </c>
      <c r="GD5" s="158" t="b">
        <v>0</v>
      </c>
      <c r="GE5" s="158" t="b">
        <v>0</v>
      </c>
      <c r="GF5" s="158" t="b">
        <v>0</v>
      </c>
      <c r="GG5" s="158" t="b">
        <v>0</v>
      </c>
      <c r="GH5" s="158" t="b">
        <v>0</v>
      </c>
      <c r="GI5" s="158" t="b">
        <v>0</v>
      </c>
      <c r="GJ5" s="158" t="b">
        <v>0</v>
      </c>
      <c r="GK5" s="158" t="b">
        <v>0</v>
      </c>
      <c r="GL5" s="158" t="b">
        <v>0</v>
      </c>
      <c r="GM5" s="158" t="b">
        <v>0</v>
      </c>
      <c r="GN5" s="158" t="b">
        <v>0</v>
      </c>
      <c r="GO5" s="158" t="b">
        <v>0</v>
      </c>
      <c r="GP5" s="158" t="b">
        <v>0</v>
      </c>
      <c r="GQ5" s="158" t="b">
        <v>0</v>
      </c>
      <c r="GR5" s="158" t="b">
        <v>0</v>
      </c>
      <c r="GS5" s="158" t="b">
        <v>0</v>
      </c>
      <c r="GT5" s="158" t="b">
        <v>0</v>
      </c>
      <c r="GU5" s="158" t="b">
        <v>0</v>
      </c>
      <c r="GV5" s="158" t="b">
        <v>0</v>
      </c>
      <c r="GW5" s="158" t="b">
        <v>0</v>
      </c>
      <c r="GX5" s="158" t="b">
        <v>0</v>
      </c>
      <c r="GY5" s="158" t="b">
        <v>0</v>
      </c>
      <c r="GZ5" s="158" t="b">
        <v>0</v>
      </c>
      <c r="HA5" s="158" t="b">
        <v>0</v>
      </c>
      <c r="HB5" s="158" t="b">
        <v>0</v>
      </c>
      <c r="HC5" s="158" t="b">
        <v>0</v>
      </c>
      <c r="HD5" s="158" t="b">
        <v>0</v>
      </c>
      <c r="HE5" s="158" t="b">
        <v>0</v>
      </c>
      <c r="HF5" s="158" t="b">
        <v>0</v>
      </c>
      <c r="HG5" s="158" t="b">
        <v>0</v>
      </c>
      <c r="HH5" s="158" t="b">
        <v>0</v>
      </c>
      <c r="HI5" s="158" t="b">
        <v>0</v>
      </c>
      <c r="HJ5" s="158" t="b">
        <v>0</v>
      </c>
      <c r="HK5" s="158" t="b">
        <v>0</v>
      </c>
      <c r="HL5" s="158" t="b">
        <v>0</v>
      </c>
      <c r="HM5" s="158" t="b">
        <v>0</v>
      </c>
      <c r="HN5" s="158" t="b">
        <v>0</v>
      </c>
      <c r="HO5" s="158" t="b">
        <v>0</v>
      </c>
      <c r="HP5" s="158" t="b">
        <v>0</v>
      </c>
      <c r="HQ5" s="158" t="b">
        <v>0</v>
      </c>
      <c r="HR5" s="158" t="b">
        <v>0</v>
      </c>
      <c r="HS5" s="158" t="b">
        <v>0</v>
      </c>
      <c r="HT5" s="93" t="b">
        <v>1</v>
      </c>
      <c r="HU5" s="93" t="b">
        <v>1</v>
      </c>
      <c r="HV5" s="93" t="b">
        <v>1</v>
      </c>
      <c r="HW5" s="93" t="b">
        <v>1</v>
      </c>
      <c r="HX5" s="93" t="b">
        <v>1</v>
      </c>
      <c r="HY5" s="158" t="b">
        <v>0</v>
      </c>
      <c r="HZ5" s="158" t="b">
        <v>0</v>
      </c>
      <c r="IA5" s="158" t="b">
        <v>0</v>
      </c>
      <c r="IB5" s="158" t="b">
        <v>0</v>
      </c>
      <c r="IC5" s="158" t="b">
        <v>0</v>
      </c>
      <c r="ID5" s="158" t="b">
        <v>0</v>
      </c>
      <c r="IE5" s="158" t="b">
        <v>0</v>
      </c>
      <c r="IF5" s="158" t="b">
        <v>0</v>
      </c>
      <c r="IG5" s="158" t="b">
        <v>0</v>
      </c>
      <c r="IH5" s="158" t="b">
        <v>0</v>
      </c>
      <c r="II5" s="158" t="b">
        <v>0</v>
      </c>
      <c r="IJ5" s="158" t="b">
        <v>0</v>
      </c>
      <c r="IK5" s="158" t="b">
        <v>0</v>
      </c>
      <c r="IL5" s="158" t="b">
        <v>0</v>
      </c>
      <c r="IM5" s="158" t="b">
        <v>0</v>
      </c>
      <c r="IN5" s="158" t="b">
        <v>0</v>
      </c>
      <c r="IO5" s="158" t="b">
        <v>0</v>
      </c>
      <c r="IP5" s="158" t="b">
        <v>0</v>
      </c>
      <c r="IQ5" s="158" t="b">
        <v>0</v>
      </c>
      <c r="IR5" s="158" t="b">
        <v>0</v>
      </c>
      <c r="IS5" s="158" t="b">
        <v>0</v>
      </c>
      <c r="IT5" s="158" t="b">
        <v>0</v>
      </c>
      <c r="IU5" s="158" t="b">
        <v>0</v>
      </c>
      <c r="IV5" s="158" t="b">
        <v>0</v>
      </c>
      <c r="IW5" s="158" t="b">
        <v>0</v>
      </c>
      <c r="IX5" s="158" t="b">
        <v>0</v>
      </c>
      <c r="IY5" s="158" t="b">
        <v>0</v>
      </c>
      <c r="IZ5" s="158" t="b">
        <v>0</v>
      </c>
      <c r="JA5" s="158" t="b">
        <v>0</v>
      </c>
      <c r="JB5" s="158" t="b">
        <v>0</v>
      </c>
      <c r="JC5" s="158" t="b">
        <v>0</v>
      </c>
      <c r="JD5" s="158" t="b">
        <v>0</v>
      </c>
      <c r="JE5" s="158" t="b">
        <v>0</v>
      </c>
      <c r="JF5" s="158" t="b">
        <v>0</v>
      </c>
      <c r="JG5" s="158" t="b">
        <v>0</v>
      </c>
      <c r="JH5" s="158" t="b">
        <v>0</v>
      </c>
      <c r="JI5" s="158" t="b">
        <v>0</v>
      </c>
      <c r="JJ5" s="158" t="b">
        <v>0</v>
      </c>
      <c r="JK5" s="158" t="b">
        <v>0</v>
      </c>
      <c r="JL5" s="158" t="b">
        <v>0</v>
      </c>
      <c r="JM5" s="158" t="b">
        <v>0</v>
      </c>
      <c r="JN5" s="158" t="b">
        <v>0</v>
      </c>
      <c r="JO5" s="158" t="b">
        <v>0</v>
      </c>
      <c r="JP5" s="158" t="b">
        <v>0</v>
      </c>
      <c r="JQ5" s="158" t="b">
        <v>0</v>
      </c>
      <c r="JR5" s="158" t="b">
        <v>0</v>
      </c>
      <c r="JS5" s="158" t="b">
        <v>0</v>
      </c>
      <c r="JT5" s="158" t="b">
        <v>0</v>
      </c>
      <c r="JU5" s="158" t="b">
        <v>0</v>
      </c>
      <c r="JV5" s="158" t="b">
        <v>0</v>
      </c>
      <c r="JW5" s="158" t="b">
        <v>0</v>
      </c>
      <c r="JX5" s="158" t="b">
        <v>0</v>
      </c>
      <c r="JY5" s="158" t="b">
        <v>0</v>
      </c>
      <c r="JZ5" s="158" t="b">
        <v>0</v>
      </c>
      <c r="KA5" s="158" t="b">
        <v>0</v>
      </c>
      <c r="KB5" s="158" t="b">
        <v>0</v>
      </c>
      <c r="KC5" s="158" t="b">
        <v>0</v>
      </c>
      <c r="KD5" s="158" t="b">
        <v>0</v>
      </c>
      <c r="KE5" s="158" t="b">
        <v>0</v>
      </c>
      <c r="KF5" s="158" t="b">
        <v>0</v>
      </c>
      <c r="KG5" s="158" t="b">
        <v>0</v>
      </c>
      <c r="KH5" s="158" t="b">
        <v>0</v>
      </c>
      <c r="KI5" s="158" t="b">
        <v>0</v>
      </c>
      <c r="KJ5" s="158" t="b">
        <v>0</v>
      </c>
      <c r="KK5" s="158" t="b">
        <v>0</v>
      </c>
      <c r="KL5" s="158" t="b">
        <v>0</v>
      </c>
      <c r="KM5" s="158" t="b">
        <v>0</v>
      </c>
      <c r="KN5" s="158" t="b">
        <v>0</v>
      </c>
      <c r="KO5" s="158" t="b">
        <v>0</v>
      </c>
      <c r="KP5" s="158" t="b">
        <v>0</v>
      </c>
      <c r="KQ5" s="158" t="b">
        <v>0</v>
      </c>
      <c r="KR5" s="158" t="b">
        <v>0</v>
      </c>
      <c r="KS5" s="158" t="b">
        <v>0</v>
      </c>
      <c r="KT5" s="158" t="b">
        <v>0</v>
      </c>
      <c r="KU5" s="158" t="b">
        <v>0</v>
      </c>
      <c r="KV5" s="158" t="b">
        <v>0</v>
      </c>
      <c r="KW5" s="158" t="b">
        <v>0</v>
      </c>
      <c r="KX5" s="158" t="b">
        <v>0</v>
      </c>
      <c r="KY5" s="158" t="b">
        <v>0</v>
      </c>
      <c r="KZ5" s="158" t="b">
        <v>0</v>
      </c>
      <c r="LA5" s="158" t="b">
        <v>0</v>
      </c>
      <c r="LB5" s="158" t="b">
        <v>0</v>
      </c>
      <c r="LC5" s="158" t="b">
        <v>0</v>
      </c>
      <c r="LD5" s="158" t="b">
        <v>0</v>
      </c>
      <c r="LE5" s="158" t="b">
        <v>0</v>
      </c>
      <c r="LF5" s="158" t="b">
        <v>0</v>
      </c>
      <c r="LG5" s="158" t="b">
        <v>0</v>
      </c>
      <c r="LH5" s="158" t="b">
        <v>0</v>
      </c>
      <c r="LI5" s="158" t="b">
        <v>0</v>
      </c>
      <c r="LJ5" s="158" t="b">
        <v>0</v>
      </c>
      <c r="LK5" s="158" t="b">
        <v>0</v>
      </c>
      <c r="LL5" s="158" t="b">
        <v>0</v>
      </c>
      <c r="LM5" s="158" t="b">
        <v>0</v>
      </c>
      <c r="LN5" s="158" t="b">
        <v>0</v>
      </c>
      <c r="LO5" s="158" t="b">
        <v>0</v>
      </c>
      <c r="LP5" s="158" t="b">
        <v>0</v>
      </c>
      <c r="LQ5" s="158" t="b">
        <v>0</v>
      </c>
      <c r="LR5" s="158" t="b">
        <v>0</v>
      </c>
      <c r="LS5" s="158" t="b">
        <v>0</v>
      </c>
      <c r="LT5" s="158" t="b">
        <v>0</v>
      </c>
      <c r="LU5" s="158" t="b">
        <v>0</v>
      </c>
      <c r="LV5" s="158" t="b">
        <v>0</v>
      </c>
      <c r="LW5" s="158" t="b">
        <v>0</v>
      </c>
      <c r="LX5" s="158" t="b">
        <v>0</v>
      </c>
      <c r="LY5" s="158" t="b">
        <v>0</v>
      </c>
      <c r="LZ5" s="158" t="b">
        <v>0</v>
      </c>
      <c r="MA5" s="158" t="b">
        <v>0</v>
      </c>
      <c r="MB5" s="158" t="b">
        <v>0</v>
      </c>
      <c r="MC5" s="158" t="b">
        <v>0</v>
      </c>
      <c r="MD5" s="158" t="b">
        <v>0</v>
      </c>
      <c r="ME5" s="158" t="b">
        <v>0</v>
      </c>
      <c r="MF5" s="158" t="b">
        <v>0</v>
      </c>
      <c r="MG5" s="158" t="b">
        <v>0</v>
      </c>
      <c r="MH5" s="158" t="b">
        <v>0</v>
      </c>
      <c r="MI5" s="158" t="b">
        <v>0</v>
      </c>
      <c r="MJ5" s="158" t="b">
        <v>0</v>
      </c>
      <c r="MK5" s="158" t="b">
        <v>0</v>
      </c>
      <c r="ML5" s="158" t="b">
        <v>0</v>
      </c>
      <c r="MM5" s="158" t="b">
        <v>0</v>
      </c>
      <c r="MN5" s="158" t="b">
        <v>0</v>
      </c>
      <c r="MO5" s="158" t="b">
        <v>0</v>
      </c>
      <c r="MP5" s="158" t="b">
        <v>0</v>
      </c>
      <c r="MQ5" s="158" t="b">
        <v>0</v>
      </c>
      <c r="MR5" s="158" t="b">
        <v>0</v>
      </c>
      <c r="MS5" s="158" t="b">
        <v>0</v>
      </c>
      <c r="MT5" s="158" t="b">
        <v>0</v>
      </c>
      <c r="MU5" s="158" t="b">
        <v>0</v>
      </c>
      <c r="MV5" s="158" t="b">
        <v>0</v>
      </c>
      <c r="MW5" s="158" t="b">
        <v>0</v>
      </c>
      <c r="MX5" s="158" t="b">
        <v>0</v>
      </c>
      <c r="MY5" s="158" t="b">
        <v>0</v>
      </c>
      <c r="MZ5" s="158" t="b">
        <v>0</v>
      </c>
      <c r="NA5" s="158" t="b">
        <v>0</v>
      </c>
      <c r="NB5" s="158" t="b">
        <v>0</v>
      </c>
      <c r="NC5" s="158" t="b">
        <v>0</v>
      </c>
      <c r="ND5" s="158" t="b">
        <v>0</v>
      </c>
      <c r="NE5" s="158" t="b">
        <v>0</v>
      </c>
      <c r="NF5" s="158" t="b">
        <v>0</v>
      </c>
      <c r="NG5" s="158" t="b">
        <v>0</v>
      </c>
      <c r="NH5" s="158" t="b">
        <v>0</v>
      </c>
      <c r="NI5" s="158" t="b">
        <v>0</v>
      </c>
      <c r="NJ5" s="158" t="b">
        <v>0</v>
      </c>
      <c r="NK5" s="158" t="b">
        <v>0</v>
      </c>
      <c r="NL5" s="158" t="b">
        <v>0</v>
      </c>
      <c r="NM5" s="158" t="b">
        <v>0</v>
      </c>
      <c r="NN5" s="158" t="b">
        <v>0</v>
      </c>
      <c r="NO5" s="158" t="b">
        <v>0</v>
      </c>
    </row>
    <row r="6" spans="1:379" ht="29.25" x14ac:dyDescent="0.4">
      <c r="A6" s="511" t="str">
        <v>O'Briens Chipper 2</v>
      </c>
      <c r="B6" s="158" t="b">
        <v>0</v>
      </c>
      <c r="C6" s="158" t="b">
        <v>0</v>
      </c>
      <c r="D6" s="158" t="b">
        <v>0</v>
      </c>
      <c r="E6" s="158" t="b">
        <v>0</v>
      </c>
      <c r="F6" s="158" t="b">
        <v>0</v>
      </c>
      <c r="G6" s="158" t="b">
        <v>0</v>
      </c>
      <c r="H6" s="158" t="b">
        <v>0</v>
      </c>
      <c r="I6" s="158" t="b">
        <v>0</v>
      </c>
      <c r="J6" s="158" t="b">
        <v>0</v>
      </c>
      <c r="K6" s="158" t="b">
        <v>0</v>
      </c>
      <c r="L6" s="158" t="b">
        <v>0</v>
      </c>
      <c r="M6" s="158" t="b">
        <v>0</v>
      </c>
      <c r="N6" s="93" t="b">
        <v>0</v>
      </c>
      <c r="O6" s="93" t="b">
        <v>0</v>
      </c>
      <c r="P6" s="158" t="b">
        <v>0</v>
      </c>
      <c r="Q6" s="93" t="b">
        <v>0</v>
      </c>
      <c r="R6" s="93" t="b">
        <v>0</v>
      </c>
      <c r="S6" s="93" t="b">
        <v>0</v>
      </c>
      <c r="T6" s="93" t="b">
        <v>0</v>
      </c>
      <c r="U6" s="158" t="b">
        <v>0</v>
      </c>
      <c r="V6" s="158" t="b">
        <v>0</v>
      </c>
      <c r="W6" s="158" t="b">
        <v>0</v>
      </c>
      <c r="X6" s="158" t="b">
        <v>0</v>
      </c>
      <c r="Y6" s="158" t="b">
        <v>0</v>
      </c>
      <c r="Z6" s="158" t="b">
        <v>0</v>
      </c>
      <c r="AA6" s="158" t="b">
        <v>0</v>
      </c>
      <c r="AB6" s="158" t="b">
        <v>0</v>
      </c>
      <c r="AC6" s="158" t="b">
        <v>0</v>
      </c>
      <c r="AD6" s="158" t="b">
        <v>0</v>
      </c>
      <c r="AE6" s="158" t="b">
        <v>0</v>
      </c>
      <c r="AF6" s="158" t="b">
        <v>0</v>
      </c>
      <c r="AG6" s="158" t="b">
        <v>0</v>
      </c>
      <c r="AH6" s="158" t="b">
        <v>0</v>
      </c>
      <c r="AI6" s="158" t="b">
        <v>0</v>
      </c>
      <c r="AJ6" s="158" t="b">
        <v>0</v>
      </c>
      <c r="AK6" s="158" t="b">
        <v>0</v>
      </c>
      <c r="AL6" s="158" t="b">
        <v>0</v>
      </c>
      <c r="AM6" s="158" t="b">
        <v>0</v>
      </c>
      <c r="AN6" s="158" t="b">
        <v>0</v>
      </c>
      <c r="AO6" s="158" t="b">
        <v>0</v>
      </c>
      <c r="AP6" s="158" t="b">
        <v>0</v>
      </c>
      <c r="AQ6" s="158" t="b">
        <v>0</v>
      </c>
      <c r="AR6" s="158" t="b">
        <v>0</v>
      </c>
      <c r="AS6" s="158" t="b">
        <v>0</v>
      </c>
      <c r="AT6" s="158" t="b">
        <v>0</v>
      </c>
      <c r="AU6" s="158" t="b">
        <v>0</v>
      </c>
      <c r="AV6" s="158" t="b">
        <v>0</v>
      </c>
      <c r="AW6" s="158" t="b">
        <v>0</v>
      </c>
      <c r="AX6" s="158" t="b">
        <v>0</v>
      </c>
      <c r="AY6" s="158" t="b">
        <v>0</v>
      </c>
      <c r="AZ6" s="158" t="b">
        <v>0</v>
      </c>
      <c r="BA6" s="158" t="b">
        <v>0</v>
      </c>
      <c r="BB6" s="158" t="b">
        <v>0</v>
      </c>
      <c r="BC6" s="158" t="b">
        <v>0</v>
      </c>
      <c r="BD6" s="158" t="b">
        <v>0</v>
      </c>
      <c r="BE6" s="158" t="b">
        <v>0</v>
      </c>
      <c r="BF6" s="158" t="b">
        <v>0</v>
      </c>
      <c r="BG6" s="158" t="b">
        <v>0</v>
      </c>
      <c r="BH6" s="158" t="b">
        <v>0</v>
      </c>
      <c r="BI6" s="158" t="b">
        <v>0</v>
      </c>
      <c r="BJ6" s="158" t="b">
        <v>0</v>
      </c>
      <c r="BK6" s="158" t="b">
        <v>0</v>
      </c>
      <c r="BL6" s="158" t="b">
        <v>0</v>
      </c>
      <c r="BM6" s="158" t="b">
        <v>0</v>
      </c>
      <c r="BN6" s="158" t="b">
        <v>0</v>
      </c>
      <c r="BO6" s="158" t="b">
        <v>0</v>
      </c>
      <c r="BP6" s="158" t="b">
        <v>0</v>
      </c>
      <c r="BQ6" s="158" t="b">
        <v>0</v>
      </c>
      <c r="BR6" s="158" t="b">
        <v>0</v>
      </c>
      <c r="BS6" s="158" t="b">
        <v>0</v>
      </c>
      <c r="BT6" s="158" t="b">
        <v>0</v>
      </c>
      <c r="BU6" s="158" t="b">
        <v>0</v>
      </c>
      <c r="BV6" s="158" t="b">
        <v>0</v>
      </c>
      <c r="BW6" s="158" t="b">
        <v>0</v>
      </c>
      <c r="BX6" s="158" t="b">
        <v>0</v>
      </c>
      <c r="BY6" s="158" t="b">
        <v>0</v>
      </c>
      <c r="BZ6" s="158" t="b">
        <v>0</v>
      </c>
      <c r="CA6" s="158" t="b">
        <v>0</v>
      </c>
      <c r="CB6" s="158" t="b">
        <v>0</v>
      </c>
      <c r="CC6" s="158" t="b">
        <v>0</v>
      </c>
      <c r="CD6" s="158" t="b">
        <v>0</v>
      </c>
      <c r="CE6" s="158" t="b">
        <v>0</v>
      </c>
      <c r="CF6" s="158" t="b">
        <v>0</v>
      </c>
      <c r="CG6" s="158" t="b">
        <v>0</v>
      </c>
      <c r="CH6" s="158" t="b">
        <v>0</v>
      </c>
      <c r="CI6" s="158" t="b">
        <v>0</v>
      </c>
      <c r="CJ6" s="158" t="b">
        <v>0</v>
      </c>
      <c r="CK6" s="158" t="b">
        <v>0</v>
      </c>
      <c r="CL6" s="158" t="b">
        <v>0</v>
      </c>
      <c r="CM6" s="158" t="b">
        <v>0</v>
      </c>
      <c r="CN6" s="158" t="b">
        <v>0</v>
      </c>
      <c r="CO6" s="158" t="b">
        <v>0</v>
      </c>
      <c r="CP6" s="158" t="b">
        <v>0</v>
      </c>
      <c r="CQ6" s="158" t="b">
        <v>0</v>
      </c>
      <c r="CR6" s="158" t="b">
        <v>0</v>
      </c>
      <c r="CS6" s="158" t="b">
        <v>0</v>
      </c>
      <c r="CT6" s="158" t="b">
        <v>0</v>
      </c>
      <c r="CU6" s="158" t="b">
        <v>0</v>
      </c>
      <c r="CV6" s="158" t="b">
        <v>0</v>
      </c>
      <c r="CW6" s="158" t="b">
        <v>0</v>
      </c>
      <c r="CX6" s="158" t="b">
        <v>0</v>
      </c>
      <c r="CY6" s="158" t="b">
        <v>0</v>
      </c>
      <c r="CZ6" s="158" t="b">
        <v>0</v>
      </c>
      <c r="DA6" s="158" t="b">
        <v>0</v>
      </c>
      <c r="DB6" s="158" t="b">
        <v>0</v>
      </c>
      <c r="DC6" s="158" t="b">
        <v>0</v>
      </c>
      <c r="DD6" s="158" t="b">
        <v>0</v>
      </c>
      <c r="DE6" s="158" t="b">
        <v>0</v>
      </c>
      <c r="DF6" s="158" t="b">
        <v>0</v>
      </c>
      <c r="DG6" s="158" t="b">
        <v>0</v>
      </c>
      <c r="DH6" s="158" t="b">
        <v>0</v>
      </c>
      <c r="DI6" s="158" t="b">
        <v>0</v>
      </c>
      <c r="DJ6" s="158" t="b">
        <v>0</v>
      </c>
      <c r="DK6" s="158" t="b">
        <v>0</v>
      </c>
      <c r="DL6" s="158" t="b">
        <v>0</v>
      </c>
      <c r="DM6" s="158" t="b">
        <v>0</v>
      </c>
      <c r="DN6" s="158" t="b">
        <v>0</v>
      </c>
      <c r="DO6" s="158" t="b">
        <v>0</v>
      </c>
      <c r="DP6" s="158" t="b">
        <v>0</v>
      </c>
      <c r="DQ6" s="158" t="b">
        <v>0</v>
      </c>
      <c r="DR6" s="158" t="b">
        <v>0</v>
      </c>
      <c r="DS6" s="158" t="b">
        <v>0</v>
      </c>
      <c r="DT6" s="158" t="b">
        <v>0</v>
      </c>
      <c r="DU6" s="158" t="b">
        <v>0</v>
      </c>
      <c r="DV6" s="158" t="b">
        <v>0</v>
      </c>
      <c r="DW6" s="158" t="b">
        <v>0</v>
      </c>
      <c r="DX6" s="158" t="b">
        <v>0</v>
      </c>
      <c r="DY6" s="158" t="b">
        <v>0</v>
      </c>
      <c r="DZ6" s="158" t="b">
        <v>0</v>
      </c>
      <c r="EA6" s="158" t="b">
        <v>0</v>
      </c>
      <c r="EB6" s="158" t="b">
        <v>0</v>
      </c>
      <c r="EC6" s="158" t="b">
        <v>0</v>
      </c>
      <c r="ED6" s="158" t="b">
        <v>0</v>
      </c>
      <c r="EE6" s="158" t="b">
        <v>0</v>
      </c>
      <c r="EF6" s="158" t="b">
        <v>0</v>
      </c>
      <c r="EG6" s="158" t="b">
        <v>0</v>
      </c>
      <c r="EH6" s="158" t="b">
        <v>0</v>
      </c>
      <c r="EI6" s="158" t="b">
        <v>0</v>
      </c>
      <c r="EJ6" s="158" t="b">
        <v>0</v>
      </c>
      <c r="EK6" s="158" t="b">
        <v>0</v>
      </c>
      <c r="EL6" s="158" t="b">
        <v>0</v>
      </c>
      <c r="EM6" s="158" t="b">
        <v>0</v>
      </c>
      <c r="EN6" s="158" t="b">
        <v>0</v>
      </c>
      <c r="EO6" s="158" t="b">
        <v>0</v>
      </c>
      <c r="EP6" s="158" t="b">
        <v>0</v>
      </c>
      <c r="EQ6" s="158" t="b">
        <v>0</v>
      </c>
      <c r="ER6" s="158" t="b">
        <v>0</v>
      </c>
      <c r="ES6" s="158" t="b">
        <v>0</v>
      </c>
      <c r="ET6" s="158" t="b">
        <v>0</v>
      </c>
      <c r="EU6" s="158" t="b">
        <v>0</v>
      </c>
      <c r="EV6" s="158" t="b">
        <v>0</v>
      </c>
      <c r="EW6" s="158" t="b">
        <v>0</v>
      </c>
      <c r="EX6" s="158" t="b">
        <v>0</v>
      </c>
      <c r="EY6" s="158" t="b">
        <v>0</v>
      </c>
      <c r="EZ6" s="158" t="b">
        <v>0</v>
      </c>
      <c r="FA6" s="158" t="b">
        <v>0</v>
      </c>
      <c r="FB6" s="158" t="b">
        <v>0</v>
      </c>
      <c r="FC6" s="158" t="b">
        <v>0</v>
      </c>
      <c r="FD6" s="158" t="b">
        <v>0</v>
      </c>
      <c r="FE6" s="158" t="b">
        <v>0</v>
      </c>
      <c r="FF6" s="158" t="b">
        <v>0</v>
      </c>
      <c r="FG6" s="158" t="b">
        <v>0</v>
      </c>
      <c r="FH6" s="158" t="b">
        <v>0</v>
      </c>
      <c r="FI6" s="158" t="b">
        <v>0</v>
      </c>
      <c r="FJ6" s="158" t="b">
        <v>0</v>
      </c>
      <c r="FK6" s="158" t="b">
        <v>0</v>
      </c>
      <c r="FL6" s="158" t="b">
        <v>0</v>
      </c>
      <c r="FM6" s="158" t="b">
        <v>0</v>
      </c>
      <c r="FN6" s="158" t="b">
        <v>0</v>
      </c>
      <c r="FO6" s="158" t="b">
        <v>0</v>
      </c>
      <c r="FP6" s="158" t="b">
        <v>0</v>
      </c>
      <c r="FQ6" s="158" t="b">
        <v>0</v>
      </c>
      <c r="FR6" s="158" t="b">
        <v>0</v>
      </c>
      <c r="FS6" s="158" t="b">
        <v>0</v>
      </c>
      <c r="FT6" s="158" t="b">
        <v>0</v>
      </c>
      <c r="FU6" s="158" t="b">
        <v>0</v>
      </c>
      <c r="FV6" s="158" t="b">
        <v>0</v>
      </c>
      <c r="FW6" s="158" t="b">
        <v>0</v>
      </c>
      <c r="FX6" s="158" t="b">
        <v>0</v>
      </c>
      <c r="FY6" s="158" t="b">
        <v>0</v>
      </c>
      <c r="FZ6" s="158" t="b">
        <v>0</v>
      </c>
      <c r="GA6" s="158" t="b">
        <v>0</v>
      </c>
      <c r="GB6" s="158" t="b">
        <v>0</v>
      </c>
      <c r="GC6" s="158" t="b">
        <v>0</v>
      </c>
      <c r="GD6" s="158" t="b">
        <v>0</v>
      </c>
      <c r="GE6" s="158" t="b">
        <v>0</v>
      </c>
      <c r="GF6" s="158" t="b">
        <v>0</v>
      </c>
      <c r="GG6" s="158" t="b">
        <v>0</v>
      </c>
      <c r="GH6" s="158" t="b">
        <v>0</v>
      </c>
      <c r="GI6" s="158" t="b">
        <v>0</v>
      </c>
      <c r="GJ6" s="158" t="b">
        <v>0</v>
      </c>
      <c r="GK6" s="158" t="b">
        <v>0</v>
      </c>
      <c r="GL6" s="158" t="b">
        <v>0</v>
      </c>
      <c r="GM6" s="158" t="b">
        <v>0</v>
      </c>
      <c r="GN6" s="158" t="b">
        <v>0</v>
      </c>
      <c r="GO6" s="158" t="b">
        <v>0</v>
      </c>
      <c r="GP6" s="158" t="b">
        <v>0</v>
      </c>
      <c r="GQ6" s="158" t="b">
        <v>0</v>
      </c>
      <c r="GR6" s="158" t="b">
        <v>0</v>
      </c>
      <c r="GS6" s="158" t="b">
        <v>0</v>
      </c>
      <c r="GT6" s="158" t="b">
        <v>0</v>
      </c>
      <c r="GU6" s="158" t="b">
        <v>0</v>
      </c>
      <c r="GV6" s="158" t="b">
        <v>0</v>
      </c>
      <c r="GW6" s="158" t="b">
        <v>0</v>
      </c>
      <c r="GX6" s="158" t="b">
        <v>0</v>
      </c>
      <c r="GY6" s="158" t="b">
        <v>0</v>
      </c>
      <c r="GZ6" s="158" t="b">
        <v>0</v>
      </c>
      <c r="HA6" s="158" t="b">
        <v>0</v>
      </c>
      <c r="HB6" s="158" t="b">
        <v>0</v>
      </c>
      <c r="HC6" s="158" t="b">
        <v>0</v>
      </c>
      <c r="HD6" s="158" t="b">
        <v>0</v>
      </c>
      <c r="HE6" s="158" t="b">
        <v>0</v>
      </c>
      <c r="HF6" s="158" t="b">
        <v>0</v>
      </c>
      <c r="HG6" s="158" t="b">
        <v>0</v>
      </c>
      <c r="HH6" s="158" t="b">
        <v>0</v>
      </c>
      <c r="HI6" s="158" t="b">
        <v>0</v>
      </c>
      <c r="HJ6" s="158" t="b">
        <v>0</v>
      </c>
      <c r="HK6" s="158" t="b">
        <v>0</v>
      </c>
      <c r="HL6" s="158" t="b">
        <v>0</v>
      </c>
      <c r="HM6" s="158" t="b">
        <v>0</v>
      </c>
      <c r="HN6" s="158" t="b">
        <v>0</v>
      </c>
      <c r="HO6" s="158" t="b">
        <v>0</v>
      </c>
      <c r="HP6" s="158" t="b">
        <v>0</v>
      </c>
      <c r="HQ6" s="158" t="b">
        <v>0</v>
      </c>
      <c r="HR6" s="158" t="b">
        <v>0</v>
      </c>
      <c r="HS6" s="158" t="b">
        <v>0</v>
      </c>
      <c r="HT6" s="158" t="b">
        <v>0</v>
      </c>
      <c r="HU6" s="158" t="b">
        <v>0</v>
      </c>
      <c r="HV6" s="158" t="b">
        <v>0</v>
      </c>
      <c r="HW6" s="158" t="b">
        <v>0</v>
      </c>
      <c r="HX6" s="158" t="b">
        <v>0</v>
      </c>
      <c r="HY6" s="158" t="b">
        <v>0</v>
      </c>
      <c r="HZ6" s="158" t="b">
        <v>0</v>
      </c>
      <c r="IA6" s="158" t="b">
        <v>0</v>
      </c>
      <c r="IB6" s="158" t="b">
        <v>0</v>
      </c>
      <c r="IC6" s="158" t="b">
        <v>0</v>
      </c>
      <c r="ID6" s="158" t="b">
        <v>0</v>
      </c>
      <c r="IE6" s="158" t="b">
        <v>0</v>
      </c>
      <c r="IF6" s="158" t="b">
        <v>0</v>
      </c>
      <c r="IG6" s="158" t="b">
        <v>0</v>
      </c>
      <c r="IH6" s="158" t="b">
        <v>0</v>
      </c>
      <c r="II6" s="158" t="b">
        <v>0</v>
      </c>
      <c r="IJ6" s="158" t="b">
        <v>0</v>
      </c>
      <c r="IK6" s="158" t="b">
        <v>0</v>
      </c>
      <c r="IL6" s="158" t="b">
        <v>0</v>
      </c>
      <c r="IM6" s="158" t="b">
        <v>0</v>
      </c>
      <c r="IN6" s="158" t="b">
        <v>0</v>
      </c>
      <c r="IO6" s="158" t="b">
        <v>0</v>
      </c>
      <c r="IP6" s="158" t="b">
        <v>0</v>
      </c>
      <c r="IQ6" s="158" t="b">
        <v>0</v>
      </c>
      <c r="IR6" s="158" t="b">
        <v>0</v>
      </c>
      <c r="IS6" s="158" t="b">
        <v>0</v>
      </c>
      <c r="IT6" s="158" t="b">
        <v>0</v>
      </c>
      <c r="IU6" s="158" t="b">
        <v>0</v>
      </c>
      <c r="IV6" s="158" t="b">
        <v>0</v>
      </c>
      <c r="IW6" s="158" t="b">
        <v>0</v>
      </c>
      <c r="IX6" s="158" t="b">
        <v>0</v>
      </c>
      <c r="IY6" s="158" t="b">
        <v>0</v>
      </c>
      <c r="IZ6" s="158" t="b">
        <v>0</v>
      </c>
      <c r="JA6" s="158" t="b">
        <v>0</v>
      </c>
      <c r="JB6" s="158" t="b">
        <v>0</v>
      </c>
      <c r="JC6" s="158" t="b">
        <v>0</v>
      </c>
      <c r="JD6" s="158" t="b">
        <v>0</v>
      </c>
      <c r="JE6" s="158" t="b">
        <v>0</v>
      </c>
      <c r="JF6" s="158" t="b">
        <v>0</v>
      </c>
      <c r="JG6" s="158" t="b">
        <v>0</v>
      </c>
      <c r="JH6" s="158" t="b">
        <v>0</v>
      </c>
      <c r="JI6" s="158" t="b">
        <v>0</v>
      </c>
      <c r="JJ6" s="158" t="b">
        <v>0</v>
      </c>
      <c r="JK6" s="158" t="b">
        <v>0</v>
      </c>
      <c r="JL6" s="158" t="b">
        <v>0</v>
      </c>
      <c r="JM6" s="158" t="b">
        <v>0</v>
      </c>
      <c r="JN6" s="158" t="b">
        <v>0</v>
      </c>
      <c r="JO6" s="158" t="b">
        <v>0</v>
      </c>
      <c r="JP6" s="158" t="b">
        <v>0</v>
      </c>
      <c r="JQ6" s="158" t="b">
        <v>0</v>
      </c>
      <c r="JR6" s="158" t="b">
        <v>0</v>
      </c>
      <c r="JS6" s="158" t="b">
        <v>0</v>
      </c>
      <c r="JT6" s="158" t="b">
        <v>0</v>
      </c>
      <c r="JU6" s="158" t="b">
        <v>0</v>
      </c>
      <c r="JV6" s="158" t="b">
        <v>0</v>
      </c>
      <c r="JW6" s="158" t="b">
        <v>0</v>
      </c>
      <c r="JX6" s="158" t="b">
        <v>0</v>
      </c>
      <c r="JY6" s="158" t="b">
        <v>0</v>
      </c>
      <c r="JZ6" s="158" t="b">
        <v>0</v>
      </c>
      <c r="KA6" s="158" t="b">
        <v>0</v>
      </c>
      <c r="KB6" s="158" t="b">
        <v>0</v>
      </c>
      <c r="KC6" s="158" t="b">
        <v>0</v>
      </c>
      <c r="KD6" s="158" t="b">
        <v>0</v>
      </c>
      <c r="KE6" s="158" t="b">
        <v>0</v>
      </c>
      <c r="KF6" s="158" t="b">
        <v>0</v>
      </c>
      <c r="KG6" s="158" t="b">
        <v>0</v>
      </c>
      <c r="KH6" s="158" t="b">
        <v>0</v>
      </c>
      <c r="KI6" s="158" t="b">
        <v>0</v>
      </c>
      <c r="KJ6" s="158" t="b">
        <v>0</v>
      </c>
      <c r="KK6" s="158" t="b">
        <v>0</v>
      </c>
      <c r="KL6" s="158" t="b">
        <v>0</v>
      </c>
      <c r="KM6" s="158" t="b">
        <v>0</v>
      </c>
      <c r="KN6" s="158" t="b">
        <v>0</v>
      </c>
      <c r="KO6" s="158" t="b">
        <v>0</v>
      </c>
      <c r="KP6" s="158" t="b">
        <v>0</v>
      </c>
      <c r="KQ6" s="158" t="b">
        <v>0</v>
      </c>
      <c r="KR6" s="158" t="b">
        <v>0</v>
      </c>
      <c r="KS6" s="158" t="b">
        <v>0</v>
      </c>
      <c r="KT6" s="158" t="b">
        <v>0</v>
      </c>
      <c r="KU6" s="158" t="b">
        <v>0</v>
      </c>
      <c r="KV6" s="158" t="b">
        <v>0</v>
      </c>
      <c r="KW6" s="158" t="b">
        <v>0</v>
      </c>
      <c r="KX6" s="158" t="b">
        <v>0</v>
      </c>
      <c r="KY6" s="158" t="b">
        <v>0</v>
      </c>
      <c r="KZ6" s="158" t="b">
        <v>0</v>
      </c>
      <c r="LA6" s="158" t="b">
        <v>0</v>
      </c>
      <c r="LB6" s="158" t="b">
        <v>0</v>
      </c>
      <c r="LC6" s="158" t="b">
        <v>0</v>
      </c>
      <c r="LD6" s="158" t="b">
        <v>0</v>
      </c>
      <c r="LE6" s="158" t="b">
        <v>0</v>
      </c>
      <c r="LF6" s="158" t="b">
        <v>0</v>
      </c>
      <c r="LG6" s="158" t="b">
        <v>0</v>
      </c>
      <c r="LH6" s="158" t="b">
        <v>0</v>
      </c>
      <c r="LI6" s="158" t="b">
        <v>0</v>
      </c>
      <c r="LJ6" s="158" t="b">
        <v>0</v>
      </c>
      <c r="LK6" s="158" t="b">
        <v>0</v>
      </c>
      <c r="LL6" s="158" t="b">
        <v>0</v>
      </c>
      <c r="LM6" s="158" t="b">
        <v>0</v>
      </c>
      <c r="LN6" s="158" t="b">
        <v>0</v>
      </c>
      <c r="LO6" s="158" t="b">
        <v>0</v>
      </c>
      <c r="LP6" s="158" t="b">
        <v>0</v>
      </c>
      <c r="LQ6" s="158" t="b">
        <v>0</v>
      </c>
      <c r="LR6" s="158" t="b">
        <v>0</v>
      </c>
      <c r="LS6" s="158" t="b">
        <v>0</v>
      </c>
      <c r="LT6" s="158" t="b">
        <v>0</v>
      </c>
      <c r="LU6" s="158" t="b">
        <v>0</v>
      </c>
      <c r="LV6" s="158" t="b">
        <v>0</v>
      </c>
      <c r="LW6" s="158" t="b">
        <v>0</v>
      </c>
      <c r="LX6" s="158" t="b">
        <v>0</v>
      </c>
      <c r="LY6" s="158" t="b">
        <v>0</v>
      </c>
      <c r="LZ6" s="158" t="b">
        <v>0</v>
      </c>
      <c r="MA6" s="158" t="b">
        <v>0</v>
      </c>
      <c r="MB6" s="158" t="b">
        <v>0</v>
      </c>
      <c r="MC6" s="158" t="b">
        <v>0</v>
      </c>
      <c r="MD6" s="158" t="b">
        <v>0</v>
      </c>
      <c r="ME6" s="158" t="b">
        <v>0</v>
      </c>
      <c r="MF6" s="158" t="b">
        <v>0</v>
      </c>
      <c r="MG6" s="158" t="b">
        <v>0</v>
      </c>
      <c r="MH6" s="158" t="b">
        <v>0</v>
      </c>
      <c r="MI6" s="158" t="b">
        <v>0</v>
      </c>
      <c r="MJ6" s="158" t="b">
        <v>0</v>
      </c>
      <c r="MK6" s="158" t="b">
        <v>0</v>
      </c>
      <c r="ML6" s="158" t="b">
        <v>0</v>
      </c>
      <c r="MM6" s="158" t="b">
        <v>0</v>
      </c>
      <c r="MN6" s="158" t="b">
        <v>0</v>
      </c>
      <c r="MO6" s="158" t="b">
        <v>0</v>
      </c>
      <c r="MP6" s="158" t="b">
        <v>0</v>
      </c>
      <c r="MQ6" s="158" t="b">
        <v>0</v>
      </c>
      <c r="MR6" s="158" t="b">
        <v>0</v>
      </c>
      <c r="MS6" s="158" t="b">
        <v>0</v>
      </c>
      <c r="MT6" s="158" t="b">
        <v>0</v>
      </c>
      <c r="MU6" s="158" t="b">
        <v>0</v>
      </c>
      <c r="MV6" s="158" t="b">
        <v>0</v>
      </c>
      <c r="MW6" s="158" t="b">
        <v>0</v>
      </c>
      <c r="MX6" s="158" t="b">
        <v>0</v>
      </c>
      <c r="MY6" s="158" t="b">
        <v>0</v>
      </c>
      <c r="MZ6" s="158" t="b">
        <v>0</v>
      </c>
      <c r="NA6" s="158" t="b">
        <v>0</v>
      </c>
      <c r="NB6" s="158" t="b">
        <v>0</v>
      </c>
      <c r="NC6" s="158" t="b">
        <v>0</v>
      </c>
      <c r="ND6" s="158" t="b">
        <v>0</v>
      </c>
      <c r="NE6" s="158" t="b">
        <v>0</v>
      </c>
      <c r="NF6" s="158" t="b">
        <v>0</v>
      </c>
      <c r="NG6" s="158" t="b">
        <v>0</v>
      </c>
      <c r="NH6" s="158" t="b">
        <v>0</v>
      </c>
      <c r="NI6" s="158" t="b">
        <v>0</v>
      </c>
      <c r="NJ6" s="158" t="b">
        <v>0</v>
      </c>
      <c r="NK6" s="158" t="b">
        <v>0</v>
      </c>
      <c r="NL6" s="158" t="b">
        <v>0</v>
      </c>
      <c r="NM6" s="158" t="b">
        <v>0</v>
      </c>
      <c r="NN6" s="158" t="b">
        <v>0</v>
      </c>
      <c r="NO6" s="158" t="b">
        <v>0</v>
      </c>
    </row>
    <row r="7" spans="1:379" ht="29.25" x14ac:dyDescent="0.4">
      <c r="A7" s="511" t="str">
        <v>Smash Burger 1</v>
      </c>
      <c r="B7" s="158" t="b">
        <v>0</v>
      </c>
      <c r="C7" s="158" t="b">
        <v>0</v>
      </c>
      <c r="D7" s="158" t="b">
        <v>0</v>
      </c>
      <c r="E7" s="158" t="b">
        <v>0</v>
      </c>
      <c r="F7" s="158" t="b">
        <v>0</v>
      </c>
      <c r="G7" s="158" t="b">
        <v>0</v>
      </c>
      <c r="H7" s="158" t="b">
        <v>0</v>
      </c>
      <c r="I7" s="158" t="b">
        <v>0</v>
      </c>
      <c r="J7" s="158" t="b">
        <v>0</v>
      </c>
      <c r="K7" s="158" t="b">
        <v>0</v>
      </c>
      <c r="L7" s="158" t="b">
        <v>0</v>
      </c>
      <c r="M7" s="158" t="b">
        <v>0</v>
      </c>
      <c r="N7" s="93" t="b">
        <v>0</v>
      </c>
      <c r="O7" s="158" t="b">
        <v>0</v>
      </c>
      <c r="P7" s="158" t="b">
        <v>0</v>
      </c>
      <c r="Q7" s="158" t="b">
        <v>0</v>
      </c>
      <c r="R7" s="158" t="b">
        <v>0</v>
      </c>
      <c r="S7" s="158" t="b">
        <v>0</v>
      </c>
      <c r="T7" s="158" t="b">
        <v>0</v>
      </c>
      <c r="U7" s="158" t="b">
        <v>0</v>
      </c>
      <c r="V7" s="158" t="b">
        <v>0</v>
      </c>
      <c r="W7" s="158" t="b">
        <v>0</v>
      </c>
      <c r="X7" s="158" t="b">
        <v>0</v>
      </c>
      <c r="Y7" s="158" t="b">
        <v>0</v>
      </c>
      <c r="Z7" s="158" t="b">
        <v>0</v>
      </c>
      <c r="AA7" s="158" t="b">
        <v>0</v>
      </c>
      <c r="AB7" s="158" t="b">
        <v>0</v>
      </c>
      <c r="AC7" s="158" t="b">
        <v>0</v>
      </c>
      <c r="AD7" s="158" t="b">
        <v>0</v>
      </c>
      <c r="AE7" s="158" t="b">
        <v>0</v>
      </c>
      <c r="AF7" s="158" t="b">
        <v>0</v>
      </c>
      <c r="AG7" s="158" t="b">
        <v>0</v>
      </c>
      <c r="AH7" s="158" t="b">
        <v>0</v>
      </c>
      <c r="AI7" s="158" t="b">
        <v>0</v>
      </c>
      <c r="AJ7" s="158" t="b">
        <v>0</v>
      </c>
      <c r="AK7" s="158" t="b">
        <v>0</v>
      </c>
      <c r="AL7" s="158" t="b">
        <v>0</v>
      </c>
      <c r="AM7" s="158" t="b">
        <v>0</v>
      </c>
      <c r="AN7" s="158" t="b">
        <v>0</v>
      </c>
      <c r="AO7" s="158" t="b">
        <v>0</v>
      </c>
      <c r="AP7" s="158" t="b">
        <v>0</v>
      </c>
      <c r="AQ7" s="158" t="b">
        <v>0</v>
      </c>
      <c r="AR7" s="158" t="b">
        <v>0</v>
      </c>
      <c r="AS7" s="158" t="b">
        <v>0</v>
      </c>
      <c r="AT7" s="158" t="b">
        <v>0</v>
      </c>
      <c r="AU7" s="158" t="b">
        <v>0</v>
      </c>
      <c r="AV7" s="158" t="b">
        <v>0</v>
      </c>
      <c r="AW7" s="158" t="b">
        <v>0</v>
      </c>
      <c r="AX7" s="158" t="b">
        <v>0</v>
      </c>
      <c r="AY7" s="158" t="b">
        <v>0</v>
      </c>
      <c r="AZ7" s="158" t="b">
        <v>0</v>
      </c>
      <c r="BA7" s="158" t="b">
        <v>0</v>
      </c>
      <c r="BB7" s="158" t="b">
        <v>0</v>
      </c>
      <c r="BC7" s="158" t="b">
        <v>0</v>
      </c>
      <c r="BD7" s="158" t="b">
        <v>0</v>
      </c>
      <c r="BE7" s="158" t="b">
        <v>0</v>
      </c>
      <c r="BF7" s="158" t="b">
        <v>0</v>
      </c>
      <c r="BG7" s="158" t="b">
        <v>0</v>
      </c>
      <c r="BH7" s="158" t="b">
        <v>0</v>
      </c>
      <c r="BI7" s="158" t="b">
        <v>0</v>
      </c>
      <c r="BJ7" s="158" t="b">
        <v>0</v>
      </c>
      <c r="BK7" s="158" t="b">
        <v>0</v>
      </c>
      <c r="BL7" s="158" t="b">
        <v>0</v>
      </c>
      <c r="BM7" s="158" t="b">
        <v>0</v>
      </c>
      <c r="BN7" s="158" t="b">
        <v>0</v>
      </c>
      <c r="BO7" s="158" t="b">
        <v>0</v>
      </c>
      <c r="BP7" s="158" t="b">
        <v>0</v>
      </c>
      <c r="BQ7" s="158" t="b">
        <v>0</v>
      </c>
      <c r="BR7" s="158" t="b">
        <v>0</v>
      </c>
      <c r="BS7" s="158" t="b">
        <v>0</v>
      </c>
      <c r="BT7" s="158" t="b">
        <v>0</v>
      </c>
      <c r="BU7" s="158" t="b">
        <v>0</v>
      </c>
      <c r="BV7" s="158" t="b">
        <v>0</v>
      </c>
      <c r="BW7" s="158" t="b">
        <v>0</v>
      </c>
      <c r="BX7" s="158" t="b">
        <v>0</v>
      </c>
      <c r="BY7" s="158" t="b">
        <v>0</v>
      </c>
      <c r="BZ7" s="158" t="b">
        <v>0</v>
      </c>
      <c r="CA7" s="158" t="b">
        <v>0</v>
      </c>
      <c r="CB7" s="158" t="b">
        <v>0</v>
      </c>
      <c r="CC7" s="158" t="b">
        <v>0</v>
      </c>
      <c r="CD7" s="158" t="b">
        <v>0</v>
      </c>
      <c r="CE7" s="158" t="b">
        <v>0</v>
      </c>
      <c r="CF7" s="158" t="b">
        <v>0</v>
      </c>
      <c r="CG7" s="158" t="b">
        <v>0</v>
      </c>
      <c r="CH7" s="158" t="b">
        <v>0</v>
      </c>
      <c r="CI7" s="158" t="b">
        <v>0</v>
      </c>
      <c r="CJ7" s="158" t="b">
        <v>0</v>
      </c>
      <c r="CK7" s="158" t="b">
        <v>0</v>
      </c>
      <c r="CL7" s="158" t="b">
        <v>0</v>
      </c>
      <c r="CM7" s="158" t="b">
        <v>0</v>
      </c>
      <c r="CN7" s="158" t="b">
        <v>0</v>
      </c>
      <c r="CO7" s="158" t="b">
        <v>0</v>
      </c>
      <c r="CP7" s="158" t="b">
        <v>0</v>
      </c>
      <c r="CQ7" s="158" t="b">
        <v>0</v>
      </c>
      <c r="CR7" s="158" t="b">
        <v>0</v>
      </c>
      <c r="CS7" s="158" t="b">
        <v>0</v>
      </c>
      <c r="CT7" s="158" t="b">
        <v>0</v>
      </c>
      <c r="CU7" s="158" t="b">
        <v>0</v>
      </c>
      <c r="CV7" s="158" t="b">
        <v>0</v>
      </c>
      <c r="CW7" s="158" t="b">
        <v>0</v>
      </c>
      <c r="CX7" s="158" t="b">
        <v>0</v>
      </c>
      <c r="CY7" s="158" t="b">
        <v>0</v>
      </c>
      <c r="CZ7" s="158" t="b">
        <v>0</v>
      </c>
      <c r="DA7" s="158" t="b">
        <v>0</v>
      </c>
      <c r="DB7" s="158" t="b">
        <v>0</v>
      </c>
      <c r="DC7" s="158" t="b">
        <v>0</v>
      </c>
      <c r="DD7" s="158" t="b">
        <v>0</v>
      </c>
      <c r="DE7" s="158" t="b">
        <v>0</v>
      </c>
      <c r="DF7" s="158" t="b">
        <v>0</v>
      </c>
      <c r="DG7" s="158" t="b">
        <v>0</v>
      </c>
      <c r="DH7" s="158" t="b">
        <v>0</v>
      </c>
      <c r="DI7" s="158" t="b">
        <v>0</v>
      </c>
      <c r="DJ7" s="158" t="b">
        <v>0</v>
      </c>
      <c r="DK7" s="158" t="b">
        <v>0</v>
      </c>
      <c r="DL7" s="158" t="b">
        <v>0</v>
      </c>
      <c r="DM7" s="158" t="b">
        <v>0</v>
      </c>
      <c r="DN7" s="158" t="b">
        <v>0</v>
      </c>
      <c r="DO7" s="158" t="b">
        <v>0</v>
      </c>
      <c r="DP7" s="158" t="b">
        <v>0</v>
      </c>
      <c r="DQ7" s="158" t="b">
        <v>0</v>
      </c>
      <c r="DR7" s="158" t="b">
        <v>0</v>
      </c>
      <c r="DS7" s="158" t="b">
        <v>0</v>
      </c>
      <c r="DT7" s="158" t="b">
        <v>0</v>
      </c>
      <c r="DU7" s="158" t="b">
        <v>0</v>
      </c>
      <c r="DV7" s="158" t="b">
        <v>0</v>
      </c>
      <c r="DW7" s="158" t="b">
        <v>0</v>
      </c>
      <c r="DX7" s="158" t="b">
        <v>0</v>
      </c>
      <c r="DY7" s="158" t="b">
        <v>0</v>
      </c>
      <c r="DZ7" s="158" t="b">
        <v>0</v>
      </c>
      <c r="EA7" s="158" t="b">
        <v>0</v>
      </c>
      <c r="EB7" s="158" t="b">
        <v>0</v>
      </c>
      <c r="EC7" s="158" t="b">
        <v>0</v>
      </c>
      <c r="ED7" s="158" t="b">
        <v>0</v>
      </c>
      <c r="EE7" s="158" t="b">
        <v>0</v>
      </c>
      <c r="EF7" s="158" t="b">
        <v>0</v>
      </c>
      <c r="EG7" s="158" t="b">
        <v>0</v>
      </c>
      <c r="EH7" s="158" t="b">
        <v>0</v>
      </c>
      <c r="EI7" s="158" t="b">
        <v>0</v>
      </c>
      <c r="EJ7" s="158" t="b">
        <v>0</v>
      </c>
      <c r="EK7" s="158" t="b">
        <v>0</v>
      </c>
      <c r="EL7" s="158" t="b">
        <v>0</v>
      </c>
      <c r="EM7" s="158" t="b">
        <v>0</v>
      </c>
      <c r="EN7" s="158" t="b">
        <v>0</v>
      </c>
      <c r="EO7" s="158" t="b">
        <v>0</v>
      </c>
      <c r="EP7" s="158" t="b">
        <v>0</v>
      </c>
      <c r="EQ7" s="158" t="b">
        <v>0</v>
      </c>
      <c r="ER7" s="158" t="b">
        <v>0</v>
      </c>
      <c r="ES7" s="158" t="b">
        <v>0</v>
      </c>
      <c r="ET7" s="158" t="b">
        <v>0</v>
      </c>
      <c r="EU7" s="158" t="b">
        <v>0</v>
      </c>
      <c r="EV7" s="158" t="b">
        <v>0</v>
      </c>
      <c r="EW7" s="158" t="b">
        <v>0</v>
      </c>
      <c r="EX7" s="158" t="b">
        <v>0</v>
      </c>
      <c r="EY7" s="158" t="b">
        <v>0</v>
      </c>
      <c r="EZ7" s="158" t="b">
        <v>0</v>
      </c>
      <c r="FA7" s="158" t="b">
        <v>0</v>
      </c>
      <c r="FB7" s="158" t="b">
        <v>0</v>
      </c>
      <c r="FC7" s="158" t="b">
        <v>0</v>
      </c>
      <c r="FD7" s="158" t="b">
        <v>0</v>
      </c>
      <c r="FE7" s="158" t="b">
        <v>0</v>
      </c>
      <c r="FF7" s="158" t="b">
        <v>0</v>
      </c>
      <c r="FG7" s="158" t="b">
        <v>0</v>
      </c>
      <c r="FH7" s="158" t="b">
        <v>0</v>
      </c>
      <c r="FI7" s="158" t="b">
        <v>0</v>
      </c>
      <c r="FJ7" s="158" t="b">
        <v>0</v>
      </c>
      <c r="FK7" s="158" t="b">
        <v>0</v>
      </c>
      <c r="FL7" s="158" t="b">
        <v>0</v>
      </c>
      <c r="FM7" s="158" t="b">
        <v>0</v>
      </c>
      <c r="FN7" s="158" t="b">
        <v>0</v>
      </c>
      <c r="FO7" s="158" t="b">
        <v>0</v>
      </c>
      <c r="FP7" s="158" t="b">
        <v>0</v>
      </c>
      <c r="FQ7" s="158" t="b">
        <v>0</v>
      </c>
      <c r="FR7" s="158" t="b">
        <v>0</v>
      </c>
      <c r="FS7" s="158" t="b">
        <v>0</v>
      </c>
      <c r="FT7" s="158" t="b">
        <v>0</v>
      </c>
      <c r="FU7" s="158" t="b">
        <v>0</v>
      </c>
      <c r="FV7" s="158" t="b">
        <v>0</v>
      </c>
      <c r="FW7" s="158" t="b">
        <v>0</v>
      </c>
      <c r="FX7" s="158" t="b">
        <v>0</v>
      </c>
      <c r="FY7" s="158" t="b">
        <v>0</v>
      </c>
      <c r="FZ7" s="158" t="b">
        <v>0</v>
      </c>
      <c r="GA7" s="158" t="b">
        <v>0</v>
      </c>
      <c r="GB7" s="158" t="b">
        <v>0</v>
      </c>
      <c r="GC7" s="158" t="b">
        <v>0</v>
      </c>
      <c r="GD7" s="158" t="b">
        <v>0</v>
      </c>
      <c r="GE7" s="158" t="b">
        <v>0</v>
      </c>
      <c r="GF7" s="158" t="b">
        <v>0</v>
      </c>
      <c r="GG7" s="158" t="b">
        <v>0</v>
      </c>
      <c r="GH7" s="158" t="b">
        <v>0</v>
      </c>
      <c r="GI7" s="158" t="b">
        <v>0</v>
      </c>
      <c r="GJ7" s="158" t="b">
        <v>0</v>
      </c>
      <c r="GK7" s="158" t="b">
        <v>0</v>
      </c>
      <c r="GL7" s="158" t="b">
        <v>0</v>
      </c>
      <c r="GM7" s="158" t="b">
        <v>0</v>
      </c>
      <c r="GN7" s="158" t="b">
        <v>0</v>
      </c>
      <c r="GO7" s="158" t="b">
        <v>0</v>
      </c>
      <c r="GP7" s="158" t="b">
        <v>0</v>
      </c>
      <c r="GQ7" s="158" t="b">
        <v>0</v>
      </c>
      <c r="GR7" s="158" t="b">
        <v>0</v>
      </c>
      <c r="GS7" s="158" t="b">
        <v>0</v>
      </c>
      <c r="GT7" s="158" t="b">
        <v>0</v>
      </c>
      <c r="GU7" s="158" t="b">
        <v>0</v>
      </c>
      <c r="GV7" s="158" t="b">
        <v>0</v>
      </c>
      <c r="GW7" s="158" t="b">
        <v>0</v>
      </c>
      <c r="GX7" s="158" t="b">
        <v>0</v>
      </c>
      <c r="GY7" s="158" t="b">
        <v>0</v>
      </c>
      <c r="GZ7" s="158" t="b">
        <v>0</v>
      </c>
      <c r="HA7" s="158" t="b">
        <v>0</v>
      </c>
      <c r="HB7" s="158" t="b">
        <v>0</v>
      </c>
      <c r="HC7" s="158" t="b">
        <v>0</v>
      </c>
      <c r="HD7" s="158" t="b">
        <v>0</v>
      </c>
      <c r="HE7" s="158" t="b">
        <v>0</v>
      </c>
      <c r="HF7" s="158" t="b">
        <v>0</v>
      </c>
      <c r="HG7" s="158" t="b">
        <v>0</v>
      </c>
      <c r="HH7" s="158" t="b">
        <v>0</v>
      </c>
      <c r="HI7" s="158" t="b">
        <v>0</v>
      </c>
      <c r="HJ7" s="158" t="b">
        <v>0</v>
      </c>
      <c r="HK7" s="158" t="b">
        <v>0</v>
      </c>
      <c r="HL7" s="158" t="b">
        <v>0</v>
      </c>
      <c r="HM7" s="158" t="b">
        <v>0</v>
      </c>
      <c r="HN7" s="158" t="b">
        <v>0</v>
      </c>
      <c r="HO7" s="158" t="b">
        <v>0</v>
      </c>
      <c r="HP7" s="158" t="b">
        <v>0</v>
      </c>
      <c r="HQ7" s="158" t="b">
        <v>0</v>
      </c>
      <c r="HR7" s="158" t="b">
        <v>0</v>
      </c>
      <c r="HS7" s="158" t="b">
        <v>0</v>
      </c>
      <c r="HT7" s="158" t="b">
        <v>0</v>
      </c>
      <c r="HU7" s="158" t="b">
        <v>0</v>
      </c>
      <c r="HV7" s="158" t="b">
        <v>0</v>
      </c>
      <c r="HW7" s="158" t="b">
        <v>0</v>
      </c>
      <c r="HX7" s="158" t="b">
        <v>0</v>
      </c>
      <c r="HY7" s="158" t="b">
        <v>0</v>
      </c>
      <c r="HZ7" s="158" t="b">
        <v>0</v>
      </c>
      <c r="IA7" s="158" t="b">
        <v>0</v>
      </c>
      <c r="IB7" s="158" t="b">
        <v>0</v>
      </c>
      <c r="IC7" s="158" t="b">
        <v>0</v>
      </c>
      <c r="ID7" s="158" t="b">
        <v>0</v>
      </c>
      <c r="IE7" s="158" t="b">
        <v>0</v>
      </c>
      <c r="IF7" s="158" t="b">
        <v>0</v>
      </c>
      <c r="IG7" s="158" t="b">
        <v>0</v>
      </c>
      <c r="IH7" s="158" t="b">
        <v>0</v>
      </c>
      <c r="II7" s="158" t="b">
        <v>0</v>
      </c>
      <c r="IJ7" s="158" t="b">
        <v>0</v>
      </c>
      <c r="IK7" s="158" t="b">
        <v>0</v>
      </c>
      <c r="IL7" s="158" t="b">
        <v>0</v>
      </c>
      <c r="IM7" s="158" t="b">
        <v>0</v>
      </c>
      <c r="IN7" s="158" t="b">
        <v>0</v>
      </c>
      <c r="IO7" s="158" t="b">
        <v>0</v>
      </c>
      <c r="IP7" s="158" t="b">
        <v>0</v>
      </c>
      <c r="IQ7" s="158" t="b">
        <v>0</v>
      </c>
      <c r="IR7" s="158" t="b">
        <v>0</v>
      </c>
      <c r="IS7" s="158" t="b">
        <v>0</v>
      </c>
      <c r="IT7" s="158" t="b">
        <v>0</v>
      </c>
      <c r="IU7" s="158" t="b">
        <v>0</v>
      </c>
      <c r="IV7" s="158" t="b">
        <v>0</v>
      </c>
      <c r="IW7" s="158" t="b">
        <v>0</v>
      </c>
      <c r="IX7" s="158" t="b">
        <v>0</v>
      </c>
      <c r="IY7" s="158" t="b">
        <v>0</v>
      </c>
      <c r="IZ7" s="158" t="b">
        <v>0</v>
      </c>
      <c r="JA7" s="158" t="b">
        <v>0</v>
      </c>
      <c r="JB7" s="158" t="b">
        <v>0</v>
      </c>
      <c r="JC7" s="158" t="b">
        <v>0</v>
      </c>
      <c r="JD7" s="158" t="b">
        <v>0</v>
      </c>
      <c r="JE7" s="158" t="b">
        <v>0</v>
      </c>
      <c r="JF7" s="158" t="b">
        <v>0</v>
      </c>
      <c r="JG7" s="158" t="b">
        <v>0</v>
      </c>
      <c r="JH7" s="158" t="b">
        <v>0</v>
      </c>
      <c r="JI7" s="158" t="b">
        <v>0</v>
      </c>
      <c r="JJ7" s="158" t="b">
        <v>0</v>
      </c>
      <c r="JK7" s="158" t="b">
        <v>0</v>
      </c>
      <c r="JL7" s="158" t="b">
        <v>0</v>
      </c>
      <c r="JM7" s="158" t="b">
        <v>0</v>
      </c>
      <c r="JN7" s="158" t="b">
        <v>0</v>
      </c>
      <c r="JO7" s="158" t="b">
        <v>0</v>
      </c>
      <c r="JP7" s="158" t="b">
        <v>0</v>
      </c>
      <c r="JQ7" s="158" t="b">
        <v>0</v>
      </c>
      <c r="JR7" s="158" t="b">
        <v>0</v>
      </c>
      <c r="JS7" s="158" t="b">
        <v>0</v>
      </c>
      <c r="JT7" s="158" t="b">
        <v>0</v>
      </c>
      <c r="JU7" s="158" t="b">
        <v>0</v>
      </c>
      <c r="JV7" s="158" t="b">
        <v>0</v>
      </c>
      <c r="JW7" s="158" t="b">
        <v>0</v>
      </c>
      <c r="JX7" s="158" t="b">
        <v>0</v>
      </c>
      <c r="JY7" s="158" t="b">
        <v>0</v>
      </c>
      <c r="JZ7" s="158" t="b">
        <v>0</v>
      </c>
      <c r="KA7" s="158" t="b">
        <v>0</v>
      </c>
      <c r="KB7" s="158" t="b">
        <v>0</v>
      </c>
      <c r="KC7" s="158" t="b">
        <v>0</v>
      </c>
      <c r="KD7" s="158" t="b">
        <v>0</v>
      </c>
      <c r="KE7" s="158" t="b">
        <v>0</v>
      </c>
      <c r="KF7" s="158" t="b">
        <v>0</v>
      </c>
      <c r="KG7" s="158" t="b">
        <v>0</v>
      </c>
      <c r="KH7" s="158" t="b">
        <v>0</v>
      </c>
      <c r="KI7" s="158" t="b">
        <v>0</v>
      </c>
      <c r="KJ7" s="158" t="b">
        <v>0</v>
      </c>
      <c r="KK7" s="158" t="b">
        <v>0</v>
      </c>
      <c r="KL7" s="158" t="b">
        <v>0</v>
      </c>
      <c r="KM7" s="158" t="b">
        <v>0</v>
      </c>
      <c r="KN7" s="158" t="b">
        <v>0</v>
      </c>
      <c r="KO7" s="158" t="b">
        <v>0</v>
      </c>
      <c r="KP7" s="158" t="b">
        <v>0</v>
      </c>
      <c r="KQ7" s="158" t="b">
        <v>0</v>
      </c>
      <c r="KR7" s="158" t="b">
        <v>0</v>
      </c>
      <c r="KS7" s="158" t="b">
        <v>0</v>
      </c>
      <c r="KT7" s="158" t="b">
        <v>0</v>
      </c>
      <c r="KU7" s="158" t="b">
        <v>0</v>
      </c>
      <c r="KV7" s="158" t="b">
        <v>0</v>
      </c>
      <c r="KW7" s="158" t="b">
        <v>0</v>
      </c>
      <c r="KX7" s="158" t="b">
        <v>0</v>
      </c>
      <c r="KY7" s="158" t="b">
        <v>0</v>
      </c>
      <c r="KZ7" s="158" t="b">
        <v>0</v>
      </c>
      <c r="LA7" s="158" t="b">
        <v>0</v>
      </c>
      <c r="LB7" s="158" t="b">
        <v>0</v>
      </c>
      <c r="LC7" s="158" t="b">
        <v>0</v>
      </c>
      <c r="LD7" s="158" t="b">
        <v>0</v>
      </c>
      <c r="LE7" s="158" t="b">
        <v>0</v>
      </c>
      <c r="LF7" s="158" t="b">
        <v>0</v>
      </c>
      <c r="LG7" s="158" t="b">
        <v>0</v>
      </c>
      <c r="LH7" s="158" t="b">
        <v>0</v>
      </c>
      <c r="LI7" s="158" t="b">
        <v>0</v>
      </c>
      <c r="LJ7" s="158" t="b">
        <v>0</v>
      </c>
      <c r="LK7" s="158" t="b">
        <v>0</v>
      </c>
      <c r="LL7" s="158" t="b">
        <v>0</v>
      </c>
      <c r="LM7" s="158" t="b">
        <v>0</v>
      </c>
      <c r="LN7" s="158" t="b">
        <v>0</v>
      </c>
      <c r="LO7" s="158" t="b">
        <v>0</v>
      </c>
      <c r="LP7" s="158" t="b">
        <v>0</v>
      </c>
      <c r="LQ7" s="158" t="b">
        <v>0</v>
      </c>
      <c r="LR7" s="158" t="b">
        <v>0</v>
      </c>
      <c r="LS7" s="158" t="b">
        <v>0</v>
      </c>
      <c r="LT7" s="158" t="b">
        <v>0</v>
      </c>
      <c r="LU7" s="158" t="b">
        <v>0</v>
      </c>
      <c r="LV7" s="158" t="b">
        <v>0</v>
      </c>
      <c r="LW7" s="158" t="b">
        <v>0</v>
      </c>
      <c r="LX7" s="158" t="b">
        <v>0</v>
      </c>
      <c r="LY7" s="158" t="b">
        <v>0</v>
      </c>
      <c r="LZ7" s="158" t="b">
        <v>0</v>
      </c>
      <c r="MA7" s="158" t="b">
        <v>0</v>
      </c>
      <c r="MB7" s="158" t="b">
        <v>0</v>
      </c>
      <c r="MC7" s="158" t="b">
        <v>0</v>
      </c>
      <c r="MD7" s="158" t="b">
        <v>0</v>
      </c>
      <c r="ME7" s="158" t="b">
        <v>0</v>
      </c>
      <c r="MF7" s="158" t="b">
        <v>0</v>
      </c>
      <c r="MG7" s="158" t="b">
        <v>0</v>
      </c>
      <c r="MH7" s="158" t="b">
        <v>0</v>
      </c>
      <c r="MI7" s="158" t="b">
        <v>0</v>
      </c>
      <c r="MJ7" s="158" t="b">
        <v>0</v>
      </c>
      <c r="MK7" s="158" t="b">
        <v>0</v>
      </c>
      <c r="ML7" s="158" t="b">
        <v>0</v>
      </c>
      <c r="MM7" s="158" t="b">
        <v>0</v>
      </c>
      <c r="MN7" s="158" t="b">
        <v>0</v>
      </c>
      <c r="MO7" s="158" t="b">
        <v>0</v>
      </c>
      <c r="MP7" s="158" t="b">
        <v>0</v>
      </c>
      <c r="MQ7" s="158" t="b">
        <v>0</v>
      </c>
      <c r="MR7" s="158" t="b">
        <v>0</v>
      </c>
      <c r="MS7" s="158" t="b">
        <v>0</v>
      </c>
      <c r="MT7" s="158" t="b">
        <v>0</v>
      </c>
      <c r="MU7" s="158" t="b">
        <v>0</v>
      </c>
      <c r="MV7" s="158" t="b">
        <v>0</v>
      </c>
      <c r="MW7" s="158" t="b">
        <v>0</v>
      </c>
      <c r="MX7" s="158" t="b">
        <v>0</v>
      </c>
      <c r="MY7" s="158" t="b">
        <v>0</v>
      </c>
      <c r="MZ7" s="158" t="b">
        <v>0</v>
      </c>
      <c r="NA7" s="158" t="b">
        <v>0</v>
      </c>
      <c r="NB7" s="158" t="b">
        <v>0</v>
      </c>
      <c r="NC7" s="158" t="b">
        <v>0</v>
      </c>
      <c r="ND7" s="158" t="b">
        <v>0</v>
      </c>
      <c r="NE7" s="158" t="b">
        <v>0</v>
      </c>
      <c r="NF7" s="158" t="b">
        <v>0</v>
      </c>
      <c r="NG7" s="158" t="b">
        <v>0</v>
      </c>
      <c r="NH7" s="158" t="b">
        <v>0</v>
      </c>
      <c r="NI7" s="158" t="b">
        <v>0</v>
      </c>
      <c r="NJ7" s="158" t="b">
        <v>0</v>
      </c>
      <c r="NK7" s="158" t="b">
        <v>0</v>
      </c>
      <c r="NL7" s="158" t="b">
        <v>0</v>
      </c>
      <c r="NM7" s="158" t="b">
        <v>0</v>
      </c>
      <c r="NN7" s="158" t="b">
        <v>0</v>
      </c>
      <c r="NO7" s="158" t="b">
        <v>0</v>
      </c>
    </row>
    <row r="8" spans="1:379" ht="29.25" x14ac:dyDescent="0.4">
      <c r="A8" s="511" t="str">
        <v>Smash Burger 2</v>
      </c>
      <c r="B8" s="158" t="b">
        <v>0</v>
      </c>
      <c r="C8" s="158" t="b">
        <v>0</v>
      </c>
      <c r="D8" s="158" t="b">
        <v>0</v>
      </c>
      <c r="E8" s="93" t="b">
        <v>0</v>
      </c>
      <c r="F8" s="158" t="b">
        <v>0</v>
      </c>
      <c r="G8" s="158" t="b">
        <v>0</v>
      </c>
      <c r="H8" s="158" t="b">
        <v>0</v>
      </c>
      <c r="I8" s="158" t="b">
        <v>0</v>
      </c>
      <c r="J8" s="158" t="b">
        <v>0</v>
      </c>
      <c r="K8" s="158" t="b">
        <v>0</v>
      </c>
      <c r="L8" s="158" t="b">
        <v>0</v>
      </c>
      <c r="M8" s="158" t="b">
        <v>0</v>
      </c>
      <c r="N8" s="158" t="b">
        <v>0</v>
      </c>
      <c r="O8" s="158" t="b">
        <v>0</v>
      </c>
      <c r="P8" s="158" t="b">
        <v>0</v>
      </c>
      <c r="Q8" s="158" t="b">
        <v>0</v>
      </c>
      <c r="R8" s="158" t="b">
        <v>0</v>
      </c>
      <c r="S8" s="158" t="b">
        <v>0</v>
      </c>
      <c r="T8" s="158" t="b">
        <v>0</v>
      </c>
      <c r="U8" s="158" t="b">
        <v>0</v>
      </c>
      <c r="V8" s="158" t="b">
        <v>0</v>
      </c>
      <c r="W8" s="158" t="b">
        <v>0</v>
      </c>
      <c r="X8" s="158" t="b">
        <v>0</v>
      </c>
      <c r="Y8" s="158" t="b">
        <v>0</v>
      </c>
      <c r="Z8" s="158" t="b">
        <v>0</v>
      </c>
      <c r="AA8" s="158" t="b">
        <v>0</v>
      </c>
      <c r="AB8" s="158" t="b">
        <v>0</v>
      </c>
      <c r="AC8" s="158" t="b">
        <v>0</v>
      </c>
      <c r="AD8" s="158" t="b">
        <v>0</v>
      </c>
      <c r="AE8" s="158" t="b">
        <v>0</v>
      </c>
      <c r="AF8" s="158" t="b">
        <v>0</v>
      </c>
      <c r="AG8" s="158" t="b">
        <v>0</v>
      </c>
      <c r="AH8" s="158" t="b">
        <v>0</v>
      </c>
      <c r="AI8" s="158" t="b">
        <v>0</v>
      </c>
      <c r="AJ8" s="158" t="b">
        <v>0</v>
      </c>
      <c r="AK8" s="158" t="b">
        <v>0</v>
      </c>
      <c r="AL8" s="158" t="b">
        <v>0</v>
      </c>
      <c r="AM8" s="158" t="b">
        <v>0</v>
      </c>
      <c r="AN8" s="158" t="b">
        <v>0</v>
      </c>
      <c r="AO8" s="158" t="b">
        <v>0</v>
      </c>
      <c r="AP8" s="158" t="b">
        <v>0</v>
      </c>
      <c r="AQ8" s="158" t="b">
        <v>0</v>
      </c>
      <c r="AR8" s="158" t="b">
        <v>0</v>
      </c>
      <c r="AS8" s="158" t="b">
        <v>0</v>
      </c>
      <c r="AT8" s="158" t="b">
        <v>0</v>
      </c>
      <c r="AU8" s="158" t="b">
        <v>0</v>
      </c>
      <c r="AV8" s="158" t="b">
        <v>0</v>
      </c>
      <c r="AW8" s="158" t="b">
        <v>0</v>
      </c>
      <c r="AX8" s="158" t="b">
        <v>0</v>
      </c>
      <c r="AY8" s="158" t="b">
        <v>0</v>
      </c>
      <c r="AZ8" s="158" t="b">
        <v>0</v>
      </c>
      <c r="BA8" s="158" t="b">
        <v>0</v>
      </c>
      <c r="BB8" s="158" t="b">
        <v>0</v>
      </c>
      <c r="BC8" s="158" t="b">
        <v>0</v>
      </c>
      <c r="BD8" s="158" t="b">
        <v>0</v>
      </c>
      <c r="BE8" s="158" t="b">
        <v>0</v>
      </c>
      <c r="BF8" s="158" t="b">
        <v>0</v>
      </c>
      <c r="BG8" s="158" t="b">
        <v>0</v>
      </c>
      <c r="BH8" s="158" t="b">
        <v>0</v>
      </c>
      <c r="BI8" s="158" t="b">
        <v>0</v>
      </c>
      <c r="BJ8" s="158" t="b">
        <v>0</v>
      </c>
      <c r="BK8" s="158" t="b">
        <v>0</v>
      </c>
      <c r="BL8" s="158" t="b">
        <v>0</v>
      </c>
      <c r="BM8" s="158" t="b">
        <v>0</v>
      </c>
      <c r="BN8" s="158" t="b">
        <v>0</v>
      </c>
      <c r="BO8" s="158" t="b">
        <v>0</v>
      </c>
      <c r="BP8" s="158" t="b">
        <v>0</v>
      </c>
      <c r="BQ8" s="158" t="b">
        <v>0</v>
      </c>
      <c r="BR8" s="158" t="b">
        <v>0</v>
      </c>
      <c r="BS8" s="158" t="b">
        <v>0</v>
      </c>
      <c r="BT8" s="158" t="b">
        <v>0</v>
      </c>
      <c r="BU8" s="158" t="b">
        <v>0</v>
      </c>
      <c r="BV8" s="158" t="b">
        <v>0</v>
      </c>
      <c r="BW8" s="158" t="b">
        <v>0</v>
      </c>
      <c r="BX8" s="158" t="b">
        <v>0</v>
      </c>
      <c r="BY8" s="158" t="b">
        <v>0</v>
      </c>
      <c r="BZ8" s="93" t="b">
        <v>1</v>
      </c>
      <c r="CA8" s="158" t="b">
        <v>0</v>
      </c>
      <c r="CB8" s="158" t="b">
        <v>0</v>
      </c>
      <c r="CC8" s="158" t="b">
        <v>0</v>
      </c>
      <c r="CD8" s="158" t="b">
        <v>0</v>
      </c>
      <c r="CE8" s="158" t="b">
        <v>0</v>
      </c>
      <c r="CF8" s="158" t="b">
        <v>0</v>
      </c>
      <c r="CG8" s="158" t="b">
        <v>0</v>
      </c>
      <c r="CH8" s="158" t="b">
        <v>0</v>
      </c>
      <c r="CI8" s="158" t="b">
        <v>0</v>
      </c>
      <c r="CJ8" s="158" t="b">
        <v>0</v>
      </c>
      <c r="CK8" s="158" t="b">
        <v>0</v>
      </c>
      <c r="CL8" s="158" t="b">
        <v>0</v>
      </c>
      <c r="CM8" s="158" t="b">
        <v>0</v>
      </c>
      <c r="CN8" s="158" t="b">
        <v>0</v>
      </c>
      <c r="CO8" s="158" t="b">
        <v>0</v>
      </c>
      <c r="CP8" s="158" t="b">
        <v>0</v>
      </c>
      <c r="CQ8" s="158" t="b">
        <v>0</v>
      </c>
      <c r="CR8" s="158" t="b">
        <v>0</v>
      </c>
      <c r="CS8" s="158" t="b">
        <v>0</v>
      </c>
      <c r="CT8" s="158" t="b">
        <v>0</v>
      </c>
      <c r="CU8" s="158" t="b">
        <v>0</v>
      </c>
      <c r="CV8" s="158" t="b">
        <v>0</v>
      </c>
      <c r="CW8" s="158" t="b">
        <v>0</v>
      </c>
      <c r="CX8" s="158" t="b">
        <v>0</v>
      </c>
      <c r="CY8" s="158" t="b">
        <v>0</v>
      </c>
      <c r="CZ8" s="158" t="b">
        <v>0</v>
      </c>
      <c r="DA8" s="158" t="b">
        <v>0</v>
      </c>
      <c r="DB8" s="158" t="b">
        <v>0</v>
      </c>
      <c r="DC8" s="158" t="b">
        <v>0</v>
      </c>
      <c r="DD8" s="158" t="b">
        <v>0</v>
      </c>
      <c r="DE8" s="158" t="b">
        <v>0</v>
      </c>
      <c r="DF8" s="158" t="b">
        <v>0</v>
      </c>
      <c r="DG8" s="158" t="b">
        <v>0</v>
      </c>
      <c r="DH8" s="158" t="b">
        <v>0</v>
      </c>
      <c r="DI8" s="158" t="b">
        <v>0</v>
      </c>
      <c r="DJ8" s="158" t="b">
        <v>0</v>
      </c>
      <c r="DK8" s="158" t="b">
        <v>0</v>
      </c>
      <c r="DL8" s="158" t="b">
        <v>0</v>
      </c>
      <c r="DM8" s="158" t="b">
        <v>0</v>
      </c>
      <c r="DN8" s="158" t="b">
        <v>0</v>
      </c>
      <c r="DO8" s="158" t="b">
        <v>0</v>
      </c>
      <c r="DP8" s="158" t="b">
        <v>0</v>
      </c>
      <c r="DQ8" s="158" t="b">
        <v>0</v>
      </c>
      <c r="DR8" s="93" t="b">
        <v>1</v>
      </c>
      <c r="DS8" s="93" t="b">
        <v>1</v>
      </c>
      <c r="DT8" s="93" t="b">
        <v>1</v>
      </c>
      <c r="DU8" s="93" t="b">
        <v>1</v>
      </c>
      <c r="DV8" s="93" t="b">
        <v>1</v>
      </c>
      <c r="DW8" s="158" t="b">
        <v>0</v>
      </c>
      <c r="DX8" s="158" t="b">
        <v>0</v>
      </c>
      <c r="DY8" s="158" t="b">
        <v>0</v>
      </c>
      <c r="DZ8" s="158" t="b">
        <v>0</v>
      </c>
      <c r="EA8" s="158" t="b">
        <v>0</v>
      </c>
      <c r="EB8" s="158" t="b">
        <v>0</v>
      </c>
      <c r="EC8" s="93" t="b">
        <v>1</v>
      </c>
      <c r="ED8" s="158" t="b">
        <v>0</v>
      </c>
      <c r="EE8" s="158" t="b">
        <v>0</v>
      </c>
      <c r="EF8" s="158" t="b">
        <v>0</v>
      </c>
      <c r="EG8" s="158" t="b">
        <v>0</v>
      </c>
      <c r="EH8" s="158" t="b">
        <v>0</v>
      </c>
      <c r="EI8" s="158" t="b">
        <v>0</v>
      </c>
      <c r="EJ8" s="158" t="b">
        <v>0</v>
      </c>
      <c r="EK8" s="158" t="b">
        <v>0</v>
      </c>
      <c r="EL8" s="158" t="b">
        <v>0</v>
      </c>
      <c r="EM8" s="158" t="b">
        <v>0</v>
      </c>
      <c r="EN8" s="158" t="b">
        <v>0</v>
      </c>
      <c r="EO8" s="158" t="b">
        <v>0</v>
      </c>
      <c r="EP8" s="158" t="b">
        <v>0</v>
      </c>
      <c r="EQ8" s="158" t="b">
        <v>0</v>
      </c>
      <c r="ER8" s="158" t="b">
        <v>0</v>
      </c>
      <c r="ES8" s="158" t="b">
        <v>0</v>
      </c>
      <c r="ET8" s="158" t="b">
        <v>0</v>
      </c>
      <c r="EU8" s="158" t="b">
        <v>0</v>
      </c>
      <c r="EV8" s="158" t="b">
        <v>0</v>
      </c>
      <c r="EW8" s="93" t="b">
        <v>1</v>
      </c>
      <c r="EX8" s="158" t="b">
        <v>0</v>
      </c>
      <c r="EY8" s="158" t="b">
        <v>0</v>
      </c>
      <c r="EZ8" s="158" t="b">
        <v>0</v>
      </c>
      <c r="FA8" s="158" t="b">
        <v>0</v>
      </c>
      <c r="FB8" s="158" t="b">
        <v>0</v>
      </c>
      <c r="FC8" s="158" t="b">
        <v>0</v>
      </c>
      <c r="FD8" s="158" t="b">
        <v>0</v>
      </c>
      <c r="FE8" s="158" t="b">
        <v>0</v>
      </c>
      <c r="FF8" s="158" t="b">
        <v>0</v>
      </c>
      <c r="FG8" s="158" t="b">
        <v>0</v>
      </c>
      <c r="FH8" s="158" t="b">
        <v>0</v>
      </c>
      <c r="FI8" s="158" t="b">
        <v>0</v>
      </c>
      <c r="FJ8" s="158" t="b">
        <v>0</v>
      </c>
      <c r="FK8" s="158" t="b">
        <v>0</v>
      </c>
      <c r="FL8" s="158" t="b">
        <v>0</v>
      </c>
      <c r="FM8" s="158" t="b">
        <v>0</v>
      </c>
      <c r="FN8" s="158" t="b">
        <v>0</v>
      </c>
      <c r="FO8" s="158" t="b">
        <v>0</v>
      </c>
      <c r="FP8" s="158" t="b">
        <v>0</v>
      </c>
      <c r="FQ8" s="158" t="b">
        <v>0</v>
      </c>
      <c r="FR8" s="158" t="b">
        <v>0</v>
      </c>
      <c r="FS8" s="158" t="b">
        <v>0</v>
      </c>
      <c r="FT8" s="93" t="b">
        <v>1</v>
      </c>
      <c r="FU8" s="158" t="b">
        <v>0</v>
      </c>
      <c r="FV8" s="158" t="b">
        <v>0</v>
      </c>
      <c r="FW8" s="158" t="b">
        <v>0</v>
      </c>
      <c r="FX8" s="158" t="b">
        <v>0</v>
      </c>
      <c r="FY8" s="158" t="b">
        <v>0</v>
      </c>
      <c r="FZ8" s="158" t="b">
        <v>0</v>
      </c>
      <c r="GA8" s="158" t="b">
        <v>0</v>
      </c>
      <c r="GB8" s="158" t="b">
        <v>0</v>
      </c>
      <c r="GC8" s="158" t="b">
        <v>0</v>
      </c>
      <c r="GD8" s="158" t="b">
        <v>0</v>
      </c>
      <c r="GE8" s="158" t="b">
        <v>0</v>
      </c>
      <c r="GF8" s="158" t="b">
        <v>0</v>
      </c>
      <c r="GG8" s="158" t="b">
        <v>0</v>
      </c>
      <c r="GH8" s="158" t="b">
        <v>0</v>
      </c>
      <c r="GI8" s="158" t="b">
        <v>0</v>
      </c>
      <c r="GJ8" s="158" t="b">
        <v>0</v>
      </c>
      <c r="GK8" s="158" t="b">
        <v>0</v>
      </c>
      <c r="GL8" s="158" t="b">
        <v>0</v>
      </c>
      <c r="GM8" s="158" t="b">
        <v>0</v>
      </c>
      <c r="GN8" s="158" t="b">
        <v>0</v>
      </c>
      <c r="GO8" s="158" t="b">
        <v>0</v>
      </c>
      <c r="GP8" s="158" t="b">
        <v>0</v>
      </c>
      <c r="GQ8" s="158" t="b">
        <v>0</v>
      </c>
      <c r="GR8" s="158" t="b">
        <v>0</v>
      </c>
      <c r="GS8" s="158" t="b">
        <v>0</v>
      </c>
      <c r="GT8" s="158" t="b">
        <v>0</v>
      </c>
      <c r="GU8" s="158" t="b">
        <v>0</v>
      </c>
      <c r="GV8" s="158" t="b">
        <v>0</v>
      </c>
      <c r="GW8" s="158" t="b">
        <v>0</v>
      </c>
      <c r="GX8" s="158" t="b">
        <v>0</v>
      </c>
      <c r="GY8" s="158" t="b">
        <v>0</v>
      </c>
      <c r="GZ8" s="158" t="b">
        <v>0</v>
      </c>
      <c r="HA8" s="158" t="b">
        <v>0</v>
      </c>
      <c r="HB8" s="158" t="b">
        <v>0</v>
      </c>
      <c r="HC8" s="158" t="b">
        <v>0</v>
      </c>
      <c r="HD8" s="158" t="b">
        <v>0</v>
      </c>
      <c r="HE8" s="158" t="b">
        <v>0</v>
      </c>
      <c r="HF8" s="158" t="b">
        <v>0</v>
      </c>
      <c r="HG8" s="158" t="b">
        <v>0</v>
      </c>
      <c r="HH8" s="93" t="b">
        <v>1</v>
      </c>
      <c r="HI8" s="93" t="b">
        <v>1</v>
      </c>
      <c r="HJ8" s="93" t="b">
        <v>1</v>
      </c>
      <c r="HK8" s="158" t="b">
        <v>0</v>
      </c>
      <c r="HL8" s="158" t="b">
        <v>0</v>
      </c>
      <c r="HM8" s="158" t="b">
        <v>0</v>
      </c>
      <c r="HN8" s="158" t="b">
        <v>0</v>
      </c>
      <c r="HO8" s="93" t="b">
        <v>1</v>
      </c>
      <c r="HP8" s="158" t="b">
        <v>0</v>
      </c>
      <c r="HQ8" s="93" t="b">
        <v>1</v>
      </c>
      <c r="HR8" s="158" t="b">
        <v>0</v>
      </c>
      <c r="HS8" s="158" t="b">
        <v>0</v>
      </c>
      <c r="HT8" s="158" t="b">
        <v>0</v>
      </c>
      <c r="HU8" s="158" t="b">
        <v>0</v>
      </c>
      <c r="HV8" s="158" t="b">
        <v>0</v>
      </c>
      <c r="HW8" s="158" t="b">
        <v>0</v>
      </c>
      <c r="HX8" s="158" t="b">
        <v>0</v>
      </c>
      <c r="HY8" s="158" t="b">
        <v>0</v>
      </c>
      <c r="HZ8" s="158" t="b">
        <v>0</v>
      </c>
      <c r="IA8" s="158" t="b">
        <v>0</v>
      </c>
      <c r="IB8" s="158" t="b">
        <v>0</v>
      </c>
      <c r="IC8" s="158" t="b">
        <v>0</v>
      </c>
      <c r="ID8" s="158" t="b">
        <v>0</v>
      </c>
      <c r="IE8" s="158" t="b">
        <v>0</v>
      </c>
      <c r="IF8" s="158" t="b">
        <v>0</v>
      </c>
      <c r="IG8" s="158" t="b">
        <v>0</v>
      </c>
      <c r="IH8" s="158" t="b">
        <v>0</v>
      </c>
      <c r="II8" s="158" t="b">
        <v>0</v>
      </c>
      <c r="IJ8" s="158" t="b">
        <v>0</v>
      </c>
      <c r="IK8" s="158" t="b">
        <v>0</v>
      </c>
      <c r="IL8" s="158" t="b">
        <v>0</v>
      </c>
      <c r="IM8" s="158" t="b">
        <v>0</v>
      </c>
      <c r="IN8" s="158" t="b">
        <v>0</v>
      </c>
      <c r="IO8" s="158" t="b">
        <v>0</v>
      </c>
      <c r="IP8" s="158" t="b">
        <v>0</v>
      </c>
      <c r="IQ8" s="158" t="b">
        <v>0</v>
      </c>
      <c r="IR8" s="158" t="b">
        <v>0</v>
      </c>
      <c r="IS8" s="158" t="b">
        <v>0</v>
      </c>
      <c r="IT8" s="158" t="b">
        <v>0</v>
      </c>
      <c r="IU8" s="158" t="b">
        <v>0</v>
      </c>
      <c r="IV8" s="158" t="b">
        <v>0</v>
      </c>
      <c r="IW8" s="158" t="b">
        <v>0</v>
      </c>
      <c r="IX8" s="158" t="b">
        <v>0</v>
      </c>
      <c r="IY8" s="158" t="b">
        <v>0</v>
      </c>
      <c r="IZ8" s="158" t="b">
        <v>0</v>
      </c>
      <c r="JA8" s="158" t="b">
        <v>0</v>
      </c>
      <c r="JB8" s="158" t="b">
        <v>0</v>
      </c>
      <c r="JC8" s="158" t="b">
        <v>0</v>
      </c>
      <c r="JD8" s="158" t="b">
        <v>0</v>
      </c>
      <c r="JE8" s="158" t="b">
        <v>0</v>
      </c>
      <c r="JF8" s="158" t="b">
        <v>0</v>
      </c>
      <c r="JG8" s="158" t="b">
        <v>0</v>
      </c>
      <c r="JH8" s="158" t="b">
        <v>0</v>
      </c>
      <c r="JI8" s="158" t="b">
        <v>0</v>
      </c>
      <c r="JJ8" s="158" t="b">
        <v>0</v>
      </c>
      <c r="JK8" s="158" t="b">
        <v>0</v>
      </c>
      <c r="JL8" s="158" t="b">
        <v>0</v>
      </c>
      <c r="JM8" s="158" t="b">
        <v>0</v>
      </c>
      <c r="JN8" s="158" t="b">
        <v>0</v>
      </c>
      <c r="JO8" s="158" t="b">
        <v>0</v>
      </c>
      <c r="JP8" s="158" t="b">
        <v>0</v>
      </c>
      <c r="JQ8" s="158" t="b">
        <v>0</v>
      </c>
      <c r="JR8" s="158" t="b">
        <v>0</v>
      </c>
      <c r="JS8" s="158" t="b">
        <v>0</v>
      </c>
      <c r="JT8" s="158" t="b">
        <v>0</v>
      </c>
      <c r="JU8" s="158" t="b">
        <v>0</v>
      </c>
      <c r="JV8" s="158" t="b">
        <v>0</v>
      </c>
      <c r="JW8" s="158" t="b">
        <v>0</v>
      </c>
      <c r="JX8" s="158" t="b">
        <v>0</v>
      </c>
      <c r="JY8" s="158" t="b">
        <v>0</v>
      </c>
      <c r="JZ8" s="158" t="b">
        <v>0</v>
      </c>
      <c r="KA8" s="158" t="b">
        <v>0</v>
      </c>
      <c r="KB8" s="158" t="b">
        <v>0</v>
      </c>
      <c r="KC8" s="158" t="b">
        <v>0</v>
      </c>
      <c r="KD8" s="158" t="b">
        <v>0</v>
      </c>
      <c r="KE8" s="158" t="b">
        <v>0</v>
      </c>
      <c r="KF8" s="158" t="b">
        <v>0</v>
      </c>
      <c r="KG8" s="158" t="b">
        <v>0</v>
      </c>
      <c r="KH8" s="158" t="b">
        <v>0</v>
      </c>
      <c r="KI8" s="158" t="b">
        <v>0</v>
      </c>
      <c r="KJ8" s="158" t="b">
        <v>0</v>
      </c>
      <c r="KK8" s="158" t="b">
        <v>0</v>
      </c>
      <c r="KL8" s="158" t="b">
        <v>0</v>
      </c>
      <c r="KM8" s="158" t="b">
        <v>0</v>
      </c>
      <c r="KN8" s="158" t="b">
        <v>0</v>
      </c>
      <c r="KO8" s="158" t="b">
        <v>0</v>
      </c>
      <c r="KP8" s="158" t="b">
        <v>0</v>
      </c>
      <c r="KQ8" s="158" t="b">
        <v>0</v>
      </c>
      <c r="KR8" s="158" t="b">
        <v>0</v>
      </c>
      <c r="KS8" s="158" t="b">
        <v>0</v>
      </c>
      <c r="KT8" s="158" t="b">
        <v>0</v>
      </c>
      <c r="KU8" s="158" t="b">
        <v>0</v>
      </c>
      <c r="KV8" s="158" t="b">
        <v>0</v>
      </c>
      <c r="KW8" s="158" t="b">
        <v>0</v>
      </c>
      <c r="KX8" s="158" t="b">
        <v>0</v>
      </c>
      <c r="KY8" s="158" t="b">
        <v>0</v>
      </c>
      <c r="KZ8" s="158" t="b">
        <v>0</v>
      </c>
      <c r="LA8" s="158" t="b">
        <v>0</v>
      </c>
      <c r="LB8" s="158" t="b">
        <v>0</v>
      </c>
      <c r="LC8" s="158" t="b">
        <v>0</v>
      </c>
      <c r="LD8" s="158" t="b">
        <v>0</v>
      </c>
      <c r="LE8" s="158" t="b">
        <v>0</v>
      </c>
      <c r="LF8" s="158" t="b">
        <v>0</v>
      </c>
      <c r="LG8" s="158" t="b">
        <v>0</v>
      </c>
      <c r="LH8" s="158" t="b">
        <v>0</v>
      </c>
      <c r="LI8" s="158" t="b">
        <v>0</v>
      </c>
      <c r="LJ8" s="158" t="b">
        <v>0</v>
      </c>
      <c r="LK8" s="158" t="b">
        <v>0</v>
      </c>
      <c r="LL8" s="158" t="b">
        <v>0</v>
      </c>
      <c r="LM8" s="158" t="b">
        <v>0</v>
      </c>
      <c r="LN8" s="158" t="b">
        <v>0</v>
      </c>
      <c r="LO8" s="158" t="b">
        <v>0</v>
      </c>
      <c r="LP8" s="158" t="b">
        <v>0</v>
      </c>
      <c r="LQ8" s="158" t="b">
        <v>0</v>
      </c>
      <c r="LR8" s="158" t="b">
        <v>0</v>
      </c>
      <c r="LS8" s="158" t="b">
        <v>0</v>
      </c>
      <c r="LT8" s="158" t="b">
        <v>0</v>
      </c>
      <c r="LU8" s="158" t="b">
        <v>0</v>
      </c>
      <c r="LV8" s="158" t="b">
        <v>0</v>
      </c>
      <c r="LW8" s="158" t="b">
        <v>0</v>
      </c>
      <c r="LX8" s="158" t="b">
        <v>0</v>
      </c>
      <c r="LY8" s="158" t="b">
        <v>0</v>
      </c>
      <c r="LZ8" s="158" t="b">
        <v>0</v>
      </c>
      <c r="MA8" s="158" t="b">
        <v>0</v>
      </c>
      <c r="MB8" s="158" t="b">
        <v>0</v>
      </c>
      <c r="MC8" s="158" t="b">
        <v>0</v>
      </c>
      <c r="MD8" s="158" t="b">
        <v>0</v>
      </c>
      <c r="ME8" s="158" t="b">
        <v>0</v>
      </c>
      <c r="MF8" s="158" t="b">
        <v>0</v>
      </c>
      <c r="MG8" s="158" t="b">
        <v>0</v>
      </c>
      <c r="MH8" s="158" t="b">
        <v>0</v>
      </c>
      <c r="MI8" s="158" t="b">
        <v>0</v>
      </c>
      <c r="MJ8" s="158" t="b">
        <v>0</v>
      </c>
      <c r="MK8" s="158" t="b">
        <v>0</v>
      </c>
      <c r="ML8" s="158" t="b">
        <v>0</v>
      </c>
      <c r="MM8" s="158" t="b">
        <v>0</v>
      </c>
      <c r="MN8" s="158" t="b">
        <v>0</v>
      </c>
      <c r="MO8" s="158" t="b">
        <v>0</v>
      </c>
      <c r="MP8" s="158" t="b">
        <v>0</v>
      </c>
      <c r="MQ8" s="158" t="b">
        <v>0</v>
      </c>
      <c r="MR8" s="158" t="b">
        <v>0</v>
      </c>
      <c r="MS8" s="158" t="b">
        <v>0</v>
      </c>
      <c r="MT8" s="158" t="b">
        <v>0</v>
      </c>
      <c r="MU8" s="158" t="b">
        <v>0</v>
      </c>
      <c r="MV8" s="158" t="b">
        <v>0</v>
      </c>
      <c r="MW8" s="158" t="b">
        <v>0</v>
      </c>
      <c r="MX8" s="158" t="b">
        <v>0</v>
      </c>
      <c r="MY8" s="158" t="b">
        <v>0</v>
      </c>
      <c r="MZ8" s="158" t="b">
        <v>0</v>
      </c>
      <c r="NA8" s="158" t="b">
        <v>0</v>
      </c>
      <c r="NB8" s="158" t="b">
        <v>0</v>
      </c>
      <c r="NC8" s="158" t="b">
        <v>0</v>
      </c>
      <c r="ND8" s="158" t="b">
        <v>0</v>
      </c>
      <c r="NE8" s="158" t="b">
        <v>0</v>
      </c>
      <c r="NF8" s="158" t="b">
        <v>0</v>
      </c>
      <c r="NG8" s="158" t="b">
        <v>0</v>
      </c>
      <c r="NH8" s="158" t="b">
        <v>0</v>
      </c>
      <c r="NI8" s="158" t="b">
        <v>0</v>
      </c>
      <c r="NJ8" s="158" t="b">
        <v>0</v>
      </c>
      <c r="NK8" s="158" t="b">
        <v>0</v>
      </c>
      <c r="NL8" s="158" t="b">
        <v>0</v>
      </c>
      <c r="NM8" s="158" t="b">
        <v>0</v>
      </c>
      <c r="NN8" s="158" t="b">
        <v>0</v>
      </c>
      <c r="NO8" s="158" t="b">
        <v>0</v>
      </c>
    </row>
    <row r="9" spans="1:379" ht="29.25" x14ac:dyDescent="0.4">
      <c r="A9" s="511" t="str">
        <v>Loaded Burger</v>
      </c>
      <c r="B9" s="158" t="b">
        <v>0</v>
      </c>
      <c r="C9" s="158" t="b">
        <v>0</v>
      </c>
      <c r="D9" s="158" t="b">
        <v>0</v>
      </c>
      <c r="E9" s="158" t="b">
        <v>0</v>
      </c>
      <c r="F9" s="158" t="b">
        <v>0</v>
      </c>
      <c r="G9" s="158" t="b">
        <v>0</v>
      </c>
      <c r="H9" s="158" t="b">
        <v>0</v>
      </c>
      <c r="I9" s="158" t="b">
        <v>0</v>
      </c>
      <c r="J9" s="158" t="b">
        <v>0</v>
      </c>
      <c r="K9" s="158" t="b">
        <v>0</v>
      </c>
      <c r="L9" s="158" t="b">
        <v>0</v>
      </c>
      <c r="M9" s="158" t="b">
        <v>0</v>
      </c>
      <c r="N9" s="158" t="b">
        <v>0</v>
      </c>
      <c r="O9" s="158" t="b">
        <v>0</v>
      </c>
      <c r="P9" s="158" t="b">
        <v>0</v>
      </c>
      <c r="Q9" s="158" t="b">
        <v>0</v>
      </c>
      <c r="R9" s="158" t="b">
        <v>0</v>
      </c>
      <c r="S9" s="158" t="b">
        <v>0</v>
      </c>
      <c r="T9" s="158" t="b">
        <v>0</v>
      </c>
      <c r="U9" s="158" t="b">
        <v>0</v>
      </c>
      <c r="V9" s="158" t="b">
        <v>0</v>
      </c>
      <c r="W9" s="158" t="b">
        <v>0</v>
      </c>
      <c r="X9" s="93" t="b">
        <v>0</v>
      </c>
      <c r="Y9" s="158" t="b">
        <v>0</v>
      </c>
      <c r="Z9" s="158" t="b">
        <v>0</v>
      </c>
      <c r="AA9" s="158" t="b">
        <v>0</v>
      </c>
      <c r="AB9" s="158" t="b">
        <v>0</v>
      </c>
      <c r="AC9" s="158" t="b">
        <v>0</v>
      </c>
      <c r="AD9" s="158" t="b">
        <v>0</v>
      </c>
      <c r="AE9" s="158" t="b">
        <v>0</v>
      </c>
      <c r="AF9" s="158" t="b">
        <v>0</v>
      </c>
      <c r="AG9" s="158" t="b">
        <v>0</v>
      </c>
      <c r="AH9" s="158" t="b">
        <v>0</v>
      </c>
      <c r="AI9" s="158" t="b">
        <v>0</v>
      </c>
      <c r="AJ9" s="158" t="b">
        <v>0</v>
      </c>
      <c r="AK9" s="158" t="b">
        <v>0</v>
      </c>
      <c r="AL9" s="158" t="b">
        <v>0</v>
      </c>
      <c r="AM9" s="158" t="b">
        <v>0</v>
      </c>
      <c r="AN9" s="158" t="b">
        <v>0</v>
      </c>
      <c r="AO9" s="158" t="b">
        <v>0</v>
      </c>
      <c r="AP9" s="158" t="b">
        <v>0</v>
      </c>
      <c r="AQ9" s="158" t="b">
        <v>0</v>
      </c>
      <c r="AR9" s="158" t="b">
        <v>0</v>
      </c>
      <c r="AS9" s="158" t="b">
        <v>0</v>
      </c>
      <c r="AT9" s="158" t="b">
        <v>0</v>
      </c>
      <c r="AU9" s="158" t="b">
        <v>0</v>
      </c>
      <c r="AV9" s="158" t="b">
        <v>0</v>
      </c>
      <c r="AW9" s="158" t="b">
        <v>0</v>
      </c>
      <c r="AX9" s="158" t="b">
        <v>0</v>
      </c>
      <c r="AY9" s="158" t="b">
        <v>0</v>
      </c>
      <c r="AZ9" s="158" t="b">
        <v>0</v>
      </c>
      <c r="BA9" s="158" t="b">
        <v>0</v>
      </c>
      <c r="BB9" s="158" t="b">
        <v>0</v>
      </c>
      <c r="BC9" s="158" t="b">
        <v>0</v>
      </c>
      <c r="BD9" s="158" t="b">
        <v>0</v>
      </c>
      <c r="BE9" s="158" t="b">
        <v>0</v>
      </c>
      <c r="BF9" s="158" t="b">
        <v>0</v>
      </c>
      <c r="BG9" s="158" t="b">
        <v>0</v>
      </c>
      <c r="BH9" s="158" t="b">
        <v>0</v>
      </c>
      <c r="BI9" s="158" t="b">
        <v>0</v>
      </c>
      <c r="BJ9" s="158" t="b">
        <v>0</v>
      </c>
      <c r="BK9" s="158" t="b">
        <v>0</v>
      </c>
      <c r="BL9" s="158" t="b">
        <v>0</v>
      </c>
      <c r="BM9" s="158" t="b">
        <v>0</v>
      </c>
      <c r="BN9" s="158" t="b">
        <v>0</v>
      </c>
      <c r="BO9" s="158" t="b">
        <v>0</v>
      </c>
      <c r="BP9" s="158" t="b">
        <v>0</v>
      </c>
      <c r="BQ9" s="158" t="b">
        <v>0</v>
      </c>
      <c r="BR9" s="158" t="b">
        <v>0</v>
      </c>
      <c r="BS9" s="158" t="b">
        <v>0</v>
      </c>
      <c r="BT9" s="158" t="b">
        <v>0</v>
      </c>
      <c r="BU9" s="158" t="b">
        <v>0</v>
      </c>
      <c r="BV9" s="158" t="b">
        <v>0</v>
      </c>
      <c r="BW9" s="158" t="b">
        <v>0</v>
      </c>
      <c r="BX9" s="158" t="b">
        <v>0</v>
      </c>
      <c r="BY9" s="158" t="b">
        <v>0</v>
      </c>
      <c r="BZ9" s="93" t="b">
        <v>1</v>
      </c>
      <c r="CA9" s="158" t="b">
        <v>0</v>
      </c>
      <c r="CB9" s="158" t="b">
        <v>0</v>
      </c>
      <c r="CC9" s="158" t="b">
        <v>0</v>
      </c>
      <c r="CD9" s="158" t="b">
        <v>0</v>
      </c>
      <c r="CE9" s="158" t="b">
        <v>0</v>
      </c>
      <c r="CF9" s="158" t="b">
        <v>0</v>
      </c>
      <c r="CG9" s="158" t="b">
        <v>0</v>
      </c>
      <c r="CH9" s="158" t="b">
        <v>0</v>
      </c>
      <c r="CI9" s="158" t="b">
        <v>0</v>
      </c>
      <c r="CJ9" s="158" t="b">
        <v>0</v>
      </c>
      <c r="CK9" s="158" t="b">
        <v>0</v>
      </c>
      <c r="CL9" s="158" t="b">
        <v>0</v>
      </c>
      <c r="CM9" s="158" t="b">
        <v>0</v>
      </c>
      <c r="CN9" s="158" t="b">
        <v>0</v>
      </c>
      <c r="CO9" s="158" t="b">
        <v>0</v>
      </c>
      <c r="CP9" s="158" t="b">
        <v>0</v>
      </c>
      <c r="CQ9" s="158" t="b">
        <v>0</v>
      </c>
      <c r="CR9" s="158" t="b">
        <v>0</v>
      </c>
      <c r="CS9" s="158" t="b">
        <v>0</v>
      </c>
      <c r="CT9" s="158" t="b">
        <v>0</v>
      </c>
      <c r="CU9" s="158" t="b">
        <v>0</v>
      </c>
      <c r="CV9" s="158" t="b">
        <v>0</v>
      </c>
      <c r="CW9" s="158" t="b">
        <v>0</v>
      </c>
      <c r="CX9" s="158" t="b">
        <v>0</v>
      </c>
      <c r="CY9" s="158" t="b">
        <v>0</v>
      </c>
      <c r="CZ9" s="158" t="b">
        <v>0</v>
      </c>
      <c r="DA9" s="158" t="b">
        <v>0</v>
      </c>
      <c r="DB9" s="158" t="b">
        <v>0</v>
      </c>
      <c r="DC9" s="158" t="b">
        <v>0</v>
      </c>
      <c r="DD9" s="158" t="b">
        <v>0</v>
      </c>
      <c r="DE9" s="158" t="b">
        <v>0</v>
      </c>
      <c r="DF9" s="158" t="b">
        <v>0</v>
      </c>
      <c r="DG9" s="158" t="b">
        <v>0</v>
      </c>
      <c r="DH9" s="158" t="b">
        <v>0</v>
      </c>
      <c r="DI9" s="158" t="b">
        <v>0</v>
      </c>
      <c r="DJ9" s="158" t="b">
        <v>0</v>
      </c>
      <c r="DK9" s="158" t="b">
        <v>0</v>
      </c>
      <c r="DL9" s="158" t="b">
        <v>0</v>
      </c>
      <c r="DM9" s="158" t="b">
        <v>0</v>
      </c>
      <c r="DN9" s="158" t="b">
        <v>0</v>
      </c>
      <c r="DO9" s="158" t="b">
        <v>0</v>
      </c>
      <c r="DP9" s="158" t="b">
        <v>0</v>
      </c>
      <c r="DQ9" s="158" t="b">
        <v>0</v>
      </c>
      <c r="DR9" s="158" t="b">
        <v>0</v>
      </c>
      <c r="DS9" s="158" t="b">
        <v>0</v>
      </c>
      <c r="DT9" s="158" t="b">
        <v>0</v>
      </c>
      <c r="DU9" s="158" t="b">
        <v>0</v>
      </c>
      <c r="DV9" s="158" t="b">
        <v>0</v>
      </c>
      <c r="DW9" s="158" t="b">
        <v>0</v>
      </c>
      <c r="DX9" s="158" t="b">
        <v>0</v>
      </c>
      <c r="DY9" s="158" t="b">
        <v>0</v>
      </c>
      <c r="DZ9" s="158" t="b">
        <v>0</v>
      </c>
      <c r="EA9" s="158" t="b">
        <v>0</v>
      </c>
      <c r="EB9" s="158" t="b">
        <v>0</v>
      </c>
      <c r="EC9" s="158" t="b">
        <v>0</v>
      </c>
      <c r="ED9" s="158" t="b">
        <v>0</v>
      </c>
      <c r="EE9" s="158" t="b">
        <v>0</v>
      </c>
      <c r="EF9" s="158" t="b">
        <v>0</v>
      </c>
      <c r="EG9" s="158" t="b">
        <v>0</v>
      </c>
      <c r="EH9" s="158" t="b">
        <v>0</v>
      </c>
      <c r="EI9" s="158" t="b">
        <v>0</v>
      </c>
      <c r="EJ9" s="158" t="b">
        <v>0</v>
      </c>
      <c r="EK9" s="158" t="b">
        <v>0</v>
      </c>
      <c r="EL9" s="158" t="b">
        <v>0</v>
      </c>
      <c r="EM9" s="158" t="b">
        <v>0</v>
      </c>
      <c r="EN9" s="158" t="b">
        <v>0</v>
      </c>
      <c r="EO9" s="158" t="b">
        <v>0</v>
      </c>
      <c r="EP9" s="158" t="b">
        <v>0</v>
      </c>
      <c r="EQ9" s="158" t="b">
        <v>0</v>
      </c>
      <c r="ER9" s="158" t="b">
        <v>0</v>
      </c>
      <c r="ES9" s="158" t="b">
        <v>0</v>
      </c>
      <c r="ET9" s="158" t="b">
        <v>0</v>
      </c>
      <c r="EU9" s="158" t="b">
        <v>0</v>
      </c>
      <c r="EV9" s="158" t="b">
        <v>0</v>
      </c>
      <c r="EW9" s="158" t="b">
        <v>0</v>
      </c>
      <c r="EX9" s="158" t="b">
        <v>0</v>
      </c>
      <c r="EY9" s="158" t="b">
        <v>0</v>
      </c>
      <c r="EZ9" s="158" t="b">
        <v>0</v>
      </c>
      <c r="FA9" s="158" t="b">
        <v>0</v>
      </c>
      <c r="FB9" s="158" t="b">
        <v>0</v>
      </c>
      <c r="FC9" s="158" t="b">
        <v>0</v>
      </c>
      <c r="FD9" s="158" t="b">
        <v>0</v>
      </c>
      <c r="FE9" s="158" t="b">
        <v>0</v>
      </c>
      <c r="FF9" s="158" t="b">
        <v>0</v>
      </c>
      <c r="FG9" s="158" t="b">
        <v>0</v>
      </c>
      <c r="FH9" s="158" t="b">
        <v>0</v>
      </c>
      <c r="FI9" s="158" t="b">
        <v>0</v>
      </c>
      <c r="FJ9" s="158" t="b">
        <v>0</v>
      </c>
      <c r="FK9" s="158" t="b">
        <v>0</v>
      </c>
      <c r="FL9" s="158" t="b">
        <v>0</v>
      </c>
      <c r="FM9" s="158" t="b">
        <v>0</v>
      </c>
      <c r="FN9" s="158" t="b">
        <v>0</v>
      </c>
      <c r="FO9" s="158" t="b">
        <v>0</v>
      </c>
      <c r="FP9" s="158" t="b">
        <v>0</v>
      </c>
      <c r="FQ9" s="158" t="b">
        <v>0</v>
      </c>
      <c r="FR9" s="158" t="b">
        <v>0</v>
      </c>
      <c r="FS9" s="158" t="b">
        <v>0</v>
      </c>
      <c r="FT9" s="158" t="b">
        <v>0</v>
      </c>
      <c r="FU9" s="158" t="b">
        <v>0</v>
      </c>
      <c r="FV9" s="158" t="b">
        <v>0</v>
      </c>
      <c r="FW9" s="158" t="b">
        <v>0</v>
      </c>
      <c r="FX9" s="158" t="b">
        <v>0</v>
      </c>
      <c r="FY9" s="158" t="b">
        <v>0</v>
      </c>
      <c r="FZ9" s="158" t="b">
        <v>0</v>
      </c>
      <c r="GA9" s="158" t="b">
        <v>0</v>
      </c>
      <c r="GB9" s="158" t="b">
        <v>0</v>
      </c>
      <c r="GC9" s="158" t="b">
        <v>0</v>
      </c>
      <c r="GD9" s="158" t="b">
        <v>0</v>
      </c>
      <c r="GE9" s="158" t="b">
        <v>0</v>
      </c>
      <c r="GF9" s="158" t="b">
        <v>0</v>
      </c>
      <c r="GG9" s="158" t="b">
        <v>0</v>
      </c>
      <c r="GH9" s="158" t="b">
        <v>0</v>
      </c>
      <c r="GI9" s="158" t="b">
        <v>0</v>
      </c>
      <c r="GJ9" s="158" t="b">
        <v>0</v>
      </c>
      <c r="GK9" s="158" t="b">
        <v>0</v>
      </c>
      <c r="GL9" s="158" t="b">
        <v>0</v>
      </c>
      <c r="GM9" s="158" t="b">
        <v>0</v>
      </c>
      <c r="GN9" s="158" t="b">
        <v>0</v>
      </c>
      <c r="GO9" s="158" t="b">
        <v>0</v>
      </c>
      <c r="GP9" s="158" t="b">
        <v>0</v>
      </c>
      <c r="GQ9" s="158" t="b">
        <v>0</v>
      </c>
      <c r="GR9" s="158" t="b">
        <v>0</v>
      </c>
      <c r="GS9" s="158" t="b">
        <v>0</v>
      </c>
      <c r="GT9" s="158" t="b">
        <v>0</v>
      </c>
      <c r="GU9" s="158" t="b">
        <v>0</v>
      </c>
      <c r="GV9" s="158" t="b">
        <v>0</v>
      </c>
      <c r="GW9" s="158" t="b">
        <v>0</v>
      </c>
      <c r="GX9" s="158" t="b">
        <v>0</v>
      </c>
      <c r="GY9" s="158" t="b">
        <v>0</v>
      </c>
      <c r="GZ9" s="158" t="b">
        <v>0</v>
      </c>
      <c r="HA9" s="158" t="b">
        <v>0</v>
      </c>
      <c r="HB9" s="158" t="b">
        <v>0</v>
      </c>
      <c r="HC9" s="158" t="b">
        <v>0</v>
      </c>
      <c r="HD9" s="158" t="b">
        <v>0</v>
      </c>
      <c r="HE9" s="158" t="b">
        <v>0</v>
      </c>
      <c r="HF9" s="158" t="b">
        <v>0</v>
      </c>
      <c r="HG9" s="158" t="b">
        <v>0</v>
      </c>
      <c r="HH9" s="158" t="b">
        <v>0</v>
      </c>
      <c r="HI9" s="158" t="b">
        <v>0</v>
      </c>
      <c r="HJ9" s="158" t="b">
        <v>0</v>
      </c>
      <c r="HK9" s="158" t="b">
        <v>0</v>
      </c>
      <c r="HL9" s="158" t="b">
        <v>0</v>
      </c>
      <c r="HM9" s="158" t="b">
        <v>0</v>
      </c>
      <c r="HN9" s="158" t="b">
        <v>0</v>
      </c>
      <c r="HO9" s="158" t="b">
        <v>0</v>
      </c>
      <c r="HP9" s="158" t="b">
        <v>0</v>
      </c>
      <c r="HQ9" s="158" t="b">
        <v>0</v>
      </c>
      <c r="HR9" s="158" t="b">
        <v>0</v>
      </c>
      <c r="HS9" s="158" t="b">
        <v>0</v>
      </c>
      <c r="HT9" s="158" t="b">
        <v>0</v>
      </c>
      <c r="HU9" s="158" t="b">
        <v>0</v>
      </c>
      <c r="HV9" s="158" t="b">
        <v>0</v>
      </c>
      <c r="HW9" s="158" t="b">
        <v>0</v>
      </c>
      <c r="HX9" s="158" t="b">
        <v>0</v>
      </c>
      <c r="HY9" s="158" t="b">
        <v>0</v>
      </c>
      <c r="HZ9" s="158" t="b">
        <v>0</v>
      </c>
      <c r="IA9" s="158" t="b">
        <v>0</v>
      </c>
      <c r="IB9" s="158" t="b">
        <v>0</v>
      </c>
      <c r="IC9" s="158" t="b">
        <v>0</v>
      </c>
      <c r="ID9" s="158" t="b">
        <v>0</v>
      </c>
      <c r="IE9" s="158" t="b">
        <v>0</v>
      </c>
      <c r="IF9" s="158" t="b">
        <v>0</v>
      </c>
      <c r="IG9" s="158" t="b">
        <v>0</v>
      </c>
      <c r="IH9" s="158" t="b">
        <v>0</v>
      </c>
      <c r="II9" s="158" t="b">
        <v>0</v>
      </c>
      <c r="IJ9" s="158" t="b">
        <v>0</v>
      </c>
      <c r="IK9" s="158" t="b">
        <v>0</v>
      </c>
      <c r="IL9" s="158" t="b">
        <v>0</v>
      </c>
      <c r="IM9" s="158" t="b">
        <v>0</v>
      </c>
      <c r="IN9" s="158" t="b">
        <v>0</v>
      </c>
      <c r="IO9" s="158" t="b">
        <v>0</v>
      </c>
      <c r="IP9" s="158" t="b">
        <v>0</v>
      </c>
      <c r="IQ9" s="158" t="b">
        <v>0</v>
      </c>
      <c r="IR9" s="158" t="b">
        <v>0</v>
      </c>
      <c r="IS9" s="158" t="b">
        <v>0</v>
      </c>
      <c r="IT9" s="158" t="b">
        <v>0</v>
      </c>
      <c r="IU9" s="158" t="b">
        <v>0</v>
      </c>
      <c r="IV9" s="158" t="b">
        <v>0</v>
      </c>
      <c r="IW9" s="158" t="b">
        <v>0</v>
      </c>
      <c r="IX9" s="158" t="b">
        <v>0</v>
      </c>
      <c r="IY9" s="158" t="b">
        <v>0</v>
      </c>
      <c r="IZ9" s="158" t="b">
        <v>0</v>
      </c>
      <c r="JA9" s="158" t="b">
        <v>0</v>
      </c>
      <c r="JB9" s="158" t="b">
        <v>0</v>
      </c>
      <c r="JC9" s="158" t="b">
        <v>0</v>
      </c>
      <c r="JD9" s="158" t="b">
        <v>0</v>
      </c>
      <c r="JE9" s="158" t="b">
        <v>0</v>
      </c>
      <c r="JF9" s="158" t="b">
        <v>0</v>
      </c>
      <c r="JG9" s="158" t="b">
        <v>0</v>
      </c>
      <c r="JH9" s="158" t="b">
        <v>0</v>
      </c>
      <c r="JI9" s="158" t="b">
        <v>0</v>
      </c>
      <c r="JJ9" s="158" t="b">
        <v>0</v>
      </c>
      <c r="JK9" s="158" t="b">
        <v>0</v>
      </c>
      <c r="JL9" s="158" t="b">
        <v>0</v>
      </c>
      <c r="JM9" s="158" t="b">
        <v>0</v>
      </c>
      <c r="JN9" s="158" t="b">
        <v>0</v>
      </c>
      <c r="JO9" s="158" t="b">
        <v>0</v>
      </c>
      <c r="JP9" s="158" t="b">
        <v>0</v>
      </c>
      <c r="JQ9" s="158" t="b">
        <v>0</v>
      </c>
      <c r="JR9" s="158" t="b">
        <v>0</v>
      </c>
      <c r="JS9" s="158" t="b">
        <v>0</v>
      </c>
      <c r="JT9" s="158" t="b">
        <v>0</v>
      </c>
      <c r="JU9" s="158" t="b">
        <v>0</v>
      </c>
      <c r="JV9" s="158" t="b">
        <v>0</v>
      </c>
      <c r="JW9" s="158" t="b">
        <v>0</v>
      </c>
      <c r="JX9" s="158" t="b">
        <v>0</v>
      </c>
      <c r="JY9" s="158" t="b">
        <v>0</v>
      </c>
      <c r="JZ9" s="158" t="b">
        <v>0</v>
      </c>
      <c r="KA9" s="158" t="b">
        <v>0</v>
      </c>
      <c r="KB9" s="158" t="b">
        <v>0</v>
      </c>
      <c r="KC9" s="158" t="b">
        <v>0</v>
      </c>
      <c r="KD9" s="158" t="b">
        <v>0</v>
      </c>
      <c r="KE9" s="158" t="b">
        <v>0</v>
      </c>
      <c r="KF9" s="158" t="b">
        <v>0</v>
      </c>
      <c r="KG9" s="158" t="b">
        <v>0</v>
      </c>
      <c r="KH9" s="158" t="b">
        <v>0</v>
      </c>
      <c r="KI9" s="158" t="b">
        <v>0</v>
      </c>
      <c r="KJ9" s="158" t="b">
        <v>0</v>
      </c>
      <c r="KK9" s="158" t="b">
        <v>0</v>
      </c>
      <c r="KL9" s="158" t="b">
        <v>0</v>
      </c>
      <c r="KM9" s="158" t="b">
        <v>0</v>
      </c>
      <c r="KN9" s="158" t="b">
        <v>0</v>
      </c>
      <c r="KO9" s="158" t="b">
        <v>0</v>
      </c>
      <c r="KP9" s="158" t="b">
        <v>0</v>
      </c>
      <c r="KQ9" s="158" t="b">
        <v>0</v>
      </c>
      <c r="KR9" s="158" t="b">
        <v>0</v>
      </c>
      <c r="KS9" s="158" t="b">
        <v>0</v>
      </c>
      <c r="KT9" s="158" t="b">
        <v>0</v>
      </c>
      <c r="KU9" s="158" t="b">
        <v>0</v>
      </c>
      <c r="KV9" s="158" t="b">
        <v>0</v>
      </c>
      <c r="KW9" s="158" t="b">
        <v>0</v>
      </c>
      <c r="KX9" s="158" t="b">
        <v>0</v>
      </c>
      <c r="KY9" s="158" t="b">
        <v>0</v>
      </c>
      <c r="KZ9" s="158" t="b">
        <v>0</v>
      </c>
      <c r="LA9" s="158" t="b">
        <v>0</v>
      </c>
      <c r="LB9" s="158" t="b">
        <v>0</v>
      </c>
      <c r="LC9" s="158" t="b">
        <v>0</v>
      </c>
      <c r="LD9" s="158" t="b">
        <v>0</v>
      </c>
      <c r="LE9" s="158" t="b">
        <v>0</v>
      </c>
      <c r="LF9" s="158" t="b">
        <v>0</v>
      </c>
      <c r="LG9" s="158" t="b">
        <v>0</v>
      </c>
      <c r="LH9" s="158" t="b">
        <v>0</v>
      </c>
      <c r="LI9" s="158" t="b">
        <v>0</v>
      </c>
      <c r="LJ9" s="158" t="b">
        <v>0</v>
      </c>
      <c r="LK9" s="158" t="b">
        <v>0</v>
      </c>
      <c r="LL9" s="158" t="b">
        <v>0</v>
      </c>
      <c r="LM9" s="158" t="b">
        <v>0</v>
      </c>
      <c r="LN9" s="158" t="b">
        <v>0</v>
      </c>
      <c r="LO9" s="158" t="b">
        <v>0</v>
      </c>
      <c r="LP9" s="158" t="b">
        <v>0</v>
      </c>
      <c r="LQ9" s="158" t="b">
        <v>0</v>
      </c>
      <c r="LR9" s="158" t="b">
        <v>0</v>
      </c>
      <c r="LS9" s="158" t="b">
        <v>0</v>
      </c>
      <c r="LT9" s="158" t="b">
        <v>0</v>
      </c>
      <c r="LU9" s="158" t="b">
        <v>0</v>
      </c>
      <c r="LV9" s="158" t="b">
        <v>0</v>
      </c>
      <c r="LW9" s="158" t="b">
        <v>0</v>
      </c>
      <c r="LX9" s="158" t="b">
        <v>0</v>
      </c>
      <c r="LY9" s="158" t="b">
        <v>0</v>
      </c>
      <c r="LZ9" s="158" t="b">
        <v>0</v>
      </c>
      <c r="MA9" s="158" t="b">
        <v>0</v>
      </c>
      <c r="MB9" s="158" t="b">
        <v>0</v>
      </c>
      <c r="MC9" s="158" t="b">
        <v>0</v>
      </c>
      <c r="MD9" s="158" t="b">
        <v>0</v>
      </c>
      <c r="ME9" s="158" t="b">
        <v>0</v>
      </c>
      <c r="MF9" s="158" t="b">
        <v>0</v>
      </c>
      <c r="MG9" s="158" t="b">
        <v>0</v>
      </c>
      <c r="MH9" s="158" t="b">
        <v>0</v>
      </c>
      <c r="MI9" s="158" t="b">
        <v>0</v>
      </c>
      <c r="MJ9" s="158" t="b">
        <v>0</v>
      </c>
      <c r="MK9" s="158" t="b">
        <v>0</v>
      </c>
      <c r="ML9" s="158" t="b">
        <v>0</v>
      </c>
      <c r="MM9" s="158" t="b">
        <v>0</v>
      </c>
      <c r="MN9" s="158" t="b">
        <v>0</v>
      </c>
      <c r="MO9" s="158" t="b">
        <v>0</v>
      </c>
      <c r="MP9" s="158" t="b">
        <v>0</v>
      </c>
      <c r="MQ9" s="158" t="b">
        <v>0</v>
      </c>
      <c r="MR9" s="158" t="b">
        <v>0</v>
      </c>
      <c r="MS9" s="158" t="b">
        <v>0</v>
      </c>
      <c r="MT9" s="158" t="b">
        <v>0</v>
      </c>
      <c r="MU9" s="158" t="b">
        <v>0</v>
      </c>
      <c r="MV9" s="158" t="b">
        <v>0</v>
      </c>
      <c r="MW9" s="158" t="b">
        <v>0</v>
      </c>
      <c r="MX9" s="158" t="b">
        <v>0</v>
      </c>
      <c r="MY9" s="158" t="b">
        <v>0</v>
      </c>
      <c r="MZ9" s="158" t="b">
        <v>0</v>
      </c>
      <c r="NA9" s="158" t="b">
        <v>0</v>
      </c>
      <c r="NB9" s="158" t="b">
        <v>0</v>
      </c>
      <c r="NC9" s="158" t="b">
        <v>0</v>
      </c>
      <c r="ND9" s="158" t="b">
        <v>0</v>
      </c>
      <c r="NE9" s="158" t="b">
        <v>0</v>
      </c>
      <c r="NF9" s="158" t="b">
        <v>0</v>
      </c>
      <c r="NG9" s="158" t="b">
        <v>0</v>
      </c>
      <c r="NH9" s="158" t="b">
        <v>0</v>
      </c>
      <c r="NI9" s="158" t="b">
        <v>0</v>
      </c>
      <c r="NJ9" s="158" t="b">
        <v>0</v>
      </c>
      <c r="NK9" s="158" t="b">
        <v>0</v>
      </c>
      <c r="NL9" s="158" t="b">
        <v>0</v>
      </c>
      <c r="NM9" s="158" t="b">
        <v>0</v>
      </c>
      <c r="NN9" s="158" t="b">
        <v>0</v>
      </c>
      <c r="NO9" s="158" t="b">
        <v>0</v>
      </c>
    </row>
    <row r="10" spans="1:379" ht="29.25" x14ac:dyDescent="0.4">
      <c r="A10" s="511" t="str">
        <v>Misc. Food Units</v>
      </c>
      <c r="B10" s="158" t="b">
        <v>0</v>
      </c>
      <c r="C10" s="158" t="b">
        <v>0</v>
      </c>
      <c r="D10" s="158" t="b">
        <v>0</v>
      </c>
      <c r="E10" s="158" t="b">
        <v>0</v>
      </c>
      <c r="F10" s="158" t="b">
        <v>0</v>
      </c>
      <c r="G10" s="158" t="b">
        <v>0</v>
      </c>
      <c r="H10" s="158" t="b">
        <v>0</v>
      </c>
      <c r="I10" s="158" t="b">
        <v>0</v>
      </c>
      <c r="J10" s="158" t="b">
        <v>0</v>
      </c>
      <c r="K10" s="158" t="b">
        <v>0</v>
      </c>
      <c r="L10" s="158" t="b">
        <v>0</v>
      </c>
      <c r="M10" s="158" t="b">
        <v>0</v>
      </c>
      <c r="N10" s="158" t="b">
        <v>0</v>
      </c>
      <c r="O10" s="158" t="b">
        <v>0</v>
      </c>
      <c r="P10" s="158" t="b">
        <v>0</v>
      </c>
      <c r="Q10" s="158" t="b">
        <v>0</v>
      </c>
      <c r="R10" s="158" t="b">
        <v>0</v>
      </c>
      <c r="S10" s="158" t="b">
        <v>0</v>
      </c>
      <c r="T10" s="158" t="b">
        <v>0</v>
      </c>
      <c r="U10" s="158" t="b">
        <v>0</v>
      </c>
      <c r="V10" s="158" t="b">
        <v>0</v>
      </c>
      <c r="W10" s="158" t="b">
        <v>0</v>
      </c>
      <c r="X10" s="158" t="b">
        <v>0</v>
      </c>
      <c r="Y10" s="158" t="b">
        <v>0</v>
      </c>
      <c r="Z10" s="158" t="b">
        <v>0</v>
      </c>
      <c r="AA10" s="158" t="b">
        <v>0</v>
      </c>
      <c r="AB10" s="158" t="b">
        <v>0</v>
      </c>
      <c r="AC10" s="158" t="b">
        <v>0</v>
      </c>
      <c r="AD10" s="158" t="b">
        <v>0</v>
      </c>
      <c r="AE10" s="158" t="b">
        <v>0</v>
      </c>
      <c r="AF10" s="158" t="b">
        <v>0</v>
      </c>
      <c r="AG10" s="158" t="b">
        <v>0</v>
      </c>
      <c r="AH10" s="158" t="b">
        <v>0</v>
      </c>
      <c r="AI10" s="158" t="b">
        <v>0</v>
      </c>
      <c r="AJ10" s="158" t="b">
        <v>0</v>
      </c>
      <c r="AK10" s="158" t="b">
        <v>0</v>
      </c>
      <c r="AL10" s="158" t="b">
        <v>0</v>
      </c>
      <c r="AM10" s="158" t="b">
        <v>0</v>
      </c>
      <c r="AN10" s="158" t="b">
        <v>0</v>
      </c>
      <c r="AO10" s="158" t="b">
        <v>0</v>
      </c>
      <c r="AP10" s="158" t="b">
        <v>0</v>
      </c>
      <c r="AQ10" s="158" t="b">
        <v>0</v>
      </c>
      <c r="AR10" s="158" t="b">
        <v>0</v>
      </c>
      <c r="AS10" s="158" t="b">
        <v>0</v>
      </c>
      <c r="AT10" s="158" t="b">
        <v>0</v>
      </c>
      <c r="AU10" s="158" t="b">
        <v>0</v>
      </c>
      <c r="AV10" s="158" t="b">
        <v>0</v>
      </c>
      <c r="AW10" s="158" t="b">
        <v>0</v>
      </c>
      <c r="AX10" s="158" t="b">
        <v>0</v>
      </c>
      <c r="AY10" s="158" t="b">
        <v>0</v>
      </c>
      <c r="AZ10" s="158" t="b">
        <v>0</v>
      </c>
      <c r="BA10" s="158" t="b">
        <v>0</v>
      </c>
      <c r="BB10" s="158" t="b">
        <v>0</v>
      </c>
      <c r="BC10" s="158" t="b">
        <v>0</v>
      </c>
      <c r="BD10" s="158" t="b">
        <v>0</v>
      </c>
      <c r="BE10" s="158" t="b">
        <v>0</v>
      </c>
      <c r="BF10" s="158" t="b">
        <v>0</v>
      </c>
      <c r="BG10" s="158" t="b">
        <v>0</v>
      </c>
      <c r="BH10" s="158" t="b">
        <v>0</v>
      </c>
      <c r="BI10" s="158" t="b">
        <v>0</v>
      </c>
      <c r="BJ10" s="158" t="b">
        <v>0</v>
      </c>
      <c r="BK10" s="158" t="b">
        <v>0</v>
      </c>
      <c r="BL10" s="158" t="b">
        <v>0</v>
      </c>
      <c r="BM10" s="158" t="b">
        <v>0</v>
      </c>
      <c r="BN10" s="158" t="b">
        <v>0</v>
      </c>
      <c r="BO10" s="158" t="b">
        <v>0</v>
      </c>
      <c r="BP10" s="158" t="b">
        <v>0</v>
      </c>
      <c r="BQ10" s="158" t="b">
        <v>0</v>
      </c>
      <c r="BR10" s="158" t="b">
        <v>0</v>
      </c>
      <c r="BS10" s="158" t="b">
        <v>0</v>
      </c>
      <c r="BT10" s="158" t="b">
        <v>0</v>
      </c>
      <c r="BU10" s="158" t="b">
        <v>0</v>
      </c>
      <c r="BV10" s="158" t="b">
        <v>0</v>
      </c>
      <c r="BW10" s="158" t="b">
        <v>0</v>
      </c>
      <c r="BX10" s="158" t="b">
        <v>0</v>
      </c>
      <c r="BY10" s="158" t="b">
        <v>0</v>
      </c>
      <c r="BZ10" s="158" t="b">
        <v>0</v>
      </c>
      <c r="CA10" s="158" t="b">
        <v>0</v>
      </c>
      <c r="CB10" s="158" t="b">
        <v>0</v>
      </c>
      <c r="CC10" s="158" t="b">
        <v>0</v>
      </c>
      <c r="CD10" s="158" t="b">
        <v>0</v>
      </c>
      <c r="CE10" s="158" t="b">
        <v>0</v>
      </c>
      <c r="CF10" s="158" t="b">
        <v>0</v>
      </c>
      <c r="CG10" s="158" t="b">
        <v>0</v>
      </c>
      <c r="CH10" s="158" t="b">
        <v>0</v>
      </c>
      <c r="CI10" s="158" t="b">
        <v>0</v>
      </c>
      <c r="CJ10" s="158" t="b">
        <v>0</v>
      </c>
      <c r="CK10" s="158" t="b">
        <v>0</v>
      </c>
      <c r="CL10" s="158" t="b">
        <v>0</v>
      </c>
      <c r="CM10" s="158" t="b">
        <v>0</v>
      </c>
      <c r="CN10" s="93" t="b">
        <v>1</v>
      </c>
      <c r="CO10" s="93" t="b">
        <v>1</v>
      </c>
      <c r="CP10" s="158" t="b">
        <v>0</v>
      </c>
      <c r="CQ10" s="158" t="b">
        <v>0</v>
      </c>
      <c r="CR10" s="158" t="b">
        <v>0</v>
      </c>
      <c r="CS10" s="158" t="b">
        <v>0</v>
      </c>
      <c r="CT10" s="158" t="b">
        <v>0</v>
      </c>
      <c r="CU10" s="158" t="b">
        <v>0</v>
      </c>
      <c r="CV10" s="158" t="b">
        <v>0</v>
      </c>
      <c r="CW10" s="158" t="b">
        <v>0</v>
      </c>
      <c r="CX10" s="93" t="b">
        <v>1</v>
      </c>
      <c r="CY10" s="158" t="b">
        <v>0</v>
      </c>
      <c r="CZ10" s="158" t="b">
        <v>0</v>
      </c>
      <c r="DA10" s="158" t="b">
        <v>0</v>
      </c>
      <c r="DB10" s="158" t="b">
        <v>0</v>
      </c>
      <c r="DC10" s="158" t="b">
        <v>0</v>
      </c>
      <c r="DD10" s="158" t="b">
        <v>0</v>
      </c>
      <c r="DE10" s="158" t="b">
        <v>0</v>
      </c>
      <c r="DF10" s="158" t="b">
        <v>0</v>
      </c>
      <c r="DG10" s="158" t="b">
        <v>0</v>
      </c>
      <c r="DH10" s="158" t="b">
        <v>0</v>
      </c>
      <c r="DI10" s="158" t="b">
        <v>0</v>
      </c>
      <c r="DJ10" s="158" t="b">
        <v>0</v>
      </c>
      <c r="DK10" s="158" t="b">
        <v>0</v>
      </c>
      <c r="DL10" s="158" t="b">
        <v>0</v>
      </c>
      <c r="DM10" s="158" t="b">
        <v>0</v>
      </c>
      <c r="DN10" s="158" t="b">
        <v>0</v>
      </c>
      <c r="DO10" s="158" t="b">
        <v>0</v>
      </c>
      <c r="DP10" s="158" t="b">
        <v>0</v>
      </c>
      <c r="DQ10" s="158" t="b">
        <v>0</v>
      </c>
      <c r="DR10" s="93" t="b">
        <v>1</v>
      </c>
      <c r="DS10" s="93" t="b">
        <v>1</v>
      </c>
      <c r="DT10" s="93" t="b">
        <v>1</v>
      </c>
      <c r="DU10" s="93" t="b">
        <v>1</v>
      </c>
      <c r="DV10" s="93" t="b">
        <v>1</v>
      </c>
      <c r="DW10" s="158" t="b">
        <v>0</v>
      </c>
      <c r="DX10" s="158" t="b">
        <v>0</v>
      </c>
      <c r="DY10" s="158" t="b">
        <v>0</v>
      </c>
      <c r="DZ10" s="158" t="b">
        <v>0</v>
      </c>
      <c r="EA10" s="158" t="b">
        <v>0</v>
      </c>
      <c r="EB10" s="158" t="b">
        <v>0</v>
      </c>
      <c r="EC10" s="93" t="b">
        <v>1</v>
      </c>
      <c r="ED10" s="158" t="b">
        <v>0</v>
      </c>
      <c r="EE10" s="158" t="b">
        <v>0</v>
      </c>
      <c r="EF10" s="158" t="b">
        <v>0</v>
      </c>
      <c r="EG10" s="158" t="b">
        <v>0</v>
      </c>
      <c r="EH10" s="158" t="b">
        <v>0</v>
      </c>
      <c r="EI10" s="158" t="b">
        <v>0</v>
      </c>
      <c r="EJ10" s="158" t="b">
        <v>0</v>
      </c>
      <c r="EK10" s="158" t="b">
        <v>0</v>
      </c>
      <c r="EL10" s="158" t="b">
        <v>0</v>
      </c>
      <c r="EM10" s="158" t="b">
        <v>0</v>
      </c>
      <c r="EN10" s="158" t="b">
        <v>0</v>
      </c>
      <c r="EO10" s="158" t="b">
        <v>0</v>
      </c>
      <c r="EP10" s="158" t="b">
        <v>0</v>
      </c>
      <c r="EQ10" s="158" t="b">
        <v>0</v>
      </c>
      <c r="ER10" s="158" t="b">
        <v>0</v>
      </c>
      <c r="ES10" s="158" t="b">
        <v>0</v>
      </c>
      <c r="ET10" s="158" t="b">
        <v>0</v>
      </c>
      <c r="EU10" s="158" t="b">
        <v>0</v>
      </c>
      <c r="EV10" s="158" t="b">
        <v>0</v>
      </c>
      <c r="EW10" s="93" t="b">
        <v>1</v>
      </c>
      <c r="EX10" s="93" t="b">
        <v>1</v>
      </c>
      <c r="EY10" s="158" t="b">
        <v>0</v>
      </c>
      <c r="EZ10" s="158" t="b">
        <v>0</v>
      </c>
      <c r="FA10" s="158" t="b">
        <v>0</v>
      </c>
      <c r="FB10" s="158" t="b">
        <v>0</v>
      </c>
      <c r="FC10" s="158" t="b">
        <v>0</v>
      </c>
      <c r="FD10" s="158" t="b">
        <v>0</v>
      </c>
      <c r="FE10" s="158" t="b">
        <v>0</v>
      </c>
      <c r="FF10" s="158" t="b">
        <v>0</v>
      </c>
      <c r="FG10" s="158" t="b">
        <v>0</v>
      </c>
      <c r="FH10" s="158" t="b">
        <v>0</v>
      </c>
      <c r="FI10" s="158" t="b">
        <v>0</v>
      </c>
      <c r="FJ10" s="158" t="b">
        <v>0</v>
      </c>
      <c r="FK10" s="158" t="b">
        <v>0</v>
      </c>
      <c r="FL10" s="158" t="b">
        <v>0</v>
      </c>
      <c r="FM10" s="158" t="b">
        <v>0</v>
      </c>
      <c r="FN10" s="158" t="b">
        <v>0</v>
      </c>
      <c r="FO10" s="158" t="b">
        <v>0</v>
      </c>
      <c r="FP10" s="158" t="b">
        <v>0</v>
      </c>
      <c r="FQ10" s="158" t="b">
        <v>0</v>
      </c>
      <c r="FR10" s="158" t="b">
        <v>0</v>
      </c>
      <c r="FS10" s="158" t="b">
        <v>0</v>
      </c>
      <c r="FT10" s="93" t="b">
        <v>1</v>
      </c>
      <c r="FU10" s="158" t="b">
        <v>0</v>
      </c>
      <c r="FV10" s="158" t="b">
        <v>0</v>
      </c>
      <c r="FW10" s="158" t="b">
        <v>0</v>
      </c>
      <c r="FX10" s="158" t="b">
        <v>0</v>
      </c>
      <c r="FY10" s="158" t="b">
        <v>0</v>
      </c>
      <c r="FZ10" s="158" t="b">
        <v>0</v>
      </c>
      <c r="GA10" s="158" t="b">
        <v>0</v>
      </c>
      <c r="GB10" s="158" t="b">
        <v>0</v>
      </c>
      <c r="GC10" s="158" t="b">
        <v>0</v>
      </c>
      <c r="GD10" s="158" t="b">
        <v>0</v>
      </c>
      <c r="GE10" s="158" t="b">
        <v>0</v>
      </c>
      <c r="GF10" s="158" t="b">
        <v>0</v>
      </c>
      <c r="GG10" s="158" t="b">
        <v>0</v>
      </c>
      <c r="GH10" s="158" t="b">
        <v>0</v>
      </c>
      <c r="GI10" s="158" t="b">
        <v>0</v>
      </c>
      <c r="GJ10" s="158" t="b">
        <v>0</v>
      </c>
      <c r="GK10" s="158" t="b">
        <v>0</v>
      </c>
      <c r="GL10" s="158" t="b">
        <v>0</v>
      </c>
      <c r="GM10" s="158" t="b">
        <v>0</v>
      </c>
      <c r="GN10" s="158" t="b">
        <v>0</v>
      </c>
      <c r="GO10" s="158" t="b">
        <v>0</v>
      </c>
      <c r="GP10" s="158" t="b">
        <v>0</v>
      </c>
      <c r="GQ10" s="158" t="b">
        <v>0</v>
      </c>
      <c r="GR10" s="158" t="b">
        <v>0</v>
      </c>
      <c r="GS10" s="158" t="b">
        <v>0</v>
      </c>
      <c r="GT10" s="158" t="b">
        <v>0</v>
      </c>
      <c r="GU10" s="158" t="b">
        <v>0</v>
      </c>
      <c r="GV10" s="158" t="b">
        <v>0</v>
      </c>
      <c r="GW10" s="158" t="b">
        <v>0</v>
      </c>
      <c r="GX10" s="158" t="b">
        <v>0</v>
      </c>
      <c r="GY10" s="158" t="b">
        <v>0</v>
      </c>
      <c r="GZ10" s="158" t="b">
        <v>0</v>
      </c>
      <c r="HA10" s="158" t="b">
        <v>0</v>
      </c>
      <c r="HB10" s="158" t="b">
        <v>0</v>
      </c>
      <c r="HC10" s="158" t="b">
        <v>0</v>
      </c>
      <c r="HD10" s="158" t="b">
        <v>0</v>
      </c>
      <c r="HE10" s="158" t="b">
        <v>0</v>
      </c>
      <c r="HF10" s="158" t="b">
        <v>0</v>
      </c>
      <c r="HG10" s="158" t="b">
        <v>0</v>
      </c>
      <c r="HH10" s="158" t="b">
        <v>0</v>
      </c>
      <c r="HI10" s="158" t="b">
        <v>0</v>
      </c>
      <c r="HJ10" s="93" t="b">
        <v>1</v>
      </c>
      <c r="HK10" s="93" t="b">
        <v>1</v>
      </c>
      <c r="HL10" s="93" t="b">
        <v>1</v>
      </c>
      <c r="HM10" s="158" t="b">
        <v>0</v>
      </c>
      <c r="HN10" s="158" t="b">
        <v>0</v>
      </c>
      <c r="HO10" s="158" t="b">
        <v>0</v>
      </c>
      <c r="HP10" s="158" t="b">
        <v>0</v>
      </c>
      <c r="HQ10" s="158" t="b">
        <v>0</v>
      </c>
      <c r="HR10" s="158" t="b">
        <v>0</v>
      </c>
      <c r="HS10" s="158" t="b">
        <v>0</v>
      </c>
      <c r="HT10" s="93" t="b">
        <v>1</v>
      </c>
      <c r="HU10" s="93" t="b">
        <v>1</v>
      </c>
      <c r="HV10" s="93" t="b">
        <v>1</v>
      </c>
      <c r="HW10" s="93" t="b">
        <v>1</v>
      </c>
      <c r="HX10" s="93" t="b">
        <v>1</v>
      </c>
      <c r="HY10" s="158" t="b">
        <v>0</v>
      </c>
      <c r="HZ10" s="158" t="b">
        <v>0</v>
      </c>
      <c r="IA10" s="158" t="b">
        <v>0</v>
      </c>
      <c r="IB10" s="158" t="b">
        <v>0</v>
      </c>
      <c r="IC10" s="158" t="b">
        <v>0</v>
      </c>
      <c r="ID10" s="158" t="b">
        <v>0</v>
      </c>
      <c r="IE10" s="158" t="b">
        <v>0</v>
      </c>
      <c r="IF10" s="158" t="b">
        <v>0</v>
      </c>
      <c r="IG10" s="158" t="b">
        <v>0</v>
      </c>
      <c r="IH10" s="158" t="b">
        <v>0</v>
      </c>
      <c r="II10" s="158" t="b">
        <v>0</v>
      </c>
      <c r="IJ10" s="158" t="b">
        <v>0</v>
      </c>
      <c r="IK10" s="158" t="b">
        <v>0</v>
      </c>
      <c r="IL10" s="158" t="b">
        <v>0</v>
      </c>
      <c r="IM10" s="158" t="b">
        <v>0</v>
      </c>
      <c r="IN10" s="158" t="b">
        <v>0</v>
      </c>
      <c r="IO10" s="158" t="b">
        <v>0</v>
      </c>
      <c r="IP10" s="158" t="b">
        <v>0</v>
      </c>
      <c r="IQ10" s="158" t="b">
        <v>0</v>
      </c>
      <c r="IR10" s="158" t="b">
        <v>0</v>
      </c>
      <c r="IS10" s="158" t="b">
        <v>0</v>
      </c>
      <c r="IT10" s="158" t="b">
        <v>0</v>
      </c>
      <c r="IU10" s="158" t="b">
        <v>0</v>
      </c>
      <c r="IV10" s="158" t="b">
        <v>0</v>
      </c>
      <c r="IW10" s="158" t="b">
        <v>0</v>
      </c>
      <c r="IX10" s="158" t="b">
        <v>0</v>
      </c>
      <c r="IY10" s="158" t="b">
        <v>0</v>
      </c>
      <c r="IZ10" s="158" t="b">
        <v>0</v>
      </c>
      <c r="JA10" s="158" t="b">
        <v>0</v>
      </c>
      <c r="JB10" s="158" t="b">
        <v>0</v>
      </c>
      <c r="JC10" s="158" t="b">
        <v>0</v>
      </c>
      <c r="JD10" s="158" t="b">
        <v>0</v>
      </c>
      <c r="JE10" s="158" t="b">
        <v>0</v>
      </c>
      <c r="JF10" s="158" t="b">
        <v>0</v>
      </c>
      <c r="JG10" s="158" t="b">
        <v>0</v>
      </c>
      <c r="JH10" s="158" t="b">
        <v>0</v>
      </c>
      <c r="JI10" s="158" t="b">
        <v>0</v>
      </c>
      <c r="JJ10" s="158" t="b">
        <v>0</v>
      </c>
      <c r="JK10" s="158" t="b">
        <v>0</v>
      </c>
      <c r="JL10" s="158" t="b">
        <v>0</v>
      </c>
      <c r="JM10" s="158" t="b">
        <v>0</v>
      </c>
      <c r="JN10" s="158" t="b">
        <v>0</v>
      </c>
      <c r="JO10" s="158" t="b">
        <v>0</v>
      </c>
      <c r="JP10" s="158" t="b">
        <v>0</v>
      </c>
      <c r="JQ10" s="158" t="b">
        <v>0</v>
      </c>
      <c r="JR10" s="158" t="b">
        <v>0</v>
      </c>
      <c r="JS10" s="158" t="b">
        <v>0</v>
      </c>
      <c r="JT10" s="158" t="b">
        <v>0</v>
      </c>
      <c r="JU10" s="158" t="b">
        <v>0</v>
      </c>
      <c r="JV10" s="158" t="b">
        <v>0</v>
      </c>
      <c r="JW10" s="158" t="b">
        <v>0</v>
      </c>
      <c r="JX10" s="158" t="b">
        <v>0</v>
      </c>
      <c r="JY10" s="158" t="b">
        <v>0</v>
      </c>
      <c r="JZ10" s="158" t="b">
        <v>0</v>
      </c>
      <c r="KA10" s="158" t="b">
        <v>0</v>
      </c>
      <c r="KB10" s="158" t="b">
        <v>0</v>
      </c>
      <c r="KC10" s="158" t="b">
        <v>0</v>
      </c>
      <c r="KD10" s="158" t="b">
        <v>0</v>
      </c>
      <c r="KE10" s="158" t="b">
        <v>0</v>
      </c>
      <c r="KF10" s="158" t="b">
        <v>0</v>
      </c>
      <c r="KG10" s="158" t="b">
        <v>0</v>
      </c>
      <c r="KH10" s="158" t="b">
        <v>0</v>
      </c>
      <c r="KI10" s="158" t="b">
        <v>0</v>
      </c>
      <c r="KJ10" s="158" t="b">
        <v>0</v>
      </c>
      <c r="KK10" s="158" t="b">
        <v>0</v>
      </c>
      <c r="KL10" s="158" t="b">
        <v>0</v>
      </c>
      <c r="KM10" s="158" t="b">
        <v>0</v>
      </c>
      <c r="KN10" s="158" t="b">
        <v>0</v>
      </c>
      <c r="KO10" s="158" t="b">
        <v>0</v>
      </c>
      <c r="KP10" s="158" t="b">
        <v>0</v>
      </c>
      <c r="KQ10" s="158" t="b">
        <v>0</v>
      </c>
      <c r="KR10" s="158" t="b">
        <v>0</v>
      </c>
      <c r="KS10" s="158" t="b">
        <v>0</v>
      </c>
      <c r="KT10" s="158" t="b">
        <v>0</v>
      </c>
      <c r="KU10" s="158" t="b">
        <v>0</v>
      </c>
      <c r="KV10" s="158" t="b">
        <v>0</v>
      </c>
      <c r="KW10" s="158" t="b">
        <v>0</v>
      </c>
      <c r="KX10" s="158" t="b">
        <v>0</v>
      </c>
      <c r="KY10" s="158" t="b">
        <v>0</v>
      </c>
      <c r="KZ10" s="158" t="b">
        <v>0</v>
      </c>
      <c r="LA10" s="158" t="b">
        <v>0</v>
      </c>
      <c r="LB10" s="158" t="b">
        <v>0</v>
      </c>
      <c r="LC10" s="158" t="b">
        <v>0</v>
      </c>
      <c r="LD10" s="158" t="b">
        <v>0</v>
      </c>
      <c r="LE10" s="158" t="b">
        <v>0</v>
      </c>
      <c r="LF10" s="158" t="b">
        <v>0</v>
      </c>
      <c r="LG10" s="158" t="b">
        <v>0</v>
      </c>
      <c r="LH10" s="158" t="b">
        <v>0</v>
      </c>
      <c r="LI10" s="158" t="b">
        <v>0</v>
      </c>
      <c r="LJ10" s="158" t="b">
        <v>0</v>
      </c>
      <c r="LK10" s="158" t="b">
        <v>0</v>
      </c>
      <c r="LL10" s="158" t="b">
        <v>0</v>
      </c>
      <c r="LM10" s="158" t="b">
        <v>0</v>
      </c>
      <c r="LN10" s="158" t="b">
        <v>0</v>
      </c>
      <c r="LO10" s="158" t="b">
        <v>0</v>
      </c>
      <c r="LP10" s="158" t="b">
        <v>0</v>
      </c>
      <c r="LQ10" s="158" t="b">
        <v>0</v>
      </c>
      <c r="LR10" s="158" t="b">
        <v>0</v>
      </c>
      <c r="LS10" s="158" t="b">
        <v>0</v>
      </c>
      <c r="LT10" s="158" t="b">
        <v>0</v>
      </c>
      <c r="LU10" s="158" t="b">
        <v>0</v>
      </c>
      <c r="LV10" s="158" t="b">
        <v>0</v>
      </c>
      <c r="LW10" s="158" t="b">
        <v>0</v>
      </c>
      <c r="LX10" s="158" t="b">
        <v>0</v>
      </c>
      <c r="LY10" s="158" t="b">
        <v>0</v>
      </c>
      <c r="LZ10" s="158" t="b">
        <v>0</v>
      </c>
      <c r="MA10" s="158" t="b">
        <v>0</v>
      </c>
      <c r="MB10" s="158" t="b">
        <v>0</v>
      </c>
      <c r="MC10" s="158" t="b">
        <v>0</v>
      </c>
      <c r="MD10" s="158" t="b">
        <v>0</v>
      </c>
      <c r="ME10" s="158" t="b">
        <v>0</v>
      </c>
      <c r="MF10" s="158" t="b">
        <v>0</v>
      </c>
      <c r="MG10" s="158" t="b">
        <v>0</v>
      </c>
      <c r="MH10" s="158" t="b">
        <v>0</v>
      </c>
      <c r="MI10" s="158" t="b">
        <v>0</v>
      </c>
      <c r="MJ10" s="158" t="b">
        <v>0</v>
      </c>
      <c r="MK10" s="158" t="b">
        <v>0</v>
      </c>
      <c r="ML10" s="158" t="b">
        <v>0</v>
      </c>
      <c r="MM10" s="158" t="b">
        <v>0</v>
      </c>
      <c r="MN10" s="158" t="b">
        <v>0</v>
      </c>
      <c r="MO10" s="158" t="b">
        <v>0</v>
      </c>
      <c r="MP10" s="158" t="b">
        <v>0</v>
      </c>
      <c r="MQ10" s="158" t="b">
        <v>0</v>
      </c>
      <c r="MR10" s="158" t="b">
        <v>0</v>
      </c>
      <c r="MS10" s="158" t="b">
        <v>0</v>
      </c>
      <c r="MT10" s="158" t="b">
        <v>0</v>
      </c>
      <c r="MU10" s="158" t="b">
        <v>0</v>
      </c>
      <c r="MV10" s="158" t="b">
        <v>0</v>
      </c>
      <c r="MW10" s="158" t="b">
        <v>0</v>
      </c>
      <c r="MX10" s="158" t="b">
        <v>0</v>
      </c>
      <c r="MY10" s="158" t="b">
        <v>0</v>
      </c>
      <c r="MZ10" s="158" t="b">
        <v>0</v>
      </c>
      <c r="NA10" s="158" t="b">
        <v>0</v>
      </c>
      <c r="NB10" s="158" t="b">
        <v>0</v>
      </c>
      <c r="NC10" s="158" t="b">
        <v>0</v>
      </c>
      <c r="ND10" s="158" t="b">
        <v>0</v>
      </c>
      <c r="NE10" s="158" t="b">
        <v>0</v>
      </c>
      <c r="NF10" s="158" t="b">
        <v>0</v>
      </c>
      <c r="NG10" s="158" t="b">
        <v>0</v>
      </c>
      <c r="NH10" s="158" t="b">
        <v>0</v>
      </c>
      <c r="NI10" s="158" t="b">
        <v>0</v>
      </c>
      <c r="NJ10" s="158" t="b">
        <v>0</v>
      </c>
      <c r="NK10" s="158" t="b">
        <v>0</v>
      </c>
      <c r="NL10" s="158" t="b">
        <v>0</v>
      </c>
      <c r="NM10" s="158" t="b">
        <v>0</v>
      </c>
      <c r="NN10" s="158" t="b">
        <v>0</v>
      </c>
      <c r="NO10" s="158" t="b">
        <v>0</v>
      </c>
    </row>
    <row r="11" spans="1:379" ht="29.25" x14ac:dyDescent="0.4">
      <c r="A11" s="509" t="str">
        <v>Flex Use Airstream</v>
      </c>
      <c r="B11" s="158" t="b">
        <v>0</v>
      </c>
      <c r="C11" s="158" t="b">
        <v>0</v>
      </c>
      <c r="D11" s="158" t="b">
        <v>0</v>
      </c>
      <c r="E11" s="158" t="b">
        <v>0</v>
      </c>
      <c r="F11" s="158" t="b">
        <v>0</v>
      </c>
      <c r="G11" s="158" t="b">
        <v>0</v>
      </c>
      <c r="H11" s="158" t="b">
        <v>0</v>
      </c>
      <c r="I11" s="158" t="b">
        <v>0</v>
      </c>
      <c r="J11" s="158" t="b">
        <v>0</v>
      </c>
      <c r="K11" s="158" t="b">
        <v>0</v>
      </c>
      <c r="L11" s="158" t="b">
        <v>0</v>
      </c>
      <c r="M11" s="158" t="b">
        <v>0</v>
      </c>
      <c r="N11" s="158" t="b">
        <v>0</v>
      </c>
      <c r="O11" s="158" t="b">
        <v>0</v>
      </c>
      <c r="P11" s="158" t="b">
        <v>0</v>
      </c>
      <c r="Q11" s="158" t="b">
        <v>0</v>
      </c>
      <c r="R11" s="158" t="b">
        <v>0</v>
      </c>
      <c r="S11" s="158" t="b">
        <v>0</v>
      </c>
      <c r="T11" s="158" t="b">
        <v>0</v>
      </c>
      <c r="U11" s="158" t="b">
        <v>0</v>
      </c>
      <c r="V11" s="158" t="b">
        <v>0</v>
      </c>
      <c r="W11" s="158" t="b">
        <v>0</v>
      </c>
      <c r="X11" s="158" t="b">
        <v>0</v>
      </c>
      <c r="Y11" s="158" t="b">
        <v>0</v>
      </c>
      <c r="Z11" s="158" t="b">
        <v>0</v>
      </c>
      <c r="AA11" s="158" t="b">
        <v>0</v>
      </c>
      <c r="AB11" s="158" t="b">
        <v>0</v>
      </c>
      <c r="AC11" s="158" t="b">
        <v>0</v>
      </c>
      <c r="AD11" s="158" t="b">
        <v>0</v>
      </c>
      <c r="AE11" s="158" t="b">
        <v>0</v>
      </c>
      <c r="AF11" s="158" t="b">
        <v>0</v>
      </c>
      <c r="AG11" s="158" t="b">
        <v>0</v>
      </c>
      <c r="AH11" s="158" t="b">
        <v>0</v>
      </c>
      <c r="AI11" s="158" t="b">
        <v>0</v>
      </c>
      <c r="AJ11" s="158" t="b">
        <v>0</v>
      </c>
      <c r="AK11" s="158" t="b">
        <v>0</v>
      </c>
      <c r="AL11" s="158" t="b">
        <v>0</v>
      </c>
      <c r="AM11" s="158" t="b">
        <v>0</v>
      </c>
      <c r="AN11" s="158" t="b">
        <v>0</v>
      </c>
      <c r="AO11" s="158" t="b">
        <v>0</v>
      </c>
      <c r="AP11" s="158" t="b">
        <v>0</v>
      </c>
      <c r="AQ11" s="158" t="b">
        <v>0</v>
      </c>
      <c r="AR11" s="158" t="b">
        <v>0</v>
      </c>
      <c r="AS11" s="158" t="b">
        <v>0</v>
      </c>
      <c r="AT11" s="158" t="b">
        <v>0</v>
      </c>
      <c r="AU11" s="158" t="b">
        <v>0</v>
      </c>
      <c r="AV11" s="158" t="b">
        <v>0</v>
      </c>
      <c r="AW11" s="158" t="b">
        <v>0</v>
      </c>
      <c r="AX11" s="158" t="b">
        <v>0</v>
      </c>
      <c r="AY11" s="158" t="b">
        <v>0</v>
      </c>
      <c r="AZ11" s="158" t="b">
        <v>0</v>
      </c>
      <c r="BA11" s="158" t="b">
        <v>0</v>
      </c>
      <c r="BB11" s="158" t="b">
        <v>0</v>
      </c>
      <c r="BC11" s="158" t="b">
        <v>0</v>
      </c>
      <c r="BD11" s="158" t="b">
        <v>0</v>
      </c>
      <c r="BE11" s="158" t="b">
        <v>0</v>
      </c>
      <c r="BF11" s="158" t="b">
        <v>0</v>
      </c>
      <c r="BG11" s="158" t="b">
        <v>0</v>
      </c>
      <c r="BH11" s="158" t="b">
        <v>0</v>
      </c>
      <c r="BI11" s="158" t="b">
        <v>0</v>
      </c>
      <c r="BJ11" s="158" t="b">
        <v>0</v>
      </c>
      <c r="BK11" s="158" t="b">
        <v>0</v>
      </c>
      <c r="BL11" s="158" t="b">
        <v>0</v>
      </c>
      <c r="BM11" s="158" t="b">
        <v>0</v>
      </c>
      <c r="BN11" s="158" t="b">
        <v>0</v>
      </c>
      <c r="BO11" s="158" t="b">
        <v>0</v>
      </c>
      <c r="BP11" s="158" t="b">
        <v>0</v>
      </c>
      <c r="BQ11" s="158" t="b">
        <v>0</v>
      </c>
      <c r="BR11" s="158" t="b">
        <v>0</v>
      </c>
      <c r="BS11" s="158" t="b">
        <v>0</v>
      </c>
      <c r="BT11" s="158" t="b">
        <v>0</v>
      </c>
      <c r="BU11" s="158" t="b">
        <v>0</v>
      </c>
      <c r="BV11" s="158" t="b">
        <v>0</v>
      </c>
      <c r="BW11" s="158" t="b">
        <v>0</v>
      </c>
      <c r="BX11" s="158" t="b">
        <v>0</v>
      </c>
      <c r="BY11" s="158" t="b">
        <v>0</v>
      </c>
      <c r="BZ11" s="158" t="b">
        <v>0</v>
      </c>
      <c r="CA11" s="158" t="b">
        <v>0</v>
      </c>
      <c r="CB11" s="158" t="b">
        <v>0</v>
      </c>
      <c r="CC11" s="158" t="b">
        <v>0</v>
      </c>
      <c r="CD11" s="158" t="b">
        <v>0</v>
      </c>
      <c r="CE11" s="158" t="b">
        <v>0</v>
      </c>
      <c r="CF11" s="158" t="b">
        <v>0</v>
      </c>
      <c r="CG11" s="158" t="b">
        <v>0</v>
      </c>
      <c r="CH11" s="158" t="b">
        <v>0</v>
      </c>
      <c r="CI11" s="158" t="b">
        <v>0</v>
      </c>
      <c r="CJ11" s="158" t="b">
        <v>0</v>
      </c>
      <c r="CK11" s="158" t="b">
        <v>0</v>
      </c>
      <c r="CL11" s="158" t="b">
        <v>0</v>
      </c>
      <c r="CM11" s="158" t="b">
        <v>0</v>
      </c>
      <c r="CN11" s="158" t="b">
        <v>0</v>
      </c>
      <c r="CO11" s="158" t="b">
        <v>0</v>
      </c>
      <c r="CP11" s="158" t="b">
        <v>0</v>
      </c>
      <c r="CQ11" s="158" t="b">
        <v>0</v>
      </c>
      <c r="CR11" s="158" t="b">
        <v>0</v>
      </c>
      <c r="CS11" s="158" t="b">
        <v>0</v>
      </c>
      <c r="CT11" s="158" t="b">
        <v>0</v>
      </c>
      <c r="CU11" s="158" t="b">
        <v>0</v>
      </c>
      <c r="CV11" s="158" t="b">
        <v>0</v>
      </c>
      <c r="CW11" s="158" t="b">
        <v>0</v>
      </c>
      <c r="CX11" s="158" t="b">
        <v>0</v>
      </c>
      <c r="CY11" s="158" t="b">
        <v>0</v>
      </c>
      <c r="CZ11" s="158" t="b">
        <v>0</v>
      </c>
      <c r="DA11" s="158" t="b">
        <v>0</v>
      </c>
      <c r="DB11" s="158" t="b">
        <v>0</v>
      </c>
      <c r="DC11" s="158" t="b">
        <v>0</v>
      </c>
      <c r="DD11" s="158" t="b">
        <v>0</v>
      </c>
      <c r="DE11" s="158" t="b">
        <v>0</v>
      </c>
      <c r="DF11" s="158" t="b">
        <v>0</v>
      </c>
      <c r="DG11" s="158" t="b">
        <v>0</v>
      </c>
      <c r="DH11" s="158" t="b">
        <v>0</v>
      </c>
      <c r="DI11" s="158" t="b">
        <v>0</v>
      </c>
      <c r="DJ11" s="158" t="b">
        <v>0</v>
      </c>
      <c r="DK11" s="158" t="b">
        <v>0</v>
      </c>
      <c r="DL11" s="158" t="b">
        <v>0</v>
      </c>
      <c r="DM11" s="158" t="b">
        <v>0</v>
      </c>
      <c r="DN11" s="158" t="b">
        <v>0</v>
      </c>
      <c r="DO11" s="158" t="b">
        <v>0</v>
      </c>
      <c r="DP11" s="158" t="b">
        <v>0</v>
      </c>
      <c r="DQ11" s="158" t="b">
        <v>0</v>
      </c>
      <c r="DR11" s="158" t="b">
        <v>0</v>
      </c>
      <c r="DS11" s="158" t="b">
        <v>0</v>
      </c>
      <c r="DT11" s="158" t="b">
        <v>0</v>
      </c>
      <c r="DU11" s="158" t="b">
        <v>0</v>
      </c>
      <c r="DV11" s="158" t="b">
        <v>0</v>
      </c>
      <c r="DW11" s="158" t="b">
        <v>0</v>
      </c>
      <c r="DX11" s="158" t="b">
        <v>0</v>
      </c>
      <c r="DY11" s="158" t="b">
        <v>0</v>
      </c>
      <c r="DZ11" s="158" t="b">
        <v>0</v>
      </c>
      <c r="EA11" s="158" t="b">
        <v>0</v>
      </c>
      <c r="EB11" s="158" t="b">
        <v>0</v>
      </c>
      <c r="EC11" s="158" t="b">
        <v>0</v>
      </c>
      <c r="ED11" s="158" t="b">
        <v>0</v>
      </c>
      <c r="EE11" s="158" t="b">
        <v>0</v>
      </c>
      <c r="EF11" s="158" t="b">
        <v>0</v>
      </c>
      <c r="EG11" s="158" t="b">
        <v>0</v>
      </c>
      <c r="EH11" s="158" t="b">
        <v>0</v>
      </c>
      <c r="EI11" s="158" t="b">
        <v>0</v>
      </c>
      <c r="EJ11" s="158" t="b">
        <v>0</v>
      </c>
      <c r="EK11" s="158" t="b">
        <v>0</v>
      </c>
      <c r="EL11" s="158" t="b">
        <v>0</v>
      </c>
      <c r="EM11" s="158" t="b">
        <v>0</v>
      </c>
      <c r="EN11" s="158" t="b">
        <v>0</v>
      </c>
      <c r="EO11" s="158" t="b">
        <v>0</v>
      </c>
      <c r="EP11" s="158" t="b">
        <v>0</v>
      </c>
      <c r="EQ11" s="158" t="b">
        <v>0</v>
      </c>
      <c r="ER11" s="158" t="b">
        <v>0</v>
      </c>
      <c r="ES11" s="158" t="b">
        <v>0</v>
      </c>
      <c r="ET11" s="158" t="b">
        <v>0</v>
      </c>
      <c r="EU11" s="158" t="b">
        <v>0</v>
      </c>
      <c r="EV11" s="158" t="b">
        <v>0</v>
      </c>
      <c r="EW11" s="158" t="b">
        <v>0</v>
      </c>
      <c r="EX11" s="158" t="b">
        <v>0</v>
      </c>
      <c r="EY11" s="158" t="b">
        <v>0</v>
      </c>
      <c r="EZ11" s="158" t="b">
        <v>0</v>
      </c>
      <c r="FA11" s="158" t="b">
        <v>0</v>
      </c>
      <c r="FB11" s="158" t="b">
        <v>0</v>
      </c>
      <c r="FC11" s="158" t="b">
        <v>0</v>
      </c>
      <c r="FD11" s="158" t="b">
        <v>0</v>
      </c>
      <c r="FE11" s="158" t="b">
        <v>0</v>
      </c>
      <c r="FF11" s="158" t="b">
        <v>0</v>
      </c>
      <c r="FG11" s="158" t="b">
        <v>0</v>
      </c>
      <c r="FH11" s="158" t="b">
        <v>0</v>
      </c>
      <c r="FI11" s="158" t="b">
        <v>0</v>
      </c>
      <c r="FJ11" s="158" t="b">
        <v>0</v>
      </c>
      <c r="FK11" s="158" t="b">
        <v>0</v>
      </c>
      <c r="FL11" s="158" t="b">
        <v>0</v>
      </c>
      <c r="FM11" s="158" t="b">
        <v>0</v>
      </c>
      <c r="FN11" s="158" t="b">
        <v>0</v>
      </c>
      <c r="FO11" s="158" t="b">
        <v>0</v>
      </c>
      <c r="FP11" s="158" t="b">
        <v>0</v>
      </c>
      <c r="FQ11" s="158" t="b">
        <v>0</v>
      </c>
      <c r="FR11" s="158" t="b">
        <v>0</v>
      </c>
      <c r="FS11" s="158" t="b">
        <v>0</v>
      </c>
      <c r="FT11" s="158" t="b">
        <v>0</v>
      </c>
      <c r="FU11" s="158" t="b">
        <v>0</v>
      </c>
      <c r="FV11" s="158" t="b">
        <v>0</v>
      </c>
      <c r="FW11" s="158" t="b">
        <v>0</v>
      </c>
      <c r="FX11" s="158" t="b">
        <v>0</v>
      </c>
      <c r="FY11" s="158" t="b">
        <v>0</v>
      </c>
      <c r="FZ11" s="158" t="b">
        <v>0</v>
      </c>
      <c r="GA11" s="158" t="b">
        <v>0</v>
      </c>
      <c r="GB11" s="158" t="b">
        <v>0</v>
      </c>
      <c r="GC11" s="158" t="b">
        <v>0</v>
      </c>
      <c r="GD11" s="158" t="b">
        <v>0</v>
      </c>
      <c r="GE11" s="158" t="b">
        <v>0</v>
      </c>
      <c r="GF11" s="158" t="b">
        <v>0</v>
      </c>
      <c r="GG11" s="158" t="b">
        <v>0</v>
      </c>
      <c r="GH11" s="158" t="b">
        <v>0</v>
      </c>
      <c r="GI11" s="158" t="b">
        <v>0</v>
      </c>
      <c r="GJ11" s="158" t="b">
        <v>0</v>
      </c>
      <c r="GK11" s="158" t="b">
        <v>0</v>
      </c>
      <c r="GL11" s="158" t="b">
        <v>0</v>
      </c>
      <c r="GM11" s="158" t="b">
        <v>0</v>
      </c>
      <c r="GN11" s="158" t="b">
        <v>0</v>
      </c>
      <c r="GO11" s="158" t="b">
        <v>0</v>
      </c>
      <c r="GP11" s="158" t="b">
        <v>0</v>
      </c>
      <c r="GQ11" s="158" t="b">
        <v>0</v>
      </c>
      <c r="GR11" s="158" t="b">
        <v>0</v>
      </c>
      <c r="GS11" s="158" t="b">
        <v>0</v>
      </c>
      <c r="GT11" s="158" t="b">
        <v>0</v>
      </c>
      <c r="GU11" s="158" t="b">
        <v>0</v>
      </c>
      <c r="GV11" s="158" t="b">
        <v>0</v>
      </c>
      <c r="GW11" s="158" t="b">
        <v>0</v>
      </c>
      <c r="GX11" s="158" t="b">
        <v>0</v>
      </c>
      <c r="GY11" s="158" t="b">
        <v>0</v>
      </c>
      <c r="GZ11" s="158" t="b">
        <v>0</v>
      </c>
      <c r="HA11" s="158" t="b">
        <v>0</v>
      </c>
      <c r="HB11" s="158" t="b">
        <v>0</v>
      </c>
      <c r="HC11" s="158" t="b">
        <v>0</v>
      </c>
      <c r="HD11" s="158" t="b">
        <v>0</v>
      </c>
      <c r="HE11" s="158" t="b">
        <v>0</v>
      </c>
      <c r="HF11" s="158" t="b">
        <v>0</v>
      </c>
      <c r="HG11" s="158" t="b">
        <v>0</v>
      </c>
      <c r="HH11" s="158" t="b">
        <v>0</v>
      </c>
      <c r="HI11" s="158" t="b">
        <v>0</v>
      </c>
      <c r="HJ11" s="158" t="b">
        <v>0</v>
      </c>
      <c r="HK11" s="158" t="b">
        <v>0</v>
      </c>
      <c r="HL11" s="158" t="b">
        <v>0</v>
      </c>
      <c r="HM11" s="158" t="b">
        <v>0</v>
      </c>
      <c r="HN11" s="158" t="b">
        <v>0</v>
      </c>
      <c r="HO11" s="158" t="b">
        <v>0</v>
      </c>
      <c r="HP11" s="158" t="b">
        <v>0</v>
      </c>
      <c r="HQ11" s="158" t="b">
        <v>0</v>
      </c>
      <c r="HR11" s="158" t="b">
        <v>0</v>
      </c>
      <c r="HS11" s="158" t="b">
        <v>0</v>
      </c>
      <c r="HT11" s="158" t="b">
        <v>0</v>
      </c>
      <c r="HU11" s="158" t="b">
        <v>0</v>
      </c>
      <c r="HV11" s="158" t="b">
        <v>0</v>
      </c>
      <c r="HW11" s="158" t="b">
        <v>0</v>
      </c>
      <c r="HX11" s="158" t="b">
        <v>0</v>
      </c>
      <c r="HY11" s="158" t="b">
        <v>0</v>
      </c>
      <c r="HZ11" s="158" t="b">
        <v>0</v>
      </c>
      <c r="IA11" s="158" t="b">
        <v>0</v>
      </c>
      <c r="IB11" s="158" t="b">
        <v>0</v>
      </c>
      <c r="IC11" s="158" t="b">
        <v>0</v>
      </c>
      <c r="ID11" s="158" t="b">
        <v>0</v>
      </c>
      <c r="IE11" s="158" t="b">
        <v>0</v>
      </c>
      <c r="IF11" s="158" t="b">
        <v>0</v>
      </c>
      <c r="IG11" s="158" t="b">
        <v>0</v>
      </c>
      <c r="IH11" s="158" t="b">
        <v>0</v>
      </c>
      <c r="II11" s="158" t="b">
        <v>0</v>
      </c>
      <c r="IJ11" s="158" t="b">
        <v>0</v>
      </c>
      <c r="IK11" s="158" t="b">
        <v>0</v>
      </c>
      <c r="IL11" s="158" t="b">
        <v>0</v>
      </c>
      <c r="IM11" s="158" t="b">
        <v>0</v>
      </c>
      <c r="IN11" s="158" t="b">
        <v>0</v>
      </c>
      <c r="IO11" s="158" t="b">
        <v>0</v>
      </c>
      <c r="IP11" s="158" t="b">
        <v>0</v>
      </c>
      <c r="IQ11" s="158" t="b">
        <v>0</v>
      </c>
      <c r="IR11" s="158" t="b">
        <v>0</v>
      </c>
      <c r="IS11" s="158" t="b">
        <v>0</v>
      </c>
      <c r="IT11" s="158" t="b">
        <v>0</v>
      </c>
      <c r="IU11" s="158" t="b">
        <v>0</v>
      </c>
      <c r="IV11" s="158" t="b">
        <v>0</v>
      </c>
      <c r="IW11" s="158" t="b">
        <v>0</v>
      </c>
      <c r="IX11" s="158" t="b">
        <v>0</v>
      </c>
      <c r="IY11" s="158" t="b">
        <v>0</v>
      </c>
      <c r="IZ11" s="158" t="b">
        <v>0</v>
      </c>
      <c r="JA11" s="158" t="b">
        <v>0</v>
      </c>
      <c r="JB11" s="158" t="b">
        <v>0</v>
      </c>
      <c r="JC11" s="158" t="b">
        <v>0</v>
      </c>
      <c r="JD11" s="158" t="b">
        <v>0</v>
      </c>
      <c r="JE11" s="158" t="b">
        <v>0</v>
      </c>
      <c r="JF11" s="158" t="b">
        <v>0</v>
      </c>
      <c r="JG11" s="158" t="b">
        <v>0</v>
      </c>
      <c r="JH11" s="158" t="b">
        <v>0</v>
      </c>
      <c r="JI11" s="158" t="b">
        <v>0</v>
      </c>
      <c r="JJ11" s="158" t="b">
        <v>0</v>
      </c>
      <c r="JK11" s="158" t="b">
        <v>0</v>
      </c>
      <c r="JL11" s="158" t="b">
        <v>0</v>
      </c>
      <c r="JM11" s="158" t="b">
        <v>0</v>
      </c>
      <c r="JN11" s="158" t="b">
        <v>0</v>
      </c>
      <c r="JO11" s="158" t="b">
        <v>0</v>
      </c>
      <c r="JP11" s="158" t="b">
        <v>0</v>
      </c>
      <c r="JQ11" s="158" t="b">
        <v>0</v>
      </c>
      <c r="JR11" s="158" t="b">
        <v>0</v>
      </c>
      <c r="JS11" s="158" t="b">
        <v>0</v>
      </c>
      <c r="JT11" s="158" t="b">
        <v>0</v>
      </c>
      <c r="JU11" s="158" t="b">
        <v>0</v>
      </c>
      <c r="JV11" s="158" t="b">
        <v>0</v>
      </c>
      <c r="JW11" s="158" t="b">
        <v>0</v>
      </c>
      <c r="JX11" s="158" t="b">
        <v>0</v>
      </c>
      <c r="JY11" s="158" t="b">
        <v>0</v>
      </c>
      <c r="JZ11" s="158" t="b">
        <v>0</v>
      </c>
      <c r="KA11" s="158" t="b">
        <v>0</v>
      </c>
      <c r="KB11" s="158" t="b">
        <v>0</v>
      </c>
      <c r="KC11" s="158" t="b">
        <v>0</v>
      </c>
      <c r="KD11" s="158" t="b">
        <v>0</v>
      </c>
      <c r="KE11" s="158" t="b">
        <v>0</v>
      </c>
      <c r="KF11" s="158" t="b">
        <v>0</v>
      </c>
      <c r="KG11" s="158" t="b">
        <v>0</v>
      </c>
      <c r="KH11" s="158" t="b">
        <v>0</v>
      </c>
      <c r="KI11" s="158" t="b">
        <v>0</v>
      </c>
      <c r="KJ11" s="158" t="b">
        <v>0</v>
      </c>
      <c r="KK11" s="158" t="b">
        <v>0</v>
      </c>
      <c r="KL11" s="158" t="b">
        <v>0</v>
      </c>
      <c r="KM11" s="158" t="b">
        <v>0</v>
      </c>
      <c r="KN11" s="158" t="b">
        <v>0</v>
      </c>
      <c r="KO11" s="158" t="b">
        <v>0</v>
      </c>
      <c r="KP11" s="158" t="b">
        <v>0</v>
      </c>
      <c r="KQ11" s="158" t="b">
        <v>0</v>
      </c>
      <c r="KR11" s="158" t="b">
        <v>0</v>
      </c>
      <c r="KS11" s="158" t="b">
        <v>0</v>
      </c>
      <c r="KT11" s="158" t="b">
        <v>0</v>
      </c>
      <c r="KU11" s="158" t="b">
        <v>0</v>
      </c>
      <c r="KV11" s="158" t="b">
        <v>0</v>
      </c>
      <c r="KW11" s="158" t="b">
        <v>0</v>
      </c>
      <c r="KX11" s="158" t="b">
        <v>0</v>
      </c>
      <c r="KY11" s="158" t="b">
        <v>0</v>
      </c>
      <c r="KZ11" s="158" t="b">
        <v>0</v>
      </c>
      <c r="LA11" s="158" t="b">
        <v>0</v>
      </c>
      <c r="LB11" s="158" t="b">
        <v>0</v>
      </c>
      <c r="LC11" s="158" t="b">
        <v>0</v>
      </c>
      <c r="LD11" s="158" t="b">
        <v>0</v>
      </c>
      <c r="LE11" s="158" t="b">
        <v>0</v>
      </c>
      <c r="LF11" s="158" t="b">
        <v>0</v>
      </c>
      <c r="LG11" s="158" t="b">
        <v>0</v>
      </c>
      <c r="LH11" s="158" t="b">
        <v>0</v>
      </c>
      <c r="LI11" s="158" t="b">
        <v>0</v>
      </c>
      <c r="LJ11" s="158" t="b">
        <v>0</v>
      </c>
      <c r="LK11" s="158" t="b">
        <v>0</v>
      </c>
      <c r="LL11" s="158" t="b">
        <v>0</v>
      </c>
      <c r="LM11" s="158" t="b">
        <v>0</v>
      </c>
      <c r="LN11" s="158" t="b">
        <v>0</v>
      </c>
      <c r="LO11" s="158" t="b">
        <v>0</v>
      </c>
      <c r="LP11" s="158" t="b">
        <v>0</v>
      </c>
      <c r="LQ11" s="158" t="b">
        <v>0</v>
      </c>
      <c r="LR11" s="158" t="b">
        <v>0</v>
      </c>
      <c r="LS11" s="158" t="b">
        <v>0</v>
      </c>
      <c r="LT11" s="158" t="b">
        <v>0</v>
      </c>
      <c r="LU11" s="158" t="b">
        <v>0</v>
      </c>
      <c r="LV11" s="158" t="b">
        <v>0</v>
      </c>
      <c r="LW11" s="158" t="b">
        <v>0</v>
      </c>
      <c r="LX11" s="158" t="b">
        <v>0</v>
      </c>
      <c r="LY11" s="158" t="b">
        <v>0</v>
      </c>
      <c r="LZ11" s="158" t="b">
        <v>0</v>
      </c>
      <c r="MA11" s="158" t="b">
        <v>0</v>
      </c>
      <c r="MB11" s="158" t="b">
        <v>0</v>
      </c>
      <c r="MC11" s="158" t="b">
        <v>0</v>
      </c>
      <c r="MD11" s="158" t="b">
        <v>0</v>
      </c>
      <c r="ME11" s="158" t="b">
        <v>0</v>
      </c>
      <c r="MF11" s="158" t="b">
        <v>0</v>
      </c>
      <c r="MG11" s="158" t="b">
        <v>0</v>
      </c>
      <c r="MH11" s="158" t="b">
        <v>0</v>
      </c>
      <c r="MI11" s="158" t="b">
        <v>0</v>
      </c>
      <c r="MJ11" s="158" t="b">
        <v>0</v>
      </c>
      <c r="MK11" s="158" t="b">
        <v>0</v>
      </c>
      <c r="ML11" s="158" t="b">
        <v>0</v>
      </c>
      <c r="MM11" s="158" t="b">
        <v>0</v>
      </c>
      <c r="MN11" s="158" t="b">
        <v>0</v>
      </c>
      <c r="MO11" s="158" t="b">
        <v>0</v>
      </c>
      <c r="MP11" s="158" t="b">
        <v>0</v>
      </c>
      <c r="MQ11" s="158" t="b">
        <v>0</v>
      </c>
      <c r="MR11" s="158" t="b">
        <v>0</v>
      </c>
      <c r="MS11" s="158" t="b">
        <v>0</v>
      </c>
      <c r="MT11" s="158" t="b">
        <v>0</v>
      </c>
      <c r="MU11" s="158" t="b">
        <v>0</v>
      </c>
      <c r="MV11" s="158" t="b">
        <v>0</v>
      </c>
      <c r="MW11" s="158" t="b">
        <v>0</v>
      </c>
      <c r="MX11" s="158" t="b">
        <v>0</v>
      </c>
      <c r="MY11" s="158" t="b">
        <v>0</v>
      </c>
      <c r="MZ11" s="158" t="b">
        <v>0</v>
      </c>
      <c r="NA11" s="158" t="b">
        <v>0</v>
      </c>
      <c r="NB11" s="158" t="b">
        <v>0</v>
      </c>
      <c r="NC11" s="158" t="b">
        <v>0</v>
      </c>
      <c r="ND11" s="158" t="b">
        <v>0</v>
      </c>
      <c r="NE11" s="158" t="b">
        <v>0</v>
      </c>
      <c r="NF11" s="158" t="b">
        <v>0</v>
      </c>
      <c r="NG11" s="158" t="b">
        <v>0</v>
      </c>
      <c r="NH11" s="158" t="b">
        <v>0</v>
      </c>
      <c r="NI11" s="158" t="b">
        <v>0</v>
      </c>
      <c r="NJ11" s="158" t="b">
        <v>0</v>
      </c>
      <c r="NK11" s="158" t="b">
        <v>0</v>
      </c>
      <c r="NL11" s="158" t="b">
        <v>0</v>
      </c>
      <c r="NM11" s="158" t="b">
        <v>0</v>
      </c>
      <c r="NN11" s="158" t="b">
        <v>0</v>
      </c>
      <c r="NO11" s="158" t="b">
        <v>0</v>
      </c>
    </row>
    <row r="12" spans="1:379" ht="29.25" x14ac:dyDescent="0.4">
      <c r="A12" s="511" t="str">
        <v>Angelo's Pizza</v>
      </c>
      <c r="B12" s="158" t="b">
        <v>0</v>
      </c>
      <c r="C12" s="158" t="b">
        <v>0</v>
      </c>
      <c r="D12" s="158" t="b">
        <v>0</v>
      </c>
      <c r="E12" s="158" t="b">
        <v>0</v>
      </c>
      <c r="F12" s="158" t="b">
        <v>0</v>
      </c>
      <c r="G12" s="158" t="b">
        <v>0</v>
      </c>
      <c r="H12" s="158" t="b">
        <v>0</v>
      </c>
      <c r="I12" s="158" t="b">
        <v>0</v>
      </c>
      <c r="J12" s="158" t="b">
        <v>0</v>
      </c>
      <c r="K12" s="158" t="b">
        <v>0</v>
      </c>
      <c r="L12" s="158" t="b">
        <v>0</v>
      </c>
      <c r="M12" s="158" t="b">
        <v>0</v>
      </c>
      <c r="N12" s="158" t="b">
        <v>0</v>
      </c>
      <c r="O12" s="158" t="b">
        <v>0</v>
      </c>
      <c r="P12" s="158" t="b">
        <v>0</v>
      </c>
      <c r="Q12" s="158" t="b">
        <v>0</v>
      </c>
      <c r="R12" s="158" t="b">
        <v>0</v>
      </c>
      <c r="S12" s="158" t="b">
        <v>0</v>
      </c>
      <c r="T12" s="158" t="b">
        <v>0</v>
      </c>
      <c r="U12" s="158" t="b">
        <v>0</v>
      </c>
      <c r="V12" s="158" t="b">
        <v>0</v>
      </c>
      <c r="W12" s="158" t="b">
        <v>0</v>
      </c>
      <c r="X12" s="158" t="b">
        <v>0</v>
      </c>
      <c r="Y12" s="158" t="b">
        <v>0</v>
      </c>
      <c r="Z12" s="158" t="b">
        <v>0</v>
      </c>
      <c r="AA12" s="158" t="b">
        <v>0</v>
      </c>
      <c r="AB12" s="158" t="b">
        <v>0</v>
      </c>
      <c r="AC12" s="158" t="b">
        <v>0</v>
      </c>
      <c r="AD12" s="158" t="b">
        <v>0</v>
      </c>
      <c r="AE12" s="158" t="b">
        <v>0</v>
      </c>
      <c r="AF12" s="158" t="b">
        <v>0</v>
      </c>
      <c r="AG12" s="158" t="b">
        <v>0</v>
      </c>
      <c r="AH12" s="158" t="b">
        <v>0</v>
      </c>
      <c r="AI12" s="93" t="b">
        <v>0</v>
      </c>
      <c r="AJ12" s="158" t="b">
        <v>0</v>
      </c>
      <c r="AK12" s="158" t="b">
        <v>0</v>
      </c>
      <c r="AL12" s="158" t="b">
        <v>0</v>
      </c>
      <c r="AM12" s="158" t="b">
        <v>0</v>
      </c>
      <c r="AN12" s="158" t="b">
        <v>0</v>
      </c>
      <c r="AO12" s="158" t="b">
        <v>0</v>
      </c>
      <c r="AP12" s="158" t="b">
        <v>0</v>
      </c>
      <c r="AQ12" s="158" t="b">
        <v>0</v>
      </c>
      <c r="AR12" s="158" t="b">
        <v>0</v>
      </c>
      <c r="AS12" s="158" t="b">
        <v>0</v>
      </c>
      <c r="AT12" s="158" t="b">
        <v>0</v>
      </c>
      <c r="AU12" s="158" t="b">
        <v>0</v>
      </c>
      <c r="AV12" s="158" t="b">
        <v>0</v>
      </c>
      <c r="AW12" s="158" t="b">
        <v>0</v>
      </c>
      <c r="AX12" s="158" t="b">
        <v>0</v>
      </c>
      <c r="AY12" s="158" t="b">
        <v>0</v>
      </c>
      <c r="AZ12" s="158" t="b">
        <v>0</v>
      </c>
      <c r="BA12" s="158" t="b">
        <v>0</v>
      </c>
      <c r="BB12" s="158" t="b">
        <v>0</v>
      </c>
      <c r="BC12" s="158" t="b">
        <v>0</v>
      </c>
      <c r="BD12" s="158" t="b">
        <v>0</v>
      </c>
      <c r="BE12" s="158" t="b">
        <v>0</v>
      </c>
      <c r="BF12" s="158" t="b">
        <v>0</v>
      </c>
      <c r="BG12" s="158" t="b">
        <v>0</v>
      </c>
      <c r="BH12" s="158" t="b">
        <v>0</v>
      </c>
      <c r="BI12" s="158" t="b">
        <v>0</v>
      </c>
      <c r="BJ12" s="158" t="b">
        <v>0</v>
      </c>
      <c r="BK12" s="158" t="b">
        <v>0</v>
      </c>
      <c r="BL12" s="158" t="b">
        <v>0</v>
      </c>
      <c r="BM12" s="158" t="b">
        <v>0</v>
      </c>
      <c r="BN12" s="158" t="b">
        <v>0</v>
      </c>
      <c r="BO12" s="158" t="b">
        <v>0</v>
      </c>
      <c r="BP12" s="158" t="b">
        <v>0</v>
      </c>
      <c r="BQ12" s="158" t="b">
        <v>0</v>
      </c>
      <c r="BR12" s="158" t="b">
        <v>0</v>
      </c>
      <c r="BS12" s="158" t="b">
        <v>0</v>
      </c>
      <c r="BT12" s="158" t="b">
        <v>0</v>
      </c>
      <c r="BU12" s="158" t="b">
        <v>0</v>
      </c>
      <c r="BV12" s="158" t="b">
        <v>0</v>
      </c>
      <c r="BW12" s="158" t="b">
        <v>0</v>
      </c>
      <c r="BX12" s="158" t="b">
        <v>0</v>
      </c>
      <c r="BY12" s="158" t="b">
        <v>0</v>
      </c>
      <c r="BZ12" s="158" t="b">
        <v>0</v>
      </c>
      <c r="CA12" s="158" t="b">
        <v>0</v>
      </c>
      <c r="CB12" s="158" t="b">
        <v>0</v>
      </c>
      <c r="CC12" s="158" t="b">
        <v>0</v>
      </c>
      <c r="CD12" s="158" t="b">
        <v>0</v>
      </c>
      <c r="CE12" s="158" t="b">
        <v>0</v>
      </c>
      <c r="CF12" s="158" t="b">
        <v>0</v>
      </c>
      <c r="CG12" s="158" t="b">
        <v>0</v>
      </c>
      <c r="CH12" s="158" t="b">
        <v>0</v>
      </c>
      <c r="CI12" s="158" t="b">
        <v>0</v>
      </c>
      <c r="CJ12" s="158" t="b">
        <v>0</v>
      </c>
      <c r="CK12" s="158" t="b">
        <v>0</v>
      </c>
      <c r="CL12" s="158" t="b">
        <v>0</v>
      </c>
      <c r="CM12" s="158" t="b">
        <v>0</v>
      </c>
      <c r="CN12" s="158" t="b">
        <v>0</v>
      </c>
      <c r="CO12" s="158" t="b">
        <v>0</v>
      </c>
      <c r="CP12" s="158" t="b">
        <v>0</v>
      </c>
      <c r="CQ12" s="158" t="b">
        <v>0</v>
      </c>
      <c r="CR12" s="158" t="b">
        <v>0</v>
      </c>
      <c r="CS12" s="158" t="b">
        <v>0</v>
      </c>
      <c r="CT12" s="158" t="b">
        <v>0</v>
      </c>
      <c r="CU12" s="158" t="b">
        <v>0</v>
      </c>
      <c r="CV12" s="158" t="b">
        <v>0</v>
      </c>
      <c r="CW12" s="158" t="b">
        <v>0</v>
      </c>
      <c r="CX12" s="158" t="b">
        <v>0</v>
      </c>
      <c r="CY12" s="158" t="b">
        <v>0</v>
      </c>
      <c r="CZ12" s="158" t="b">
        <v>0</v>
      </c>
      <c r="DA12" s="158" t="b">
        <v>0</v>
      </c>
      <c r="DB12" s="158" t="b">
        <v>0</v>
      </c>
      <c r="DC12" s="93" t="b">
        <v>1</v>
      </c>
      <c r="DD12" s="93" t="b">
        <v>1</v>
      </c>
      <c r="DE12" s="93" t="b">
        <v>1</v>
      </c>
      <c r="DF12" s="93" t="b">
        <v>1</v>
      </c>
      <c r="DG12" s="158" t="b">
        <v>0</v>
      </c>
      <c r="DH12" s="158" t="b">
        <v>0</v>
      </c>
      <c r="DI12" s="158" t="b">
        <v>0</v>
      </c>
      <c r="DJ12" s="158" t="b">
        <v>0</v>
      </c>
      <c r="DK12" s="158" t="b">
        <v>0</v>
      </c>
      <c r="DL12" s="158" t="b">
        <v>0</v>
      </c>
      <c r="DM12" s="158" t="b">
        <v>0</v>
      </c>
      <c r="DN12" s="158" t="b">
        <v>0</v>
      </c>
      <c r="DO12" s="158" t="b">
        <v>0</v>
      </c>
      <c r="DP12" s="158" t="b">
        <v>0</v>
      </c>
      <c r="DQ12" s="158" t="b">
        <v>0</v>
      </c>
      <c r="DR12" s="93" t="b">
        <v>1</v>
      </c>
      <c r="DS12" s="93" t="b">
        <v>1</v>
      </c>
      <c r="DT12" s="93" t="b">
        <v>1</v>
      </c>
      <c r="DU12" s="93" t="b">
        <v>1</v>
      </c>
      <c r="DV12" s="93" t="b">
        <v>1</v>
      </c>
      <c r="DW12" s="158" t="b">
        <v>0</v>
      </c>
      <c r="DX12" s="158" t="b">
        <v>0</v>
      </c>
      <c r="DY12" s="158" t="b">
        <v>0</v>
      </c>
      <c r="DZ12" s="158" t="b">
        <v>0</v>
      </c>
      <c r="EA12" s="158" t="b">
        <v>0</v>
      </c>
      <c r="EB12" s="158" t="b">
        <v>0</v>
      </c>
      <c r="EC12" s="158" t="b">
        <v>0</v>
      </c>
      <c r="ED12" s="158" t="b">
        <v>0</v>
      </c>
      <c r="EE12" s="158" t="b">
        <v>0</v>
      </c>
      <c r="EF12" s="158" t="b">
        <v>0</v>
      </c>
      <c r="EG12" s="158" t="b">
        <v>0</v>
      </c>
      <c r="EH12" s="158" t="b">
        <v>0</v>
      </c>
      <c r="EI12" s="93" t="b">
        <v>1</v>
      </c>
      <c r="EJ12" s="93" t="b">
        <v>1</v>
      </c>
      <c r="EK12" s="158" t="b">
        <v>0</v>
      </c>
      <c r="EL12" s="158" t="b">
        <v>0</v>
      </c>
      <c r="EM12" s="158" t="b">
        <v>0</v>
      </c>
      <c r="EN12" s="158" t="b">
        <v>0</v>
      </c>
      <c r="EO12" s="158" t="b">
        <v>0</v>
      </c>
      <c r="EP12" s="158" t="b">
        <v>0</v>
      </c>
      <c r="EQ12" s="158" t="b">
        <v>0</v>
      </c>
      <c r="ER12" s="158" t="b">
        <v>0</v>
      </c>
      <c r="ES12" s="158" t="b">
        <v>0</v>
      </c>
      <c r="ET12" s="158" t="b">
        <v>0</v>
      </c>
      <c r="EU12" s="158" t="b">
        <v>0</v>
      </c>
      <c r="EV12" s="158" t="b">
        <v>0</v>
      </c>
      <c r="EW12" s="158" t="b">
        <v>0</v>
      </c>
      <c r="EX12" s="158" t="b">
        <v>0</v>
      </c>
      <c r="EY12" s="158" t="b">
        <v>0</v>
      </c>
      <c r="EZ12" s="158" t="b">
        <v>0</v>
      </c>
      <c r="FA12" s="158" t="b">
        <v>0</v>
      </c>
      <c r="FB12" s="158" t="b">
        <v>0</v>
      </c>
      <c r="FC12" s="158" t="b">
        <v>0</v>
      </c>
      <c r="FD12" s="158" t="b">
        <v>0</v>
      </c>
      <c r="FE12" s="158" t="b">
        <v>0</v>
      </c>
      <c r="FF12" s="158" t="b">
        <v>0</v>
      </c>
      <c r="FG12" s="158" t="b">
        <v>0</v>
      </c>
      <c r="FH12" s="158" t="b">
        <v>0</v>
      </c>
      <c r="FI12" s="158" t="b">
        <v>0</v>
      </c>
      <c r="FJ12" s="158" t="b">
        <v>0</v>
      </c>
      <c r="FK12" s="158" t="b">
        <v>0</v>
      </c>
      <c r="FL12" s="158" t="b">
        <v>0</v>
      </c>
      <c r="FM12" s="158" t="b">
        <v>0</v>
      </c>
      <c r="FN12" s="158" t="b">
        <v>0</v>
      </c>
      <c r="FO12" s="158" t="b">
        <v>0</v>
      </c>
      <c r="FP12" s="158" t="b">
        <v>0</v>
      </c>
      <c r="FQ12" s="158" t="b">
        <v>0</v>
      </c>
      <c r="FR12" s="158" t="b">
        <v>0</v>
      </c>
      <c r="FS12" s="158" t="b">
        <v>0</v>
      </c>
      <c r="FT12" s="158" t="b">
        <v>0</v>
      </c>
      <c r="FU12" s="158" t="b">
        <v>0</v>
      </c>
      <c r="FV12" s="158" t="b">
        <v>0</v>
      </c>
      <c r="FW12" s="158" t="b">
        <v>0</v>
      </c>
      <c r="FX12" s="158" t="b">
        <v>0</v>
      </c>
      <c r="FY12" s="158" t="b">
        <v>0</v>
      </c>
      <c r="FZ12" s="158" t="b">
        <v>0</v>
      </c>
      <c r="GA12" s="158" t="b">
        <v>0</v>
      </c>
      <c r="GB12" s="158" t="b">
        <v>0</v>
      </c>
      <c r="GC12" s="158" t="b">
        <v>0</v>
      </c>
      <c r="GD12" s="158" t="b">
        <v>0</v>
      </c>
      <c r="GE12" s="158" t="b">
        <v>0</v>
      </c>
      <c r="GF12" s="158" t="b">
        <v>0</v>
      </c>
      <c r="GG12" s="158" t="b">
        <v>0</v>
      </c>
      <c r="GH12" s="158" t="b">
        <v>0</v>
      </c>
      <c r="GI12" s="158" t="b">
        <v>0</v>
      </c>
      <c r="GJ12" s="158" t="b">
        <v>0</v>
      </c>
      <c r="GK12" s="158" t="b">
        <v>0</v>
      </c>
      <c r="GL12" s="158" t="b">
        <v>0</v>
      </c>
      <c r="GM12" s="158" t="b">
        <v>0</v>
      </c>
      <c r="GN12" s="158" t="b">
        <v>0</v>
      </c>
      <c r="GO12" s="158" t="b">
        <v>0</v>
      </c>
      <c r="GP12" s="158" t="b">
        <v>0</v>
      </c>
      <c r="GQ12" s="158" t="b">
        <v>0</v>
      </c>
      <c r="GR12" s="158" t="b">
        <v>0</v>
      </c>
      <c r="GS12" s="158" t="b">
        <v>0</v>
      </c>
      <c r="GT12" s="158" t="b">
        <v>0</v>
      </c>
      <c r="GU12" s="158" t="b">
        <v>0</v>
      </c>
      <c r="GV12" s="158" t="b">
        <v>0</v>
      </c>
      <c r="GW12" s="158" t="b">
        <v>0</v>
      </c>
      <c r="GX12" s="158" t="b">
        <v>0</v>
      </c>
      <c r="GY12" s="158" t="b">
        <v>0</v>
      </c>
      <c r="GZ12" s="158" t="b">
        <v>0</v>
      </c>
      <c r="HA12" s="158" t="b">
        <v>0</v>
      </c>
      <c r="HB12" s="158" t="b">
        <v>0</v>
      </c>
      <c r="HC12" s="158" t="b">
        <v>0</v>
      </c>
      <c r="HD12" s="158" t="b">
        <v>0</v>
      </c>
      <c r="HE12" s="158" t="b">
        <v>0</v>
      </c>
      <c r="HF12" s="158" t="b">
        <v>0</v>
      </c>
      <c r="HG12" s="158" t="b">
        <v>0</v>
      </c>
      <c r="HH12" s="158" t="b">
        <v>0</v>
      </c>
      <c r="HI12" s="158" t="b">
        <v>0</v>
      </c>
      <c r="HJ12" s="158" t="b">
        <v>0</v>
      </c>
      <c r="HK12" s="158" t="b">
        <v>0</v>
      </c>
      <c r="HL12" s="158" t="b">
        <v>0</v>
      </c>
      <c r="HM12" s="158" t="b">
        <v>0</v>
      </c>
      <c r="HN12" s="158" t="b">
        <v>0</v>
      </c>
      <c r="HO12" s="158" t="b">
        <v>0</v>
      </c>
      <c r="HP12" s="158" t="b">
        <v>0</v>
      </c>
      <c r="HQ12" s="158" t="b">
        <v>0</v>
      </c>
      <c r="HR12" s="158" t="b">
        <v>0</v>
      </c>
      <c r="HS12" s="158" t="b">
        <v>0</v>
      </c>
      <c r="HT12" s="93" t="b">
        <v>1</v>
      </c>
      <c r="HU12" s="93" t="b">
        <v>1</v>
      </c>
      <c r="HV12" s="93" t="b">
        <v>1</v>
      </c>
      <c r="HW12" s="93" t="b">
        <v>1</v>
      </c>
      <c r="HX12" s="93" t="b">
        <v>1</v>
      </c>
      <c r="HY12" s="158" t="b">
        <v>0</v>
      </c>
      <c r="HZ12" s="158" t="b">
        <v>0</v>
      </c>
      <c r="IA12" s="158" t="b">
        <v>0</v>
      </c>
      <c r="IB12" s="158" t="b">
        <v>0</v>
      </c>
      <c r="IC12" s="158" t="b">
        <v>0</v>
      </c>
      <c r="ID12" s="158" t="b">
        <v>0</v>
      </c>
      <c r="IE12" s="158" t="b">
        <v>0</v>
      </c>
      <c r="IF12" s="158" t="b">
        <v>0</v>
      </c>
      <c r="IG12" s="158" t="b">
        <v>0</v>
      </c>
      <c r="IH12" s="158" t="b">
        <v>0</v>
      </c>
      <c r="II12" s="158" t="b">
        <v>0</v>
      </c>
      <c r="IJ12" s="158" t="b">
        <v>0</v>
      </c>
      <c r="IK12" s="158" t="b">
        <v>0</v>
      </c>
      <c r="IL12" s="158" t="b">
        <v>0</v>
      </c>
      <c r="IM12" s="158" t="b">
        <v>0</v>
      </c>
      <c r="IN12" s="158" t="b">
        <v>0</v>
      </c>
      <c r="IO12" s="158" t="b">
        <v>0</v>
      </c>
      <c r="IP12" s="158" t="b">
        <v>0</v>
      </c>
      <c r="IQ12" s="158" t="b">
        <v>0</v>
      </c>
      <c r="IR12" s="158" t="b">
        <v>0</v>
      </c>
      <c r="IS12" s="158" t="b">
        <v>0</v>
      </c>
      <c r="IT12" s="158" t="b">
        <v>0</v>
      </c>
      <c r="IU12" s="158" t="b">
        <v>0</v>
      </c>
      <c r="IV12" s="158" t="b">
        <v>0</v>
      </c>
      <c r="IW12" s="158" t="b">
        <v>0</v>
      </c>
      <c r="IX12" s="158" t="b">
        <v>0</v>
      </c>
      <c r="IY12" s="158" t="b">
        <v>0</v>
      </c>
      <c r="IZ12" s="158" t="b">
        <v>0</v>
      </c>
      <c r="JA12" s="158" t="b">
        <v>0</v>
      </c>
      <c r="JB12" s="158" t="b">
        <v>0</v>
      </c>
      <c r="JC12" s="158" t="b">
        <v>0</v>
      </c>
      <c r="JD12" s="158" t="b">
        <v>0</v>
      </c>
      <c r="JE12" s="158" t="b">
        <v>0</v>
      </c>
      <c r="JF12" s="158" t="b">
        <v>0</v>
      </c>
      <c r="JG12" s="158" t="b">
        <v>0</v>
      </c>
      <c r="JH12" s="158" t="b">
        <v>0</v>
      </c>
      <c r="JI12" s="158" t="b">
        <v>0</v>
      </c>
      <c r="JJ12" s="158" t="b">
        <v>0</v>
      </c>
      <c r="JK12" s="158" t="b">
        <v>0</v>
      </c>
      <c r="JL12" s="158" t="b">
        <v>0</v>
      </c>
      <c r="JM12" s="158" t="b">
        <v>0</v>
      </c>
      <c r="JN12" s="158" t="b">
        <v>0</v>
      </c>
      <c r="JO12" s="158" t="b">
        <v>0</v>
      </c>
      <c r="JP12" s="158" t="b">
        <v>0</v>
      </c>
      <c r="JQ12" s="158" t="b">
        <v>0</v>
      </c>
      <c r="JR12" s="158" t="b">
        <v>0</v>
      </c>
      <c r="JS12" s="158" t="b">
        <v>0</v>
      </c>
      <c r="JT12" s="158" t="b">
        <v>0</v>
      </c>
      <c r="JU12" s="158" t="b">
        <v>0</v>
      </c>
      <c r="JV12" s="158" t="b">
        <v>0</v>
      </c>
      <c r="JW12" s="158" t="b">
        <v>0</v>
      </c>
      <c r="JX12" s="158" t="b">
        <v>0</v>
      </c>
      <c r="JY12" s="158" t="b">
        <v>0</v>
      </c>
      <c r="JZ12" s="158" t="b">
        <v>0</v>
      </c>
      <c r="KA12" s="158" t="b">
        <v>0</v>
      </c>
      <c r="KB12" s="158" t="b">
        <v>0</v>
      </c>
      <c r="KC12" s="158" t="b">
        <v>0</v>
      </c>
      <c r="KD12" s="158" t="b">
        <v>0</v>
      </c>
      <c r="KE12" s="158" t="b">
        <v>0</v>
      </c>
      <c r="KF12" s="158" t="b">
        <v>0</v>
      </c>
      <c r="KG12" s="158" t="b">
        <v>0</v>
      </c>
      <c r="KH12" s="158" t="b">
        <v>0</v>
      </c>
      <c r="KI12" s="158" t="b">
        <v>0</v>
      </c>
      <c r="KJ12" s="158" t="b">
        <v>0</v>
      </c>
      <c r="KK12" s="158" t="b">
        <v>0</v>
      </c>
      <c r="KL12" s="158" t="b">
        <v>0</v>
      </c>
      <c r="KM12" s="158" t="b">
        <v>0</v>
      </c>
      <c r="KN12" s="158" t="b">
        <v>0</v>
      </c>
      <c r="KO12" s="158" t="b">
        <v>0</v>
      </c>
      <c r="KP12" s="158" t="b">
        <v>0</v>
      </c>
      <c r="KQ12" s="158" t="b">
        <v>0</v>
      </c>
      <c r="KR12" s="158" t="b">
        <v>0</v>
      </c>
      <c r="KS12" s="158" t="b">
        <v>0</v>
      </c>
      <c r="KT12" s="158" t="b">
        <v>0</v>
      </c>
      <c r="KU12" s="158" t="b">
        <v>0</v>
      </c>
      <c r="KV12" s="158" t="b">
        <v>0</v>
      </c>
      <c r="KW12" s="158" t="b">
        <v>0</v>
      </c>
      <c r="KX12" s="158" t="b">
        <v>0</v>
      </c>
      <c r="KY12" s="158" t="b">
        <v>0</v>
      </c>
      <c r="KZ12" s="158" t="b">
        <v>0</v>
      </c>
      <c r="LA12" s="158" t="b">
        <v>0</v>
      </c>
      <c r="LB12" s="158" t="b">
        <v>0</v>
      </c>
      <c r="LC12" s="158" t="b">
        <v>0</v>
      </c>
      <c r="LD12" s="158" t="b">
        <v>0</v>
      </c>
      <c r="LE12" s="158" t="b">
        <v>0</v>
      </c>
      <c r="LF12" s="158" t="b">
        <v>0</v>
      </c>
      <c r="LG12" s="158" t="b">
        <v>0</v>
      </c>
      <c r="LH12" s="158" t="b">
        <v>0</v>
      </c>
      <c r="LI12" s="158" t="b">
        <v>0</v>
      </c>
      <c r="LJ12" s="158" t="b">
        <v>0</v>
      </c>
      <c r="LK12" s="158" t="b">
        <v>0</v>
      </c>
      <c r="LL12" s="158" t="b">
        <v>0</v>
      </c>
      <c r="LM12" s="158" t="b">
        <v>0</v>
      </c>
      <c r="LN12" s="158" t="b">
        <v>0</v>
      </c>
      <c r="LO12" s="158" t="b">
        <v>0</v>
      </c>
      <c r="LP12" s="158" t="b">
        <v>0</v>
      </c>
      <c r="LQ12" s="158" t="b">
        <v>0</v>
      </c>
      <c r="LR12" s="158" t="b">
        <v>0</v>
      </c>
      <c r="LS12" s="158" t="b">
        <v>0</v>
      </c>
      <c r="LT12" s="158" t="b">
        <v>0</v>
      </c>
      <c r="LU12" s="158" t="b">
        <v>0</v>
      </c>
      <c r="LV12" s="158" t="b">
        <v>0</v>
      </c>
      <c r="LW12" s="158" t="b">
        <v>0</v>
      </c>
      <c r="LX12" s="158" t="b">
        <v>0</v>
      </c>
      <c r="LY12" s="158" t="b">
        <v>0</v>
      </c>
      <c r="LZ12" s="158" t="b">
        <v>0</v>
      </c>
      <c r="MA12" s="158" t="b">
        <v>0</v>
      </c>
      <c r="MB12" s="158" t="b">
        <v>0</v>
      </c>
      <c r="MC12" s="158" t="b">
        <v>0</v>
      </c>
      <c r="MD12" s="158" t="b">
        <v>0</v>
      </c>
      <c r="ME12" s="158" t="b">
        <v>0</v>
      </c>
      <c r="MF12" s="158" t="b">
        <v>0</v>
      </c>
      <c r="MG12" s="158" t="b">
        <v>0</v>
      </c>
      <c r="MH12" s="158" t="b">
        <v>0</v>
      </c>
      <c r="MI12" s="158" t="b">
        <v>0</v>
      </c>
      <c r="MJ12" s="158" t="b">
        <v>0</v>
      </c>
      <c r="MK12" s="158" t="b">
        <v>0</v>
      </c>
      <c r="ML12" s="158" t="b">
        <v>0</v>
      </c>
      <c r="MM12" s="158" t="b">
        <v>0</v>
      </c>
      <c r="MN12" s="158" t="b">
        <v>0</v>
      </c>
      <c r="MO12" s="158" t="b">
        <v>0</v>
      </c>
      <c r="MP12" s="158" t="b">
        <v>0</v>
      </c>
      <c r="MQ12" s="158" t="b">
        <v>0</v>
      </c>
      <c r="MR12" s="158" t="b">
        <v>0</v>
      </c>
      <c r="MS12" s="158" t="b">
        <v>0</v>
      </c>
      <c r="MT12" s="158" t="b">
        <v>0</v>
      </c>
      <c r="MU12" s="158" t="b">
        <v>0</v>
      </c>
      <c r="MV12" s="158" t="b">
        <v>0</v>
      </c>
      <c r="MW12" s="158" t="b">
        <v>0</v>
      </c>
      <c r="MX12" s="158" t="b">
        <v>0</v>
      </c>
      <c r="MY12" s="158" t="b">
        <v>0</v>
      </c>
      <c r="MZ12" s="158" t="b">
        <v>0</v>
      </c>
      <c r="NA12" s="158" t="b">
        <v>0</v>
      </c>
      <c r="NB12" s="158" t="b">
        <v>0</v>
      </c>
      <c r="NC12" s="158" t="b">
        <v>0</v>
      </c>
      <c r="ND12" s="158" t="b">
        <v>0</v>
      </c>
      <c r="NE12" s="158" t="b">
        <v>0</v>
      </c>
      <c r="NF12" s="158" t="b">
        <v>0</v>
      </c>
      <c r="NG12" s="158" t="b">
        <v>0</v>
      </c>
      <c r="NH12" s="158" t="b">
        <v>0</v>
      </c>
      <c r="NI12" s="158" t="b">
        <v>0</v>
      </c>
      <c r="NJ12" s="158" t="b">
        <v>0</v>
      </c>
      <c r="NK12" s="158" t="b">
        <v>0</v>
      </c>
      <c r="NL12" s="158" t="b">
        <v>0</v>
      </c>
      <c r="NM12" s="158" t="b">
        <v>0</v>
      </c>
      <c r="NN12" s="158" t="b">
        <v>0</v>
      </c>
      <c r="NO12" s="158" t="b">
        <v>0</v>
      </c>
    </row>
    <row r="13" spans="1:379" ht="29.25" x14ac:dyDescent="0.4">
      <c r="A13" s="511" t="str">
        <v>Angelo's Pizza &amp; Pasta</v>
      </c>
      <c r="B13" s="158" t="b">
        <v>0</v>
      </c>
      <c r="C13" s="158" t="b">
        <v>0</v>
      </c>
      <c r="D13" s="158" t="b">
        <v>0</v>
      </c>
      <c r="E13" s="158" t="b">
        <v>0</v>
      </c>
      <c r="F13" s="158" t="b">
        <v>0</v>
      </c>
      <c r="G13" s="158" t="b">
        <v>0</v>
      </c>
      <c r="H13" s="158" t="b">
        <v>0</v>
      </c>
      <c r="I13" s="158" t="b">
        <v>0</v>
      </c>
      <c r="J13" s="158" t="b">
        <v>0</v>
      </c>
      <c r="K13" s="158" t="b">
        <v>0</v>
      </c>
      <c r="L13" s="158" t="b">
        <v>0</v>
      </c>
      <c r="M13" s="158" t="b">
        <v>0</v>
      </c>
      <c r="N13" s="158" t="b">
        <v>0</v>
      </c>
      <c r="O13" s="158" t="b">
        <v>0</v>
      </c>
      <c r="P13" s="158" t="b">
        <v>0</v>
      </c>
      <c r="Q13" s="158" t="b">
        <v>0</v>
      </c>
      <c r="R13" s="158" t="b">
        <v>0</v>
      </c>
      <c r="S13" s="158" t="b">
        <v>0</v>
      </c>
      <c r="T13" s="158" t="b">
        <v>0</v>
      </c>
      <c r="U13" s="158" t="b">
        <v>0</v>
      </c>
      <c r="V13" s="158" t="b">
        <v>0</v>
      </c>
      <c r="W13" s="158" t="b">
        <v>0</v>
      </c>
      <c r="X13" s="158" t="b">
        <v>0</v>
      </c>
      <c r="Y13" s="158" t="b">
        <v>0</v>
      </c>
      <c r="Z13" s="158" t="b">
        <v>0</v>
      </c>
      <c r="AA13" s="158" t="b">
        <v>0</v>
      </c>
      <c r="AB13" s="158" t="b">
        <v>0</v>
      </c>
      <c r="AC13" s="158" t="b">
        <v>0</v>
      </c>
      <c r="AD13" s="158" t="b">
        <v>0</v>
      </c>
      <c r="AE13" s="158" t="b">
        <v>0</v>
      </c>
      <c r="AF13" s="158" t="b">
        <v>0</v>
      </c>
      <c r="AG13" s="158" t="b">
        <v>0</v>
      </c>
      <c r="AH13" s="158" t="b">
        <v>0</v>
      </c>
      <c r="AI13" s="158" t="b">
        <v>0</v>
      </c>
      <c r="AJ13" s="158" t="b">
        <v>0</v>
      </c>
      <c r="AK13" s="158" t="b">
        <v>0</v>
      </c>
      <c r="AL13" s="158" t="b">
        <v>0</v>
      </c>
      <c r="AM13" s="158" t="b">
        <v>0</v>
      </c>
      <c r="AN13" s="158" t="b">
        <v>0</v>
      </c>
      <c r="AO13" s="158" t="b">
        <v>0</v>
      </c>
      <c r="AP13" s="158" t="b">
        <v>0</v>
      </c>
      <c r="AQ13" s="158" t="b">
        <v>0</v>
      </c>
      <c r="AR13" s="158" t="b">
        <v>0</v>
      </c>
      <c r="AS13" s="158" t="b">
        <v>0</v>
      </c>
      <c r="AT13" s="158" t="b">
        <v>0</v>
      </c>
      <c r="AU13" s="158" t="b">
        <v>0</v>
      </c>
      <c r="AV13" s="158" t="b">
        <v>0</v>
      </c>
      <c r="AW13" s="158" t="b">
        <v>0</v>
      </c>
      <c r="AX13" s="158" t="b">
        <v>0</v>
      </c>
      <c r="AY13" s="158" t="b">
        <v>0</v>
      </c>
      <c r="AZ13" s="158" t="b">
        <v>0</v>
      </c>
      <c r="BA13" s="158" t="b">
        <v>0</v>
      </c>
      <c r="BB13" s="158" t="b">
        <v>0</v>
      </c>
      <c r="BC13" s="158" t="b">
        <v>0</v>
      </c>
      <c r="BD13" s="158" t="b">
        <v>0</v>
      </c>
      <c r="BE13" s="158" t="b">
        <v>0</v>
      </c>
      <c r="BF13" s="158" t="b">
        <v>0</v>
      </c>
      <c r="BG13" s="158" t="b">
        <v>0</v>
      </c>
      <c r="BH13" s="158" t="b">
        <v>0</v>
      </c>
      <c r="BI13" s="158" t="b">
        <v>0</v>
      </c>
      <c r="BJ13" s="158" t="b">
        <v>0</v>
      </c>
      <c r="BK13" s="158" t="b">
        <v>0</v>
      </c>
      <c r="BL13" s="158" t="b">
        <v>0</v>
      </c>
      <c r="BM13" s="158" t="b">
        <v>0</v>
      </c>
      <c r="BN13" s="158" t="b">
        <v>0</v>
      </c>
      <c r="BO13" s="158" t="b">
        <v>0</v>
      </c>
      <c r="BP13" s="158" t="b">
        <v>0</v>
      </c>
      <c r="BQ13" s="158" t="b">
        <v>0</v>
      </c>
      <c r="BR13" s="158" t="b">
        <v>0</v>
      </c>
      <c r="BS13" s="158" t="b">
        <v>0</v>
      </c>
      <c r="BT13" s="158" t="b">
        <v>0</v>
      </c>
      <c r="BU13" s="158" t="b">
        <v>0</v>
      </c>
      <c r="BV13" s="158" t="b">
        <v>0</v>
      </c>
      <c r="BW13" s="158" t="b">
        <v>0</v>
      </c>
      <c r="BX13" s="158" t="b">
        <v>0</v>
      </c>
      <c r="BY13" s="158" t="b">
        <v>0</v>
      </c>
      <c r="BZ13" s="158" t="b">
        <v>0</v>
      </c>
      <c r="CA13" s="158" t="b">
        <v>0</v>
      </c>
      <c r="CB13" s="158" t="b">
        <v>0</v>
      </c>
      <c r="CC13" s="158" t="b">
        <v>0</v>
      </c>
      <c r="CD13" s="158" t="b">
        <v>0</v>
      </c>
      <c r="CE13" s="158" t="b">
        <v>0</v>
      </c>
      <c r="CF13" s="158" t="b">
        <v>0</v>
      </c>
      <c r="CG13" s="158" t="b">
        <v>0</v>
      </c>
      <c r="CH13" s="158" t="b">
        <v>0</v>
      </c>
      <c r="CI13" s="158" t="b">
        <v>0</v>
      </c>
      <c r="CJ13" s="158" t="b">
        <v>0</v>
      </c>
      <c r="CK13" s="158" t="b">
        <v>0</v>
      </c>
      <c r="CL13" s="158" t="b">
        <v>0</v>
      </c>
      <c r="CM13" s="158" t="b">
        <v>0</v>
      </c>
      <c r="CN13" s="158" t="b">
        <v>0</v>
      </c>
      <c r="CO13" s="158" t="b">
        <v>0</v>
      </c>
      <c r="CP13" s="158" t="b">
        <v>0</v>
      </c>
      <c r="CQ13" s="158" t="b">
        <v>0</v>
      </c>
      <c r="CR13" s="158" t="b">
        <v>0</v>
      </c>
      <c r="CS13" s="158" t="b">
        <v>0</v>
      </c>
      <c r="CT13" s="158" t="b">
        <v>0</v>
      </c>
      <c r="CU13" s="158" t="b">
        <v>0</v>
      </c>
      <c r="CV13" s="158" t="b">
        <v>0</v>
      </c>
      <c r="CW13" s="158" t="b">
        <v>0</v>
      </c>
      <c r="CX13" s="158" t="b">
        <v>0</v>
      </c>
      <c r="CY13" s="158" t="b">
        <v>0</v>
      </c>
      <c r="CZ13" s="158" t="b">
        <v>0</v>
      </c>
      <c r="DA13" s="158" t="b">
        <v>0</v>
      </c>
      <c r="DB13" s="158" t="b">
        <v>0</v>
      </c>
      <c r="DC13" s="158" t="b">
        <v>0</v>
      </c>
      <c r="DD13" s="158" t="b">
        <v>0</v>
      </c>
      <c r="DE13" s="158" t="b">
        <v>0</v>
      </c>
      <c r="DF13" s="158" t="b">
        <v>0</v>
      </c>
      <c r="DG13" s="158" t="b">
        <v>0</v>
      </c>
      <c r="DH13" s="158" t="b">
        <v>0</v>
      </c>
      <c r="DI13" s="158" t="b">
        <v>0</v>
      </c>
      <c r="DJ13" s="158" t="b">
        <v>0</v>
      </c>
      <c r="DK13" s="158" t="b">
        <v>0</v>
      </c>
      <c r="DL13" s="158" t="b">
        <v>0</v>
      </c>
      <c r="DM13" s="158" t="b">
        <v>0</v>
      </c>
      <c r="DN13" s="158" t="b">
        <v>0</v>
      </c>
      <c r="DO13" s="158" t="b">
        <v>0</v>
      </c>
      <c r="DP13" s="158" t="b">
        <v>0</v>
      </c>
      <c r="DQ13" s="158" t="b">
        <v>0</v>
      </c>
      <c r="DR13" s="93" t="b">
        <v>0</v>
      </c>
      <c r="DS13" s="93" t="b">
        <v>0</v>
      </c>
      <c r="DT13" s="93" t="b">
        <v>0</v>
      </c>
      <c r="DU13" s="158" t="b">
        <v>0</v>
      </c>
      <c r="DV13" s="158" t="b">
        <v>0</v>
      </c>
      <c r="DW13" s="158" t="b">
        <v>0</v>
      </c>
      <c r="DX13" s="158" t="b">
        <v>0</v>
      </c>
      <c r="DY13" s="158" t="b">
        <v>0</v>
      </c>
      <c r="DZ13" s="158" t="b">
        <v>0</v>
      </c>
      <c r="EA13" s="158" t="b">
        <v>0</v>
      </c>
      <c r="EB13" s="158" t="b">
        <v>0</v>
      </c>
      <c r="EC13" s="158" t="b">
        <v>0</v>
      </c>
      <c r="ED13" s="158" t="b">
        <v>0</v>
      </c>
      <c r="EE13" s="158" t="b">
        <v>0</v>
      </c>
      <c r="EF13" s="158" t="b">
        <v>0</v>
      </c>
      <c r="EG13" s="158" t="b">
        <v>0</v>
      </c>
      <c r="EH13" s="158" t="b">
        <v>0</v>
      </c>
      <c r="EI13" s="93" t="b">
        <v>0</v>
      </c>
      <c r="EJ13" s="93" t="b">
        <v>0</v>
      </c>
      <c r="EK13" s="158" t="b">
        <v>0</v>
      </c>
      <c r="EL13" s="158" t="b">
        <v>0</v>
      </c>
      <c r="EM13" s="158" t="b">
        <v>0</v>
      </c>
      <c r="EN13" s="158" t="b">
        <v>0</v>
      </c>
      <c r="EO13" s="158" t="b">
        <v>0</v>
      </c>
      <c r="EP13" s="158" t="b">
        <v>0</v>
      </c>
      <c r="EQ13" s="158" t="b">
        <v>0</v>
      </c>
      <c r="ER13" s="158" t="b">
        <v>0</v>
      </c>
      <c r="ES13" s="158" t="b">
        <v>0</v>
      </c>
      <c r="ET13" s="158" t="b">
        <v>0</v>
      </c>
      <c r="EU13" s="158" t="b">
        <v>0</v>
      </c>
      <c r="EV13" s="158" t="b">
        <v>0</v>
      </c>
      <c r="EW13" s="158" t="b">
        <v>0</v>
      </c>
      <c r="EX13" s="158" t="b">
        <v>0</v>
      </c>
      <c r="EY13" s="158" t="b">
        <v>0</v>
      </c>
      <c r="EZ13" s="158" t="b">
        <v>0</v>
      </c>
      <c r="FA13" s="158" t="b">
        <v>0</v>
      </c>
      <c r="FB13" s="158" t="b">
        <v>0</v>
      </c>
      <c r="FC13" s="158" t="b">
        <v>0</v>
      </c>
      <c r="FD13" s="158" t="b">
        <v>0</v>
      </c>
      <c r="FE13" s="158" t="b">
        <v>0</v>
      </c>
      <c r="FF13" s="158" t="b">
        <v>0</v>
      </c>
      <c r="FG13" s="158" t="b">
        <v>0</v>
      </c>
      <c r="FH13" s="158" t="b">
        <v>0</v>
      </c>
      <c r="FI13" s="158" t="b">
        <v>0</v>
      </c>
      <c r="FJ13" s="158" t="b">
        <v>0</v>
      </c>
      <c r="FK13" s="158" t="b">
        <v>0</v>
      </c>
      <c r="FL13" s="158" t="b">
        <v>0</v>
      </c>
      <c r="FM13" s="158" t="b">
        <v>0</v>
      </c>
      <c r="FN13" s="158" t="b">
        <v>0</v>
      </c>
      <c r="FO13" s="158" t="b">
        <v>0</v>
      </c>
      <c r="FP13" s="158" t="b">
        <v>0</v>
      </c>
      <c r="FQ13" s="158" t="b">
        <v>0</v>
      </c>
      <c r="FR13" s="158" t="b">
        <v>0</v>
      </c>
      <c r="FS13" s="158" t="b">
        <v>0</v>
      </c>
      <c r="FT13" s="158" t="b">
        <v>0</v>
      </c>
      <c r="FU13" s="158" t="b">
        <v>0</v>
      </c>
      <c r="FV13" s="158" t="b">
        <v>0</v>
      </c>
      <c r="FW13" s="158" t="b">
        <v>0</v>
      </c>
      <c r="FX13" s="158" t="b">
        <v>0</v>
      </c>
      <c r="FY13" s="158" t="b">
        <v>0</v>
      </c>
      <c r="FZ13" s="158" t="b">
        <v>0</v>
      </c>
      <c r="GA13" s="158" t="b">
        <v>0</v>
      </c>
      <c r="GB13" s="158" t="b">
        <v>0</v>
      </c>
      <c r="GC13" s="158" t="b">
        <v>0</v>
      </c>
      <c r="GD13" s="158" t="b">
        <v>0</v>
      </c>
      <c r="GE13" s="158" t="b">
        <v>0</v>
      </c>
      <c r="GF13" s="158" t="b">
        <v>0</v>
      </c>
      <c r="GG13" s="158" t="b">
        <v>0</v>
      </c>
      <c r="GH13" s="158" t="b">
        <v>0</v>
      </c>
      <c r="GI13" s="158" t="b">
        <v>0</v>
      </c>
      <c r="GJ13" s="158" t="b">
        <v>0</v>
      </c>
      <c r="GK13" s="158" t="b">
        <v>0</v>
      </c>
      <c r="GL13" s="158" t="b">
        <v>0</v>
      </c>
      <c r="GM13" s="158" t="b">
        <v>0</v>
      </c>
      <c r="GN13" s="158" t="b">
        <v>0</v>
      </c>
      <c r="GO13" s="158" t="b">
        <v>0</v>
      </c>
      <c r="GP13" s="158" t="b">
        <v>0</v>
      </c>
      <c r="GQ13" s="158" t="b">
        <v>0</v>
      </c>
      <c r="GR13" s="158" t="b">
        <v>0</v>
      </c>
      <c r="GS13" s="158" t="b">
        <v>0</v>
      </c>
      <c r="GT13" s="158" t="b">
        <v>0</v>
      </c>
      <c r="GU13" s="158" t="b">
        <v>0</v>
      </c>
      <c r="GV13" s="158" t="b">
        <v>0</v>
      </c>
      <c r="GW13" s="158" t="b">
        <v>0</v>
      </c>
      <c r="GX13" s="158" t="b">
        <v>0</v>
      </c>
      <c r="GY13" s="158" t="b">
        <v>0</v>
      </c>
      <c r="GZ13" s="158" t="b">
        <v>0</v>
      </c>
      <c r="HA13" s="158" t="b">
        <v>0</v>
      </c>
      <c r="HB13" s="158" t="b">
        <v>0</v>
      </c>
      <c r="HC13" s="158" t="b">
        <v>0</v>
      </c>
      <c r="HD13" s="158" t="b">
        <v>0</v>
      </c>
      <c r="HE13" s="158" t="b">
        <v>0</v>
      </c>
      <c r="HF13" s="158" t="b">
        <v>0</v>
      </c>
      <c r="HG13" s="158" t="b">
        <v>0</v>
      </c>
      <c r="HH13" s="93" t="b">
        <v>1</v>
      </c>
      <c r="HI13" s="93" t="b">
        <v>1</v>
      </c>
      <c r="HJ13" s="93" t="b">
        <v>1</v>
      </c>
      <c r="HK13" s="158" t="b">
        <v>0</v>
      </c>
      <c r="HL13" s="158" t="b">
        <v>0</v>
      </c>
      <c r="HM13" s="158" t="b">
        <v>0</v>
      </c>
      <c r="HN13" s="158" t="b">
        <v>0</v>
      </c>
      <c r="HO13" s="93" t="b">
        <v>1</v>
      </c>
      <c r="HP13" s="158" t="b">
        <v>0</v>
      </c>
      <c r="HQ13" s="93" t="b">
        <v>1</v>
      </c>
      <c r="HR13" s="158" t="b">
        <v>0</v>
      </c>
      <c r="HS13" s="158" t="b">
        <v>0</v>
      </c>
      <c r="HT13" s="93" t="b">
        <v>1</v>
      </c>
      <c r="HU13" s="93" t="b">
        <v>1</v>
      </c>
      <c r="HV13" s="93" t="b">
        <v>1</v>
      </c>
      <c r="HW13" s="93" t="b">
        <v>1</v>
      </c>
      <c r="HX13" s="93" t="b">
        <v>1</v>
      </c>
      <c r="HY13" s="158" t="b">
        <v>0</v>
      </c>
      <c r="HZ13" s="158" t="b">
        <v>0</v>
      </c>
      <c r="IA13" s="158" t="b">
        <v>0</v>
      </c>
      <c r="IB13" s="158" t="b">
        <v>0</v>
      </c>
      <c r="IC13" s="158" t="b">
        <v>0</v>
      </c>
      <c r="ID13" s="158" t="b">
        <v>0</v>
      </c>
      <c r="IE13" s="158" t="b">
        <v>0</v>
      </c>
      <c r="IF13" s="158" t="b">
        <v>0</v>
      </c>
      <c r="IG13" s="158" t="b">
        <v>0</v>
      </c>
      <c r="IH13" s="158" t="b">
        <v>0</v>
      </c>
      <c r="II13" s="158" t="b">
        <v>0</v>
      </c>
      <c r="IJ13" s="158" t="b">
        <v>0</v>
      </c>
      <c r="IK13" s="158" t="b">
        <v>0</v>
      </c>
      <c r="IL13" s="158" t="b">
        <v>0</v>
      </c>
      <c r="IM13" s="158" t="b">
        <v>0</v>
      </c>
      <c r="IN13" s="158" t="b">
        <v>0</v>
      </c>
      <c r="IO13" s="158" t="b">
        <v>0</v>
      </c>
      <c r="IP13" s="158" t="b">
        <v>0</v>
      </c>
      <c r="IQ13" s="158" t="b">
        <v>0</v>
      </c>
      <c r="IR13" s="158" t="b">
        <v>0</v>
      </c>
      <c r="IS13" s="158" t="b">
        <v>0</v>
      </c>
      <c r="IT13" s="158" t="b">
        <v>0</v>
      </c>
      <c r="IU13" s="158" t="b">
        <v>0</v>
      </c>
      <c r="IV13" s="158" t="b">
        <v>0</v>
      </c>
      <c r="IW13" s="158" t="b">
        <v>0</v>
      </c>
      <c r="IX13" s="158" t="b">
        <v>0</v>
      </c>
      <c r="IY13" s="158" t="b">
        <v>0</v>
      </c>
      <c r="IZ13" s="158" t="b">
        <v>0</v>
      </c>
      <c r="JA13" s="158" t="b">
        <v>0</v>
      </c>
      <c r="JB13" s="158" t="b">
        <v>0</v>
      </c>
      <c r="JC13" s="158" t="b">
        <v>0</v>
      </c>
      <c r="JD13" s="158" t="b">
        <v>0</v>
      </c>
      <c r="JE13" s="158" t="b">
        <v>0</v>
      </c>
      <c r="JF13" s="158" t="b">
        <v>0</v>
      </c>
      <c r="JG13" s="158" t="b">
        <v>0</v>
      </c>
      <c r="JH13" s="158" t="b">
        <v>0</v>
      </c>
      <c r="JI13" s="158" t="b">
        <v>0</v>
      </c>
      <c r="JJ13" s="158" t="b">
        <v>0</v>
      </c>
      <c r="JK13" s="158" t="b">
        <v>0</v>
      </c>
      <c r="JL13" s="158" t="b">
        <v>0</v>
      </c>
      <c r="JM13" s="158" t="b">
        <v>0</v>
      </c>
      <c r="JN13" s="158" t="b">
        <v>0</v>
      </c>
      <c r="JO13" s="158" t="b">
        <v>0</v>
      </c>
      <c r="JP13" s="158" t="b">
        <v>0</v>
      </c>
      <c r="JQ13" s="158" t="b">
        <v>0</v>
      </c>
      <c r="JR13" s="158" t="b">
        <v>0</v>
      </c>
      <c r="JS13" s="158" t="b">
        <v>0</v>
      </c>
      <c r="JT13" s="158" t="b">
        <v>0</v>
      </c>
      <c r="JU13" s="158" t="b">
        <v>0</v>
      </c>
      <c r="JV13" s="158" t="b">
        <v>0</v>
      </c>
      <c r="JW13" s="158" t="b">
        <v>0</v>
      </c>
      <c r="JX13" s="158" t="b">
        <v>0</v>
      </c>
      <c r="JY13" s="158" t="b">
        <v>0</v>
      </c>
      <c r="JZ13" s="158" t="b">
        <v>0</v>
      </c>
      <c r="KA13" s="158" t="b">
        <v>0</v>
      </c>
      <c r="KB13" s="158" t="b">
        <v>0</v>
      </c>
      <c r="KC13" s="158" t="b">
        <v>0</v>
      </c>
      <c r="KD13" s="158" t="b">
        <v>0</v>
      </c>
      <c r="KE13" s="158" t="b">
        <v>0</v>
      </c>
      <c r="KF13" s="158" t="b">
        <v>0</v>
      </c>
      <c r="KG13" s="158" t="b">
        <v>0</v>
      </c>
      <c r="KH13" s="158" t="b">
        <v>0</v>
      </c>
      <c r="KI13" s="158" t="b">
        <v>0</v>
      </c>
      <c r="KJ13" s="158" t="b">
        <v>0</v>
      </c>
      <c r="KK13" s="158" t="b">
        <v>0</v>
      </c>
      <c r="KL13" s="158" t="b">
        <v>0</v>
      </c>
      <c r="KM13" s="158" t="b">
        <v>0</v>
      </c>
      <c r="KN13" s="158" t="b">
        <v>0</v>
      </c>
      <c r="KO13" s="158" t="b">
        <v>0</v>
      </c>
      <c r="KP13" s="158" t="b">
        <v>0</v>
      </c>
      <c r="KQ13" s="158" t="b">
        <v>0</v>
      </c>
      <c r="KR13" s="158" t="b">
        <v>0</v>
      </c>
      <c r="KS13" s="158" t="b">
        <v>0</v>
      </c>
      <c r="KT13" s="158" t="b">
        <v>0</v>
      </c>
      <c r="KU13" s="158" t="b">
        <v>0</v>
      </c>
      <c r="KV13" s="158" t="b">
        <v>0</v>
      </c>
      <c r="KW13" s="158" t="b">
        <v>0</v>
      </c>
      <c r="KX13" s="158" t="b">
        <v>0</v>
      </c>
      <c r="KY13" s="158" t="b">
        <v>0</v>
      </c>
      <c r="KZ13" s="158" t="b">
        <v>0</v>
      </c>
      <c r="LA13" s="158" t="b">
        <v>0</v>
      </c>
      <c r="LB13" s="158" t="b">
        <v>0</v>
      </c>
      <c r="LC13" s="158" t="b">
        <v>0</v>
      </c>
      <c r="LD13" s="158" t="b">
        <v>0</v>
      </c>
      <c r="LE13" s="158" t="b">
        <v>0</v>
      </c>
      <c r="LF13" s="158" t="b">
        <v>0</v>
      </c>
      <c r="LG13" s="158" t="b">
        <v>0</v>
      </c>
      <c r="LH13" s="158" t="b">
        <v>0</v>
      </c>
      <c r="LI13" s="158" t="b">
        <v>0</v>
      </c>
      <c r="LJ13" s="158" t="b">
        <v>0</v>
      </c>
      <c r="LK13" s="158" t="b">
        <v>0</v>
      </c>
      <c r="LL13" s="158" t="b">
        <v>0</v>
      </c>
      <c r="LM13" s="158" t="b">
        <v>0</v>
      </c>
      <c r="LN13" s="158" t="b">
        <v>0</v>
      </c>
      <c r="LO13" s="158" t="b">
        <v>0</v>
      </c>
      <c r="LP13" s="158" t="b">
        <v>0</v>
      </c>
      <c r="LQ13" s="158" t="b">
        <v>0</v>
      </c>
      <c r="LR13" s="158" t="b">
        <v>0</v>
      </c>
      <c r="LS13" s="158" t="b">
        <v>0</v>
      </c>
      <c r="LT13" s="158" t="b">
        <v>0</v>
      </c>
      <c r="LU13" s="158" t="b">
        <v>0</v>
      </c>
      <c r="LV13" s="158" t="b">
        <v>0</v>
      </c>
      <c r="LW13" s="158" t="b">
        <v>0</v>
      </c>
      <c r="LX13" s="158" t="b">
        <v>0</v>
      </c>
      <c r="LY13" s="158" t="b">
        <v>0</v>
      </c>
      <c r="LZ13" s="158" t="b">
        <v>0</v>
      </c>
      <c r="MA13" s="158" t="b">
        <v>0</v>
      </c>
      <c r="MB13" s="158" t="b">
        <v>0</v>
      </c>
      <c r="MC13" s="158" t="b">
        <v>0</v>
      </c>
      <c r="MD13" s="158" t="b">
        <v>0</v>
      </c>
      <c r="ME13" s="158" t="b">
        <v>0</v>
      </c>
      <c r="MF13" s="158" t="b">
        <v>0</v>
      </c>
      <c r="MG13" s="158" t="b">
        <v>0</v>
      </c>
      <c r="MH13" s="158" t="b">
        <v>0</v>
      </c>
      <c r="MI13" s="158" t="b">
        <v>0</v>
      </c>
      <c r="MJ13" s="158" t="b">
        <v>0</v>
      </c>
      <c r="MK13" s="158" t="b">
        <v>0</v>
      </c>
      <c r="ML13" s="158" t="b">
        <v>0</v>
      </c>
      <c r="MM13" s="158" t="b">
        <v>0</v>
      </c>
      <c r="MN13" s="158" t="b">
        <v>0</v>
      </c>
      <c r="MO13" s="158" t="b">
        <v>0</v>
      </c>
      <c r="MP13" s="158" t="b">
        <v>0</v>
      </c>
      <c r="MQ13" s="158" t="b">
        <v>0</v>
      </c>
      <c r="MR13" s="158" t="b">
        <v>0</v>
      </c>
      <c r="MS13" s="158" t="b">
        <v>0</v>
      </c>
      <c r="MT13" s="158" t="b">
        <v>0</v>
      </c>
      <c r="MU13" s="158" t="b">
        <v>0</v>
      </c>
      <c r="MV13" s="158" t="b">
        <v>0</v>
      </c>
      <c r="MW13" s="158" t="b">
        <v>0</v>
      </c>
      <c r="MX13" s="158" t="b">
        <v>0</v>
      </c>
      <c r="MY13" s="158" t="b">
        <v>0</v>
      </c>
      <c r="MZ13" s="158" t="b">
        <v>0</v>
      </c>
      <c r="NA13" s="158" t="b">
        <v>0</v>
      </c>
      <c r="NB13" s="158" t="b">
        <v>0</v>
      </c>
      <c r="NC13" s="158" t="b">
        <v>0</v>
      </c>
      <c r="ND13" s="158" t="b">
        <v>0</v>
      </c>
      <c r="NE13" s="158" t="b">
        <v>0</v>
      </c>
      <c r="NF13" s="158" t="b">
        <v>0</v>
      </c>
      <c r="NG13" s="158" t="b">
        <v>0</v>
      </c>
      <c r="NH13" s="158" t="b">
        <v>0</v>
      </c>
      <c r="NI13" s="158" t="b">
        <v>0</v>
      </c>
      <c r="NJ13" s="158" t="b">
        <v>0</v>
      </c>
      <c r="NK13" s="158" t="b">
        <v>0</v>
      </c>
      <c r="NL13" s="158" t="b">
        <v>0</v>
      </c>
      <c r="NM13" s="158" t="b">
        <v>0</v>
      </c>
      <c r="NN13" s="158" t="b">
        <v>0</v>
      </c>
      <c r="NO13" s="158" t="b">
        <v>0</v>
      </c>
    </row>
    <row r="14" spans="1:379" ht="29.25" x14ac:dyDescent="0.4">
      <c r="A14" s="511" t="str">
        <v>Fried Chicken Truck</v>
      </c>
      <c r="B14" s="93" t="b">
        <v>0</v>
      </c>
      <c r="C14" s="158" t="b">
        <v>0</v>
      </c>
      <c r="D14" s="158" t="b">
        <v>0</v>
      </c>
      <c r="E14" s="158" t="b">
        <v>0</v>
      </c>
      <c r="F14" s="158" t="b">
        <v>0</v>
      </c>
      <c r="G14" s="158" t="b">
        <v>0</v>
      </c>
      <c r="H14" s="158" t="b">
        <v>0</v>
      </c>
      <c r="I14" s="158" t="b">
        <v>0</v>
      </c>
      <c r="J14" s="158" t="b">
        <v>0</v>
      </c>
      <c r="K14" s="158" t="b">
        <v>0</v>
      </c>
      <c r="L14" s="158" t="b">
        <v>0</v>
      </c>
      <c r="M14" s="158" t="b">
        <v>0</v>
      </c>
      <c r="N14" s="158" t="b">
        <v>0</v>
      </c>
      <c r="O14" s="158" t="b">
        <v>0</v>
      </c>
      <c r="P14" s="158" t="b">
        <v>0</v>
      </c>
      <c r="Q14" s="158" t="b">
        <v>0</v>
      </c>
      <c r="R14" s="158" t="b">
        <v>0</v>
      </c>
      <c r="S14" s="158" t="b">
        <v>0</v>
      </c>
      <c r="T14" s="158" t="b">
        <v>0</v>
      </c>
      <c r="U14" s="158" t="b">
        <v>0</v>
      </c>
      <c r="V14" s="158" t="b">
        <v>0</v>
      </c>
      <c r="W14" s="158" t="b">
        <v>0</v>
      </c>
      <c r="X14" s="158" t="b">
        <v>0</v>
      </c>
      <c r="Y14" s="158" t="b">
        <v>0</v>
      </c>
      <c r="Z14" s="158" t="b">
        <v>0</v>
      </c>
      <c r="AA14" s="158" t="b">
        <v>0</v>
      </c>
      <c r="AB14" s="158" t="b">
        <v>0</v>
      </c>
      <c r="AC14" s="158" t="b">
        <v>0</v>
      </c>
      <c r="AD14" s="158" t="b">
        <v>0</v>
      </c>
      <c r="AE14" s="158" t="b">
        <v>0</v>
      </c>
      <c r="AF14" s="158" t="b">
        <v>0</v>
      </c>
      <c r="AG14" s="158" t="b">
        <v>0</v>
      </c>
      <c r="AH14" s="158" t="b">
        <v>0</v>
      </c>
      <c r="AI14" s="158" t="b">
        <v>0</v>
      </c>
      <c r="AJ14" s="158" t="b">
        <v>0</v>
      </c>
      <c r="AK14" s="158" t="b">
        <v>0</v>
      </c>
      <c r="AL14" s="158" t="b">
        <v>0</v>
      </c>
      <c r="AM14" s="158" t="b">
        <v>0</v>
      </c>
      <c r="AN14" s="158" t="b">
        <v>0</v>
      </c>
      <c r="AO14" s="158" t="b">
        <v>0</v>
      </c>
      <c r="AP14" s="158" t="b">
        <v>0</v>
      </c>
      <c r="AQ14" s="158" t="b">
        <v>0</v>
      </c>
      <c r="AR14" s="158" t="b">
        <v>0</v>
      </c>
      <c r="AS14" s="158" t="b">
        <v>0</v>
      </c>
      <c r="AT14" s="158" t="b">
        <v>0</v>
      </c>
      <c r="AU14" s="158" t="b">
        <v>0</v>
      </c>
      <c r="AV14" s="158" t="b">
        <v>0</v>
      </c>
      <c r="AW14" s="158" t="b">
        <v>0</v>
      </c>
      <c r="AX14" s="158" t="b">
        <v>0</v>
      </c>
      <c r="AY14" s="158" t="b">
        <v>0</v>
      </c>
      <c r="AZ14" s="158" t="b">
        <v>0</v>
      </c>
      <c r="BA14" s="158" t="b">
        <v>0</v>
      </c>
      <c r="BB14" s="158" t="b">
        <v>0</v>
      </c>
      <c r="BC14" s="158" t="b">
        <v>0</v>
      </c>
      <c r="BD14" s="158" t="b">
        <v>0</v>
      </c>
      <c r="BE14" s="158" t="b">
        <v>0</v>
      </c>
      <c r="BF14" s="158" t="b">
        <v>0</v>
      </c>
      <c r="BG14" s="158" t="b">
        <v>0</v>
      </c>
      <c r="BH14" s="158" t="b">
        <v>0</v>
      </c>
      <c r="BI14" s="158" t="b">
        <v>0</v>
      </c>
      <c r="BJ14" s="158" t="b">
        <v>0</v>
      </c>
      <c r="BK14" s="158" t="b">
        <v>0</v>
      </c>
      <c r="BL14" s="158" t="b">
        <v>0</v>
      </c>
      <c r="BM14" s="158" t="b">
        <v>0</v>
      </c>
      <c r="BN14" s="158" t="b">
        <v>0</v>
      </c>
      <c r="BO14" s="158" t="b">
        <v>0</v>
      </c>
      <c r="BP14" s="158" t="b">
        <v>0</v>
      </c>
      <c r="BQ14" s="158" t="b">
        <v>0</v>
      </c>
      <c r="BR14" s="158" t="b">
        <v>0</v>
      </c>
      <c r="BS14" s="158" t="b">
        <v>0</v>
      </c>
      <c r="BT14" s="158" t="b">
        <v>0</v>
      </c>
      <c r="BU14" s="158" t="b">
        <v>0</v>
      </c>
      <c r="BV14" s="158" t="b">
        <v>0</v>
      </c>
      <c r="BW14" s="158" t="b">
        <v>0</v>
      </c>
      <c r="BX14" s="158" t="b">
        <v>0</v>
      </c>
      <c r="BY14" s="158" t="b">
        <v>0</v>
      </c>
      <c r="BZ14" s="158" t="b">
        <v>0</v>
      </c>
      <c r="CA14" s="158" t="b">
        <v>0</v>
      </c>
      <c r="CB14" s="158" t="b">
        <v>0</v>
      </c>
      <c r="CC14" s="158" t="b">
        <v>0</v>
      </c>
      <c r="CD14" s="158" t="b">
        <v>0</v>
      </c>
      <c r="CE14" s="158" t="b">
        <v>0</v>
      </c>
      <c r="CF14" s="158" t="b">
        <v>0</v>
      </c>
      <c r="CG14" s="158" t="b">
        <v>0</v>
      </c>
      <c r="CH14" s="158" t="b">
        <v>0</v>
      </c>
      <c r="CI14" s="158" t="b">
        <v>0</v>
      </c>
      <c r="CJ14" s="158" t="b">
        <v>0</v>
      </c>
      <c r="CK14" s="158" t="b">
        <v>0</v>
      </c>
      <c r="CL14" s="158" t="b">
        <v>0</v>
      </c>
      <c r="CM14" s="158" t="b">
        <v>0</v>
      </c>
      <c r="CN14" s="158" t="b">
        <v>0</v>
      </c>
      <c r="CO14" s="158" t="b">
        <v>0</v>
      </c>
      <c r="CP14" s="158" t="b">
        <v>0</v>
      </c>
      <c r="CQ14" s="158" t="b">
        <v>0</v>
      </c>
      <c r="CR14" s="158" t="b">
        <v>0</v>
      </c>
      <c r="CS14" s="158" t="b">
        <v>0</v>
      </c>
      <c r="CT14" s="158" t="b">
        <v>0</v>
      </c>
      <c r="CU14" s="158" t="b">
        <v>0</v>
      </c>
      <c r="CV14" s="158" t="b">
        <v>0</v>
      </c>
      <c r="CW14" s="158" t="b">
        <v>0</v>
      </c>
      <c r="CX14" s="158" t="b">
        <v>0</v>
      </c>
      <c r="CY14" s="158" t="b">
        <v>0</v>
      </c>
      <c r="CZ14" s="158" t="b">
        <v>0</v>
      </c>
      <c r="DA14" s="158" t="b">
        <v>0</v>
      </c>
      <c r="DB14" s="158" t="b">
        <v>0</v>
      </c>
      <c r="DC14" s="158" t="b">
        <v>0</v>
      </c>
      <c r="DD14" s="158" t="b">
        <v>0</v>
      </c>
      <c r="DE14" s="158" t="b">
        <v>0</v>
      </c>
      <c r="DF14" s="158" t="b">
        <v>0</v>
      </c>
      <c r="DG14" s="158" t="b">
        <v>0</v>
      </c>
      <c r="DH14" s="158" t="b">
        <v>0</v>
      </c>
      <c r="DI14" s="158" t="b">
        <v>0</v>
      </c>
      <c r="DJ14" s="158" t="b">
        <v>0</v>
      </c>
      <c r="DK14" s="158" t="b">
        <v>0</v>
      </c>
      <c r="DL14" s="158" t="b">
        <v>0</v>
      </c>
      <c r="DM14" s="158" t="b">
        <v>0</v>
      </c>
      <c r="DN14" s="158" t="b">
        <v>0</v>
      </c>
      <c r="DO14" s="158" t="b">
        <v>0</v>
      </c>
      <c r="DP14" s="158" t="b">
        <v>0</v>
      </c>
      <c r="DQ14" s="158" t="b">
        <v>0</v>
      </c>
      <c r="DR14" s="158" t="b">
        <v>0</v>
      </c>
      <c r="DS14" s="158" t="b">
        <v>0</v>
      </c>
      <c r="DT14" s="158" t="b">
        <v>0</v>
      </c>
      <c r="DU14" s="158" t="b">
        <v>0</v>
      </c>
      <c r="DV14" s="158" t="b">
        <v>0</v>
      </c>
      <c r="DW14" s="158" t="b">
        <v>0</v>
      </c>
      <c r="DX14" s="158" t="b">
        <v>0</v>
      </c>
      <c r="DY14" s="158" t="b">
        <v>0</v>
      </c>
      <c r="DZ14" s="158" t="b">
        <v>0</v>
      </c>
      <c r="EA14" s="158" t="b">
        <v>0</v>
      </c>
      <c r="EB14" s="158" t="b">
        <v>0</v>
      </c>
      <c r="EC14" s="158" t="b">
        <v>0</v>
      </c>
      <c r="ED14" s="158" t="b">
        <v>0</v>
      </c>
      <c r="EE14" s="158" t="b">
        <v>0</v>
      </c>
      <c r="EF14" s="158" t="b">
        <v>0</v>
      </c>
      <c r="EG14" s="158" t="b">
        <v>0</v>
      </c>
      <c r="EH14" s="158" t="b">
        <v>0</v>
      </c>
      <c r="EI14" s="158" t="b">
        <v>0</v>
      </c>
      <c r="EJ14" s="158" t="b">
        <v>0</v>
      </c>
      <c r="EK14" s="158" t="b">
        <v>0</v>
      </c>
      <c r="EL14" s="158" t="b">
        <v>0</v>
      </c>
      <c r="EM14" s="158" t="b">
        <v>0</v>
      </c>
      <c r="EN14" s="158" t="b">
        <v>0</v>
      </c>
      <c r="EO14" s="158" t="b">
        <v>0</v>
      </c>
      <c r="EP14" s="158" t="b">
        <v>0</v>
      </c>
      <c r="EQ14" s="158" t="b">
        <v>0</v>
      </c>
      <c r="ER14" s="158" t="b">
        <v>0</v>
      </c>
      <c r="ES14" s="158" t="b">
        <v>0</v>
      </c>
      <c r="ET14" s="158" t="b">
        <v>0</v>
      </c>
      <c r="EU14" s="158" t="b">
        <v>0</v>
      </c>
      <c r="EV14" s="158" t="b">
        <v>0</v>
      </c>
      <c r="EW14" s="158" t="b">
        <v>0</v>
      </c>
      <c r="EX14" s="158" t="b">
        <v>0</v>
      </c>
      <c r="EY14" s="158" t="b">
        <v>0</v>
      </c>
      <c r="EZ14" s="158" t="b">
        <v>0</v>
      </c>
      <c r="FA14" s="158" t="b">
        <v>0</v>
      </c>
      <c r="FB14" s="158" t="b">
        <v>0</v>
      </c>
      <c r="FC14" s="158" t="b">
        <v>0</v>
      </c>
      <c r="FD14" s="158" t="b">
        <v>0</v>
      </c>
      <c r="FE14" s="158" t="b">
        <v>0</v>
      </c>
      <c r="FF14" s="158" t="b">
        <v>0</v>
      </c>
      <c r="FG14" s="158" t="b">
        <v>0</v>
      </c>
      <c r="FH14" s="158" t="b">
        <v>0</v>
      </c>
      <c r="FI14" s="158" t="b">
        <v>0</v>
      </c>
      <c r="FJ14" s="158" t="b">
        <v>0</v>
      </c>
      <c r="FK14" s="158" t="b">
        <v>0</v>
      </c>
      <c r="FL14" s="158" t="b">
        <v>0</v>
      </c>
      <c r="FM14" s="158" t="b">
        <v>0</v>
      </c>
      <c r="FN14" s="158" t="b">
        <v>0</v>
      </c>
      <c r="FO14" s="158" t="b">
        <v>0</v>
      </c>
      <c r="FP14" s="158" t="b">
        <v>0</v>
      </c>
      <c r="FQ14" s="158" t="b">
        <v>0</v>
      </c>
      <c r="FR14" s="158" t="b">
        <v>0</v>
      </c>
      <c r="FS14" s="158" t="b">
        <v>0</v>
      </c>
      <c r="FT14" s="158" t="b">
        <v>0</v>
      </c>
      <c r="FU14" s="158" t="b">
        <v>0</v>
      </c>
      <c r="FV14" s="158" t="b">
        <v>0</v>
      </c>
      <c r="FW14" s="158" t="b">
        <v>0</v>
      </c>
      <c r="FX14" s="158" t="b">
        <v>0</v>
      </c>
      <c r="FY14" s="158" t="b">
        <v>0</v>
      </c>
      <c r="FZ14" s="158" t="b">
        <v>0</v>
      </c>
      <c r="GA14" s="158" t="b">
        <v>0</v>
      </c>
      <c r="GB14" s="158" t="b">
        <v>0</v>
      </c>
      <c r="GC14" s="158" t="b">
        <v>0</v>
      </c>
      <c r="GD14" s="158" t="b">
        <v>0</v>
      </c>
      <c r="GE14" s="158" t="b">
        <v>0</v>
      </c>
      <c r="GF14" s="158" t="b">
        <v>0</v>
      </c>
      <c r="GG14" s="158" t="b">
        <v>0</v>
      </c>
      <c r="GH14" s="158" t="b">
        <v>0</v>
      </c>
      <c r="GI14" s="158" t="b">
        <v>0</v>
      </c>
      <c r="GJ14" s="158" t="b">
        <v>0</v>
      </c>
      <c r="GK14" s="158" t="b">
        <v>0</v>
      </c>
      <c r="GL14" s="158" t="b">
        <v>0</v>
      </c>
      <c r="GM14" s="158" t="b">
        <v>0</v>
      </c>
      <c r="GN14" s="158" t="b">
        <v>0</v>
      </c>
      <c r="GO14" s="158" t="b">
        <v>0</v>
      </c>
      <c r="GP14" s="158" t="b">
        <v>0</v>
      </c>
      <c r="GQ14" s="158" t="b">
        <v>0</v>
      </c>
      <c r="GR14" s="158" t="b">
        <v>0</v>
      </c>
      <c r="GS14" s="158" t="b">
        <v>0</v>
      </c>
      <c r="GT14" s="158" t="b">
        <v>0</v>
      </c>
      <c r="GU14" s="158" t="b">
        <v>0</v>
      </c>
      <c r="GV14" s="158" t="b">
        <v>0</v>
      </c>
      <c r="GW14" s="158" t="b">
        <v>0</v>
      </c>
      <c r="GX14" s="158" t="b">
        <v>0</v>
      </c>
      <c r="GY14" s="158" t="b">
        <v>0</v>
      </c>
      <c r="GZ14" s="158" t="b">
        <v>0</v>
      </c>
      <c r="HA14" s="158" t="b">
        <v>0</v>
      </c>
      <c r="HB14" s="158" t="b">
        <v>0</v>
      </c>
      <c r="HC14" s="158" t="b">
        <v>0</v>
      </c>
      <c r="HD14" s="158" t="b">
        <v>0</v>
      </c>
      <c r="HE14" s="158" t="b">
        <v>0</v>
      </c>
      <c r="HF14" s="158" t="b">
        <v>0</v>
      </c>
      <c r="HG14" s="158" t="b">
        <v>0</v>
      </c>
      <c r="HH14" s="158" t="b">
        <v>0</v>
      </c>
      <c r="HI14" s="158" t="b">
        <v>0</v>
      </c>
      <c r="HJ14" s="158" t="b">
        <v>0</v>
      </c>
      <c r="HK14" s="158" t="b">
        <v>0</v>
      </c>
      <c r="HL14" s="158" t="b">
        <v>0</v>
      </c>
      <c r="HM14" s="158" t="b">
        <v>0</v>
      </c>
      <c r="HN14" s="158" t="b">
        <v>0</v>
      </c>
      <c r="HO14" s="158" t="b">
        <v>0</v>
      </c>
      <c r="HP14" s="158" t="b">
        <v>0</v>
      </c>
      <c r="HQ14" s="158" t="b">
        <v>0</v>
      </c>
      <c r="HR14" s="158" t="b">
        <v>0</v>
      </c>
      <c r="HS14" s="158" t="b">
        <v>0</v>
      </c>
      <c r="HT14" s="158" t="b">
        <v>0</v>
      </c>
      <c r="HU14" s="158" t="b">
        <v>0</v>
      </c>
      <c r="HV14" s="158" t="b">
        <v>0</v>
      </c>
      <c r="HW14" s="158" t="b">
        <v>0</v>
      </c>
      <c r="HX14" s="158" t="b">
        <v>0</v>
      </c>
      <c r="HY14" s="158" t="b">
        <v>0</v>
      </c>
      <c r="HZ14" s="158" t="b">
        <v>0</v>
      </c>
      <c r="IA14" s="158" t="b">
        <v>0</v>
      </c>
      <c r="IB14" s="158" t="b">
        <v>0</v>
      </c>
      <c r="IC14" s="158" t="b">
        <v>0</v>
      </c>
      <c r="ID14" s="158" t="b">
        <v>0</v>
      </c>
      <c r="IE14" s="158" t="b">
        <v>0</v>
      </c>
      <c r="IF14" s="158" t="b">
        <v>0</v>
      </c>
      <c r="IG14" s="158" t="b">
        <v>0</v>
      </c>
      <c r="IH14" s="158" t="b">
        <v>0</v>
      </c>
      <c r="II14" s="158" t="b">
        <v>0</v>
      </c>
      <c r="IJ14" s="158" t="b">
        <v>0</v>
      </c>
      <c r="IK14" s="158" t="b">
        <v>0</v>
      </c>
      <c r="IL14" s="158" t="b">
        <v>0</v>
      </c>
      <c r="IM14" s="158" t="b">
        <v>0</v>
      </c>
      <c r="IN14" s="158" t="b">
        <v>0</v>
      </c>
      <c r="IO14" s="158" t="b">
        <v>0</v>
      </c>
      <c r="IP14" s="158" t="b">
        <v>0</v>
      </c>
      <c r="IQ14" s="158" t="b">
        <v>0</v>
      </c>
      <c r="IR14" s="158" t="b">
        <v>0</v>
      </c>
      <c r="IS14" s="158" t="b">
        <v>0</v>
      </c>
      <c r="IT14" s="158" t="b">
        <v>0</v>
      </c>
      <c r="IU14" s="158" t="b">
        <v>0</v>
      </c>
      <c r="IV14" s="158" t="b">
        <v>0</v>
      </c>
      <c r="IW14" s="158" t="b">
        <v>0</v>
      </c>
      <c r="IX14" s="158" t="b">
        <v>0</v>
      </c>
      <c r="IY14" s="158" t="b">
        <v>0</v>
      </c>
      <c r="IZ14" s="158" t="b">
        <v>0</v>
      </c>
      <c r="JA14" s="158" t="b">
        <v>0</v>
      </c>
      <c r="JB14" s="158" t="b">
        <v>0</v>
      </c>
      <c r="JC14" s="158" t="b">
        <v>0</v>
      </c>
      <c r="JD14" s="158" t="b">
        <v>0</v>
      </c>
      <c r="JE14" s="158" t="b">
        <v>0</v>
      </c>
      <c r="JF14" s="158" t="b">
        <v>0</v>
      </c>
      <c r="JG14" s="158" t="b">
        <v>0</v>
      </c>
      <c r="JH14" s="158" t="b">
        <v>0</v>
      </c>
      <c r="JI14" s="158" t="b">
        <v>0</v>
      </c>
      <c r="JJ14" s="158" t="b">
        <v>0</v>
      </c>
      <c r="JK14" s="158" t="b">
        <v>0</v>
      </c>
      <c r="JL14" s="158" t="b">
        <v>0</v>
      </c>
      <c r="JM14" s="158" t="b">
        <v>0</v>
      </c>
      <c r="JN14" s="158" t="b">
        <v>0</v>
      </c>
      <c r="JO14" s="158" t="b">
        <v>0</v>
      </c>
      <c r="JP14" s="158" t="b">
        <v>0</v>
      </c>
      <c r="JQ14" s="158" t="b">
        <v>0</v>
      </c>
      <c r="JR14" s="158" t="b">
        <v>0</v>
      </c>
      <c r="JS14" s="158" t="b">
        <v>0</v>
      </c>
      <c r="JT14" s="158" t="b">
        <v>0</v>
      </c>
      <c r="JU14" s="158" t="b">
        <v>0</v>
      </c>
      <c r="JV14" s="158" t="b">
        <v>0</v>
      </c>
      <c r="JW14" s="158" t="b">
        <v>0</v>
      </c>
      <c r="JX14" s="158" t="b">
        <v>0</v>
      </c>
      <c r="JY14" s="158" t="b">
        <v>0</v>
      </c>
      <c r="JZ14" s="158" t="b">
        <v>0</v>
      </c>
      <c r="KA14" s="158" t="b">
        <v>0</v>
      </c>
      <c r="KB14" s="158" t="b">
        <v>0</v>
      </c>
      <c r="KC14" s="158" t="b">
        <v>0</v>
      </c>
      <c r="KD14" s="158" t="b">
        <v>0</v>
      </c>
      <c r="KE14" s="158" t="b">
        <v>0</v>
      </c>
      <c r="KF14" s="158" t="b">
        <v>0</v>
      </c>
      <c r="KG14" s="158" t="b">
        <v>0</v>
      </c>
      <c r="KH14" s="158" t="b">
        <v>0</v>
      </c>
      <c r="KI14" s="158" t="b">
        <v>0</v>
      </c>
      <c r="KJ14" s="158" t="b">
        <v>0</v>
      </c>
      <c r="KK14" s="158" t="b">
        <v>0</v>
      </c>
      <c r="KL14" s="158" t="b">
        <v>0</v>
      </c>
      <c r="KM14" s="158" t="b">
        <v>0</v>
      </c>
      <c r="KN14" s="158" t="b">
        <v>0</v>
      </c>
      <c r="KO14" s="158" t="b">
        <v>0</v>
      </c>
      <c r="KP14" s="158" t="b">
        <v>0</v>
      </c>
      <c r="KQ14" s="158" t="b">
        <v>0</v>
      </c>
      <c r="KR14" s="158" t="b">
        <v>0</v>
      </c>
      <c r="KS14" s="158" t="b">
        <v>0</v>
      </c>
      <c r="KT14" s="158" t="b">
        <v>0</v>
      </c>
      <c r="KU14" s="158" t="b">
        <v>0</v>
      </c>
      <c r="KV14" s="158" t="b">
        <v>0</v>
      </c>
      <c r="KW14" s="158" t="b">
        <v>0</v>
      </c>
      <c r="KX14" s="158" t="b">
        <v>0</v>
      </c>
      <c r="KY14" s="158" t="b">
        <v>0</v>
      </c>
      <c r="KZ14" s="158" t="b">
        <v>0</v>
      </c>
      <c r="LA14" s="158" t="b">
        <v>0</v>
      </c>
      <c r="LB14" s="158" t="b">
        <v>0</v>
      </c>
      <c r="LC14" s="158" t="b">
        <v>0</v>
      </c>
      <c r="LD14" s="158" t="b">
        <v>0</v>
      </c>
      <c r="LE14" s="158" t="b">
        <v>0</v>
      </c>
      <c r="LF14" s="158" t="b">
        <v>0</v>
      </c>
      <c r="LG14" s="158" t="b">
        <v>0</v>
      </c>
      <c r="LH14" s="158" t="b">
        <v>0</v>
      </c>
      <c r="LI14" s="158" t="b">
        <v>0</v>
      </c>
      <c r="LJ14" s="158" t="b">
        <v>0</v>
      </c>
      <c r="LK14" s="158" t="b">
        <v>0</v>
      </c>
      <c r="LL14" s="158" t="b">
        <v>0</v>
      </c>
      <c r="LM14" s="158" t="b">
        <v>0</v>
      </c>
      <c r="LN14" s="158" t="b">
        <v>0</v>
      </c>
      <c r="LO14" s="158" t="b">
        <v>0</v>
      </c>
      <c r="LP14" s="158" t="b">
        <v>0</v>
      </c>
      <c r="LQ14" s="158" t="b">
        <v>0</v>
      </c>
      <c r="LR14" s="158" t="b">
        <v>0</v>
      </c>
      <c r="LS14" s="158" t="b">
        <v>0</v>
      </c>
      <c r="LT14" s="158" t="b">
        <v>0</v>
      </c>
      <c r="LU14" s="158" t="b">
        <v>0</v>
      </c>
      <c r="LV14" s="158" t="b">
        <v>0</v>
      </c>
      <c r="LW14" s="158" t="b">
        <v>0</v>
      </c>
      <c r="LX14" s="158" t="b">
        <v>0</v>
      </c>
      <c r="LY14" s="158" t="b">
        <v>0</v>
      </c>
      <c r="LZ14" s="158" t="b">
        <v>0</v>
      </c>
      <c r="MA14" s="158" t="b">
        <v>0</v>
      </c>
      <c r="MB14" s="158" t="b">
        <v>0</v>
      </c>
      <c r="MC14" s="158" t="b">
        <v>0</v>
      </c>
      <c r="MD14" s="158" t="b">
        <v>0</v>
      </c>
      <c r="ME14" s="158" t="b">
        <v>0</v>
      </c>
      <c r="MF14" s="158" t="b">
        <v>0</v>
      </c>
      <c r="MG14" s="158" t="b">
        <v>0</v>
      </c>
      <c r="MH14" s="158" t="b">
        <v>0</v>
      </c>
      <c r="MI14" s="158" t="b">
        <v>0</v>
      </c>
      <c r="MJ14" s="158" t="b">
        <v>0</v>
      </c>
      <c r="MK14" s="158" t="b">
        <v>0</v>
      </c>
      <c r="ML14" s="158" t="b">
        <v>0</v>
      </c>
      <c r="MM14" s="158" t="b">
        <v>0</v>
      </c>
      <c r="MN14" s="158" t="b">
        <v>0</v>
      </c>
      <c r="MO14" s="158" t="b">
        <v>0</v>
      </c>
      <c r="MP14" s="158" t="b">
        <v>0</v>
      </c>
      <c r="MQ14" s="158" t="b">
        <v>0</v>
      </c>
      <c r="MR14" s="158" t="b">
        <v>0</v>
      </c>
      <c r="MS14" s="158" t="b">
        <v>0</v>
      </c>
      <c r="MT14" s="158" t="b">
        <v>0</v>
      </c>
      <c r="MU14" s="158" t="b">
        <v>0</v>
      </c>
      <c r="MV14" s="158" t="b">
        <v>0</v>
      </c>
      <c r="MW14" s="158" t="b">
        <v>0</v>
      </c>
      <c r="MX14" s="158" t="b">
        <v>0</v>
      </c>
      <c r="MY14" s="158" t="b">
        <v>0</v>
      </c>
      <c r="MZ14" s="158" t="b">
        <v>0</v>
      </c>
      <c r="NA14" s="158" t="b">
        <v>0</v>
      </c>
      <c r="NB14" s="158" t="b">
        <v>0</v>
      </c>
      <c r="NC14" s="158" t="b">
        <v>0</v>
      </c>
      <c r="ND14" s="158" t="b">
        <v>0</v>
      </c>
      <c r="NE14" s="158" t="b">
        <v>0</v>
      </c>
      <c r="NF14" s="158" t="b">
        <v>0</v>
      </c>
      <c r="NG14" s="158" t="b">
        <v>0</v>
      </c>
      <c r="NH14" s="158" t="b">
        <v>0</v>
      </c>
      <c r="NI14" s="158" t="b">
        <v>0</v>
      </c>
      <c r="NJ14" s="158" t="b">
        <v>0</v>
      </c>
      <c r="NK14" s="158" t="b">
        <v>0</v>
      </c>
      <c r="NL14" s="158" t="b">
        <v>0</v>
      </c>
      <c r="NM14" s="158" t="b">
        <v>0</v>
      </c>
      <c r="NN14" s="158" t="b">
        <v>0</v>
      </c>
      <c r="NO14" s="158" t="b">
        <v>0</v>
      </c>
    </row>
    <row r="15" spans="1:379" ht="29.25" x14ac:dyDescent="0.4">
      <c r="A15" s="511" t="str">
        <v>Thindi</v>
      </c>
      <c r="B15" s="158" t="b">
        <v>0</v>
      </c>
      <c r="C15" s="158" t="b">
        <v>0</v>
      </c>
      <c r="D15" s="158" t="b">
        <v>0</v>
      </c>
      <c r="E15" s="158" t="b">
        <v>0</v>
      </c>
      <c r="F15" s="158" t="b">
        <v>0</v>
      </c>
      <c r="G15" s="158" t="b">
        <v>0</v>
      </c>
      <c r="H15" s="158" t="b">
        <v>0</v>
      </c>
      <c r="I15" s="158" t="b">
        <v>0</v>
      </c>
      <c r="J15" s="158" t="b">
        <v>0</v>
      </c>
      <c r="K15" s="158" t="b">
        <v>0</v>
      </c>
      <c r="L15" s="158" t="b">
        <v>0</v>
      </c>
      <c r="M15" s="158" t="b">
        <v>0</v>
      </c>
      <c r="N15" s="158" t="b">
        <v>0</v>
      </c>
      <c r="O15" s="158" t="b">
        <v>0</v>
      </c>
      <c r="P15" s="158" t="b">
        <v>0</v>
      </c>
      <c r="Q15" s="158" t="b">
        <v>0</v>
      </c>
      <c r="R15" s="158" t="b">
        <v>0</v>
      </c>
      <c r="S15" s="158" t="b">
        <v>0</v>
      </c>
      <c r="T15" s="158" t="b">
        <v>0</v>
      </c>
      <c r="U15" s="158" t="b">
        <v>0</v>
      </c>
      <c r="V15" s="158" t="b">
        <v>0</v>
      </c>
      <c r="W15" s="158" t="b">
        <v>0</v>
      </c>
      <c r="X15" s="158" t="b">
        <v>0</v>
      </c>
      <c r="Y15" s="158" t="b">
        <v>0</v>
      </c>
      <c r="Z15" s="158" t="b">
        <v>0</v>
      </c>
      <c r="AA15" s="158" t="b">
        <v>0</v>
      </c>
      <c r="AB15" s="158" t="b">
        <v>0</v>
      </c>
      <c r="AC15" s="158" t="b">
        <v>0</v>
      </c>
      <c r="AD15" s="158" t="b">
        <v>0</v>
      </c>
      <c r="AE15" s="158" t="b">
        <v>0</v>
      </c>
      <c r="AF15" s="158" t="b">
        <v>0</v>
      </c>
      <c r="AG15" s="158" t="b">
        <v>0</v>
      </c>
      <c r="AH15" s="158" t="b">
        <v>0</v>
      </c>
      <c r="AI15" s="158" t="b">
        <v>0</v>
      </c>
      <c r="AJ15" s="158" t="b">
        <v>0</v>
      </c>
      <c r="AK15" s="158" t="b">
        <v>0</v>
      </c>
      <c r="AL15" s="158" t="b">
        <v>0</v>
      </c>
      <c r="AM15" s="158" t="b">
        <v>0</v>
      </c>
      <c r="AN15" s="158" t="b">
        <v>0</v>
      </c>
      <c r="AO15" s="158" t="b">
        <v>0</v>
      </c>
      <c r="AP15" s="158" t="b">
        <v>0</v>
      </c>
      <c r="AQ15" s="158" t="b">
        <v>0</v>
      </c>
      <c r="AR15" s="158" t="b">
        <v>0</v>
      </c>
      <c r="AS15" s="158" t="b">
        <v>0</v>
      </c>
      <c r="AT15" s="158" t="b">
        <v>0</v>
      </c>
      <c r="AU15" s="158" t="b">
        <v>0</v>
      </c>
      <c r="AV15" s="158" t="b">
        <v>0</v>
      </c>
      <c r="AW15" s="158" t="b">
        <v>0</v>
      </c>
      <c r="AX15" s="158" t="b">
        <v>0</v>
      </c>
      <c r="AY15" s="158" t="b">
        <v>0</v>
      </c>
      <c r="AZ15" s="158" t="b">
        <v>0</v>
      </c>
      <c r="BA15" s="158" t="b">
        <v>0</v>
      </c>
      <c r="BB15" s="158" t="b">
        <v>0</v>
      </c>
      <c r="BC15" s="158" t="b">
        <v>0</v>
      </c>
      <c r="BD15" s="158" t="b">
        <v>0</v>
      </c>
      <c r="BE15" s="158" t="b">
        <v>0</v>
      </c>
      <c r="BF15" s="158" t="b">
        <v>0</v>
      </c>
      <c r="BG15" s="158" t="b">
        <v>0</v>
      </c>
      <c r="BH15" s="158" t="b">
        <v>0</v>
      </c>
      <c r="BI15" s="158" t="b">
        <v>0</v>
      </c>
      <c r="BJ15" s="158" t="b">
        <v>0</v>
      </c>
      <c r="BK15" s="158" t="b">
        <v>0</v>
      </c>
      <c r="BL15" s="158" t="b">
        <v>0</v>
      </c>
      <c r="BM15" s="158" t="b">
        <v>0</v>
      </c>
      <c r="BN15" s="158" t="b">
        <v>0</v>
      </c>
      <c r="BO15" s="158" t="b">
        <v>0</v>
      </c>
      <c r="BP15" s="158" t="b">
        <v>0</v>
      </c>
      <c r="BQ15" s="158" t="b">
        <v>0</v>
      </c>
      <c r="BR15" s="158" t="b">
        <v>0</v>
      </c>
      <c r="BS15" s="158" t="b">
        <v>0</v>
      </c>
      <c r="BT15" s="158" t="b">
        <v>0</v>
      </c>
      <c r="BU15" s="158" t="b">
        <v>0</v>
      </c>
      <c r="BV15" s="158" t="b">
        <v>0</v>
      </c>
      <c r="BW15" s="158" t="b">
        <v>0</v>
      </c>
      <c r="BX15" s="158" t="b">
        <v>0</v>
      </c>
      <c r="BY15" s="158" t="b">
        <v>0</v>
      </c>
      <c r="BZ15" s="158" t="b">
        <v>0</v>
      </c>
      <c r="CA15" s="158" t="b">
        <v>0</v>
      </c>
      <c r="CB15" s="158" t="b">
        <v>0</v>
      </c>
      <c r="CC15" s="158" t="b">
        <v>0</v>
      </c>
      <c r="CD15" s="158" t="b">
        <v>0</v>
      </c>
      <c r="CE15" s="158" t="b">
        <v>0</v>
      </c>
      <c r="CF15" s="158" t="b">
        <v>0</v>
      </c>
      <c r="CG15" s="158" t="b">
        <v>0</v>
      </c>
      <c r="CH15" s="158" t="b">
        <v>0</v>
      </c>
      <c r="CI15" s="158" t="b">
        <v>0</v>
      </c>
      <c r="CJ15" s="158" t="b">
        <v>0</v>
      </c>
      <c r="CK15" s="158" t="b">
        <v>0</v>
      </c>
      <c r="CL15" s="158" t="b">
        <v>0</v>
      </c>
      <c r="CM15" s="158" t="b">
        <v>0</v>
      </c>
      <c r="CN15" s="158" t="b">
        <v>0</v>
      </c>
      <c r="CO15" s="158" t="b">
        <v>0</v>
      </c>
      <c r="CP15" s="158" t="b">
        <v>0</v>
      </c>
      <c r="CQ15" s="158" t="b">
        <v>0</v>
      </c>
      <c r="CR15" s="158" t="b">
        <v>0</v>
      </c>
      <c r="CS15" s="158" t="b">
        <v>0</v>
      </c>
      <c r="CT15" s="158" t="b">
        <v>0</v>
      </c>
      <c r="CU15" s="158" t="b">
        <v>0</v>
      </c>
      <c r="CV15" s="158" t="b">
        <v>0</v>
      </c>
      <c r="CW15" s="158" t="b">
        <v>0</v>
      </c>
      <c r="CX15" s="158" t="b">
        <v>0</v>
      </c>
      <c r="CY15" s="158" t="b">
        <v>0</v>
      </c>
      <c r="CZ15" s="158" t="b">
        <v>0</v>
      </c>
      <c r="DA15" s="158" t="b">
        <v>0</v>
      </c>
      <c r="DB15" s="158" t="b">
        <v>0</v>
      </c>
      <c r="DC15" s="158" t="b">
        <v>0</v>
      </c>
      <c r="DD15" s="158" t="b">
        <v>0</v>
      </c>
      <c r="DE15" s="158" t="b">
        <v>0</v>
      </c>
      <c r="DF15" s="158" t="b">
        <v>0</v>
      </c>
      <c r="DG15" s="158" t="b">
        <v>0</v>
      </c>
      <c r="DH15" s="158" t="b">
        <v>0</v>
      </c>
      <c r="DI15" s="158" t="b">
        <v>0</v>
      </c>
      <c r="DJ15" s="158" t="b">
        <v>0</v>
      </c>
      <c r="DK15" s="158" t="b">
        <v>0</v>
      </c>
      <c r="DL15" s="158" t="b">
        <v>0</v>
      </c>
      <c r="DM15" s="158" t="b">
        <v>0</v>
      </c>
      <c r="DN15" s="158" t="b">
        <v>0</v>
      </c>
      <c r="DO15" s="158" t="b">
        <v>0</v>
      </c>
      <c r="DP15" s="158" t="b">
        <v>0</v>
      </c>
      <c r="DQ15" s="158" t="b">
        <v>0</v>
      </c>
      <c r="DR15" s="158" t="b">
        <v>0</v>
      </c>
      <c r="DS15" s="158" t="b">
        <v>0</v>
      </c>
      <c r="DT15" s="158" t="b">
        <v>0</v>
      </c>
      <c r="DU15" s="158" t="b">
        <v>0</v>
      </c>
      <c r="DV15" s="158" t="b">
        <v>0</v>
      </c>
      <c r="DW15" s="158" t="b">
        <v>0</v>
      </c>
      <c r="DX15" s="158" t="b">
        <v>0</v>
      </c>
      <c r="DY15" s="158" t="b">
        <v>0</v>
      </c>
      <c r="DZ15" s="158" t="b">
        <v>0</v>
      </c>
      <c r="EA15" s="158" t="b">
        <v>0</v>
      </c>
      <c r="EB15" s="158" t="b">
        <v>0</v>
      </c>
      <c r="EC15" s="158" t="b">
        <v>0</v>
      </c>
      <c r="ED15" s="158" t="b">
        <v>0</v>
      </c>
      <c r="EE15" s="158" t="b">
        <v>0</v>
      </c>
      <c r="EF15" s="158" t="b">
        <v>0</v>
      </c>
      <c r="EG15" s="158" t="b">
        <v>0</v>
      </c>
      <c r="EH15" s="158" t="b">
        <v>0</v>
      </c>
      <c r="EI15" s="158" t="b">
        <v>0</v>
      </c>
      <c r="EJ15" s="158" t="b">
        <v>0</v>
      </c>
      <c r="EK15" s="158" t="b">
        <v>0</v>
      </c>
      <c r="EL15" s="158" t="b">
        <v>0</v>
      </c>
      <c r="EM15" s="158" t="b">
        <v>0</v>
      </c>
      <c r="EN15" s="158" t="b">
        <v>0</v>
      </c>
      <c r="EO15" s="158" t="b">
        <v>0</v>
      </c>
      <c r="EP15" s="158" t="b">
        <v>0</v>
      </c>
      <c r="EQ15" s="158" t="b">
        <v>0</v>
      </c>
      <c r="ER15" s="158" t="b">
        <v>0</v>
      </c>
      <c r="ES15" s="158" t="b">
        <v>0</v>
      </c>
      <c r="ET15" s="158" t="b">
        <v>0</v>
      </c>
      <c r="EU15" s="158" t="b">
        <v>0</v>
      </c>
      <c r="EV15" s="158" t="b">
        <v>0</v>
      </c>
      <c r="EW15" s="158" t="b">
        <v>0</v>
      </c>
      <c r="EX15" s="158" t="b">
        <v>0</v>
      </c>
      <c r="EY15" s="158" t="b">
        <v>0</v>
      </c>
      <c r="EZ15" s="158" t="b">
        <v>0</v>
      </c>
      <c r="FA15" s="158" t="b">
        <v>0</v>
      </c>
      <c r="FB15" s="158" t="b">
        <v>0</v>
      </c>
      <c r="FC15" s="158" t="b">
        <v>0</v>
      </c>
      <c r="FD15" s="158" t="b">
        <v>0</v>
      </c>
      <c r="FE15" s="158" t="b">
        <v>0</v>
      </c>
      <c r="FF15" s="158" t="b">
        <v>0</v>
      </c>
      <c r="FG15" s="158" t="b">
        <v>0</v>
      </c>
      <c r="FH15" s="158" t="b">
        <v>0</v>
      </c>
      <c r="FI15" s="158" t="b">
        <v>0</v>
      </c>
      <c r="FJ15" s="158" t="b">
        <v>0</v>
      </c>
      <c r="FK15" s="158" t="b">
        <v>0</v>
      </c>
      <c r="FL15" s="158" t="b">
        <v>0</v>
      </c>
      <c r="FM15" s="158" t="b">
        <v>0</v>
      </c>
      <c r="FN15" s="158" t="b">
        <v>0</v>
      </c>
      <c r="FO15" s="158" t="b">
        <v>0</v>
      </c>
      <c r="FP15" s="158" t="b">
        <v>0</v>
      </c>
      <c r="FQ15" s="158" t="b">
        <v>0</v>
      </c>
      <c r="FR15" s="158" t="b">
        <v>0</v>
      </c>
      <c r="FS15" s="158" t="b">
        <v>0</v>
      </c>
      <c r="FT15" s="158" t="b">
        <v>0</v>
      </c>
      <c r="FU15" s="158" t="b">
        <v>0</v>
      </c>
      <c r="FV15" s="158" t="b">
        <v>0</v>
      </c>
      <c r="FW15" s="158" t="b">
        <v>0</v>
      </c>
      <c r="FX15" s="158" t="b">
        <v>0</v>
      </c>
      <c r="FY15" s="158" t="b">
        <v>0</v>
      </c>
      <c r="FZ15" s="158" t="b">
        <v>0</v>
      </c>
      <c r="GA15" s="158" t="b">
        <v>0</v>
      </c>
      <c r="GB15" s="158" t="b">
        <v>0</v>
      </c>
      <c r="GC15" s="158" t="b">
        <v>0</v>
      </c>
      <c r="GD15" s="158" t="b">
        <v>0</v>
      </c>
      <c r="GE15" s="158" t="b">
        <v>0</v>
      </c>
      <c r="GF15" s="158" t="b">
        <v>0</v>
      </c>
      <c r="GG15" s="158" t="b">
        <v>0</v>
      </c>
      <c r="GH15" s="158" t="b">
        <v>0</v>
      </c>
      <c r="GI15" s="158" t="b">
        <v>0</v>
      </c>
      <c r="GJ15" s="158" t="b">
        <v>0</v>
      </c>
      <c r="GK15" s="158" t="b">
        <v>0</v>
      </c>
      <c r="GL15" s="158" t="b">
        <v>0</v>
      </c>
      <c r="GM15" s="158" t="b">
        <v>0</v>
      </c>
      <c r="GN15" s="158" t="b">
        <v>0</v>
      </c>
      <c r="GO15" s="158" t="b">
        <v>0</v>
      </c>
      <c r="GP15" s="158" t="b">
        <v>0</v>
      </c>
      <c r="GQ15" s="158" t="b">
        <v>0</v>
      </c>
      <c r="GR15" s="158" t="b">
        <v>0</v>
      </c>
      <c r="GS15" s="158" t="b">
        <v>0</v>
      </c>
      <c r="GT15" s="158" t="b">
        <v>0</v>
      </c>
      <c r="GU15" s="158" t="b">
        <v>0</v>
      </c>
      <c r="GV15" s="158" t="b">
        <v>0</v>
      </c>
      <c r="GW15" s="158" t="b">
        <v>0</v>
      </c>
      <c r="GX15" s="158" t="b">
        <v>0</v>
      </c>
      <c r="GY15" s="158" t="b">
        <v>0</v>
      </c>
      <c r="GZ15" s="158" t="b">
        <v>0</v>
      </c>
      <c r="HA15" s="158" t="b">
        <v>0</v>
      </c>
      <c r="HB15" s="158" t="b">
        <v>0</v>
      </c>
      <c r="HC15" s="158" t="b">
        <v>0</v>
      </c>
      <c r="HD15" s="158" t="b">
        <v>0</v>
      </c>
      <c r="HE15" s="158" t="b">
        <v>0</v>
      </c>
      <c r="HF15" s="158" t="b">
        <v>0</v>
      </c>
      <c r="HG15" s="158" t="b">
        <v>0</v>
      </c>
      <c r="HH15" s="158" t="b">
        <v>0</v>
      </c>
      <c r="HI15" s="158" t="b">
        <v>0</v>
      </c>
      <c r="HJ15" s="158" t="b">
        <v>0</v>
      </c>
      <c r="HK15" s="158" t="b">
        <v>0</v>
      </c>
      <c r="HL15" s="158" t="b">
        <v>0</v>
      </c>
      <c r="HM15" s="158" t="b">
        <v>0</v>
      </c>
      <c r="HN15" s="158" t="b">
        <v>0</v>
      </c>
      <c r="HO15" s="158" t="b">
        <v>0</v>
      </c>
      <c r="HP15" s="158" t="b">
        <v>0</v>
      </c>
      <c r="HQ15" s="158" t="b">
        <v>0</v>
      </c>
      <c r="HR15" s="158" t="b">
        <v>0</v>
      </c>
      <c r="HS15" s="158" t="b">
        <v>0</v>
      </c>
      <c r="HT15" s="158" t="b">
        <v>0</v>
      </c>
      <c r="HU15" s="158" t="b">
        <v>0</v>
      </c>
      <c r="HV15" s="158" t="b">
        <v>0</v>
      </c>
      <c r="HW15" s="158" t="b">
        <v>0</v>
      </c>
      <c r="HX15" s="158" t="b">
        <v>0</v>
      </c>
      <c r="HY15" s="158" t="b">
        <v>0</v>
      </c>
      <c r="HZ15" s="158" t="b">
        <v>0</v>
      </c>
      <c r="IA15" s="158" t="b">
        <v>0</v>
      </c>
      <c r="IB15" s="158" t="b">
        <v>0</v>
      </c>
      <c r="IC15" s="158" t="b">
        <v>0</v>
      </c>
      <c r="ID15" s="158" t="b">
        <v>0</v>
      </c>
      <c r="IE15" s="158" t="b">
        <v>0</v>
      </c>
      <c r="IF15" s="158" t="b">
        <v>0</v>
      </c>
      <c r="IG15" s="158" t="b">
        <v>0</v>
      </c>
      <c r="IH15" s="158" t="b">
        <v>0</v>
      </c>
      <c r="II15" s="158" t="b">
        <v>0</v>
      </c>
      <c r="IJ15" s="158" t="b">
        <v>0</v>
      </c>
      <c r="IK15" s="158" t="b">
        <v>0</v>
      </c>
      <c r="IL15" s="158" t="b">
        <v>0</v>
      </c>
      <c r="IM15" s="158" t="b">
        <v>0</v>
      </c>
      <c r="IN15" s="158" t="b">
        <v>0</v>
      </c>
      <c r="IO15" s="158" t="b">
        <v>0</v>
      </c>
      <c r="IP15" s="158" t="b">
        <v>0</v>
      </c>
      <c r="IQ15" s="158" t="b">
        <v>0</v>
      </c>
      <c r="IR15" s="158" t="b">
        <v>0</v>
      </c>
      <c r="IS15" s="158" t="b">
        <v>0</v>
      </c>
      <c r="IT15" s="158" t="b">
        <v>0</v>
      </c>
      <c r="IU15" s="158" t="b">
        <v>0</v>
      </c>
      <c r="IV15" s="158" t="b">
        <v>0</v>
      </c>
      <c r="IW15" s="158" t="b">
        <v>0</v>
      </c>
      <c r="IX15" s="158" t="b">
        <v>0</v>
      </c>
      <c r="IY15" s="158" t="b">
        <v>0</v>
      </c>
      <c r="IZ15" s="158" t="b">
        <v>0</v>
      </c>
      <c r="JA15" s="158" t="b">
        <v>0</v>
      </c>
      <c r="JB15" s="158" t="b">
        <v>0</v>
      </c>
      <c r="JC15" s="158" t="b">
        <v>0</v>
      </c>
      <c r="JD15" s="158" t="b">
        <v>0</v>
      </c>
      <c r="JE15" s="158" t="b">
        <v>0</v>
      </c>
      <c r="JF15" s="158" t="b">
        <v>0</v>
      </c>
      <c r="JG15" s="158" t="b">
        <v>0</v>
      </c>
      <c r="JH15" s="158" t="b">
        <v>0</v>
      </c>
      <c r="JI15" s="158" t="b">
        <v>0</v>
      </c>
      <c r="JJ15" s="158" t="b">
        <v>0</v>
      </c>
      <c r="JK15" s="158" t="b">
        <v>0</v>
      </c>
      <c r="JL15" s="158" t="b">
        <v>0</v>
      </c>
      <c r="JM15" s="158" t="b">
        <v>0</v>
      </c>
      <c r="JN15" s="158" t="b">
        <v>0</v>
      </c>
      <c r="JO15" s="158" t="b">
        <v>0</v>
      </c>
      <c r="JP15" s="158" t="b">
        <v>0</v>
      </c>
      <c r="JQ15" s="158" t="b">
        <v>0</v>
      </c>
      <c r="JR15" s="158" t="b">
        <v>0</v>
      </c>
      <c r="JS15" s="158" t="b">
        <v>0</v>
      </c>
      <c r="JT15" s="158" t="b">
        <v>0</v>
      </c>
      <c r="JU15" s="158" t="b">
        <v>0</v>
      </c>
      <c r="JV15" s="158" t="b">
        <v>0</v>
      </c>
      <c r="JW15" s="158" t="b">
        <v>0</v>
      </c>
      <c r="JX15" s="158" t="b">
        <v>0</v>
      </c>
      <c r="JY15" s="158" t="b">
        <v>0</v>
      </c>
      <c r="JZ15" s="158" t="b">
        <v>0</v>
      </c>
      <c r="KA15" s="158" t="b">
        <v>0</v>
      </c>
      <c r="KB15" s="158" t="b">
        <v>0</v>
      </c>
      <c r="KC15" s="158" t="b">
        <v>0</v>
      </c>
      <c r="KD15" s="158" t="b">
        <v>0</v>
      </c>
      <c r="KE15" s="158" t="b">
        <v>0</v>
      </c>
      <c r="KF15" s="158" t="b">
        <v>0</v>
      </c>
      <c r="KG15" s="158" t="b">
        <v>0</v>
      </c>
      <c r="KH15" s="158" t="b">
        <v>0</v>
      </c>
      <c r="KI15" s="158" t="b">
        <v>0</v>
      </c>
      <c r="KJ15" s="158" t="b">
        <v>0</v>
      </c>
      <c r="KK15" s="158" t="b">
        <v>0</v>
      </c>
      <c r="KL15" s="158" t="b">
        <v>0</v>
      </c>
      <c r="KM15" s="158" t="b">
        <v>0</v>
      </c>
      <c r="KN15" s="158" t="b">
        <v>0</v>
      </c>
      <c r="KO15" s="158" t="b">
        <v>0</v>
      </c>
      <c r="KP15" s="158" t="b">
        <v>0</v>
      </c>
      <c r="KQ15" s="158" t="b">
        <v>0</v>
      </c>
      <c r="KR15" s="158" t="b">
        <v>0</v>
      </c>
      <c r="KS15" s="158" t="b">
        <v>0</v>
      </c>
      <c r="KT15" s="158" t="b">
        <v>0</v>
      </c>
      <c r="KU15" s="158" t="b">
        <v>0</v>
      </c>
      <c r="KV15" s="158" t="b">
        <v>0</v>
      </c>
      <c r="KW15" s="158" t="b">
        <v>0</v>
      </c>
      <c r="KX15" s="158" t="b">
        <v>0</v>
      </c>
      <c r="KY15" s="158" t="b">
        <v>0</v>
      </c>
      <c r="KZ15" s="158" t="b">
        <v>0</v>
      </c>
      <c r="LA15" s="158" t="b">
        <v>0</v>
      </c>
      <c r="LB15" s="158" t="b">
        <v>0</v>
      </c>
      <c r="LC15" s="158" t="b">
        <v>0</v>
      </c>
      <c r="LD15" s="158" t="b">
        <v>0</v>
      </c>
      <c r="LE15" s="158" t="b">
        <v>0</v>
      </c>
      <c r="LF15" s="158" t="b">
        <v>0</v>
      </c>
      <c r="LG15" s="158" t="b">
        <v>0</v>
      </c>
      <c r="LH15" s="158" t="b">
        <v>0</v>
      </c>
      <c r="LI15" s="158" t="b">
        <v>0</v>
      </c>
      <c r="LJ15" s="158" t="b">
        <v>0</v>
      </c>
      <c r="LK15" s="158" t="b">
        <v>0</v>
      </c>
      <c r="LL15" s="158" t="b">
        <v>0</v>
      </c>
      <c r="LM15" s="158" t="b">
        <v>0</v>
      </c>
      <c r="LN15" s="158" t="b">
        <v>0</v>
      </c>
      <c r="LO15" s="158" t="b">
        <v>0</v>
      </c>
      <c r="LP15" s="158" t="b">
        <v>0</v>
      </c>
      <c r="LQ15" s="158" t="b">
        <v>0</v>
      </c>
      <c r="LR15" s="158" t="b">
        <v>0</v>
      </c>
      <c r="LS15" s="158" t="b">
        <v>0</v>
      </c>
      <c r="LT15" s="158" t="b">
        <v>0</v>
      </c>
      <c r="LU15" s="158" t="b">
        <v>0</v>
      </c>
      <c r="LV15" s="158" t="b">
        <v>0</v>
      </c>
      <c r="LW15" s="158" t="b">
        <v>0</v>
      </c>
      <c r="LX15" s="158" t="b">
        <v>0</v>
      </c>
      <c r="LY15" s="158" t="b">
        <v>0</v>
      </c>
      <c r="LZ15" s="158" t="b">
        <v>0</v>
      </c>
      <c r="MA15" s="158" t="b">
        <v>0</v>
      </c>
      <c r="MB15" s="158" t="b">
        <v>0</v>
      </c>
      <c r="MC15" s="158" t="b">
        <v>0</v>
      </c>
      <c r="MD15" s="158" t="b">
        <v>0</v>
      </c>
      <c r="ME15" s="158" t="b">
        <v>0</v>
      </c>
      <c r="MF15" s="158" t="b">
        <v>0</v>
      </c>
      <c r="MG15" s="158" t="b">
        <v>0</v>
      </c>
      <c r="MH15" s="158" t="b">
        <v>0</v>
      </c>
      <c r="MI15" s="158" t="b">
        <v>0</v>
      </c>
      <c r="MJ15" s="158" t="b">
        <v>0</v>
      </c>
      <c r="MK15" s="158" t="b">
        <v>0</v>
      </c>
      <c r="ML15" s="158" t="b">
        <v>0</v>
      </c>
      <c r="MM15" s="158" t="b">
        <v>0</v>
      </c>
      <c r="MN15" s="158" t="b">
        <v>0</v>
      </c>
      <c r="MO15" s="158" t="b">
        <v>0</v>
      </c>
      <c r="MP15" s="158" t="b">
        <v>0</v>
      </c>
      <c r="MQ15" s="158" t="b">
        <v>0</v>
      </c>
      <c r="MR15" s="158" t="b">
        <v>0</v>
      </c>
      <c r="MS15" s="158" t="b">
        <v>0</v>
      </c>
      <c r="MT15" s="158" t="b">
        <v>0</v>
      </c>
      <c r="MU15" s="158" t="b">
        <v>0</v>
      </c>
      <c r="MV15" s="158" t="b">
        <v>0</v>
      </c>
      <c r="MW15" s="158" t="b">
        <v>0</v>
      </c>
      <c r="MX15" s="158" t="b">
        <v>0</v>
      </c>
      <c r="MY15" s="158" t="b">
        <v>0</v>
      </c>
      <c r="MZ15" s="158" t="b">
        <v>0</v>
      </c>
      <c r="NA15" s="158" t="b">
        <v>0</v>
      </c>
      <c r="NB15" s="158" t="b">
        <v>0</v>
      </c>
      <c r="NC15" s="158" t="b">
        <v>0</v>
      </c>
      <c r="ND15" s="158" t="b">
        <v>0</v>
      </c>
      <c r="NE15" s="158" t="b">
        <v>0</v>
      </c>
      <c r="NF15" s="158" t="b">
        <v>0</v>
      </c>
      <c r="NG15" s="158" t="b">
        <v>0</v>
      </c>
      <c r="NH15" s="158" t="b">
        <v>0</v>
      </c>
      <c r="NI15" s="158" t="b">
        <v>0</v>
      </c>
      <c r="NJ15" s="158" t="b">
        <v>0</v>
      </c>
      <c r="NK15" s="158" t="b">
        <v>0</v>
      </c>
      <c r="NL15" s="158" t="b">
        <v>0</v>
      </c>
      <c r="NM15" s="158" t="b">
        <v>0</v>
      </c>
      <c r="NN15" s="158" t="b">
        <v>0</v>
      </c>
      <c r="NO15" s="158" t="b">
        <v>0</v>
      </c>
    </row>
    <row r="16" spans="1:379" ht="29.25" x14ac:dyDescent="0.4">
      <c r="A16" s="511" t="str">
        <v xml:space="preserve">Toasted </v>
      </c>
      <c r="B16" s="158" t="b">
        <v>0</v>
      </c>
      <c r="C16" s="158" t="b">
        <v>0</v>
      </c>
      <c r="D16" s="158" t="b">
        <v>0</v>
      </c>
      <c r="E16" s="158" t="b">
        <v>0</v>
      </c>
      <c r="F16" s="158" t="b">
        <v>0</v>
      </c>
      <c r="G16" s="158" t="b">
        <v>0</v>
      </c>
      <c r="H16" s="158" t="b">
        <v>0</v>
      </c>
      <c r="I16" s="158" t="b">
        <v>0</v>
      </c>
      <c r="J16" s="158" t="b">
        <v>0</v>
      </c>
      <c r="K16" s="158" t="b">
        <v>0</v>
      </c>
      <c r="L16" s="158" t="b">
        <v>0</v>
      </c>
      <c r="M16" s="158" t="b">
        <v>0</v>
      </c>
      <c r="N16" s="158" t="b">
        <v>0</v>
      </c>
      <c r="O16" s="158" t="b">
        <v>0</v>
      </c>
      <c r="P16" s="158" t="b">
        <v>0</v>
      </c>
      <c r="Q16" s="158" t="b">
        <v>0</v>
      </c>
      <c r="R16" s="158" t="b">
        <v>0</v>
      </c>
      <c r="S16" s="158" t="b">
        <v>0</v>
      </c>
      <c r="T16" s="158" t="b">
        <v>0</v>
      </c>
      <c r="U16" s="158" t="b">
        <v>0</v>
      </c>
      <c r="V16" s="158" t="b">
        <v>0</v>
      </c>
      <c r="W16" s="158" t="b">
        <v>0</v>
      </c>
      <c r="X16" s="158" t="b">
        <v>0</v>
      </c>
      <c r="Y16" s="158" t="b">
        <v>0</v>
      </c>
      <c r="Z16" s="158" t="b">
        <v>0</v>
      </c>
      <c r="AA16" s="158" t="b">
        <v>0</v>
      </c>
      <c r="AB16" s="158" t="b">
        <v>0</v>
      </c>
      <c r="AC16" s="158" t="b">
        <v>0</v>
      </c>
      <c r="AD16" s="158" t="b">
        <v>0</v>
      </c>
      <c r="AE16" s="158" t="b">
        <v>0</v>
      </c>
      <c r="AF16" s="158" t="b">
        <v>0</v>
      </c>
      <c r="AG16" s="158" t="b">
        <v>0</v>
      </c>
      <c r="AH16" s="158" t="b">
        <v>0</v>
      </c>
      <c r="AI16" s="158" t="b">
        <v>0</v>
      </c>
      <c r="AJ16" s="158" t="b">
        <v>0</v>
      </c>
      <c r="AK16" s="158" t="b">
        <v>0</v>
      </c>
      <c r="AL16" s="158" t="b">
        <v>0</v>
      </c>
      <c r="AM16" s="158" t="b">
        <v>0</v>
      </c>
      <c r="AN16" s="158" t="b">
        <v>0</v>
      </c>
      <c r="AO16" s="158" t="b">
        <v>0</v>
      </c>
      <c r="AP16" s="158" t="b">
        <v>0</v>
      </c>
      <c r="AQ16" s="158" t="b">
        <v>0</v>
      </c>
      <c r="AR16" s="158" t="b">
        <v>0</v>
      </c>
      <c r="AS16" s="158" t="b">
        <v>0</v>
      </c>
      <c r="AT16" s="158" t="b">
        <v>0</v>
      </c>
      <c r="AU16" s="158" t="b">
        <v>0</v>
      </c>
      <c r="AV16" s="158" t="b">
        <v>0</v>
      </c>
      <c r="AW16" s="158" t="b">
        <v>0</v>
      </c>
      <c r="AX16" s="158" t="b">
        <v>0</v>
      </c>
      <c r="AY16" s="158" t="b">
        <v>0</v>
      </c>
      <c r="AZ16" s="158" t="b">
        <v>0</v>
      </c>
      <c r="BA16" s="158" t="b">
        <v>0</v>
      </c>
      <c r="BB16" s="158" t="b">
        <v>0</v>
      </c>
      <c r="BC16" s="158" t="b">
        <v>0</v>
      </c>
      <c r="BD16" s="158" t="b">
        <v>0</v>
      </c>
      <c r="BE16" s="158" t="b">
        <v>0</v>
      </c>
      <c r="BF16" s="158" t="b">
        <v>0</v>
      </c>
      <c r="BG16" s="158" t="b">
        <v>0</v>
      </c>
      <c r="BH16" s="158" t="b">
        <v>0</v>
      </c>
      <c r="BI16" s="158" t="b">
        <v>0</v>
      </c>
      <c r="BJ16" s="158" t="b">
        <v>0</v>
      </c>
      <c r="BK16" s="93" t="b">
        <v>1</v>
      </c>
      <c r="BL16" s="93" t="b">
        <v>1</v>
      </c>
      <c r="BM16" s="158" t="b">
        <v>0</v>
      </c>
      <c r="BN16" s="158" t="b">
        <v>0</v>
      </c>
      <c r="BO16" s="158" t="b">
        <v>0</v>
      </c>
      <c r="BP16" s="158" t="b">
        <v>0</v>
      </c>
      <c r="BQ16" s="158" t="b">
        <v>0</v>
      </c>
      <c r="BR16" s="158" t="b">
        <v>0</v>
      </c>
      <c r="BS16" s="158" t="b">
        <v>0</v>
      </c>
      <c r="BT16" s="158" t="b">
        <v>0</v>
      </c>
      <c r="BU16" s="158" t="b">
        <v>0</v>
      </c>
      <c r="BV16" s="158" t="b">
        <v>0</v>
      </c>
      <c r="BW16" s="93" t="b">
        <v>0</v>
      </c>
      <c r="BX16" s="158" t="b">
        <v>0</v>
      </c>
      <c r="BY16" s="158" t="b">
        <v>0</v>
      </c>
      <c r="BZ16" s="158" t="b">
        <v>0</v>
      </c>
      <c r="CA16" s="158" t="b">
        <v>0</v>
      </c>
      <c r="CB16" s="158" t="b">
        <v>0</v>
      </c>
      <c r="CC16" s="158" t="b">
        <v>0</v>
      </c>
      <c r="CD16" s="158" t="b">
        <v>0</v>
      </c>
      <c r="CE16" s="158" t="b">
        <v>0</v>
      </c>
      <c r="CF16" s="93" t="b">
        <v>1</v>
      </c>
      <c r="CG16" s="93" t="b">
        <v>1</v>
      </c>
      <c r="CH16" s="158" t="b">
        <v>0</v>
      </c>
      <c r="CI16" s="158" t="b">
        <v>0</v>
      </c>
      <c r="CJ16" s="158" t="b">
        <v>0</v>
      </c>
      <c r="CK16" s="158" t="b">
        <v>0</v>
      </c>
      <c r="CL16" s="158" t="b">
        <v>0</v>
      </c>
      <c r="CM16" s="93" t="b">
        <v>1</v>
      </c>
      <c r="CN16" s="93" t="b">
        <v>1</v>
      </c>
      <c r="CO16" s="93" t="b">
        <v>1</v>
      </c>
      <c r="CP16" s="158" t="b">
        <v>0</v>
      </c>
      <c r="CQ16" s="158" t="b">
        <v>0</v>
      </c>
      <c r="CR16" s="158" t="b">
        <v>0</v>
      </c>
      <c r="CS16" s="158" t="b">
        <v>0</v>
      </c>
      <c r="CT16" s="158" t="b">
        <v>0</v>
      </c>
      <c r="CU16" s="158" t="b">
        <v>0</v>
      </c>
      <c r="CV16" s="158" t="b">
        <v>0</v>
      </c>
      <c r="CW16" s="158" t="b">
        <v>0</v>
      </c>
      <c r="CX16" s="158" t="b">
        <v>0</v>
      </c>
      <c r="CY16" s="158" t="b">
        <v>0</v>
      </c>
      <c r="CZ16" s="158" t="b">
        <v>0</v>
      </c>
      <c r="DA16" s="158" t="b">
        <v>0</v>
      </c>
      <c r="DB16" s="158" t="b">
        <v>0</v>
      </c>
      <c r="DC16" s="158" t="b">
        <v>0</v>
      </c>
      <c r="DD16" s="158" t="b">
        <v>0</v>
      </c>
      <c r="DE16" s="158" t="b">
        <v>0</v>
      </c>
      <c r="DF16" s="158" t="b">
        <v>0</v>
      </c>
      <c r="DG16" s="158" t="b">
        <v>0</v>
      </c>
      <c r="DH16" s="158" t="b">
        <v>0</v>
      </c>
      <c r="DI16" s="158" t="b">
        <v>0</v>
      </c>
      <c r="DJ16" s="158" t="b">
        <v>0</v>
      </c>
      <c r="DK16" s="158" t="b">
        <v>0</v>
      </c>
      <c r="DL16" s="158" t="b">
        <v>0</v>
      </c>
      <c r="DM16" s="158" t="b">
        <v>0</v>
      </c>
      <c r="DN16" s="93" t="b">
        <v>1</v>
      </c>
      <c r="DO16" s="93" t="b">
        <v>1</v>
      </c>
      <c r="DP16" s="93" t="b">
        <v>1</v>
      </c>
      <c r="DQ16" s="158" t="b">
        <v>0</v>
      </c>
      <c r="DR16" s="93" t="b">
        <v>1</v>
      </c>
      <c r="DS16" s="93" t="b">
        <v>1</v>
      </c>
      <c r="DT16" s="93" t="b">
        <v>1</v>
      </c>
      <c r="DU16" s="93" t="b">
        <v>1</v>
      </c>
      <c r="DV16" s="93" t="b">
        <v>1</v>
      </c>
      <c r="DW16" s="158" t="b">
        <v>0</v>
      </c>
      <c r="DX16" s="158" t="b">
        <v>0</v>
      </c>
      <c r="DY16" s="158" t="b">
        <v>0</v>
      </c>
      <c r="DZ16" s="158" t="b">
        <v>0</v>
      </c>
      <c r="EA16" s="158" t="b">
        <v>0</v>
      </c>
      <c r="EB16" s="158" t="b">
        <v>0</v>
      </c>
      <c r="EC16" s="158" t="b">
        <v>0</v>
      </c>
      <c r="ED16" s="158" t="b">
        <v>0</v>
      </c>
      <c r="EE16" s="158" t="b">
        <v>0</v>
      </c>
      <c r="EF16" s="158" t="b">
        <v>0</v>
      </c>
      <c r="EG16" s="158" t="b">
        <v>0</v>
      </c>
      <c r="EH16" s="158" t="b">
        <v>0</v>
      </c>
      <c r="EI16" s="93" t="b">
        <v>1</v>
      </c>
      <c r="EJ16" s="93" t="b">
        <v>1</v>
      </c>
      <c r="EK16" s="158" t="b">
        <v>0</v>
      </c>
      <c r="EL16" s="158" t="b">
        <v>0</v>
      </c>
      <c r="EM16" s="158" t="b">
        <v>0</v>
      </c>
      <c r="EN16" s="158" t="b">
        <v>0</v>
      </c>
      <c r="EO16" s="158" t="b">
        <v>0</v>
      </c>
      <c r="EP16" s="158" t="b">
        <v>0</v>
      </c>
      <c r="EQ16" s="158" t="b">
        <v>0</v>
      </c>
      <c r="ER16" s="158" t="b">
        <v>0</v>
      </c>
      <c r="ES16" s="158" t="b">
        <v>0</v>
      </c>
      <c r="ET16" s="158" t="b">
        <v>0</v>
      </c>
      <c r="EU16" s="158" t="b">
        <v>0</v>
      </c>
      <c r="EV16" s="158" t="b">
        <v>0</v>
      </c>
      <c r="EW16" s="158" t="b">
        <v>0</v>
      </c>
      <c r="EX16" s="158" t="b">
        <v>0</v>
      </c>
      <c r="EY16" s="158" t="b">
        <v>0</v>
      </c>
      <c r="EZ16" s="158" t="b">
        <v>0</v>
      </c>
      <c r="FA16" s="158" t="b">
        <v>0</v>
      </c>
      <c r="FB16" s="158" t="b">
        <v>0</v>
      </c>
      <c r="FC16" s="158" t="b">
        <v>0</v>
      </c>
      <c r="FD16" s="158" t="b">
        <v>0</v>
      </c>
      <c r="FE16" s="158" t="b">
        <v>0</v>
      </c>
      <c r="FF16" s="158" t="b">
        <v>0</v>
      </c>
      <c r="FG16" s="158" t="b">
        <v>0</v>
      </c>
      <c r="FH16" s="158" t="b">
        <v>0</v>
      </c>
      <c r="FI16" s="158" t="b">
        <v>0</v>
      </c>
      <c r="FJ16" s="158" t="b">
        <v>0</v>
      </c>
      <c r="FK16" s="158" t="b">
        <v>0</v>
      </c>
      <c r="FL16" s="158" t="b">
        <v>0</v>
      </c>
      <c r="FM16" s="158" t="b">
        <v>0</v>
      </c>
      <c r="FN16" s="158" t="b">
        <v>0</v>
      </c>
      <c r="FO16" s="158" t="b">
        <v>0</v>
      </c>
      <c r="FP16" s="158" t="b">
        <v>0</v>
      </c>
      <c r="FQ16" s="158" t="b">
        <v>0</v>
      </c>
      <c r="FR16" s="158" t="b">
        <v>0</v>
      </c>
      <c r="FS16" s="158" t="b">
        <v>0</v>
      </c>
      <c r="FT16" s="158" t="b">
        <v>0</v>
      </c>
      <c r="FU16" s="158" t="b">
        <v>0</v>
      </c>
      <c r="FV16" s="158" t="b">
        <v>0</v>
      </c>
      <c r="FW16" s="158" t="b">
        <v>0</v>
      </c>
      <c r="FX16" s="158" t="b">
        <v>0</v>
      </c>
      <c r="FY16" s="158" t="b">
        <v>0</v>
      </c>
      <c r="FZ16" s="158" t="b">
        <v>0</v>
      </c>
      <c r="GA16" s="158" t="b">
        <v>0</v>
      </c>
      <c r="GB16" s="158" t="b">
        <v>0</v>
      </c>
      <c r="GC16" s="158" t="b">
        <v>0</v>
      </c>
      <c r="GD16" s="158" t="b">
        <v>0</v>
      </c>
      <c r="GE16" s="158" t="b">
        <v>0</v>
      </c>
      <c r="GF16" s="158" t="b">
        <v>0</v>
      </c>
      <c r="GG16" s="158" t="b">
        <v>0</v>
      </c>
      <c r="GH16" s="158" t="b">
        <v>0</v>
      </c>
      <c r="GI16" s="158" t="b">
        <v>0</v>
      </c>
      <c r="GJ16" s="158" t="b">
        <v>0</v>
      </c>
      <c r="GK16" s="158" t="b">
        <v>0</v>
      </c>
      <c r="GL16" s="158" t="b">
        <v>0</v>
      </c>
      <c r="GM16" s="158" t="b">
        <v>0</v>
      </c>
      <c r="GN16" s="158" t="b">
        <v>0</v>
      </c>
      <c r="GO16" s="158" t="b">
        <v>0</v>
      </c>
      <c r="GP16" s="158" t="b">
        <v>0</v>
      </c>
      <c r="GQ16" s="158" t="b">
        <v>0</v>
      </c>
      <c r="GR16" s="158" t="b">
        <v>0</v>
      </c>
      <c r="GS16" s="158" t="b">
        <v>0</v>
      </c>
      <c r="GT16" s="158" t="b">
        <v>0</v>
      </c>
      <c r="GU16" s="158" t="b">
        <v>0</v>
      </c>
      <c r="GV16" s="158" t="b">
        <v>0</v>
      </c>
      <c r="GW16" s="158" t="b">
        <v>0</v>
      </c>
      <c r="GX16" s="158" t="b">
        <v>0</v>
      </c>
      <c r="GY16" s="158" t="b">
        <v>0</v>
      </c>
      <c r="GZ16" s="158" t="b">
        <v>0</v>
      </c>
      <c r="HA16" s="158" t="b">
        <v>0</v>
      </c>
      <c r="HB16" s="158" t="b">
        <v>0</v>
      </c>
      <c r="HC16" s="158" t="b">
        <v>0</v>
      </c>
      <c r="HD16" s="158" t="b">
        <v>0</v>
      </c>
      <c r="HE16" s="158" t="b">
        <v>0</v>
      </c>
      <c r="HF16" s="158" t="b">
        <v>0</v>
      </c>
      <c r="HG16" s="158" t="b">
        <v>0</v>
      </c>
      <c r="HH16" s="158" t="b">
        <v>0</v>
      </c>
      <c r="HI16" s="158" t="b">
        <v>0</v>
      </c>
      <c r="HJ16" s="93" t="b">
        <v>1</v>
      </c>
      <c r="HK16" s="93" t="b">
        <v>1</v>
      </c>
      <c r="HL16" s="93" t="b">
        <v>1</v>
      </c>
      <c r="HM16" s="158" t="b">
        <v>0</v>
      </c>
      <c r="HN16" s="158" t="b">
        <v>0</v>
      </c>
      <c r="HO16" s="158" t="b">
        <v>0</v>
      </c>
      <c r="HP16" s="158" t="b">
        <v>0</v>
      </c>
      <c r="HQ16" s="158" t="b">
        <v>0</v>
      </c>
      <c r="HR16" s="158" t="b">
        <v>0</v>
      </c>
      <c r="HS16" s="158" t="b">
        <v>0</v>
      </c>
      <c r="HT16" s="93" t="b">
        <v>1</v>
      </c>
      <c r="HU16" s="93" t="b">
        <v>1</v>
      </c>
      <c r="HV16" s="93" t="b">
        <v>1</v>
      </c>
      <c r="HW16" s="93" t="b">
        <v>1</v>
      </c>
      <c r="HX16" s="93" t="b">
        <v>1</v>
      </c>
      <c r="HY16" s="158" t="b">
        <v>0</v>
      </c>
      <c r="HZ16" s="158" t="b">
        <v>0</v>
      </c>
      <c r="IA16" s="158" t="b">
        <v>0</v>
      </c>
      <c r="IB16" s="158" t="b">
        <v>0</v>
      </c>
      <c r="IC16" s="158" t="b">
        <v>0</v>
      </c>
      <c r="ID16" s="158" t="b">
        <v>0</v>
      </c>
      <c r="IE16" s="158" t="b">
        <v>0</v>
      </c>
      <c r="IF16" s="158" t="b">
        <v>0</v>
      </c>
      <c r="IG16" s="158" t="b">
        <v>0</v>
      </c>
      <c r="IH16" s="158" t="b">
        <v>0</v>
      </c>
      <c r="II16" s="158" t="b">
        <v>0</v>
      </c>
      <c r="IJ16" s="158" t="b">
        <v>0</v>
      </c>
      <c r="IK16" s="158" t="b">
        <v>0</v>
      </c>
      <c r="IL16" s="158" t="b">
        <v>0</v>
      </c>
      <c r="IM16" s="158" t="b">
        <v>0</v>
      </c>
      <c r="IN16" s="158" t="b">
        <v>0</v>
      </c>
      <c r="IO16" s="158" t="b">
        <v>0</v>
      </c>
      <c r="IP16" s="158" t="b">
        <v>0</v>
      </c>
      <c r="IQ16" s="158" t="b">
        <v>0</v>
      </c>
      <c r="IR16" s="158" t="b">
        <v>0</v>
      </c>
      <c r="IS16" s="158" t="b">
        <v>0</v>
      </c>
      <c r="IT16" s="158" t="b">
        <v>0</v>
      </c>
      <c r="IU16" s="158" t="b">
        <v>0</v>
      </c>
      <c r="IV16" s="158" t="b">
        <v>0</v>
      </c>
      <c r="IW16" s="158" t="b">
        <v>0</v>
      </c>
      <c r="IX16" s="158" t="b">
        <v>0</v>
      </c>
      <c r="IY16" s="158" t="b">
        <v>0</v>
      </c>
      <c r="IZ16" s="158" t="b">
        <v>0</v>
      </c>
      <c r="JA16" s="158" t="b">
        <v>0</v>
      </c>
      <c r="JB16" s="158" t="b">
        <v>0</v>
      </c>
      <c r="JC16" s="158" t="b">
        <v>0</v>
      </c>
      <c r="JD16" s="158" t="b">
        <v>0</v>
      </c>
      <c r="JE16" s="158" t="b">
        <v>0</v>
      </c>
      <c r="JF16" s="158" t="b">
        <v>0</v>
      </c>
      <c r="JG16" s="158" t="b">
        <v>0</v>
      </c>
      <c r="JH16" s="158" t="b">
        <v>0</v>
      </c>
      <c r="JI16" s="158" t="b">
        <v>0</v>
      </c>
      <c r="JJ16" s="158" t="b">
        <v>0</v>
      </c>
      <c r="JK16" s="158" t="b">
        <v>0</v>
      </c>
      <c r="JL16" s="158" t="b">
        <v>0</v>
      </c>
      <c r="JM16" s="158" t="b">
        <v>0</v>
      </c>
      <c r="JN16" s="158" t="b">
        <v>0</v>
      </c>
      <c r="JO16" s="158" t="b">
        <v>0</v>
      </c>
      <c r="JP16" s="158" t="b">
        <v>0</v>
      </c>
      <c r="JQ16" s="158" t="b">
        <v>0</v>
      </c>
      <c r="JR16" s="158" t="b">
        <v>0</v>
      </c>
      <c r="JS16" s="158" t="b">
        <v>0</v>
      </c>
      <c r="JT16" s="158" t="b">
        <v>0</v>
      </c>
      <c r="JU16" s="158" t="b">
        <v>0</v>
      </c>
      <c r="JV16" s="158" t="b">
        <v>0</v>
      </c>
      <c r="JW16" s="158" t="b">
        <v>0</v>
      </c>
      <c r="JX16" s="158" t="b">
        <v>0</v>
      </c>
      <c r="JY16" s="158" t="b">
        <v>0</v>
      </c>
      <c r="JZ16" s="158" t="b">
        <v>0</v>
      </c>
      <c r="KA16" s="158" t="b">
        <v>0</v>
      </c>
      <c r="KB16" s="158" t="b">
        <v>0</v>
      </c>
      <c r="KC16" s="158" t="b">
        <v>0</v>
      </c>
      <c r="KD16" s="158" t="b">
        <v>0</v>
      </c>
      <c r="KE16" s="158" t="b">
        <v>0</v>
      </c>
      <c r="KF16" s="158" t="b">
        <v>0</v>
      </c>
      <c r="KG16" s="158" t="b">
        <v>0</v>
      </c>
      <c r="KH16" s="158" t="b">
        <v>0</v>
      </c>
      <c r="KI16" s="158" t="b">
        <v>0</v>
      </c>
      <c r="KJ16" s="158" t="b">
        <v>0</v>
      </c>
      <c r="KK16" s="158" t="b">
        <v>0</v>
      </c>
      <c r="KL16" s="158" t="b">
        <v>0</v>
      </c>
      <c r="KM16" s="158" t="b">
        <v>0</v>
      </c>
      <c r="KN16" s="158" t="b">
        <v>0</v>
      </c>
      <c r="KO16" s="158" t="b">
        <v>0</v>
      </c>
      <c r="KP16" s="158" t="b">
        <v>0</v>
      </c>
      <c r="KQ16" s="158" t="b">
        <v>0</v>
      </c>
      <c r="KR16" s="158" t="b">
        <v>0</v>
      </c>
      <c r="KS16" s="158" t="b">
        <v>0</v>
      </c>
      <c r="KT16" s="158" t="b">
        <v>0</v>
      </c>
      <c r="KU16" s="158" t="b">
        <v>0</v>
      </c>
      <c r="KV16" s="158" t="b">
        <v>0</v>
      </c>
      <c r="KW16" s="158" t="b">
        <v>0</v>
      </c>
      <c r="KX16" s="158" t="b">
        <v>0</v>
      </c>
      <c r="KY16" s="158" t="b">
        <v>0</v>
      </c>
      <c r="KZ16" s="158" t="b">
        <v>0</v>
      </c>
      <c r="LA16" s="158" t="b">
        <v>0</v>
      </c>
      <c r="LB16" s="158" t="b">
        <v>0</v>
      </c>
      <c r="LC16" s="158" t="b">
        <v>0</v>
      </c>
      <c r="LD16" s="158" t="b">
        <v>0</v>
      </c>
      <c r="LE16" s="158" t="b">
        <v>0</v>
      </c>
      <c r="LF16" s="158" t="b">
        <v>0</v>
      </c>
      <c r="LG16" s="158" t="b">
        <v>0</v>
      </c>
      <c r="LH16" s="158" t="b">
        <v>0</v>
      </c>
      <c r="LI16" s="158" t="b">
        <v>0</v>
      </c>
      <c r="LJ16" s="158" t="b">
        <v>0</v>
      </c>
      <c r="LK16" s="158" t="b">
        <v>0</v>
      </c>
      <c r="LL16" s="158" t="b">
        <v>0</v>
      </c>
      <c r="LM16" s="158" t="b">
        <v>0</v>
      </c>
      <c r="LN16" s="158" t="b">
        <v>0</v>
      </c>
      <c r="LO16" s="158" t="b">
        <v>0</v>
      </c>
      <c r="LP16" s="158" t="b">
        <v>0</v>
      </c>
      <c r="LQ16" s="158" t="b">
        <v>0</v>
      </c>
      <c r="LR16" s="158" t="b">
        <v>0</v>
      </c>
      <c r="LS16" s="158" t="b">
        <v>0</v>
      </c>
      <c r="LT16" s="158" t="b">
        <v>0</v>
      </c>
      <c r="LU16" s="158" t="b">
        <v>0</v>
      </c>
      <c r="LV16" s="158" t="b">
        <v>0</v>
      </c>
      <c r="LW16" s="158" t="b">
        <v>0</v>
      </c>
      <c r="LX16" s="158" t="b">
        <v>0</v>
      </c>
      <c r="LY16" s="158" t="b">
        <v>0</v>
      </c>
      <c r="LZ16" s="158" t="b">
        <v>0</v>
      </c>
      <c r="MA16" s="158" t="b">
        <v>0</v>
      </c>
      <c r="MB16" s="158" t="b">
        <v>0</v>
      </c>
      <c r="MC16" s="158" t="b">
        <v>0</v>
      </c>
      <c r="MD16" s="158" t="b">
        <v>0</v>
      </c>
      <c r="ME16" s="158" t="b">
        <v>0</v>
      </c>
      <c r="MF16" s="158" t="b">
        <v>0</v>
      </c>
      <c r="MG16" s="158" t="b">
        <v>0</v>
      </c>
      <c r="MH16" s="158" t="b">
        <v>0</v>
      </c>
      <c r="MI16" s="158" t="b">
        <v>0</v>
      </c>
      <c r="MJ16" s="158" t="b">
        <v>0</v>
      </c>
      <c r="MK16" s="158" t="b">
        <v>0</v>
      </c>
      <c r="ML16" s="158" t="b">
        <v>0</v>
      </c>
      <c r="MM16" s="158" t="b">
        <v>0</v>
      </c>
      <c r="MN16" s="158" t="b">
        <v>0</v>
      </c>
      <c r="MO16" s="158" t="b">
        <v>0</v>
      </c>
      <c r="MP16" s="158" t="b">
        <v>0</v>
      </c>
      <c r="MQ16" s="158" t="b">
        <v>0</v>
      </c>
      <c r="MR16" s="158" t="b">
        <v>0</v>
      </c>
      <c r="MS16" s="158" t="b">
        <v>0</v>
      </c>
      <c r="MT16" s="158" t="b">
        <v>0</v>
      </c>
      <c r="MU16" s="158" t="b">
        <v>0</v>
      </c>
      <c r="MV16" s="158" t="b">
        <v>0</v>
      </c>
      <c r="MW16" s="158" t="b">
        <v>0</v>
      </c>
      <c r="MX16" s="158" t="b">
        <v>0</v>
      </c>
      <c r="MY16" s="158" t="b">
        <v>0</v>
      </c>
      <c r="MZ16" s="158" t="b">
        <v>0</v>
      </c>
      <c r="NA16" s="158" t="b">
        <v>0</v>
      </c>
      <c r="NB16" s="158" t="b">
        <v>0</v>
      </c>
      <c r="NC16" s="158" t="b">
        <v>0</v>
      </c>
      <c r="ND16" s="158" t="b">
        <v>0</v>
      </c>
      <c r="NE16" s="158" t="b">
        <v>0</v>
      </c>
      <c r="NF16" s="158" t="b">
        <v>0</v>
      </c>
      <c r="NG16" s="158" t="b">
        <v>0</v>
      </c>
      <c r="NH16" s="158" t="b">
        <v>0</v>
      </c>
      <c r="NI16" s="158" t="b">
        <v>0</v>
      </c>
      <c r="NJ16" s="158" t="b">
        <v>0</v>
      </c>
      <c r="NK16" s="158" t="b">
        <v>0</v>
      </c>
      <c r="NL16" s="158" t="b">
        <v>0</v>
      </c>
      <c r="NM16" s="158" t="b">
        <v>0</v>
      </c>
      <c r="NN16" s="158" t="b">
        <v>0</v>
      </c>
      <c r="NO16" s="158" t="b">
        <v>0</v>
      </c>
    </row>
    <row r="17" spans="1:379" ht="29.25" x14ac:dyDescent="0.4">
      <c r="A17" s="511" t="str">
        <v>Bun Club Hot Dogs</v>
      </c>
      <c r="B17" s="158" t="b">
        <v>0</v>
      </c>
      <c r="C17" s="158" t="b">
        <v>0</v>
      </c>
      <c r="D17" s="158" t="b">
        <v>0</v>
      </c>
      <c r="E17" s="158" t="b">
        <v>0</v>
      </c>
      <c r="F17" s="158" t="b">
        <v>0</v>
      </c>
      <c r="G17" s="158" t="b">
        <v>0</v>
      </c>
      <c r="H17" s="158" t="b">
        <v>0</v>
      </c>
      <c r="I17" s="158" t="b">
        <v>0</v>
      </c>
      <c r="J17" s="158" t="b">
        <v>0</v>
      </c>
      <c r="K17" s="158" t="b">
        <v>0</v>
      </c>
      <c r="L17" s="158" t="b">
        <v>0</v>
      </c>
      <c r="M17" s="158" t="b">
        <v>0</v>
      </c>
      <c r="N17" s="158" t="b">
        <v>0</v>
      </c>
      <c r="O17" s="158" t="b">
        <v>0</v>
      </c>
      <c r="P17" s="158" t="b">
        <v>0</v>
      </c>
      <c r="Q17" s="158" t="b">
        <v>0</v>
      </c>
      <c r="R17" s="93" t="b">
        <v>0</v>
      </c>
      <c r="S17" s="158" t="b">
        <v>0</v>
      </c>
      <c r="T17" s="93" t="b">
        <v>0</v>
      </c>
      <c r="U17" s="93" t="b">
        <v>0</v>
      </c>
      <c r="V17" s="93" t="b">
        <v>0</v>
      </c>
      <c r="W17" s="158" t="b">
        <v>0</v>
      </c>
      <c r="X17" s="158" t="b">
        <v>0</v>
      </c>
      <c r="Y17" s="158" t="b">
        <v>0</v>
      </c>
      <c r="Z17" s="158" t="b">
        <v>0</v>
      </c>
      <c r="AA17" s="158" t="b">
        <v>0</v>
      </c>
      <c r="AB17" s="158" t="b">
        <v>0</v>
      </c>
      <c r="AC17" s="158" t="b">
        <v>0</v>
      </c>
      <c r="AD17" s="158" t="b">
        <v>0</v>
      </c>
      <c r="AE17" s="158" t="b">
        <v>0</v>
      </c>
      <c r="AF17" s="158" t="b">
        <v>0</v>
      </c>
      <c r="AG17" s="158" t="b">
        <v>0</v>
      </c>
      <c r="AH17" s="158" t="b">
        <v>0</v>
      </c>
      <c r="AI17" s="158" t="b">
        <v>0</v>
      </c>
      <c r="AJ17" s="158" t="b">
        <v>0</v>
      </c>
      <c r="AK17" s="158" t="b">
        <v>0</v>
      </c>
      <c r="AL17" s="158" t="b">
        <v>0</v>
      </c>
      <c r="AM17" s="158" t="b">
        <v>0</v>
      </c>
      <c r="AN17" s="158" t="b">
        <v>0</v>
      </c>
      <c r="AO17" s="158" t="b">
        <v>0</v>
      </c>
      <c r="AP17" s="158" t="b">
        <v>0</v>
      </c>
      <c r="AQ17" s="158" t="b">
        <v>0</v>
      </c>
      <c r="AR17" s="158" t="b">
        <v>0</v>
      </c>
      <c r="AS17" s="158" t="b">
        <v>0</v>
      </c>
      <c r="AT17" s="158" t="b">
        <v>0</v>
      </c>
      <c r="AU17" s="158" t="b">
        <v>0</v>
      </c>
      <c r="AV17" s="158" t="b">
        <v>0</v>
      </c>
      <c r="AW17" s="158" t="b">
        <v>0</v>
      </c>
      <c r="AX17" s="158" t="b">
        <v>0</v>
      </c>
      <c r="AY17" s="158" t="b">
        <v>0</v>
      </c>
      <c r="AZ17" s="158" t="b">
        <v>0</v>
      </c>
      <c r="BA17" s="158" t="b">
        <v>0</v>
      </c>
      <c r="BB17" s="158" t="b">
        <v>0</v>
      </c>
      <c r="BC17" s="158" t="b">
        <v>0</v>
      </c>
      <c r="BD17" s="158" t="b">
        <v>0</v>
      </c>
      <c r="BE17" s="158" t="b">
        <v>0</v>
      </c>
      <c r="BF17" s="158" t="b">
        <v>0</v>
      </c>
      <c r="BG17" s="158" t="b">
        <v>0</v>
      </c>
      <c r="BH17" s="158" t="b">
        <v>0</v>
      </c>
      <c r="BI17" s="158" t="b">
        <v>0</v>
      </c>
      <c r="BJ17" s="158" t="b">
        <v>0</v>
      </c>
      <c r="BK17" s="158" t="b">
        <v>0</v>
      </c>
      <c r="BL17" s="158" t="b">
        <v>0</v>
      </c>
      <c r="BM17" s="158" t="b">
        <v>0</v>
      </c>
      <c r="BN17" s="158" t="b">
        <v>0</v>
      </c>
      <c r="BO17" s="158" t="b">
        <v>0</v>
      </c>
      <c r="BP17" s="158" t="b">
        <v>0</v>
      </c>
      <c r="BQ17" s="158" t="b">
        <v>0</v>
      </c>
      <c r="BR17" s="158" t="b">
        <v>0</v>
      </c>
      <c r="BS17" s="158" t="b">
        <v>0</v>
      </c>
      <c r="BT17" s="158" t="b">
        <v>0</v>
      </c>
      <c r="BU17" s="158" t="b">
        <v>0</v>
      </c>
      <c r="BV17" s="158" t="b">
        <v>0</v>
      </c>
      <c r="BW17" s="158" t="b">
        <v>0</v>
      </c>
      <c r="BX17" s="93" t="b">
        <v>0</v>
      </c>
      <c r="BY17" s="158" t="b">
        <v>0</v>
      </c>
      <c r="BZ17" s="158" t="b">
        <v>0</v>
      </c>
      <c r="CA17" s="158" t="b">
        <v>0</v>
      </c>
      <c r="CB17" s="158" t="b">
        <v>0</v>
      </c>
      <c r="CC17" s="158" t="b">
        <v>0</v>
      </c>
      <c r="CD17" s="158" t="b">
        <v>0</v>
      </c>
      <c r="CE17" s="158" t="b">
        <v>0</v>
      </c>
      <c r="CF17" s="158" t="b">
        <v>0</v>
      </c>
      <c r="CG17" s="158" t="b">
        <v>0</v>
      </c>
      <c r="CH17" s="158" t="b">
        <v>0</v>
      </c>
      <c r="CI17" s="158" t="b">
        <v>0</v>
      </c>
      <c r="CJ17" s="158" t="b">
        <v>0</v>
      </c>
      <c r="CK17" s="158" t="b">
        <v>0</v>
      </c>
      <c r="CL17" s="158" t="b">
        <v>0</v>
      </c>
      <c r="CM17" s="158" t="b">
        <v>0</v>
      </c>
      <c r="CN17" s="158" t="b">
        <v>0</v>
      </c>
      <c r="CO17" s="158" t="b">
        <v>0</v>
      </c>
      <c r="CP17" s="158" t="b">
        <v>0</v>
      </c>
      <c r="CQ17" s="158" t="b">
        <v>0</v>
      </c>
      <c r="CR17" s="158" t="b">
        <v>0</v>
      </c>
      <c r="CS17" s="158" t="b">
        <v>0</v>
      </c>
      <c r="CT17" s="158" t="b">
        <v>0</v>
      </c>
      <c r="CU17" s="93" t="b">
        <v>1</v>
      </c>
      <c r="CV17" s="158" t="b">
        <v>0</v>
      </c>
      <c r="CW17" s="158" t="b">
        <v>0</v>
      </c>
      <c r="CX17" s="158" t="b">
        <v>0</v>
      </c>
      <c r="CY17" s="158" t="b">
        <v>0</v>
      </c>
      <c r="CZ17" s="158" t="b">
        <v>0</v>
      </c>
      <c r="DA17" s="158" t="b">
        <v>0</v>
      </c>
      <c r="DB17" s="158" t="b">
        <v>0</v>
      </c>
      <c r="DC17" s="158" t="b">
        <v>0</v>
      </c>
      <c r="DD17" s="158" t="b">
        <v>0</v>
      </c>
      <c r="DE17" s="158" t="b">
        <v>0</v>
      </c>
      <c r="DF17" s="158" t="b">
        <v>0</v>
      </c>
      <c r="DG17" s="158" t="b">
        <v>0</v>
      </c>
      <c r="DH17" s="158" t="b">
        <v>0</v>
      </c>
      <c r="DI17" s="158" t="b">
        <v>0</v>
      </c>
      <c r="DJ17" s="158" t="b">
        <v>0</v>
      </c>
      <c r="DK17" s="158" t="b">
        <v>0</v>
      </c>
      <c r="DL17" s="158" t="b">
        <v>0</v>
      </c>
      <c r="DM17" s="158" t="b">
        <v>0</v>
      </c>
      <c r="DN17" s="158" t="b">
        <v>0</v>
      </c>
      <c r="DO17" s="158" t="b">
        <v>0</v>
      </c>
      <c r="DP17" s="158" t="b">
        <v>0</v>
      </c>
      <c r="DQ17" s="158" t="b">
        <v>0</v>
      </c>
      <c r="DR17" s="93" t="b">
        <v>1</v>
      </c>
      <c r="DS17" s="93" t="b">
        <v>1</v>
      </c>
      <c r="DT17" s="93" t="b">
        <v>1</v>
      </c>
      <c r="DU17" s="93" t="b">
        <v>1</v>
      </c>
      <c r="DV17" s="93" t="b">
        <v>1</v>
      </c>
      <c r="DW17" s="158" t="b">
        <v>0</v>
      </c>
      <c r="DX17" s="158" t="b">
        <v>0</v>
      </c>
      <c r="DY17" s="158" t="b">
        <v>0</v>
      </c>
      <c r="DZ17" s="158" t="b">
        <v>0</v>
      </c>
      <c r="EA17" s="158" t="b">
        <v>0</v>
      </c>
      <c r="EB17" s="158" t="b">
        <v>0</v>
      </c>
      <c r="EC17" s="158" t="b">
        <v>0</v>
      </c>
      <c r="ED17" s="158" t="b">
        <v>0</v>
      </c>
      <c r="EE17" s="158" t="b">
        <v>0</v>
      </c>
      <c r="EF17" s="158" t="b">
        <v>0</v>
      </c>
      <c r="EG17" s="158" t="b">
        <v>0</v>
      </c>
      <c r="EH17" s="158" t="b">
        <v>0</v>
      </c>
      <c r="EI17" s="158" t="b">
        <v>0</v>
      </c>
      <c r="EJ17" s="158" t="b">
        <v>0</v>
      </c>
      <c r="EK17" s="158" t="b">
        <v>0</v>
      </c>
      <c r="EL17" s="158" t="b">
        <v>0</v>
      </c>
      <c r="EM17" s="158" t="b">
        <v>0</v>
      </c>
      <c r="EN17" s="158" t="b">
        <v>0</v>
      </c>
      <c r="EO17" s="158" t="b">
        <v>0</v>
      </c>
      <c r="EP17" s="158" t="b">
        <v>0</v>
      </c>
      <c r="EQ17" s="158" t="b">
        <v>0</v>
      </c>
      <c r="ER17" s="158" t="b">
        <v>0</v>
      </c>
      <c r="ES17" s="158" t="b">
        <v>0</v>
      </c>
      <c r="ET17" s="158" t="b">
        <v>0</v>
      </c>
      <c r="EU17" s="158" t="b">
        <v>0</v>
      </c>
      <c r="EV17" s="158" t="b">
        <v>0</v>
      </c>
      <c r="EW17" s="158" t="b">
        <v>0</v>
      </c>
      <c r="EX17" s="158" t="b">
        <v>0</v>
      </c>
      <c r="EY17" s="158" t="b">
        <v>0</v>
      </c>
      <c r="EZ17" s="158" t="b">
        <v>0</v>
      </c>
      <c r="FA17" s="158" t="b">
        <v>0</v>
      </c>
      <c r="FB17" s="158" t="b">
        <v>0</v>
      </c>
      <c r="FC17" s="158" t="b">
        <v>0</v>
      </c>
      <c r="FD17" s="158" t="b">
        <v>0</v>
      </c>
      <c r="FE17" s="158" t="b">
        <v>0</v>
      </c>
      <c r="FF17" s="158" t="b">
        <v>0</v>
      </c>
      <c r="FG17" s="158" t="b">
        <v>0</v>
      </c>
      <c r="FH17" s="158" t="b">
        <v>0</v>
      </c>
      <c r="FI17" s="158" t="b">
        <v>0</v>
      </c>
      <c r="FJ17" s="158" t="b">
        <v>0</v>
      </c>
      <c r="FK17" s="158" t="b">
        <v>0</v>
      </c>
      <c r="FL17" s="158" t="b">
        <v>0</v>
      </c>
      <c r="FM17" s="158" t="b">
        <v>0</v>
      </c>
      <c r="FN17" s="158" t="b">
        <v>0</v>
      </c>
      <c r="FO17" s="158" t="b">
        <v>0</v>
      </c>
      <c r="FP17" s="158" t="b">
        <v>0</v>
      </c>
      <c r="FQ17" s="158" t="b">
        <v>0</v>
      </c>
      <c r="FR17" s="158" t="b">
        <v>0</v>
      </c>
      <c r="FS17" s="158" t="b">
        <v>0</v>
      </c>
      <c r="FT17" s="93" t="b">
        <v>1</v>
      </c>
      <c r="FU17" s="158" t="b">
        <v>0</v>
      </c>
      <c r="FV17" s="158" t="b">
        <v>0</v>
      </c>
      <c r="FW17" s="158" t="b">
        <v>0</v>
      </c>
      <c r="FX17" s="158" t="b">
        <v>0</v>
      </c>
      <c r="FY17" s="158" t="b">
        <v>0</v>
      </c>
      <c r="FZ17" s="158" t="b">
        <v>0</v>
      </c>
      <c r="GA17" s="158" t="b">
        <v>0</v>
      </c>
      <c r="GB17" s="158" t="b">
        <v>0</v>
      </c>
      <c r="GC17" s="158" t="b">
        <v>0</v>
      </c>
      <c r="GD17" s="158" t="b">
        <v>0</v>
      </c>
      <c r="GE17" s="158" t="b">
        <v>0</v>
      </c>
      <c r="GF17" s="158" t="b">
        <v>0</v>
      </c>
      <c r="GG17" s="158" t="b">
        <v>0</v>
      </c>
      <c r="GH17" s="158" t="b">
        <v>0</v>
      </c>
      <c r="GI17" s="158" t="b">
        <v>0</v>
      </c>
      <c r="GJ17" s="158" t="b">
        <v>0</v>
      </c>
      <c r="GK17" s="158" t="b">
        <v>0</v>
      </c>
      <c r="GL17" s="158" t="b">
        <v>0</v>
      </c>
      <c r="GM17" s="158" t="b">
        <v>0</v>
      </c>
      <c r="GN17" s="158" t="b">
        <v>0</v>
      </c>
      <c r="GO17" s="158" t="b">
        <v>0</v>
      </c>
      <c r="GP17" s="158" t="b">
        <v>0</v>
      </c>
      <c r="GQ17" s="158" t="b">
        <v>0</v>
      </c>
      <c r="GR17" s="158" t="b">
        <v>0</v>
      </c>
      <c r="GS17" s="158" t="b">
        <v>0</v>
      </c>
      <c r="GT17" s="158" t="b">
        <v>0</v>
      </c>
      <c r="GU17" s="158" t="b">
        <v>0</v>
      </c>
      <c r="GV17" s="158" t="b">
        <v>0</v>
      </c>
      <c r="GW17" s="158" t="b">
        <v>0</v>
      </c>
      <c r="GX17" s="158" t="b">
        <v>0</v>
      </c>
      <c r="GY17" s="158" t="b">
        <v>0</v>
      </c>
      <c r="GZ17" s="158" t="b">
        <v>0</v>
      </c>
      <c r="HA17" s="158" t="b">
        <v>0</v>
      </c>
      <c r="HB17" s="158" t="b">
        <v>0</v>
      </c>
      <c r="HC17" s="158" t="b">
        <v>0</v>
      </c>
      <c r="HD17" s="158" t="b">
        <v>0</v>
      </c>
      <c r="HE17" s="158" t="b">
        <v>0</v>
      </c>
      <c r="HF17" s="158" t="b">
        <v>0</v>
      </c>
      <c r="HG17" s="158" t="b">
        <v>0</v>
      </c>
      <c r="HH17" s="158" t="b">
        <v>0</v>
      </c>
      <c r="HI17" s="158" t="b">
        <v>0</v>
      </c>
      <c r="HJ17" s="158" t="b">
        <v>0</v>
      </c>
      <c r="HK17" s="158" t="b">
        <v>0</v>
      </c>
      <c r="HL17" s="158" t="b">
        <v>0</v>
      </c>
      <c r="HM17" s="158" t="b">
        <v>0</v>
      </c>
      <c r="HN17" s="158" t="b">
        <v>0</v>
      </c>
      <c r="HO17" s="158" t="b">
        <v>0</v>
      </c>
      <c r="HP17" s="158" t="b">
        <v>0</v>
      </c>
      <c r="HQ17" s="158" t="b">
        <v>0</v>
      </c>
      <c r="HR17" s="158" t="b">
        <v>0</v>
      </c>
      <c r="HS17" s="158" t="b">
        <v>0</v>
      </c>
      <c r="HT17" s="158" t="b">
        <v>0</v>
      </c>
      <c r="HU17" s="158" t="b">
        <v>0</v>
      </c>
      <c r="HV17" s="158" t="b">
        <v>0</v>
      </c>
      <c r="HW17" s="158" t="b">
        <v>0</v>
      </c>
      <c r="HX17" s="158" t="b">
        <v>0</v>
      </c>
      <c r="HY17" s="158" t="b">
        <v>0</v>
      </c>
      <c r="HZ17" s="158" t="b">
        <v>0</v>
      </c>
      <c r="IA17" s="158" t="b">
        <v>0</v>
      </c>
      <c r="IB17" s="158" t="b">
        <v>0</v>
      </c>
      <c r="IC17" s="158" t="b">
        <v>0</v>
      </c>
      <c r="ID17" s="158" t="b">
        <v>0</v>
      </c>
      <c r="IE17" s="158" t="b">
        <v>0</v>
      </c>
      <c r="IF17" s="158" t="b">
        <v>0</v>
      </c>
      <c r="IG17" s="158" t="b">
        <v>0</v>
      </c>
      <c r="IH17" s="158" t="b">
        <v>0</v>
      </c>
      <c r="II17" s="158" t="b">
        <v>0</v>
      </c>
      <c r="IJ17" s="158" t="b">
        <v>0</v>
      </c>
      <c r="IK17" s="158" t="b">
        <v>0</v>
      </c>
      <c r="IL17" s="158" t="b">
        <v>0</v>
      </c>
      <c r="IM17" s="158" t="b">
        <v>0</v>
      </c>
      <c r="IN17" s="158" t="b">
        <v>0</v>
      </c>
      <c r="IO17" s="158" t="b">
        <v>0</v>
      </c>
      <c r="IP17" s="158" t="b">
        <v>0</v>
      </c>
      <c r="IQ17" s="158" t="b">
        <v>0</v>
      </c>
      <c r="IR17" s="158" t="b">
        <v>0</v>
      </c>
      <c r="IS17" s="158" t="b">
        <v>0</v>
      </c>
      <c r="IT17" s="158" t="b">
        <v>0</v>
      </c>
      <c r="IU17" s="158" t="b">
        <v>0</v>
      </c>
      <c r="IV17" s="158" t="b">
        <v>0</v>
      </c>
      <c r="IW17" s="158" t="b">
        <v>0</v>
      </c>
      <c r="IX17" s="158" t="b">
        <v>0</v>
      </c>
      <c r="IY17" s="158" t="b">
        <v>0</v>
      </c>
      <c r="IZ17" s="158" t="b">
        <v>0</v>
      </c>
      <c r="JA17" s="158" t="b">
        <v>0</v>
      </c>
      <c r="JB17" s="158" t="b">
        <v>0</v>
      </c>
      <c r="JC17" s="158" t="b">
        <v>0</v>
      </c>
      <c r="JD17" s="158" t="b">
        <v>0</v>
      </c>
      <c r="JE17" s="158" t="b">
        <v>0</v>
      </c>
      <c r="JF17" s="158" t="b">
        <v>0</v>
      </c>
      <c r="JG17" s="158" t="b">
        <v>0</v>
      </c>
      <c r="JH17" s="158" t="b">
        <v>0</v>
      </c>
      <c r="JI17" s="158" t="b">
        <v>0</v>
      </c>
      <c r="JJ17" s="158" t="b">
        <v>0</v>
      </c>
      <c r="JK17" s="158" t="b">
        <v>0</v>
      </c>
      <c r="JL17" s="158" t="b">
        <v>0</v>
      </c>
      <c r="JM17" s="158" t="b">
        <v>0</v>
      </c>
      <c r="JN17" s="158" t="b">
        <v>0</v>
      </c>
      <c r="JO17" s="158" t="b">
        <v>0</v>
      </c>
      <c r="JP17" s="158" t="b">
        <v>0</v>
      </c>
      <c r="JQ17" s="158" t="b">
        <v>0</v>
      </c>
      <c r="JR17" s="158" t="b">
        <v>0</v>
      </c>
      <c r="JS17" s="158" t="b">
        <v>0</v>
      </c>
      <c r="JT17" s="158" t="b">
        <v>0</v>
      </c>
      <c r="JU17" s="158" t="b">
        <v>0</v>
      </c>
      <c r="JV17" s="158" t="b">
        <v>0</v>
      </c>
      <c r="JW17" s="158" t="b">
        <v>0</v>
      </c>
      <c r="JX17" s="158" t="b">
        <v>0</v>
      </c>
      <c r="JY17" s="158" t="b">
        <v>0</v>
      </c>
      <c r="JZ17" s="158" t="b">
        <v>0</v>
      </c>
      <c r="KA17" s="158" t="b">
        <v>0</v>
      </c>
      <c r="KB17" s="158" t="b">
        <v>0</v>
      </c>
      <c r="KC17" s="158" t="b">
        <v>0</v>
      </c>
      <c r="KD17" s="158" t="b">
        <v>0</v>
      </c>
      <c r="KE17" s="158" t="b">
        <v>0</v>
      </c>
      <c r="KF17" s="158" t="b">
        <v>0</v>
      </c>
      <c r="KG17" s="158" t="b">
        <v>0</v>
      </c>
      <c r="KH17" s="158" t="b">
        <v>0</v>
      </c>
      <c r="KI17" s="158" t="b">
        <v>0</v>
      </c>
      <c r="KJ17" s="158" t="b">
        <v>0</v>
      </c>
      <c r="KK17" s="158" t="b">
        <v>0</v>
      </c>
      <c r="KL17" s="158" t="b">
        <v>0</v>
      </c>
      <c r="KM17" s="158" t="b">
        <v>0</v>
      </c>
      <c r="KN17" s="158" t="b">
        <v>0</v>
      </c>
      <c r="KO17" s="158" t="b">
        <v>0</v>
      </c>
      <c r="KP17" s="158" t="b">
        <v>0</v>
      </c>
      <c r="KQ17" s="158" t="b">
        <v>0</v>
      </c>
      <c r="KR17" s="158" t="b">
        <v>0</v>
      </c>
      <c r="KS17" s="158" t="b">
        <v>0</v>
      </c>
      <c r="KT17" s="158" t="b">
        <v>0</v>
      </c>
      <c r="KU17" s="158" t="b">
        <v>0</v>
      </c>
      <c r="KV17" s="158" t="b">
        <v>0</v>
      </c>
      <c r="KW17" s="158" t="b">
        <v>0</v>
      </c>
      <c r="KX17" s="158" t="b">
        <v>0</v>
      </c>
      <c r="KY17" s="158" t="b">
        <v>0</v>
      </c>
      <c r="KZ17" s="158" t="b">
        <v>0</v>
      </c>
      <c r="LA17" s="158" t="b">
        <v>0</v>
      </c>
      <c r="LB17" s="158" t="b">
        <v>0</v>
      </c>
      <c r="LC17" s="158" t="b">
        <v>0</v>
      </c>
      <c r="LD17" s="158" t="b">
        <v>0</v>
      </c>
      <c r="LE17" s="158" t="b">
        <v>0</v>
      </c>
      <c r="LF17" s="158" t="b">
        <v>0</v>
      </c>
      <c r="LG17" s="158" t="b">
        <v>0</v>
      </c>
      <c r="LH17" s="158" t="b">
        <v>0</v>
      </c>
      <c r="LI17" s="158" t="b">
        <v>0</v>
      </c>
      <c r="LJ17" s="158" t="b">
        <v>0</v>
      </c>
      <c r="LK17" s="158" t="b">
        <v>0</v>
      </c>
      <c r="LL17" s="158" t="b">
        <v>0</v>
      </c>
      <c r="LM17" s="158" t="b">
        <v>0</v>
      </c>
      <c r="LN17" s="158" t="b">
        <v>0</v>
      </c>
      <c r="LO17" s="158" t="b">
        <v>0</v>
      </c>
      <c r="LP17" s="158" t="b">
        <v>0</v>
      </c>
      <c r="LQ17" s="158" t="b">
        <v>0</v>
      </c>
      <c r="LR17" s="158" t="b">
        <v>0</v>
      </c>
      <c r="LS17" s="158" t="b">
        <v>0</v>
      </c>
      <c r="LT17" s="158" t="b">
        <v>0</v>
      </c>
      <c r="LU17" s="158" t="b">
        <v>0</v>
      </c>
      <c r="LV17" s="158" t="b">
        <v>0</v>
      </c>
      <c r="LW17" s="158" t="b">
        <v>0</v>
      </c>
      <c r="LX17" s="158" t="b">
        <v>0</v>
      </c>
      <c r="LY17" s="158" t="b">
        <v>0</v>
      </c>
      <c r="LZ17" s="158" t="b">
        <v>0</v>
      </c>
      <c r="MA17" s="158" t="b">
        <v>0</v>
      </c>
      <c r="MB17" s="158" t="b">
        <v>0</v>
      </c>
      <c r="MC17" s="158" t="b">
        <v>0</v>
      </c>
      <c r="MD17" s="158" t="b">
        <v>0</v>
      </c>
      <c r="ME17" s="158" t="b">
        <v>0</v>
      </c>
      <c r="MF17" s="158" t="b">
        <v>0</v>
      </c>
      <c r="MG17" s="158" t="b">
        <v>0</v>
      </c>
      <c r="MH17" s="158" t="b">
        <v>0</v>
      </c>
      <c r="MI17" s="158" t="b">
        <v>0</v>
      </c>
      <c r="MJ17" s="158" t="b">
        <v>0</v>
      </c>
      <c r="MK17" s="158" t="b">
        <v>0</v>
      </c>
      <c r="ML17" s="158" t="b">
        <v>0</v>
      </c>
      <c r="MM17" s="158" t="b">
        <v>0</v>
      </c>
      <c r="MN17" s="158" t="b">
        <v>0</v>
      </c>
      <c r="MO17" s="158" t="b">
        <v>0</v>
      </c>
      <c r="MP17" s="158" t="b">
        <v>0</v>
      </c>
      <c r="MQ17" s="158" t="b">
        <v>0</v>
      </c>
      <c r="MR17" s="158" t="b">
        <v>0</v>
      </c>
      <c r="MS17" s="158" t="b">
        <v>0</v>
      </c>
      <c r="MT17" s="158" t="b">
        <v>0</v>
      </c>
      <c r="MU17" s="158" t="b">
        <v>0</v>
      </c>
      <c r="MV17" s="158" t="b">
        <v>0</v>
      </c>
      <c r="MW17" s="158" t="b">
        <v>0</v>
      </c>
      <c r="MX17" s="158" t="b">
        <v>0</v>
      </c>
      <c r="MY17" s="158" t="b">
        <v>0</v>
      </c>
      <c r="MZ17" s="158" t="b">
        <v>0</v>
      </c>
      <c r="NA17" s="158" t="b">
        <v>0</v>
      </c>
      <c r="NB17" s="158" t="b">
        <v>0</v>
      </c>
      <c r="NC17" s="158" t="b">
        <v>0</v>
      </c>
      <c r="ND17" s="158" t="b">
        <v>0</v>
      </c>
      <c r="NE17" s="158" t="b">
        <v>0</v>
      </c>
      <c r="NF17" s="158" t="b">
        <v>0</v>
      </c>
      <c r="NG17" s="158" t="b">
        <v>0</v>
      </c>
      <c r="NH17" s="158" t="b">
        <v>0</v>
      </c>
      <c r="NI17" s="158" t="b">
        <v>0</v>
      </c>
      <c r="NJ17" s="158" t="b">
        <v>0</v>
      </c>
      <c r="NK17" s="158" t="b">
        <v>0</v>
      </c>
      <c r="NL17" s="158" t="b">
        <v>0</v>
      </c>
      <c r="NM17" s="158" t="b">
        <v>0</v>
      </c>
      <c r="NN17" s="158" t="b">
        <v>0</v>
      </c>
      <c r="NO17" s="158" t="b">
        <v>0</v>
      </c>
    </row>
    <row r="18" spans="1:379" ht="29.25" x14ac:dyDescent="0.4">
      <c r="A18" s="511" t="str">
        <v xml:space="preserve">Zambrero </v>
      </c>
      <c r="B18" s="158" t="b">
        <v>0</v>
      </c>
      <c r="C18" s="158" t="b">
        <v>0</v>
      </c>
      <c r="D18" s="158" t="b">
        <v>0</v>
      </c>
      <c r="E18" s="158" t="b">
        <v>0</v>
      </c>
      <c r="F18" s="158" t="b">
        <v>0</v>
      </c>
      <c r="G18" s="158" t="b">
        <v>0</v>
      </c>
      <c r="H18" s="158" t="b">
        <v>0</v>
      </c>
      <c r="I18" s="158" t="b">
        <v>0</v>
      </c>
      <c r="J18" s="158" t="b">
        <v>0</v>
      </c>
      <c r="K18" s="158" t="b">
        <v>0</v>
      </c>
      <c r="L18" s="158" t="b">
        <v>0</v>
      </c>
      <c r="M18" s="158" t="b">
        <v>0</v>
      </c>
      <c r="N18" s="158" t="b">
        <v>0</v>
      </c>
      <c r="O18" s="158" t="b">
        <v>0</v>
      </c>
      <c r="P18" s="158" t="b">
        <v>0</v>
      </c>
      <c r="Q18" s="158" t="b">
        <v>0</v>
      </c>
      <c r="R18" s="158" t="b">
        <v>0</v>
      </c>
      <c r="S18" s="158" t="b">
        <v>0</v>
      </c>
      <c r="T18" s="158" t="b">
        <v>0</v>
      </c>
      <c r="U18" s="158" t="b">
        <v>0</v>
      </c>
      <c r="V18" s="158" t="b">
        <v>0</v>
      </c>
      <c r="W18" s="158" t="b">
        <v>0</v>
      </c>
      <c r="X18" s="158" t="b">
        <v>0</v>
      </c>
      <c r="Y18" s="158" t="b">
        <v>0</v>
      </c>
      <c r="Z18" s="158" t="b">
        <v>0</v>
      </c>
      <c r="AA18" s="158" t="b">
        <v>0</v>
      </c>
      <c r="AB18" s="158" t="b">
        <v>0</v>
      </c>
      <c r="AC18" s="158" t="b">
        <v>0</v>
      </c>
      <c r="AD18" s="158" t="b">
        <v>0</v>
      </c>
      <c r="AE18" s="158" t="b">
        <v>0</v>
      </c>
      <c r="AF18" s="158" t="b">
        <v>0</v>
      </c>
      <c r="AG18" s="158" t="b">
        <v>0</v>
      </c>
      <c r="AH18" s="158" t="b">
        <v>0</v>
      </c>
      <c r="AI18" s="158" t="b">
        <v>0</v>
      </c>
      <c r="AJ18" s="158" t="b">
        <v>0</v>
      </c>
      <c r="AK18" s="158" t="b">
        <v>0</v>
      </c>
      <c r="AL18" s="158" t="b">
        <v>0</v>
      </c>
      <c r="AM18" s="158" t="b">
        <v>0</v>
      </c>
      <c r="AN18" s="158" t="b">
        <v>0</v>
      </c>
      <c r="AO18" s="158" t="b">
        <v>0</v>
      </c>
      <c r="AP18" s="158" t="b">
        <v>0</v>
      </c>
      <c r="AQ18" s="158" t="b">
        <v>0</v>
      </c>
      <c r="AR18" s="158" t="b">
        <v>0</v>
      </c>
      <c r="AS18" s="158" t="b">
        <v>0</v>
      </c>
      <c r="AT18" s="158" t="b">
        <v>0</v>
      </c>
      <c r="AU18" s="158" t="b">
        <v>0</v>
      </c>
      <c r="AV18" s="158" t="b">
        <v>0</v>
      </c>
      <c r="AW18" s="158" t="b">
        <v>0</v>
      </c>
      <c r="AX18" s="158" t="b">
        <v>0</v>
      </c>
      <c r="AY18" s="158" t="b">
        <v>0</v>
      </c>
      <c r="AZ18" s="158" t="b">
        <v>0</v>
      </c>
      <c r="BA18" s="158" t="b">
        <v>0</v>
      </c>
      <c r="BB18" s="158" t="b">
        <v>0</v>
      </c>
      <c r="BC18" s="158" t="b">
        <v>0</v>
      </c>
      <c r="BD18" s="158" t="b">
        <v>0</v>
      </c>
      <c r="BE18" s="158" t="b">
        <v>0</v>
      </c>
      <c r="BF18" s="158" t="b">
        <v>0</v>
      </c>
      <c r="BG18" s="158" t="b">
        <v>0</v>
      </c>
      <c r="BH18" s="158" t="b">
        <v>0</v>
      </c>
      <c r="BI18" s="158" t="b">
        <v>0</v>
      </c>
      <c r="BJ18" s="158" t="b">
        <v>0</v>
      </c>
      <c r="BK18" s="158" t="b">
        <v>0</v>
      </c>
      <c r="BL18" s="158" t="b">
        <v>0</v>
      </c>
      <c r="BM18" s="158" t="b">
        <v>0</v>
      </c>
      <c r="BN18" s="158" t="b">
        <v>0</v>
      </c>
      <c r="BO18" s="158" t="b">
        <v>0</v>
      </c>
      <c r="BP18" s="158" t="b">
        <v>0</v>
      </c>
      <c r="BQ18" s="158" t="b">
        <v>0</v>
      </c>
      <c r="BR18" s="158" t="b">
        <v>0</v>
      </c>
      <c r="BS18" s="158" t="b">
        <v>0</v>
      </c>
      <c r="BT18" s="158" t="b">
        <v>0</v>
      </c>
      <c r="BU18" s="158" t="b">
        <v>0</v>
      </c>
      <c r="BV18" s="158" t="b">
        <v>0</v>
      </c>
      <c r="BW18" s="93" t="b">
        <v>0</v>
      </c>
      <c r="BX18" s="93" t="b">
        <v>0</v>
      </c>
      <c r="BY18" s="93" t="b">
        <v>0</v>
      </c>
      <c r="BZ18" s="93" t="b">
        <v>0</v>
      </c>
      <c r="CA18" s="158" t="b">
        <v>0</v>
      </c>
      <c r="CB18" s="158" t="b">
        <v>0</v>
      </c>
      <c r="CC18" s="158" t="b">
        <v>0</v>
      </c>
      <c r="CD18" s="158" t="b">
        <v>0</v>
      </c>
      <c r="CE18" s="158" t="b">
        <v>0</v>
      </c>
      <c r="CF18" s="158" t="b">
        <v>0</v>
      </c>
      <c r="CG18" s="158" t="b">
        <v>0</v>
      </c>
      <c r="CH18" s="158" t="b">
        <v>0</v>
      </c>
      <c r="CI18" s="158" t="b">
        <v>0</v>
      </c>
      <c r="CJ18" s="158" t="b">
        <v>0</v>
      </c>
      <c r="CK18" s="158" t="b">
        <v>0</v>
      </c>
      <c r="CL18" s="158" t="b">
        <v>0</v>
      </c>
      <c r="CM18" s="158" t="b">
        <v>0</v>
      </c>
      <c r="CN18" s="158" t="b">
        <v>0</v>
      </c>
      <c r="CO18" s="158" t="b">
        <v>0</v>
      </c>
      <c r="CP18" s="158" t="b">
        <v>0</v>
      </c>
      <c r="CQ18" s="158" t="b">
        <v>0</v>
      </c>
      <c r="CR18" s="158" t="b">
        <v>0</v>
      </c>
      <c r="CS18" s="158" t="b">
        <v>0</v>
      </c>
      <c r="CT18" s="158" t="b">
        <v>0</v>
      </c>
      <c r="CU18" s="158" t="b">
        <v>0</v>
      </c>
      <c r="CV18" s="158" t="b">
        <v>0</v>
      </c>
      <c r="CW18" s="158" t="b">
        <v>0</v>
      </c>
      <c r="CX18" s="158" t="b">
        <v>0</v>
      </c>
      <c r="CY18" s="158" t="b">
        <v>0</v>
      </c>
      <c r="CZ18" s="158" t="b">
        <v>0</v>
      </c>
      <c r="DA18" s="158" t="b">
        <v>0</v>
      </c>
      <c r="DB18" s="158" t="b">
        <v>0</v>
      </c>
      <c r="DC18" s="158" t="b">
        <v>0</v>
      </c>
      <c r="DD18" s="158" t="b">
        <v>0</v>
      </c>
      <c r="DE18" s="158" t="b">
        <v>0</v>
      </c>
      <c r="DF18" s="158" t="b">
        <v>0</v>
      </c>
      <c r="DG18" s="158" t="b">
        <v>0</v>
      </c>
      <c r="DH18" s="158" t="b">
        <v>0</v>
      </c>
      <c r="DI18" s="158" t="b">
        <v>0</v>
      </c>
      <c r="DJ18" s="158" t="b">
        <v>0</v>
      </c>
      <c r="DK18" s="158" t="b">
        <v>0</v>
      </c>
      <c r="DL18" s="158" t="b">
        <v>0</v>
      </c>
      <c r="DM18" s="158" t="b">
        <v>0</v>
      </c>
      <c r="DN18" s="158" t="b">
        <v>0</v>
      </c>
      <c r="DO18" s="158" t="b">
        <v>0</v>
      </c>
      <c r="DP18" s="158" t="b">
        <v>0</v>
      </c>
      <c r="DQ18" s="158" t="b">
        <v>0</v>
      </c>
      <c r="DR18" s="158" t="b">
        <v>0</v>
      </c>
      <c r="DS18" s="158" t="b">
        <v>0</v>
      </c>
      <c r="DT18" s="158" t="b">
        <v>0</v>
      </c>
      <c r="DU18" s="158" t="b">
        <v>0</v>
      </c>
      <c r="DV18" s="158" t="b">
        <v>0</v>
      </c>
      <c r="DW18" s="158" t="b">
        <v>0</v>
      </c>
      <c r="DX18" s="158" t="b">
        <v>0</v>
      </c>
      <c r="DY18" s="158" t="b">
        <v>0</v>
      </c>
      <c r="DZ18" s="158" t="b">
        <v>0</v>
      </c>
      <c r="EA18" s="158" t="b">
        <v>0</v>
      </c>
      <c r="EB18" s="158" t="b">
        <v>0</v>
      </c>
      <c r="EC18" s="93" t="b">
        <v>1</v>
      </c>
      <c r="ED18" s="93" t="b">
        <v>1</v>
      </c>
      <c r="EE18" s="158" t="b">
        <v>0</v>
      </c>
      <c r="EF18" s="158" t="b">
        <v>0</v>
      </c>
      <c r="EG18" s="158" t="b">
        <v>0</v>
      </c>
      <c r="EH18" s="158" t="b">
        <v>0</v>
      </c>
      <c r="EI18" s="158" t="b">
        <v>0</v>
      </c>
      <c r="EJ18" s="158" t="b">
        <v>0</v>
      </c>
      <c r="EK18" s="158" t="b">
        <v>0</v>
      </c>
      <c r="EL18" s="158" t="b">
        <v>0</v>
      </c>
      <c r="EM18" s="158" t="b">
        <v>0</v>
      </c>
      <c r="EN18" s="158" t="b">
        <v>0</v>
      </c>
      <c r="EO18" s="158" t="b">
        <v>0</v>
      </c>
      <c r="EP18" s="158" t="b">
        <v>0</v>
      </c>
      <c r="EQ18" s="158" t="b">
        <v>0</v>
      </c>
      <c r="ER18" s="158" t="b">
        <v>0</v>
      </c>
      <c r="ES18" s="158" t="b">
        <v>0</v>
      </c>
      <c r="ET18" s="158" t="b">
        <v>0</v>
      </c>
      <c r="EU18" s="93" t="b">
        <v>1</v>
      </c>
      <c r="EV18" s="93" t="b">
        <v>1</v>
      </c>
      <c r="EW18" s="93" t="b">
        <v>1</v>
      </c>
      <c r="EX18" s="93" t="b">
        <v>1</v>
      </c>
      <c r="EY18" s="158" t="b">
        <v>0</v>
      </c>
      <c r="EZ18" s="158" t="b">
        <v>0</v>
      </c>
      <c r="FA18" s="158" t="b">
        <v>0</v>
      </c>
      <c r="FB18" s="158" t="b">
        <v>0</v>
      </c>
      <c r="FC18" s="158" t="b">
        <v>0</v>
      </c>
      <c r="FD18" s="158" t="b">
        <v>0</v>
      </c>
      <c r="FE18" s="158" t="b">
        <v>0</v>
      </c>
      <c r="FF18" s="158" t="b">
        <v>0</v>
      </c>
      <c r="FG18" s="158" t="b">
        <v>0</v>
      </c>
      <c r="FH18" s="158" t="b">
        <v>0</v>
      </c>
      <c r="FI18" s="158" t="b">
        <v>0</v>
      </c>
      <c r="FJ18" s="158" t="b">
        <v>0</v>
      </c>
      <c r="FK18" s="158" t="b">
        <v>0</v>
      </c>
      <c r="FL18" s="158" t="b">
        <v>0</v>
      </c>
      <c r="FM18" s="158" t="b">
        <v>0</v>
      </c>
      <c r="FN18" s="158" t="b">
        <v>0</v>
      </c>
      <c r="FO18" s="158" t="b">
        <v>0</v>
      </c>
      <c r="FP18" s="158" t="b">
        <v>0</v>
      </c>
      <c r="FQ18" s="158" t="b">
        <v>0</v>
      </c>
      <c r="FR18" s="158" t="b">
        <v>0</v>
      </c>
      <c r="FS18" s="158" t="b">
        <v>0</v>
      </c>
      <c r="FT18" s="158" t="b">
        <v>0</v>
      </c>
      <c r="FU18" s="158" t="b">
        <v>0</v>
      </c>
      <c r="FV18" s="158" t="b">
        <v>0</v>
      </c>
      <c r="FW18" s="158" t="b">
        <v>0</v>
      </c>
      <c r="FX18" s="158" t="b">
        <v>0</v>
      </c>
      <c r="FY18" s="158" t="b">
        <v>0</v>
      </c>
      <c r="FZ18" s="158" t="b">
        <v>0</v>
      </c>
      <c r="GA18" s="158" t="b">
        <v>0</v>
      </c>
      <c r="GB18" s="158" t="b">
        <v>0</v>
      </c>
      <c r="GC18" s="158" t="b">
        <v>0</v>
      </c>
      <c r="GD18" s="158" t="b">
        <v>0</v>
      </c>
      <c r="GE18" s="158" t="b">
        <v>0</v>
      </c>
      <c r="GF18" s="158" t="b">
        <v>0</v>
      </c>
      <c r="GG18" s="158" t="b">
        <v>0</v>
      </c>
      <c r="GH18" s="158" t="b">
        <v>0</v>
      </c>
      <c r="GI18" s="158" t="b">
        <v>0</v>
      </c>
      <c r="GJ18" s="158" t="b">
        <v>0</v>
      </c>
      <c r="GK18" s="158" t="b">
        <v>0</v>
      </c>
      <c r="GL18" s="158" t="b">
        <v>0</v>
      </c>
      <c r="GM18" s="158" t="b">
        <v>0</v>
      </c>
      <c r="GN18" s="158" t="b">
        <v>0</v>
      </c>
      <c r="GO18" s="158" t="b">
        <v>0</v>
      </c>
      <c r="GP18" s="158" t="b">
        <v>0</v>
      </c>
      <c r="GQ18" s="158" t="b">
        <v>0</v>
      </c>
      <c r="GR18" s="158" t="b">
        <v>0</v>
      </c>
      <c r="GS18" s="158" t="b">
        <v>0</v>
      </c>
      <c r="GT18" s="158" t="b">
        <v>0</v>
      </c>
      <c r="GU18" s="158" t="b">
        <v>0</v>
      </c>
      <c r="GV18" s="158" t="b">
        <v>0</v>
      </c>
      <c r="GW18" s="158" t="b">
        <v>0</v>
      </c>
      <c r="GX18" s="158" t="b">
        <v>0</v>
      </c>
      <c r="GY18" s="158" t="b">
        <v>0</v>
      </c>
      <c r="GZ18" s="158" t="b">
        <v>0</v>
      </c>
      <c r="HA18" s="158" t="b">
        <v>0</v>
      </c>
      <c r="HB18" s="158" t="b">
        <v>0</v>
      </c>
      <c r="HC18" s="158" t="b">
        <v>0</v>
      </c>
      <c r="HD18" s="158" t="b">
        <v>0</v>
      </c>
      <c r="HE18" s="158" t="b">
        <v>0</v>
      </c>
      <c r="HF18" s="158" t="b">
        <v>0</v>
      </c>
      <c r="HG18" s="158" t="b">
        <v>0</v>
      </c>
      <c r="HH18" s="158" t="b">
        <v>0</v>
      </c>
      <c r="HI18" s="158" t="b">
        <v>0</v>
      </c>
      <c r="HJ18" s="93" t="b">
        <v>1</v>
      </c>
      <c r="HK18" s="93" t="b">
        <v>1</v>
      </c>
      <c r="HL18" s="93" t="b">
        <v>1</v>
      </c>
      <c r="HM18" s="158" t="b">
        <v>0</v>
      </c>
      <c r="HN18" s="158" t="b">
        <v>0</v>
      </c>
      <c r="HO18" s="158" t="b">
        <v>0</v>
      </c>
      <c r="HP18" s="158" t="b">
        <v>0</v>
      </c>
      <c r="HQ18" s="158" t="b">
        <v>0</v>
      </c>
      <c r="HR18" s="158" t="b">
        <v>0</v>
      </c>
      <c r="HS18" s="158" t="b">
        <v>0</v>
      </c>
      <c r="HT18" s="93" t="b">
        <v>1</v>
      </c>
      <c r="HU18" s="93" t="b">
        <v>1</v>
      </c>
      <c r="HV18" s="93" t="b">
        <v>1</v>
      </c>
      <c r="HW18" s="93" t="b">
        <v>1</v>
      </c>
      <c r="HX18" s="93" t="b">
        <v>1</v>
      </c>
      <c r="HY18" s="158" t="b">
        <v>0</v>
      </c>
      <c r="HZ18" s="158" t="b">
        <v>0</v>
      </c>
      <c r="IA18" s="158" t="b">
        <v>0</v>
      </c>
      <c r="IB18" s="158" t="b">
        <v>0</v>
      </c>
      <c r="IC18" s="158" t="b">
        <v>0</v>
      </c>
      <c r="ID18" s="158" t="b">
        <v>0</v>
      </c>
      <c r="IE18" s="158" t="b">
        <v>0</v>
      </c>
      <c r="IF18" s="158" t="b">
        <v>0</v>
      </c>
      <c r="IG18" s="158" t="b">
        <v>0</v>
      </c>
      <c r="IH18" s="158" t="b">
        <v>0</v>
      </c>
      <c r="II18" s="158" t="b">
        <v>0</v>
      </c>
      <c r="IJ18" s="158" t="b">
        <v>0</v>
      </c>
      <c r="IK18" s="158" t="b">
        <v>0</v>
      </c>
      <c r="IL18" s="158" t="b">
        <v>0</v>
      </c>
      <c r="IM18" s="158" t="b">
        <v>0</v>
      </c>
      <c r="IN18" s="158" t="b">
        <v>0</v>
      </c>
      <c r="IO18" s="158" t="b">
        <v>0</v>
      </c>
      <c r="IP18" s="158" t="b">
        <v>0</v>
      </c>
      <c r="IQ18" s="158" t="b">
        <v>0</v>
      </c>
      <c r="IR18" s="158" t="b">
        <v>0</v>
      </c>
      <c r="IS18" s="158" t="b">
        <v>0</v>
      </c>
      <c r="IT18" s="158" t="b">
        <v>0</v>
      </c>
      <c r="IU18" s="158" t="b">
        <v>0</v>
      </c>
      <c r="IV18" s="158" t="b">
        <v>0</v>
      </c>
      <c r="IW18" s="158" t="b">
        <v>0</v>
      </c>
      <c r="IX18" s="158" t="b">
        <v>0</v>
      </c>
      <c r="IY18" s="158" t="b">
        <v>0</v>
      </c>
      <c r="IZ18" s="158" t="b">
        <v>0</v>
      </c>
      <c r="JA18" s="158" t="b">
        <v>0</v>
      </c>
      <c r="JB18" s="158" t="b">
        <v>0</v>
      </c>
      <c r="JC18" s="158" t="b">
        <v>0</v>
      </c>
      <c r="JD18" s="158" t="b">
        <v>0</v>
      </c>
      <c r="JE18" s="158" t="b">
        <v>0</v>
      </c>
      <c r="JF18" s="158" t="b">
        <v>0</v>
      </c>
      <c r="JG18" s="158" t="b">
        <v>0</v>
      </c>
      <c r="JH18" s="158" t="b">
        <v>0</v>
      </c>
      <c r="JI18" s="158" t="b">
        <v>0</v>
      </c>
      <c r="JJ18" s="158" t="b">
        <v>0</v>
      </c>
      <c r="JK18" s="158" t="b">
        <v>0</v>
      </c>
      <c r="JL18" s="158" t="b">
        <v>0</v>
      </c>
      <c r="JM18" s="158" t="b">
        <v>0</v>
      </c>
      <c r="JN18" s="158" t="b">
        <v>0</v>
      </c>
      <c r="JO18" s="158" t="b">
        <v>0</v>
      </c>
      <c r="JP18" s="158" t="b">
        <v>0</v>
      </c>
      <c r="JQ18" s="158" t="b">
        <v>0</v>
      </c>
      <c r="JR18" s="158" t="b">
        <v>0</v>
      </c>
      <c r="JS18" s="158" t="b">
        <v>0</v>
      </c>
      <c r="JT18" s="158" t="b">
        <v>0</v>
      </c>
      <c r="JU18" s="158" t="b">
        <v>0</v>
      </c>
      <c r="JV18" s="158" t="b">
        <v>0</v>
      </c>
      <c r="JW18" s="158" t="b">
        <v>0</v>
      </c>
      <c r="JX18" s="158" t="b">
        <v>0</v>
      </c>
      <c r="JY18" s="158" t="b">
        <v>0</v>
      </c>
      <c r="JZ18" s="158" t="b">
        <v>0</v>
      </c>
      <c r="KA18" s="158" t="b">
        <v>0</v>
      </c>
      <c r="KB18" s="158" t="b">
        <v>0</v>
      </c>
      <c r="KC18" s="158" t="b">
        <v>0</v>
      </c>
      <c r="KD18" s="158" t="b">
        <v>0</v>
      </c>
      <c r="KE18" s="158" t="b">
        <v>0</v>
      </c>
      <c r="KF18" s="158" t="b">
        <v>0</v>
      </c>
      <c r="KG18" s="158" t="b">
        <v>0</v>
      </c>
      <c r="KH18" s="158" t="b">
        <v>0</v>
      </c>
      <c r="KI18" s="158" t="b">
        <v>0</v>
      </c>
      <c r="KJ18" s="158" t="b">
        <v>0</v>
      </c>
      <c r="KK18" s="158" t="b">
        <v>0</v>
      </c>
      <c r="KL18" s="158" t="b">
        <v>0</v>
      </c>
      <c r="KM18" s="158" t="b">
        <v>0</v>
      </c>
      <c r="KN18" s="158" t="b">
        <v>0</v>
      </c>
      <c r="KO18" s="158" t="b">
        <v>0</v>
      </c>
      <c r="KP18" s="158" t="b">
        <v>0</v>
      </c>
      <c r="KQ18" s="158" t="b">
        <v>0</v>
      </c>
      <c r="KR18" s="158" t="b">
        <v>0</v>
      </c>
      <c r="KS18" s="158" t="b">
        <v>0</v>
      </c>
      <c r="KT18" s="158" t="b">
        <v>0</v>
      </c>
      <c r="KU18" s="158" t="b">
        <v>0</v>
      </c>
      <c r="KV18" s="158" t="b">
        <v>0</v>
      </c>
      <c r="KW18" s="158" t="b">
        <v>0</v>
      </c>
      <c r="KX18" s="158" t="b">
        <v>0</v>
      </c>
      <c r="KY18" s="158" t="b">
        <v>0</v>
      </c>
      <c r="KZ18" s="158" t="b">
        <v>0</v>
      </c>
      <c r="LA18" s="158" t="b">
        <v>0</v>
      </c>
      <c r="LB18" s="158" t="b">
        <v>0</v>
      </c>
      <c r="LC18" s="158" t="b">
        <v>0</v>
      </c>
      <c r="LD18" s="158" t="b">
        <v>0</v>
      </c>
      <c r="LE18" s="158" t="b">
        <v>0</v>
      </c>
      <c r="LF18" s="158" t="b">
        <v>0</v>
      </c>
      <c r="LG18" s="158" t="b">
        <v>0</v>
      </c>
      <c r="LH18" s="158" t="b">
        <v>0</v>
      </c>
      <c r="LI18" s="158" t="b">
        <v>0</v>
      </c>
      <c r="LJ18" s="158" t="b">
        <v>0</v>
      </c>
      <c r="LK18" s="158" t="b">
        <v>0</v>
      </c>
      <c r="LL18" s="158" t="b">
        <v>0</v>
      </c>
      <c r="LM18" s="158" t="b">
        <v>0</v>
      </c>
      <c r="LN18" s="158" t="b">
        <v>0</v>
      </c>
      <c r="LO18" s="158" t="b">
        <v>0</v>
      </c>
      <c r="LP18" s="158" t="b">
        <v>0</v>
      </c>
      <c r="LQ18" s="158" t="b">
        <v>0</v>
      </c>
      <c r="LR18" s="158" t="b">
        <v>0</v>
      </c>
      <c r="LS18" s="158" t="b">
        <v>0</v>
      </c>
      <c r="LT18" s="158" t="b">
        <v>0</v>
      </c>
      <c r="LU18" s="158" t="b">
        <v>0</v>
      </c>
      <c r="LV18" s="158" t="b">
        <v>0</v>
      </c>
      <c r="LW18" s="158" t="b">
        <v>0</v>
      </c>
      <c r="LX18" s="158" t="b">
        <v>0</v>
      </c>
      <c r="LY18" s="158" t="b">
        <v>0</v>
      </c>
      <c r="LZ18" s="158" t="b">
        <v>0</v>
      </c>
      <c r="MA18" s="158" t="b">
        <v>0</v>
      </c>
      <c r="MB18" s="158" t="b">
        <v>0</v>
      </c>
      <c r="MC18" s="158" t="b">
        <v>0</v>
      </c>
      <c r="MD18" s="158" t="b">
        <v>0</v>
      </c>
      <c r="ME18" s="158" t="b">
        <v>0</v>
      </c>
      <c r="MF18" s="158" t="b">
        <v>0</v>
      </c>
      <c r="MG18" s="158" t="b">
        <v>0</v>
      </c>
      <c r="MH18" s="158" t="b">
        <v>0</v>
      </c>
      <c r="MI18" s="158" t="b">
        <v>0</v>
      </c>
      <c r="MJ18" s="158" t="b">
        <v>0</v>
      </c>
      <c r="MK18" s="158" t="b">
        <v>0</v>
      </c>
      <c r="ML18" s="158" t="b">
        <v>0</v>
      </c>
      <c r="MM18" s="158" t="b">
        <v>0</v>
      </c>
      <c r="MN18" s="158" t="b">
        <v>0</v>
      </c>
      <c r="MO18" s="158" t="b">
        <v>0</v>
      </c>
      <c r="MP18" s="158" t="b">
        <v>0</v>
      </c>
      <c r="MQ18" s="158" t="b">
        <v>0</v>
      </c>
      <c r="MR18" s="158" t="b">
        <v>0</v>
      </c>
      <c r="MS18" s="158" t="b">
        <v>0</v>
      </c>
      <c r="MT18" s="158" t="b">
        <v>0</v>
      </c>
      <c r="MU18" s="158" t="b">
        <v>0</v>
      </c>
      <c r="MV18" s="158" t="b">
        <v>0</v>
      </c>
      <c r="MW18" s="158" t="b">
        <v>0</v>
      </c>
      <c r="MX18" s="158" t="b">
        <v>0</v>
      </c>
      <c r="MY18" s="158" t="b">
        <v>0</v>
      </c>
      <c r="MZ18" s="158" t="b">
        <v>0</v>
      </c>
      <c r="NA18" s="158" t="b">
        <v>0</v>
      </c>
      <c r="NB18" s="158" t="b">
        <v>0</v>
      </c>
      <c r="NC18" s="158" t="b">
        <v>0</v>
      </c>
      <c r="ND18" s="158" t="b">
        <v>0</v>
      </c>
      <c r="NE18" s="158" t="b">
        <v>0</v>
      </c>
      <c r="NF18" s="158" t="b">
        <v>0</v>
      </c>
      <c r="NG18" s="158" t="b">
        <v>0</v>
      </c>
      <c r="NH18" s="158" t="b">
        <v>0</v>
      </c>
      <c r="NI18" s="158" t="b">
        <v>0</v>
      </c>
      <c r="NJ18" s="158" t="b">
        <v>0</v>
      </c>
      <c r="NK18" s="158" t="b">
        <v>0</v>
      </c>
      <c r="NL18" s="158" t="b">
        <v>0</v>
      </c>
      <c r="NM18" s="158" t="b">
        <v>0</v>
      </c>
      <c r="NN18" s="158" t="b">
        <v>0</v>
      </c>
      <c r="NO18" s="158" t="b">
        <v>0</v>
      </c>
    </row>
    <row r="19" spans="1:379" ht="29.25" x14ac:dyDescent="0.4">
      <c r="A19" s="511" t="str">
        <v>Pitt Bros BBQ</v>
      </c>
      <c r="B19" s="158" t="b">
        <v>0</v>
      </c>
      <c r="C19" s="158" t="b">
        <v>0</v>
      </c>
      <c r="D19" s="158" t="b">
        <v>0</v>
      </c>
      <c r="E19" s="158" t="b">
        <v>0</v>
      </c>
      <c r="F19" s="158" t="b">
        <v>0</v>
      </c>
      <c r="G19" s="158" t="b">
        <v>0</v>
      </c>
      <c r="H19" s="158" t="b">
        <v>0</v>
      </c>
      <c r="I19" s="158" t="b">
        <v>0</v>
      </c>
      <c r="J19" s="158" t="b">
        <v>0</v>
      </c>
      <c r="K19" s="158" t="b">
        <v>0</v>
      </c>
      <c r="L19" s="158" t="b">
        <v>0</v>
      </c>
      <c r="M19" s="158" t="b">
        <v>0</v>
      </c>
      <c r="N19" s="158" t="b">
        <v>0</v>
      </c>
      <c r="O19" s="158" t="b">
        <v>0</v>
      </c>
      <c r="P19" s="158" t="b">
        <v>0</v>
      </c>
      <c r="Q19" s="158" t="b">
        <v>0</v>
      </c>
      <c r="R19" s="158" t="b">
        <v>0</v>
      </c>
      <c r="S19" s="158" t="b">
        <v>0</v>
      </c>
      <c r="T19" s="158" t="b">
        <v>0</v>
      </c>
      <c r="U19" s="158" t="b">
        <v>0</v>
      </c>
      <c r="V19" s="158" t="b">
        <v>0</v>
      </c>
      <c r="W19" s="158" t="b">
        <v>0</v>
      </c>
      <c r="X19" s="158" t="b">
        <v>0</v>
      </c>
      <c r="Y19" s="158" t="b">
        <v>0</v>
      </c>
      <c r="Z19" s="158" t="b">
        <v>0</v>
      </c>
      <c r="AA19" s="158" t="b">
        <v>0</v>
      </c>
      <c r="AB19" s="158" t="b">
        <v>0</v>
      </c>
      <c r="AC19" s="158" t="b">
        <v>0</v>
      </c>
      <c r="AD19" s="158" t="b">
        <v>0</v>
      </c>
      <c r="AE19" s="158" t="b">
        <v>0</v>
      </c>
      <c r="AF19" s="158" t="b">
        <v>0</v>
      </c>
      <c r="AG19" s="158" t="b">
        <v>0</v>
      </c>
      <c r="AH19" s="158" t="b">
        <v>0</v>
      </c>
      <c r="AI19" s="158" t="b">
        <v>0</v>
      </c>
      <c r="AJ19" s="158" t="b">
        <v>0</v>
      </c>
      <c r="AK19" s="158" t="b">
        <v>0</v>
      </c>
      <c r="AL19" s="158" t="b">
        <v>0</v>
      </c>
      <c r="AM19" s="158" t="b">
        <v>0</v>
      </c>
      <c r="AN19" s="158" t="b">
        <v>0</v>
      </c>
      <c r="AO19" s="158" t="b">
        <v>0</v>
      </c>
      <c r="AP19" s="158" t="b">
        <v>0</v>
      </c>
      <c r="AQ19" s="158" t="b">
        <v>0</v>
      </c>
      <c r="AR19" s="158" t="b">
        <v>0</v>
      </c>
      <c r="AS19" s="158" t="b">
        <v>0</v>
      </c>
      <c r="AT19" s="158" t="b">
        <v>0</v>
      </c>
      <c r="AU19" s="158" t="b">
        <v>0</v>
      </c>
      <c r="AV19" s="158" t="b">
        <v>0</v>
      </c>
      <c r="AW19" s="158" t="b">
        <v>0</v>
      </c>
      <c r="AX19" s="158" t="b">
        <v>0</v>
      </c>
      <c r="AY19" s="158" t="b">
        <v>0</v>
      </c>
      <c r="AZ19" s="158" t="b">
        <v>0</v>
      </c>
      <c r="BA19" s="158" t="b">
        <v>0</v>
      </c>
      <c r="BB19" s="158" t="b">
        <v>0</v>
      </c>
      <c r="BC19" s="158" t="b">
        <v>0</v>
      </c>
      <c r="BD19" s="158" t="b">
        <v>0</v>
      </c>
      <c r="BE19" s="158" t="b">
        <v>0</v>
      </c>
      <c r="BF19" s="158" t="b">
        <v>0</v>
      </c>
      <c r="BG19" s="158" t="b">
        <v>0</v>
      </c>
      <c r="BH19" s="158" t="b">
        <v>0</v>
      </c>
      <c r="BI19" s="158" t="b">
        <v>0</v>
      </c>
      <c r="BJ19" s="158" t="b">
        <v>0</v>
      </c>
      <c r="BK19" s="158" t="b">
        <v>0</v>
      </c>
      <c r="BL19" s="158" t="b">
        <v>0</v>
      </c>
      <c r="BM19" s="158" t="b">
        <v>0</v>
      </c>
      <c r="BN19" s="93" t="b">
        <v>0</v>
      </c>
      <c r="BO19" s="158" t="b">
        <v>0</v>
      </c>
      <c r="BP19" s="158" t="b">
        <v>0</v>
      </c>
      <c r="BQ19" s="158" t="b">
        <v>0</v>
      </c>
      <c r="BR19" s="158" t="b">
        <v>0</v>
      </c>
      <c r="BS19" s="158" t="b">
        <v>0</v>
      </c>
      <c r="BT19" s="158" t="b">
        <v>0</v>
      </c>
      <c r="BU19" s="158" t="b">
        <v>0</v>
      </c>
      <c r="BV19" s="158" t="b">
        <v>0</v>
      </c>
      <c r="BW19" s="158" t="b">
        <v>0</v>
      </c>
      <c r="BX19" s="158" t="b">
        <v>0</v>
      </c>
      <c r="BY19" s="158" t="b">
        <v>0</v>
      </c>
      <c r="BZ19" s="158" t="b">
        <v>0</v>
      </c>
      <c r="CA19" s="158" t="b">
        <v>0</v>
      </c>
      <c r="CB19" s="158" t="b">
        <v>0</v>
      </c>
      <c r="CC19" s="158" t="b">
        <v>0</v>
      </c>
      <c r="CD19" s="158" t="b">
        <v>0</v>
      </c>
      <c r="CE19" s="158" t="b">
        <v>0</v>
      </c>
      <c r="CF19" s="158" t="b">
        <v>0</v>
      </c>
      <c r="CG19" s="158" t="b">
        <v>0</v>
      </c>
      <c r="CH19" s="158" t="b">
        <v>0</v>
      </c>
      <c r="CI19" s="158" t="b">
        <v>0</v>
      </c>
      <c r="CJ19" s="158" t="b">
        <v>0</v>
      </c>
      <c r="CK19" s="158" t="b">
        <v>0</v>
      </c>
      <c r="CL19" s="158" t="b">
        <v>0</v>
      </c>
      <c r="CM19" s="93" t="b">
        <v>1</v>
      </c>
      <c r="CN19" s="93" t="b">
        <v>1</v>
      </c>
      <c r="CO19" s="93" t="b">
        <v>1</v>
      </c>
      <c r="CP19" s="158" t="b">
        <v>0</v>
      </c>
      <c r="CQ19" s="158" t="b">
        <v>0</v>
      </c>
      <c r="CR19" s="158" t="b">
        <v>0</v>
      </c>
      <c r="CS19" s="158" t="b">
        <v>0</v>
      </c>
      <c r="CT19" s="158" t="b">
        <v>0</v>
      </c>
      <c r="CU19" s="158" t="b">
        <v>0</v>
      </c>
      <c r="CV19" s="158" t="b">
        <v>0</v>
      </c>
      <c r="CW19" s="158" t="b">
        <v>0</v>
      </c>
      <c r="CX19" s="93" t="b">
        <v>1</v>
      </c>
      <c r="CY19" s="158" t="b">
        <v>0</v>
      </c>
      <c r="CZ19" s="158" t="b">
        <v>0</v>
      </c>
      <c r="DA19" s="158" t="b">
        <v>0</v>
      </c>
      <c r="DB19" s="158" t="b">
        <v>0</v>
      </c>
      <c r="DC19" s="158" t="b">
        <v>0</v>
      </c>
      <c r="DD19" s="158" t="b">
        <v>0</v>
      </c>
      <c r="DE19" s="158" t="b">
        <v>0</v>
      </c>
      <c r="DF19" s="158" t="b">
        <v>0</v>
      </c>
      <c r="DG19" s="158" t="b">
        <v>0</v>
      </c>
      <c r="DH19" s="158" t="b">
        <v>0</v>
      </c>
      <c r="DI19" s="158" t="b">
        <v>0</v>
      </c>
      <c r="DJ19" s="158" t="b">
        <v>0</v>
      </c>
      <c r="DK19" s="158" t="b">
        <v>0</v>
      </c>
      <c r="DL19" s="158" t="b">
        <v>0</v>
      </c>
      <c r="DM19" s="158" t="b">
        <v>0</v>
      </c>
      <c r="DN19" s="158" t="b">
        <v>0</v>
      </c>
      <c r="DO19" s="158" t="b">
        <v>0</v>
      </c>
      <c r="DP19" s="158" t="b">
        <v>0</v>
      </c>
      <c r="DQ19" s="158" t="b">
        <v>0</v>
      </c>
      <c r="DR19" s="93" t="b">
        <v>1</v>
      </c>
      <c r="DS19" s="93" t="b">
        <v>1</v>
      </c>
      <c r="DT19" s="93" t="b">
        <v>1</v>
      </c>
      <c r="DU19" s="93" t="b">
        <v>1</v>
      </c>
      <c r="DV19" s="93" t="b">
        <v>1</v>
      </c>
      <c r="DW19" s="158" t="b">
        <v>0</v>
      </c>
      <c r="DX19" s="158" t="b">
        <v>0</v>
      </c>
      <c r="DY19" s="158" t="b">
        <v>0</v>
      </c>
      <c r="DZ19" s="158" t="b">
        <v>0</v>
      </c>
      <c r="EA19" s="158" t="b">
        <v>0</v>
      </c>
      <c r="EB19" s="158" t="b">
        <v>0</v>
      </c>
      <c r="EC19" s="93" t="b">
        <v>1</v>
      </c>
      <c r="ED19" s="158" t="b">
        <v>0</v>
      </c>
      <c r="EE19" s="158" t="b">
        <v>0</v>
      </c>
      <c r="EF19" s="158" t="b">
        <v>0</v>
      </c>
      <c r="EG19" s="158" t="b">
        <v>0</v>
      </c>
      <c r="EH19" s="158" t="b">
        <v>0</v>
      </c>
      <c r="EI19" s="158" t="b">
        <v>0</v>
      </c>
      <c r="EJ19" s="158" t="b">
        <v>0</v>
      </c>
      <c r="EK19" s="158" t="b">
        <v>0</v>
      </c>
      <c r="EL19" s="158" t="b">
        <v>0</v>
      </c>
      <c r="EM19" s="158" t="b">
        <v>0</v>
      </c>
      <c r="EN19" s="158" t="b">
        <v>0</v>
      </c>
      <c r="EO19" s="158" t="b">
        <v>0</v>
      </c>
      <c r="EP19" s="158" t="b">
        <v>0</v>
      </c>
      <c r="EQ19" s="158" t="b">
        <v>0</v>
      </c>
      <c r="ER19" s="158" t="b">
        <v>0</v>
      </c>
      <c r="ES19" s="158" t="b">
        <v>0</v>
      </c>
      <c r="ET19" s="158" t="b">
        <v>0</v>
      </c>
      <c r="EU19" s="93" t="b">
        <v>1</v>
      </c>
      <c r="EV19" s="93" t="b">
        <v>1</v>
      </c>
      <c r="EW19" s="93" t="b">
        <v>1</v>
      </c>
      <c r="EX19" s="158" t="b">
        <v>0</v>
      </c>
      <c r="EY19" s="158" t="b">
        <v>0</v>
      </c>
      <c r="EZ19" s="158" t="b">
        <v>0</v>
      </c>
      <c r="FA19" s="158" t="b">
        <v>0</v>
      </c>
      <c r="FB19" s="158" t="b">
        <v>0</v>
      </c>
      <c r="FC19" s="158" t="b">
        <v>0</v>
      </c>
      <c r="FD19" s="158" t="b">
        <v>0</v>
      </c>
      <c r="FE19" s="158" t="b">
        <v>0</v>
      </c>
      <c r="FF19" s="158" t="b">
        <v>0</v>
      </c>
      <c r="FG19" s="158" t="b">
        <v>0</v>
      </c>
      <c r="FH19" s="158" t="b">
        <v>0</v>
      </c>
      <c r="FI19" s="158" t="b">
        <v>0</v>
      </c>
      <c r="FJ19" s="158" t="b">
        <v>0</v>
      </c>
      <c r="FK19" s="158" t="b">
        <v>0</v>
      </c>
      <c r="FL19" s="158" t="b">
        <v>0</v>
      </c>
      <c r="FM19" s="158" t="b">
        <v>0</v>
      </c>
      <c r="FN19" s="158" t="b">
        <v>0</v>
      </c>
      <c r="FO19" s="158" t="b">
        <v>0</v>
      </c>
      <c r="FP19" s="158" t="b">
        <v>0</v>
      </c>
      <c r="FQ19" s="158" t="b">
        <v>0</v>
      </c>
      <c r="FR19" s="158" t="b">
        <v>0</v>
      </c>
      <c r="FS19" s="158" t="b">
        <v>0</v>
      </c>
      <c r="FT19" s="158" t="b">
        <v>0</v>
      </c>
      <c r="FU19" s="158" t="b">
        <v>0</v>
      </c>
      <c r="FV19" s="158" t="b">
        <v>0</v>
      </c>
      <c r="FW19" s="158" t="b">
        <v>0</v>
      </c>
      <c r="FX19" s="158" t="b">
        <v>0</v>
      </c>
      <c r="FY19" s="158" t="b">
        <v>0</v>
      </c>
      <c r="FZ19" s="158" t="b">
        <v>0</v>
      </c>
      <c r="GA19" s="158" t="b">
        <v>0</v>
      </c>
      <c r="GB19" s="158" t="b">
        <v>0</v>
      </c>
      <c r="GC19" s="158" t="b">
        <v>0</v>
      </c>
      <c r="GD19" s="158" t="b">
        <v>0</v>
      </c>
      <c r="GE19" s="158" t="b">
        <v>0</v>
      </c>
      <c r="GF19" s="158" t="b">
        <v>0</v>
      </c>
      <c r="GG19" s="158" t="b">
        <v>0</v>
      </c>
      <c r="GH19" s="158" t="b">
        <v>0</v>
      </c>
      <c r="GI19" s="158" t="b">
        <v>0</v>
      </c>
      <c r="GJ19" s="158" t="b">
        <v>0</v>
      </c>
      <c r="GK19" s="158" t="b">
        <v>0</v>
      </c>
      <c r="GL19" s="158" t="b">
        <v>0</v>
      </c>
      <c r="GM19" s="158" t="b">
        <v>0</v>
      </c>
      <c r="GN19" s="158" t="b">
        <v>0</v>
      </c>
      <c r="GO19" s="158" t="b">
        <v>0</v>
      </c>
      <c r="GP19" s="158" t="b">
        <v>0</v>
      </c>
      <c r="GQ19" s="158" t="b">
        <v>0</v>
      </c>
      <c r="GR19" s="158" t="b">
        <v>0</v>
      </c>
      <c r="GS19" s="158" t="b">
        <v>0</v>
      </c>
      <c r="GT19" s="158" t="b">
        <v>0</v>
      </c>
      <c r="GU19" s="158" t="b">
        <v>0</v>
      </c>
      <c r="GV19" s="158" t="b">
        <v>0</v>
      </c>
      <c r="GW19" s="158" t="b">
        <v>0</v>
      </c>
      <c r="GX19" s="158" t="b">
        <v>0</v>
      </c>
      <c r="GY19" s="158" t="b">
        <v>0</v>
      </c>
      <c r="GZ19" s="158" t="b">
        <v>0</v>
      </c>
      <c r="HA19" s="158" t="b">
        <v>0</v>
      </c>
      <c r="HB19" s="158" t="b">
        <v>0</v>
      </c>
      <c r="HC19" s="158" t="b">
        <v>0</v>
      </c>
      <c r="HD19" s="158" t="b">
        <v>0</v>
      </c>
      <c r="HE19" s="158" t="b">
        <v>0</v>
      </c>
      <c r="HF19" s="158" t="b">
        <v>0</v>
      </c>
      <c r="HG19" s="158" t="b">
        <v>0</v>
      </c>
      <c r="HH19" s="158" t="b">
        <v>0</v>
      </c>
      <c r="HI19" s="158" t="b">
        <v>0</v>
      </c>
      <c r="HJ19" s="93" t="b">
        <v>1</v>
      </c>
      <c r="HK19" s="93" t="b">
        <v>1</v>
      </c>
      <c r="HL19" s="93" t="b">
        <v>1</v>
      </c>
      <c r="HM19" s="158" t="b">
        <v>0</v>
      </c>
      <c r="HN19" s="158" t="b">
        <v>0</v>
      </c>
      <c r="HO19" s="158" t="b">
        <v>0</v>
      </c>
      <c r="HP19" s="158" t="b">
        <v>0</v>
      </c>
      <c r="HQ19" s="158" t="b">
        <v>0</v>
      </c>
      <c r="HR19" s="158" t="b">
        <v>0</v>
      </c>
      <c r="HS19" s="158" t="b">
        <v>0</v>
      </c>
      <c r="HT19" s="93" t="b">
        <v>1</v>
      </c>
      <c r="HU19" s="93" t="b">
        <v>1</v>
      </c>
      <c r="HV19" s="93" t="b">
        <v>1</v>
      </c>
      <c r="HW19" s="93" t="b">
        <v>1</v>
      </c>
      <c r="HX19" s="93" t="b">
        <v>1</v>
      </c>
      <c r="HY19" s="158" t="b">
        <v>0</v>
      </c>
      <c r="HZ19" s="158" t="b">
        <v>0</v>
      </c>
      <c r="IA19" s="158" t="b">
        <v>0</v>
      </c>
      <c r="IB19" s="158" t="b">
        <v>0</v>
      </c>
      <c r="IC19" s="158" t="b">
        <v>0</v>
      </c>
      <c r="ID19" s="158" t="b">
        <v>0</v>
      </c>
      <c r="IE19" s="158" t="b">
        <v>0</v>
      </c>
      <c r="IF19" s="158" t="b">
        <v>0</v>
      </c>
      <c r="IG19" s="158" t="b">
        <v>0</v>
      </c>
      <c r="IH19" s="158" t="b">
        <v>0</v>
      </c>
      <c r="II19" s="158" t="b">
        <v>0</v>
      </c>
      <c r="IJ19" s="158" t="b">
        <v>0</v>
      </c>
      <c r="IK19" s="158" t="b">
        <v>0</v>
      </c>
      <c r="IL19" s="158" t="b">
        <v>0</v>
      </c>
      <c r="IM19" s="158" t="b">
        <v>0</v>
      </c>
      <c r="IN19" s="158" t="b">
        <v>0</v>
      </c>
      <c r="IO19" s="158" t="b">
        <v>0</v>
      </c>
      <c r="IP19" s="158" t="b">
        <v>0</v>
      </c>
      <c r="IQ19" s="158" t="b">
        <v>0</v>
      </c>
      <c r="IR19" s="158" t="b">
        <v>0</v>
      </c>
      <c r="IS19" s="158" t="b">
        <v>0</v>
      </c>
      <c r="IT19" s="158" t="b">
        <v>0</v>
      </c>
      <c r="IU19" s="158" t="b">
        <v>0</v>
      </c>
      <c r="IV19" s="158" t="b">
        <v>0</v>
      </c>
      <c r="IW19" s="158" t="b">
        <v>0</v>
      </c>
      <c r="IX19" s="158" t="b">
        <v>0</v>
      </c>
      <c r="IY19" s="158" t="b">
        <v>0</v>
      </c>
      <c r="IZ19" s="158" t="b">
        <v>0</v>
      </c>
      <c r="JA19" s="158" t="b">
        <v>0</v>
      </c>
      <c r="JB19" s="158" t="b">
        <v>0</v>
      </c>
      <c r="JC19" s="158" t="b">
        <v>0</v>
      </c>
      <c r="JD19" s="158" t="b">
        <v>0</v>
      </c>
      <c r="JE19" s="158" t="b">
        <v>0</v>
      </c>
      <c r="JF19" s="158" t="b">
        <v>0</v>
      </c>
      <c r="JG19" s="158" t="b">
        <v>0</v>
      </c>
      <c r="JH19" s="158" t="b">
        <v>0</v>
      </c>
      <c r="JI19" s="158" t="b">
        <v>0</v>
      </c>
      <c r="JJ19" s="158" t="b">
        <v>0</v>
      </c>
      <c r="JK19" s="158" t="b">
        <v>0</v>
      </c>
      <c r="JL19" s="158" t="b">
        <v>0</v>
      </c>
      <c r="JM19" s="158" t="b">
        <v>0</v>
      </c>
      <c r="JN19" s="158" t="b">
        <v>0</v>
      </c>
      <c r="JO19" s="158" t="b">
        <v>0</v>
      </c>
      <c r="JP19" s="158" t="b">
        <v>0</v>
      </c>
      <c r="JQ19" s="158" t="b">
        <v>0</v>
      </c>
      <c r="JR19" s="158" t="b">
        <v>0</v>
      </c>
      <c r="JS19" s="158" t="b">
        <v>0</v>
      </c>
      <c r="JT19" s="158" t="b">
        <v>0</v>
      </c>
      <c r="JU19" s="158" t="b">
        <v>0</v>
      </c>
      <c r="JV19" s="158" t="b">
        <v>0</v>
      </c>
      <c r="JW19" s="158" t="b">
        <v>0</v>
      </c>
      <c r="JX19" s="158" t="b">
        <v>0</v>
      </c>
      <c r="JY19" s="158" t="b">
        <v>0</v>
      </c>
      <c r="JZ19" s="158" t="b">
        <v>0</v>
      </c>
      <c r="KA19" s="158" t="b">
        <v>0</v>
      </c>
      <c r="KB19" s="158" t="b">
        <v>0</v>
      </c>
      <c r="KC19" s="158" t="b">
        <v>0</v>
      </c>
      <c r="KD19" s="158" t="b">
        <v>0</v>
      </c>
      <c r="KE19" s="158" t="b">
        <v>0</v>
      </c>
      <c r="KF19" s="158" t="b">
        <v>0</v>
      </c>
      <c r="KG19" s="158" t="b">
        <v>0</v>
      </c>
      <c r="KH19" s="158" t="b">
        <v>0</v>
      </c>
      <c r="KI19" s="158" t="b">
        <v>0</v>
      </c>
      <c r="KJ19" s="158" t="b">
        <v>0</v>
      </c>
      <c r="KK19" s="158" t="b">
        <v>0</v>
      </c>
      <c r="KL19" s="158" t="b">
        <v>0</v>
      </c>
      <c r="KM19" s="158" t="b">
        <v>0</v>
      </c>
      <c r="KN19" s="158" t="b">
        <v>0</v>
      </c>
      <c r="KO19" s="158" t="b">
        <v>0</v>
      </c>
      <c r="KP19" s="158" t="b">
        <v>0</v>
      </c>
      <c r="KQ19" s="158" t="b">
        <v>0</v>
      </c>
      <c r="KR19" s="158" t="b">
        <v>0</v>
      </c>
      <c r="KS19" s="158" t="b">
        <v>0</v>
      </c>
      <c r="KT19" s="158" t="b">
        <v>0</v>
      </c>
      <c r="KU19" s="158" t="b">
        <v>0</v>
      </c>
      <c r="KV19" s="158" t="b">
        <v>0</v>
      </c>
      <c r="KW19" s="158" t="b">
        <v>0</v>
      </c>
      <c r="KX19" s="158" t="b">
        <v>0</v>
      </c>
      <c r="KY19" s="158" t="b">
        <v>0</v>
      </c>
      <c r="KZ19" s="158" t="b">
        <v>0</v>
      </c>
      <c r="LA19" s="158" t="b">
        <v>0</v>
      </c>
      <c r="LB19" s="158" t="b">
        <v>0</v>
      </c>
      <c r="LC19" s="158" t="b">
        <v>0</v>
      </c>
      <c r="LD19" s="158" t="b">
        <v>0</v>
      </c>
      <c r="LE19" s="158" t="b">
        <v>0</v>
      </c>
      <c r="LF19" s="158" t="b">
        <v>0</v>
      </c>
      <c r="LG19" s="158" t="b">
        <v>0</v>
      </c>
      <c r="LH19" s="158" t="b">
        <v>0</v>
      </c>
      <c r="LI19" s="158" t="b">
        <v>0</v>
      </c>
      <c r="LJ19" s="158" t="b">
        <v>0</v>
      </c>
      <c r="LK19" s="158" t="b">
        <v>0</v>
      </c>
      <c r="LL19" s="158" t="b">
        <v>0</v>
      </c>
      <c r="LM19" s="158" t="b">
        <v>0</v>
      </c>
      <c r="LN19" s="158" t="b">
        <v>0</v>
      </c>
      <c r="LO19" s="158" t="b">
        <v>0</v>
      </c>
      <c r="LP19" s="158" t="b">
        <v>0</v>
      </c>
      <c r="LQ19" s="158" t="b">
        <v>0</v>
      </c>
      <c r="LR19" s="158" t="b">
        <v>0</v>
      </c>
      <c r="LS19" s="158" t="b">
        <v>0</v>
      </c>
      <c r="LT19" s="158" t="b">
        <v>0</v>
      </c>
      <c r="LU19" s="158" t="b">
        <v>0</v>
      </c>
      <c r="LV19" s="158" t="b">
        <v>0</v>
      </c>
      <c r="LW19" s="158" t="b">
        <v>0</v>
      </c>
      <c r="LX19" s="158" t="b">
        <v>0</v>
      </c>
      <c r="LY19" s="158" t="b">
        <v>0</v>
      </c>
      <c r="LZ19" s="158" t="b">
        <v>0</v>
      </c>
      <c r="MA19" s="158" t="b">
        <v>0</v>
      </c>
      <c r="MB19" s="158" t="b">
        <v>0</v>
      </c>
      <c r="MC19" s="158" t="b">
        <v>0</v>
      </c>
      <c r="MD19" s="158" t="b">
        <v>0</v>
      </c>
      <c r="ME19" s="158" t="b">
        <v>0</v>
      </c>
      <c r="MF19" s="158" t="b">
        <v>0</v>
      </c>
      <c r="MG19" s="158" t="b">
        <v>0</v>
      </c>
      <c r="MH19" s="158" t="b">
        <v>0</v>
      </c>
      <c r="MI19" s="158" t="b">
        <v>0</v>
      </c>
      <c r="MJ19" s="158" t="b">
        <v>0</v>
      </c>
      <c r="MK19" s="158" t="b">
        <v>0</v>
      </c>
      <c r="ML19" s="158" t="b">
        <v>0</v>
      </c>
      <c r="MM19" s="158" t="b">
        <v>0</v>
      </c>
      <c r="MN19" s="158" t="b">
        <v>0</v>
      </c>
      <c r="MO19" s="158" t="b">
        <v>0</v>
      </c>
      <c r="MP19" s="158" t="b">
        <v>0</v>
      </c>
      <c r="MQ19" s="158" t="b">
        <v>0</v>
      </c>
      <c r="MR19" s="158" t="b">
        <v>0</v>
      </c>
      <c r="MS19" s="158" t="b">
        <v>0</v>
      </c>
      <c r="MT19" s="158" t="b">
        <v>0</v>
      </c>
      <c r="MU19" s="158" t="b">
        <v>0</v>
      </c>
      <c r="MV19" s="158" t="b">
        <v>0</v>
      </c>
      <c r="MW19" s="158" t="b">
        <v>0</v>
      </c>
      <c r="MX19" s="158" t="b">
        <v>0</v>
      </c>
      <c r="MY19" s="158" t="b">
        <v>0</v>
      </c>
      <c r="MZ19" s="158" t="b">
        <v>0</v>
      </c>
      <c r="NA19" s="158" t="b">
        <v>0</v>
      </c>
      <c r="NB19" s="158" t="b">
        <v>0</v>
      </c>
      <c r="NC19" s="158" t="b">
        <v>0</v>
      </c>
      <c r="ND19" s="158" t="b">
        <v>0</v>
      </c>
      <c r="NE19" s="158" t="b">
        <v>0</v>
      </c>
      <c r="NF19" s="158" t="b">
        <v>0</v>
      </c>
      <c r="NG19" s="158" t="b">
        <v>0</v>
      </c>
      <c r="NH19" s="158" t="b">
        <v>0</v>
      </c>
      <c r="NI19" s="158" t="b">
        <v>0</v>
      </c>
      <c r="NJ19" s="158" t="b">
        <v>0</v>
      </c>
      <c r="NK19" s="158" t="b">
        <v>0</v>
      </c>
      <c r="NL19" s="158" t="b">
        <v>0</v>
      </c>
      <c r="NM19" s="158" t="b">
        <v>0</v>
      </c>
      <c r="NN19" s="158" t="b">
        <v>0</v>
      </c>
      <c r="NO19" s="158" t="b">
        <v>0</v>
      </c>
    </row>
    <row r="20" spans="1:379" ht="29.25" x14ac:dyDescent="0.4">
      <c r="A20" s="511" t="str">
        <v>Lucky Bao Buns</v>
      </c>
      <c r="B20" s="158" t="b">
        <v>0</v>
      </c>
      <c r="C20" s="158" t="b">
        <v>0</v>
      </c>
      <c r="D20" s="158" t="b">
        <v>0</v>
      </c>
      <c r="E20" s="158" t="b">
        <v>0</v>
      </c>
      <c r="F20" s="158" t="b">
        <v>0</v>
      </c>
      <c r="G20" s="158" t="b">
        <v>0</v>
      </c>
      <c r="H20" s="158" t="b">
        <v>0</v>
      </c>
      <c r="I20" s="158" t="b">
        <v>0</v>
      </c>
      <c r="J20" s="158" t="b">
        <v>0</v>
      </c>
      <c r="K20" s="158" t="b">
        <v>0</v>
      </c>
      <c r="L20" s="158" t="b">
        <v>0</v>
      </c>
      <c r="M20" s="158" t="b">
        <v>0</v>
      </c>
      <c r="N20" s="158" t="b">
        <v>0</v>
      </c>
      <c r="O20" s="158" t="b">
        <v>0</v>
      </c>
      <c r="P20" s="158" t="b">
        <v>0</v>
      </c>
      <c r="Q20" s="158" t="b">
        <v>0</v>
      </c>
      <c r="R20" s="158" t="b">
        <v>0</v>
      </c>
      <c r="S20" s="158" t="b">
        <v>0</v>
      </c>
      <c r="T20" s="158" t="b">
        <v>0</v>
      </c>
      <c r="U20" s="158" t="b">
        <v>0</v>
      </c>
      <c r="V20" s="158" t="b">
        <v>0</v>
      </c>
      <c r="W20" s="158" t="b">
        <v>0</v>
      </c>
      <c r="X20" s="158" t="b">
        <v>0</v>
      </c>
      <c r="Y20" s="158" t="b">
        <v>0</v>
      </c>
      <c r="Z20" s="158" t="b">
        <v>0</v>
      </c>
      <c r="AA20" s="158" t="b">
        <v>0</v>
      </c>
      <c r="AB20" s="158" t="b">
        <v>0</v>
      </c>
      <c r="AC20" s="158" t="b">
        <v>0</v>
      </c>
      <c r="AD20" s="158" t="b">
        <v>0</v>
      </c>
      <c r="AE20" s="158" t="b">
        <v>0</v>
      </c>
      <c r="AF20" s="158" t="b">
        <v>0</v>
      </c>
      <c r="AG20" s="158" t="b">
        <v>0</v>
      </c>
      <c r="AH20" s="158" t="b">
        <v>0</v>
      </c>
      <c r="AI20" s="158" t="b">
        <v>0</v>
      </c>
      <c r="AJ20" s="158" t="b">
        <v>0</v>
      </c>
      <c r="AK20" s="158" t="b">
        <v>0</v>
      </c>
      <c r="AL20" s="158" t="b">
        <v>0</v>
      </c>
      <c r="AM20" s="158" t="b">
        <v>0</v>
      </c>
      <c r="AN20" s="158" t="b">
        <v>0</v>
      </c>
      <c r="AO20" s="158" t="b">
        <v>0</v>
      </c>
      <c r="AP20" s="158" t="b">
        <v>0</v>
      </c>
      <c r="AQ20" s="158" t="b">
        <v>0</v>
      </c>
      <c r="AR20" s="158" t="b">
        <v>0</v>
      </c>
      <c r="AS20" s="158" t="b">
        <v>0</v>
      </c>
      <c r="AT20" s="158" t="b">
        <v>0</v>
      </c>
      <c r="AU20" s="158" t="b">
        <v>0</v>
      </c>
      <c r="AV20" s="158" t="b">
        <v>0</v>
      </c>
      <c r="AW20" s="158" t="b">
        <v>0</v>
      </c>
      <c r="AX20" s="158" t="b">
        <v>0</v>
      </c>
      <c r="AY20" s="158" t="b">
        <v>0</v>
      </c>
      <c r="AZ20" s="158" t="b">
        <v>0</v>
      </c>
      <c r="BA20" s="158" t="b">
        <v>0</v>
      </c>
      <c r="BB20" s="158" t="b">
        <v>0</v>
      </c>
      <c r="BC20" s="158" t="b">
        <v>0</v>
      </c>
      <c r="BD20" s="158" t="b">
        <v>0</v>
      </c>
      <c r="BE20" s="158" t="b">
        <v>0</v>
      </c>
      <c r="BF20" s="158" t="b">
        <v>0</v>
      </c>
      <c r="BG20" s="158" t="b">
        <v>0</v>
      </c>
      <c r="BH20" s="158" t="b">
        <v>0</v>
      </c>
      <c r="BI20" s="158" t="b">
        <v>0</v>
      </c>
      <c r="BJ20" s="158" t="b">
        <v>0</v>
      </c>
      <c r="BK20" s="158" t="b">
        <v>0</v>
      </c>
      <c r="BL20" s="158" t="b">
        <v>0</v>
      </c>
      <c r="BM20" s="158" t="b">
        <v>0</v>
      </c>
      <c r="BN20" s="158" t="b">
        <v>0</v>
      </c>
      <c r="BO20" s="158" t="b">
        <v>0</v>
      </c>
      <c r="BP20" s="158" t="b">
        <v>0</v>
      </c>
      <c r="BQ20" s="158" t="b">
        <v>0</v>
      </c>
      <c r="BR20" s="158" t="b">
        <v>0</v>
      </c>
      <c r="BS20" s="158" t="b">
        <v>0</v>
      </c>
      <c r="BT20" s="158" t="b">
        <v>0</v>
      </c>
      <c r="BU20" s="158" t="b">
        <v>0</v>
      </c>
      <c r="BV20" s="158" t="b">
        <v>0</v>
      </c>
      <c r="BW20" s="158" t="b">
        <v>0</v>
      </c>
      <c r="BX20" s="158" t="b">
        <v>0</v>
      </c>
      <c r="BY20" s="158" t="b">
        <v>0</v>
      </c>
      <c r="BZ20" s="93" t="b">
        <v>1</v>
      </c>
      <c r="CA20" s="158" t="b">
        <v>0</v>
      </c>
      <c r="CB20" s="158" t="b">
        <v>0</v>
      </c>
      <c r="CC20" s="158" t="b">
        <v>0</v>
      </c>
      <c r="CD20" s="158" t="b">
        <v>0</v>
      </c>
      <c r="CE20" s="158" t="b">
        <v>0</v>
      </c>
      <c r="CF20" s="158" t="b">
        <v>0</v>
      </c>
      <c r="CG20" s="158" t="b">
        <v>0</v>
      </c>
      <c r="CH20" s="158" t="b">
        <v>0</v>
      </c>
      <c r="CI20" s="158" t="b">
        <v>0</v>
      </c>
      <c r="CJ20" s="158" t="b">
        <v>0</v>
      </c>
      <c r="CK20" s="158" t="b">
        <v>0</v>
      </c>
      <c r="CL20" s="158" t="b">
        <v>0</v>
      </c>
      <c r="CM20" s="93" t="b">
        <v>1</v>
      </c>
      <c r="CN20" s="93" t="b">
        <v>1</v>
      </c>
      <c r="CO20" s="93" t="b">
        <v>1</v>
      </c>
      <c r="CP20" s="158" t="b">
        <v>0</v>
      </c>
      <c r="CQ20" s="158" t="b">
        <v>0</v>
      </c>
      <c r="CR20" s="158" t="b">
        <v>0</v>
      </c>
      <c r="CS20" s="158" t="b">
        <v>0</v>
      </c>
      <c r="CT20" s="158" t="b">
        <v>0</v>
      </c>
      <c r="CU20" s="158" t="b">
        <v>0</v>
      </c>
      <c r="CV20" s="158" t="b">
        <v>0</v>
      </c>
      <c r="CW20" s="158" t="b">
        <v>0</v>
      </c>
      <c r="CX20" s="93" t="b">
        <v>1</v>
      </c>
      <c r="CY20" s="158" t="b">
        <v>0</v>
      </c>
      <c r="CZ20" s="158" t="b">
        <v>0</v>
      </c>
      <c r="DA20" s="158" t="b">
        <v>0</v>
      </c>
      <c r="DB20" s="158" t="b">
        <v>0</v>
      </c>
      <c r="DC20" s="158" t="b">
        <v>0</v>
      </c>
      <c r="DD20" s="158" t="b">
        <v>0</v>
      </c>
      <c r="DE20" s="158" t="b">
        <v>0</v>
      </c>
      <c r="DF20" s="158" t="b">
        <v>0</v>
      </c>
      <c r="DG20" s="158" t="b">
        <v>0</v>
      </c>
      <c r="DH20" s="158" t="b">
        <v>0</v>
      </c>
      <c r="DI20" s="158" t="b">
        <v>0</v>
      </c>
      <c r="DJ20" s="158" t="b">
        <v>0</v>
      </c>
      <c r="DK20" s="158" t="b">
        <v>0</v>
      </c>
      <c r="DL20" s="158" t="b">
        <v>0</v>
      </c>
      <c r="DM20" s="158" t="b">
        <v>0</v>
      </c>
      <c r="DN20" s="158" t="b">
        <v>0</v>
      </c>
      <c r="DO20" s="158" t="b">
        <v>0</v>
      </c>
      <c r="DP20" s="158" t="b">
        <v>0</v>
      </c>
      <c r="DQ20" s="158" t="b">
        <v>0</v>
      </c>
      <c r="DR20" s="93" t="b">
        <v>1</v>
      </c>
      <c r="DS20" s="93" t="b">
        <v>1</v>
      </c>
      <c r="DT20" s="93" t="b">
        <v>1</v>
      </c>
      <c r="DU20" s="93" t="b">
        <v>1</v>
      </c>
      <c r="DV20" s="93" t="b">
        <v>1</v>
      </c>
      <c r="DW20" s="158" t="b">
        <v>0</v>
      </c>
      <c r="DX20" s="158" t="b">
        <v>0</v>
      </c>
      <c r="DY20" s="158" t="b">
        <v>0</v>
      </c>
      <c r="DZ20" s="158" t="b">
        <v>0</v>
      </c>
      <c r="EA20" s="158" t="b">
        <v>0</v>
      </c>
      <c r="EB20" s="158" t="b">
        <v>0</v>
      </c>
      <c r="EC20" s="93" t="b">
        <v>1</v>
      </c>
      <c r="ED20" s="158" t="b">
        <v>0</v>
      </c>
      <c r="EE20" s="158" t="b">
        <v>0</v>
      </c>
      <c r="EF20" s="158" t="b">
        <v>0</v>
      </c>
      <c r="EG20" s="158" t="b">
        <v>0</v>
      </c>
      <c r="EH20" s="158" t="b">
        <v>0</v>
      </c>
      <c r="EI20" s="93" t="b">
        <v>1</v>
      </c>
      <c r="EJ20" s="93" t="b">
        <v>1</v>
      </c>
      <c r="EK20" s="158" t="b">
        <v>0</v>
      </c>
      <c r="EL20" s="158" t="b">
        <v>0</v>
      </c>
      <c r="EM20" s="158" t="b">
        <v>0</v>
      </c>
      <c r="EN20" s="158" t="b">
        <v>0</v>
      </c>
      <c r="EO20" s="158" t="b">
        <v>0</v>
      </c>
      <c r="EP20" s="158" t="b">
        <v>0</v>
      </c>
      <c r="EQ20" s="158" t="b">
        <v>0</v>
      </c>
      <c r="ER20" s="158" t="b">
        <v>0</v>
      </c>
      <c r="ES20" s="158" t="b">
        <v>0</v>
      </c>
      <c r="ET20" s="158" t="b">
        <v>0</v>
      </c>
      <c r="EU20" s="93" t="b">
        <v>1</v>
      </c>
      <c r="EV20" s="93" t="b">
        <v>1</v>
      </c>
      <c r="EW20" s="93" t="b">
        <v>1</v>
      </c>
      <c r="EX20" s="93" t="b">
        <v>1</v>
      </c>
      <c r="EY20" s="158" t="b">
        <v>0</v>
      </c>
      <c r="EZ20" s="158" t="b">
        <v>0</v>
      </c>
      <c r="FA20" s="158" t="b">
        <v>0</v>
      </c>
      <c r="FB20" s="158" t="b">
        <v>0</v>
      </c>
      <c r="FC20" s="158" t="b">
        <v>0</v>
      </c>
      <c r="FD20" s="158" t="b">
        <v>0</v>
      </c>
      <c r="FE20" s="158" t="b">
        <v>0</v>
      </c>
      <c r="FF20" s="158" t="b">
        <v>0</v>
      </c>
      <c r="FG20" s="158" t="b">
        <v>0</v>
      </c>
      <c r="FH20" s="158" t="b">
        <v>0</v>
      </c>
      <c r="FI20" s="158" t="b">
        <v>0</v>
      </c>
      <c r="FJ20" s="158" t="b">
        <v>0</v>
      </c>
      <c r="FK20" s="158" t="b">
        <v>0</v>
      </c>
      <c r="FL20" s="158" t="b">
        <v>0</v>
      </c>
      <c r="FM20" s="158" t="b">
        <v>0</v>
      </c>
      <c r="FN20" s="158" t="b">
        <v>0</v>
      </c>
      <c r="FO20" s="158" t="b">
        <v>0</v>
      </c>
      <c r="FP20" s="158" t="b">
        <v>0</v>
      </c>
      <c r="FQ20" s="158" t="b">
        <v>0</v>
      </c>
      <c r="FR20" s="158" t="b">
        <v>0</v>
      </c>
      <c r="FS20" s="158" t="b">
        <v>0</v>
      </c>
      <c r="FT20" s="93" t="b">
        <v>1</v>
      </c>
      <c r="FU20" s="158" t="b">
        <v>0</v>
      </c>
      <c r="FV20" s="158" t="b">
        <v>0</v>
      </c>
      <c r="FW20" s="158" t="b">
        <v>0</v>
      </c>
      <c r="FX20" s="158" t="b">
        <v>0</v>
      </c>
      <c r="FY20" s="158" t="b">
        <v>0</v>
      </c>
      <c r="FZ20" s="158" t="b">
        <v>0</v>
      </c>
      <c r="GA20" s="158" t="b">
        <v>0</v>
      </c>
      <c r="GB20" s="158" t="b">
        <v>0</v>
      </c>
      <c r="GC20" s="158" t="b">
        <v>0</v>
      </c>
      <c r="GD20" s="158" t="b">
        <v>0</v>
      </c>
      <c r="GE20" s="158" t="b">
        <v>0</v>
      </c>
      <c r="GF20" s="158" t="b">
        <v>0</v>
      </c>
      <c r="GG20" s="158" t="b">
        <v>0</v>
      </c>
      <c r="GH20" s="158" t="b">
        <v>0</v>
      </c>
      <c r="GI20" s="158" t="b">
        <v>0</v>
      </c>
      <c r="GJ20" s="158" t="b">
        <v>0</v>
      </c>
      <c r="GK20" s="158" t="b">
        <v>0</v>
      </c>
      <c r="GL20" s="158" t="b">
        <v>0</v>
      </c>
      <c r="GM20" s="158" t="b">
        <v>0</v>
      </c>
      <c r="GN20" s="158" t="b">
        <v>0</v>
      </c>
      <c r="GO20" s="158" t="b">
        <v>0</v>
      </c>
      <c r="GP20" s="158" t="b">
        <v>0</v>
      </c>
      <c r="GQ20" s="158" t="b">
        <v>0</v>
      </c>
      <c r="GR20" s="158" t="b">
        <v>0</v>
      </c>
      <c r="GS20" s="158" t="b">
        <v>0</v>
      </c>
      <c r="GT20" s="158" t="b">
        <v>0</v>
      </c>
      <c r="GU20" s="158" t="b">
        <v>0</v>
      </c>
      <c r="GV20" s="158" t="b">
        <v>0</v>
      </c>
      <c r="GW20" s="158" t="b">
        <v>0</v>
      </c>
      <c r="GX20" s="158" t="b">
        <v>0</v>
      </c>
      <c r="GY20" s="158" t="b">
        <v>0</v>
      </c>
      <c r="GZ20" s="158" t="b">
        <v>0</v>
      </c>
      <c r="HA20" s="158" t="b">
        <v>0</v>
      </c>
      <c r="HB20" s="158" t="b">
        <v>0</v>
      </c>
      <c r="HC20" s="158" t="b">
        <v>0</v>
      </c>
      <c r="HD20" s="158" t="b">
        <v>0</v>
      </c>
      <c r="HE20" s="158" t="b">
        <v>0</v>
      </c>
      <c r="HF20" s="158" t="b">
        <v>0</v>
      </c>
      <c r="HG20" s="158" t="b">
        <v>0</v>
      </c>
      <c r="HH20" s="158" t="b">
        <v>0</v>
      </c>
      <c r="HI20" s="158" t="b">
        <v>0</v>
      </c>
      <c r="HJ20" s="93" t="b">
        <v>1</v>
      </c>
      <c r="HK20" s="93" t="b">
        <v>1</v>
      </c>
      <c r="HL20" s="93" t="b">
        <v>1</v>
      </c>
      <c r="HM20" s="158" t="b">
        <v>0</v>
      </c>
      <c r="HN20" s="158" t="b">
        <v>0</v>
      </c>
      <c r="HO20" s="158" t="b">
        <v>0</v>
      </c>
      <c r="HP20" s="158" t="b">
        <v>0</v>
      </c>
      <c r="HQ20" s="158" t="b">
        <v>0</v>
      </c>
      <c r="HR20" s="158" t="b">
        <v>0</v>
      </c>
      <c r="HS20" s="158" t="b">
        <v>0</v>
      </c>
      <c r="HT20" s="93" t="b">
        <v>1</v>
      </c>
      <c r="HU20" s="93" t="b">
        <v>1</v>
      </c>
      <c r="HV20" s="93" t="b">
        <v>1</v>
      </c>
      <c r="HW20" s="93" t="b">
        <v>1</v>
      </c>
      <c r="HX20" s="93" t="b">
        <v>1</v>
      </c>
      <c r="HY20" s="158" t="b">
        <v>0</v>
      </c>
      <c r="HZ20" s="158" t="b">
        <v>0</v>
      </c>
      <c r="IA20" s="158" t="b">
        <v>0</v>
      </c>
      <c r="IB20" s="158" t="b">
        <v>0</v>
      </c>
      <c r="IC20" s="158" t="b">
        <v>0</v>
      </c>
      <c r="ID20" s="158" t="b">
        <v>0</v>
      </c>
      <c r="IE20" s="158" t="b">
        <v>0</v>
      </c>
      <c r="IF20" s="158" t="b">
        <v>0</v>
      </c>
      <c r="IG20" s="158" t="b">
        <v>0</v>
      </c>
      <c r="IH20" s="158" t="b">
        <v>0</v>
      </c>
      <c r="II20" s="158" t="b">
        <v>0</v>
      </c>
      <c r="IJ20" s="158" t="b">
        <v>0</v>
      </c>
      <c r="IK20" s="158" t="b">
        <v>0</v>
      </c>
      <c r="IL20" s="158" t="b">
        <v>0</v>
      </c>
      <c r="IM20" s="158" t="b">
        <v>0</v>
      </c>
      <c r="IN20" s="158" t="b">
        <v>0</v>
      </c>
      <c r="IO20" s="158" t="b">
        <v>0</v>
      </c>
      <c r="IP20" s="158" t="b">
        <v>0</v>
      </c>
      <c r="IQ20" s="158" t="b">
        <v>0</v>
      </c>
      <c r="IR20" s="158" t="b">
        <v>0</v>
      </c>
      <c r="IS20" s="158" t="b">
        <v>0</v>
      </c>
      <c r="IT20" s="158" t="b">
        <v>0</v>
      </c>
      <c r="IU20" s="158" t="b">
        <v>0</v>
      </c>
      <c r="IV20" s="158" t="b">
        <v>0</v>
      </c>
      <c r="IW20" s="158" t="b">
        <v>0</v>
      </c>
      <c r="IX20" s="158" t="b">
        <v>0</v>
      </c>
      <c r="IY20" s="158" t="b">
        <v>0</v>
      </c>
      <c r="IZ20" s="158" t="b">
        <v>0</v>
      </c>
      <c r="JA20" s="158" t="b">
        <v>0</v>
      </c>
      <c r="JB20" s="158" t="b">
        <v>0</v>
      </c>
      <c r="JC20" s="158" t="b">
        <v>0</v>
      </c>
      <c r="JD20" s="158" t="b">
        <v>0</v>
      </c>
      <c r="JE20" s="158" t="b">
        <v>0</v>
      </c>
      <c r="JF20" s="158" t="b">
        <v>0</v>
      </c>
      <c r="JG20" s="158" t="b">
        <v>0</v>
      </c>
      <c r="JH20" s="158" t="b">
        <v>0</v>
      </c>
      <c r="JI20" s="158" t="b">
        <v>0</v>
      </c>
      <c r="JJ20" s="158" t="b">
        <v>0</v>
      </c>
      <c r="JK20" s="158" t="b">
        <v>0</v>
      </c>
      <c r="JL20" s="158" t="b">
        <v>0</v>
      </c>
      <c r="JM20" s="158" t="b">
        <v>0</v>
      </c>
      <c r="JN20" s="158" t="b">
        <v>0</v>
      </c>
      <c r="JO20" s="158" t="b">
        <v>0</v>
      </c>
      <c r="JP20" s="158" t="b">
        <v>0</v>
      </c>
      <c r="JQ20" s="158" t="b">
        <v>0</v>
      </c>
      <c r="JR20" s="158" t="b">
        <v>0</v>
      </c>
      <c r="JS20" s="158" t="b">
        <v>0</v>
      </c>
      <c r="JT20" s="158" t="b">
        <v>0</v>
      </c>
      <c r="JU20" s="158" t="b">
        <v>0</v>
      </c>
      <c r="JV20" s="158" t="b">
        <v>0</v>
      </c>
      <c r="JW20" s="158" t="b">
        <v>0</v>
      </c>
      <c r="JX20" s="158" t="b">
        <v>0</v>
      </c>
      <c r="JY20" s="158" t="b">
        <v>0</v>
      </c>
      <c r="JZ20" s="158" t="b">
        <v>0</v>
      </c>
      <c r="KA20" s="158" t="b">
        <v>0</v>
      </c>
      <c r="KB20" s="158" t="b">
        <v>0</v>
      </c>
      <c r="KC20" s="158" t="b">
        <v>0</v>
      </c>
      <c r="KD20" s="158" t="b">
        <v>0</v>
      </c>
      <c r="KE20" s="158" t="b">
        <v>0</v>
      </c>
      <c r="KF20" s="158" t="b">
        <v>0</v>
      </c>
      <c r="KG20" s="158" t="b">
        <v>0</v>
      </c>
      <c r="KH20" s="158" t="b">
        <v>0</v>
      </c>
      <c r="KI20" s="158" t="b">
        <v>0</v>
      </c>
      <c r="KJ20" s="158" t="b">
        <v>0</v>
      </c>
      <c r="KK20" s="158" t="b">
        <v>0</v>
      </c>
      <c r="KL20" s="158" t="b">
        <v>0</v>
      </c>
      <c r="KM20" s="158" t="b">
        <v>0</v>
      </c>
      <c r="KN20" s="158" t="b">
        <v>0</v>
      </c>
      <c r="KO20" s="158" t="b">
        <v>0</v>
      </c>
      <c r="KP20" s="158" t="b">
        <v>0</v>
      </c>
      <c r="KQ20" s="158" t="b">
        <v>0</v>
      </c>
      <c r="KR20" s="158" t="b">
        <v>0</v>
      </c>
      <c r="KS20" s="158" t="b">
        <v>0</v>
      </c>
      <c r="KT20" s="158" t="b">
        <v>0</v>
      </c>
      <c r="KU20" s="158" t="b">
        <v>0</v>
      </c>
      <c r="KV20" s="158" t="b">
        <v>0</v>
      </c>
      <c r="KW20" s="158" t="b">
        <v>0</v>
      </c>
      <c r="KX20" s="158" t="b">
        <v>0</v>
      </c>
      <c r="KY20" s="158" t="b">
        <v>0</v>
      </c>
      <c r="KZ20" s="158" t="b">
        <v>0</v>
      </c>
      <c r="LA20" s="158" t="b">
        <v>0</v>
      </c>
      <c r="LB20" s="158" t="b">
        <v>0</v>
      </c>
      <c r="LC20" s="158" t="b">
        <v>0</v>
      </c>
      <c r="LD20" s="158" t="b">
        <v>0</v>
      </c>
      <c r="LE20" s="158" t="b">
        <v>0</v>
      </c>
      <c r="LF20" s="158" t="b">
        <v>0</v>
      </c>
      <c r="LG20" s="158" t="b">
        <v>0</v>
      </c>
      <c r="LH20" s="158" t="b">
        <v>0</v>
      </c>
      <c r="LI20" s="158" t="b">
        <v>0</v>
      </c>
      <c r="LJ20" s="158" t="b">
        <v>0</v>
      </c>
      <c r="LK20" s="158" t="b">
        <v>0</v>
      </c>
      <c r="LL20" s="158" t="b">
        <v>0</v>
      </c>
      <c r="LM20" s="158" t="b">
        <v>0</v>
      </c>
      <c r="LN20" s="158" t="b">
        <v>0</v>
      </c>
      <c r="LO20" s="158" t="b">
        <v>0</v>
      </c>
      <c r="LP20" s="158" t="b">
        <v>0</v>
      </c>
      <c r="LQ20" s="158" t="b">
        <v>0</v>
      </c>
      <c r="LR20" s="158" t="b">
        <v>0</v>
      </c>
      <c r="LS20" s="158" t="b">
        <v>0</v>
      </c>
      <c r="LT20" s="158" t="b">
        <v>0</v>
      </c>
      <c r="LU20" s="158" t="b">
        <v>0</v>
      </c>
      <c r="LV20" s="158" t="b">
        <v>0</v>
      </c>
      <c r="LW20" s="158" t="b">
        <v>0</v>
      </c>
      <c r="LX20" s="158" t="b">
        <v>0</v>
      </c>
      <c r="LY20" s="158" t="b">
        <v>0</v>
      </c>
      <c r="LZ20" s="158" t="b">
        <v>0</v>
      </c>
      <c r="MA20" s="158" t="b">
        <v>0</v>
      </c>
      <c r="MB20" s="158" t="b">
        <v>0</v>
      </c>
      <c r="MC20" s="158" t="b">
        <v>0</v>
      </c>
      <c r="MD20" s="158" t="b">
        <v>0</v>
      </c>
      <c r="ME20" s="158" t="b">
        <v>0</v>
      </c>
      <c r="MF20" s="158" t="b">
        <v>0</v>
      </c>
      <c r="MG20" s="158" t="b">
        <v>0</v>
      </c>
      <c r="MH20" s="158" t="b">
        <v>0</v>
      </c>
      <c r="MI20" s="158" t="b">
        <v>0</v>
      </c>
      <c r="MJ20" s="158" t="b">
        <v>0</v>
      </c>
      <c r="MK20" s="158" t="b">
        <v>0</v>
      </c>
      <c r="ML20" s="158" t="b">
        <v>0</v>
      </c>
      <c r="MM20" s="158" t="b">
        <v>0</v>
      </c>
      <c r="MN20" s="158" t="b">
        <v>0</v>
      </c>
      <c r="MO20" s="158" t="b">
        <v>0</v>
      </c>
      <c r="MP20" s="158" t="b">
        <v>0</v>
      </c>
      <c r="MQ20" s="158" t="b">
        <v>0</v>
      </c>
      <c r="MR20" s="158" t="b">
        <v>0</v>
      </c>
      <c r="MS20" s="158" t="b">
        <v>0</v>
      </c>
      <c r="MT20" s="158" t="b">
        <v>0</v>
      </c>
      <c r="MU20" s="158" t="b">
        <v>0</v>
      </c>
      <c r="MV20" s="158" t="b">
        <v>0</v>
      </c>
      <c r="MW20" s="158" t="b">
        <v>0</v>
      </c>
      <c r="MX20" s="158" t="b">
        <v>0</v>
      </c>
      <c r="MY20" s="158" t="b">
        <v>0</v>
      </c>
      <c r="MZ20" s="158" t="b">
        <v>0</v>
      </c>
      <c r="NA20" s="158" t="b">
        <v>0</v>
      </c>
      <c r="NB20" s="158" t="b">
        <v>0</v>
      </c>
      <c r="NC20" s="158" t="b">
        <v>0</v>
      </c>
      <c r="ND20" s="158" t="b">
        <v>0</v>
      </c>
      <c r="NE20" s="158" t="b">
        <v>0</v>
      </c>
      <c r="NF20" s="158" t="b">
        <v>0</v>
      </c>
      <c r="NG20" s="158" t="b">
        <v>0</v>
      </c>
      <c r="NH20" s="158" t="b">
        <v>0</v>
      </c>
      <c r="NI20" s="158" t="b">
        <v>0</v>
      </c>
      <c r="NJ20" s="158" t="b">
        <v>0</v>
      </c>
      <c r="NK20" s="158" t="b">
        <v>0</v>
      </c>
      <c r="NL20" s="158" t="b">
        <v>0</v>
      </c>
      <c r="NM20" s="158" t="b">
        <v>0</v>
      </c>
      <c r="NN20" s="158" t="b">
        <v>0</v>
      </c>
      <c r="NO20" s="158" t="b">
        <v>0</v>
      </c>
    </row>
    <row r="21" spans="1:379" ht="29.25" x14ac:dyDescent="0.4">
      <c r="A21" s="511" t="str">
        <v>Camile Thai 2.0</v>
      </c>
      <c r="B21" s="158" t="b">
        <v>0</v>
      </c>
      <c r="C21" s="158" t="b">
        <v>0</v>
      </c>
      <c r="D21" s="158" t="b">
        <v>0</v>
      </c>
      <c r="E21" s="158" t="b">
        <v>0</v>
      </c>
      <c r="F21" s="158" t="b">
        <v>0</v>
      </c>
      <c r="G21" s="158" t="b">
        <v>0</v>
      </c>
      <c r="H21" s="158" t="b">
        <v>0</v>
      </c>
      <c r="I21" s="158" t="b">
        <v>0</v>
      </c>
      <c r="J21" s="158" t="b">
        <v>0</v>
      </c>
      <c r="K21" s="158" t="b">
        <v>0</v>
      </c>
      <c r="L21" s="158" t="b">
        <v>0</v>
      </c>
      <c r="M21" s="158" t="b">
        <v>0</v>
      </c>
      <c r="N21" s="158" t="b">
        <v>0</v>
      </c>
      <c r="O21" s="158" t="b">
        <v>0</v>
      </c>
      <c r="P21" s="158" t="b">
        <v>0</v>
      </c>
      <c r="Q21" s="158" t="b">
        <v>0</v>
      </c>
      <c r="R21" s="158" t="b">
        <v>0</v>
      </c>
      <c r="S21" s="158" t="b">
        <v>0</v>
      </c>
      <c r="T21" s="158" t="b">
        <v>0</v>
      </c>
      <c r="U21" s="158" t="b">
        <v>0</v>
      </c>
      <c r="V21" s="158" t="b">
        <v>0</v>
      </c>
      <c r="W21" s="158" t="b">
        <v>0</v>
      </c>
      <c r="X21" s="158" t="b">
        <v>0</v>
      </c>
      <c r="Y21" s="158" t="b">
        <v>0</v>
      </c>
      <c r="Z21" s="158" t="b">
        <v>0</v>
      </c>
      <c r="AA21" s="158" t="b">
        <v>0</v>
      </c>
      <c r="AB21" s="158" t="b">
        <v>0</v>
      </c>
      <c r="AC21" s="158" t="b">
        <v>0</v>
      </c>
      <c r="AD21" s="158" t="b">
        <v>0</v>
      </c>
      <c r="AE21" s="158" t="b">
        <v>0</v>
      </c>
      <c r="AF21" s="158" t="b">
        <v>0</v>
      </c>
      <c r="AG21" s="158" t="b">
        <v>0</v>
      </c>
      <c r="AH21" s="158" t="b">
        <v>0</v>
      </c>
      <c r="AI21" s="158" t="b">
        <v>0</v>
      </c>
      <c r="AJ21" s="158" t="b">
        <v>0</v>
      </c>
      <c r="AK21" s="158" t="b">
        <v>0</v>
      </c>
      <c r="AL21" s="158" t="b">
        <v>0</v>
      </c>
      <c r="AM21" s="158" t="b">
        <v>0</v>
      </c>
      <c r="AN21" s="158" t="b">
        <v>0</v>
      </c>
      <c r="AO21" s="158" t="b">
        <v>0</v>
      </c>
      <c r="AP21" s="158" t="b">
        <v>0</v>
      </c>
      <c r="AQ21" s="158" t="b">
        <v>0</v>
      </c>
      <c r="AR21" s="158" t="b">
        <v>0</v>
      </c>
      <c r="AS21" s="158" t="b">
        <v>0</v>
      </c>
      <c r="AT21" s="158" t="b">
        <v>0</v>
      </c>
      <c r="AU21" s="158" t="b">
        <v>0</v>
      </c>
      <c r="AV21" s="158" t="b">
        <v>0</v>
      </c>
      <c r="AW21" s="158" t="b">
        <v>0</v>
      </c>
      <c r="AX21" s="158" t="b">
        <v>0</v>
      </c>
      <c r="AY21" s="158" t="b">
        <v>0</v>
      </c>
      <c r="AZ21" s="158" t="b">
        <v>0</v>
      </c>
      <c r="BA21" s="158" t="b">
        <v>0</v>
      </c>
      <c r="BB21" s="158" t="b">
        <v>0</v>
      </c>
      <c r="BC21" s="158" t="b">
        <v>0</v>
      </c>
      <c r="BD21" s="158" t="b">
        <v>0</v>
      </c>
      <c r="BE21" s="158" t="b">
        <v>0</v>
      </c>
      <c r="BF21" s="158" t="b">
        <v>0</v>
      </c>
      <c r="BG21" s="158" t="b">
        <v>0</v>
      </c>
      <c r="BH21" s="158" t="b">
        <v>0</v>
      </c>
      <c r="BI21" s="158" t="b">
        <v>0</v>
      </c>
      <c r="BJ21" s="158" t="b">
        <v>0</v>
      </c>
      <c r="BK21" s="158" t="b">
        <v>0</v>
      </c>
      <c r="BL21" s="158" t="b">
        <v>0</v>
      </c>
      <c r="BM21" s="158" t="b">
        <v>0</v>
      </c>
      <c r="BN21" s="158" t="b">
        <v>0</v>
      </c>
      <c r="BO21" s="158" t="b">
        <v>0</v>
      </c>
      <c r="BP21" s="158" t="b">
        <v>0</v>
      </c>
      <c r="BQ21" s="158" t="b">
        <v>0</v>
      </c>
      <c r="BR21" s="158" t="b">
        <v>0</v>
      </c>
      <c r="BS21" s="158" t="b">
        <v>0</v>
      </c>
      <c r="BT21" s="158" t="b">
        <v>0</v>
      </c>
      <c r="BU21" s="158" t="b">
        <v>0</v>
      </c>
      <c r="BV21" s="158" t="b">
        <v>0</v>
      </c>
      <c r="BW21" s="158" t="b">
        <v>0</v>
      </c>
      <c r="BX21" s="158" t="b">
        <v>0</v>
      </c>
      <c r="BY21" s="158" t="b">
        <v>0</v>
      </c>
      <c r="BZ21" s="158" t="b">
        <v>0</v>
      </c>
      <c r="CA21" s="158" t="b">
        <v>0</v>
      </c>
      <c r="CB21" s="158" t="b">
        <v>0</v>
      </c>
      <c r="CC21" s="158" t="b">
        <v>0</v>
      </c>
      <c r="CD21" s="158" t="b">
        <v>0</v>
      </c>
      <c r="CE21" s="158" t="b">
        <v>0</v>
      </c>
      <c r="CF21" s="158" t="b">
        <v>0</v>
      </c>
      <c r="CG21" s="158" t="b">
        <v>0</v>
      </c>
      <c r="CH21" s="158" t="b">
        <v>0</v>
      </c>
      <c r="CI21" s="158" t="b">
        <v>0</v>
      </c>
      <c r="CJ21" s="158" t="b">
        <v>0</v>
      </c>
      <c r="CK21" s="158" t="b">
        <v>0</v>
      </c>
      <c r="CL21" s="158" t="b">
        <v>0</v>
      </c>
      <c r="CM21" s="158" t="b">
        <v>0</v>
      </c>
      <c r="CN21" s="158" t="b">
        <v>0</v>
      </c>
      <c r="CO21" s="158" t="b">
        <v>0</v>
      </c>
      <c r="CP21" s="158" t="b">
        <v>0</v>
      </c>
      <c r="CQ21" s="158" t="b">
        <v>0</v>
      </c>
      <c r="CR21" s="158" t="b">
        <v>0</v>
      </c>
      <c r="CS21" s="158" t="b">
        <v>0</v>
      </c>
      <c r="CT21" s="158" t="b">
        <v>0</v>
      </c>
      <c r="CU21" s="158" t="b">
        <v>0</v>
      </c>
      <c r="CV21" s="158" t="b">
        <v>0</v>
      </c>
      <c r="CW21" s="158" t="b">
        <v>0</v>
      </c>
      <c r="CX21" s="158" t="b">
        <v>0</v>
      </c>
      <c r="CY21" s="158" t="b">
        <v>0</v>
      </c>
      <c r="CZ21" s="158" t="b">
        <v>0</v>
      </c>
      <c r="DA21" s="158" t="b">
        <v>0</v>
      </c>
      <c r="DB21" s="158" t="b">
        <v>0</v>
      </c>
      <c r="DC21" s="158" t="b">
        <v>0</v>
      </c>
      <c r="DD21" s="158" t="b">
        <v>0</v>
      </c>
      <c r="DE21" s="158" t="b">
        <v>0</v>
      </c>
      <c r="DF21" s="158" t="b">
        <v>0</v>
      </c>
      <c r="DG21" s="158" t="b">
        <v>0</v>
      </c>
      <c r="DH21" s="158" t="b">
        <v>0</v>
      </c>
      <c r="DI21" s="158" t="b">
        <v>0</v>
      </c>
      <c r="DJ21" s="158" t="b">
        <v>0</v>
      </c>
      <c r="DK21" s="158" t="b">
        <v>0</v>
      </c>
      <c r="DL21" s="158" t="b">
        <v>0</v>
      </c>
      <c r="DM21" s="158" t="b">
        <v>0</v>
      </c>
      <c r="DN21" s="158" t="b">
        <v>0</v>
      </c>
      <c r="DO21" s="158" t="b">
        <v>0</v>
      </c>
      <c r="DP21" s="158" t="b">
        <v>0</v>
      </c>
      <c r="DQ21" s="158" t="b">
        <v>0</v>
      </c>
      <c r="DR21" s="158" t="b">
        <v>0</v>
      </c>
      <c r="DS21" s="158" t="b">
        <v>0</v>
      </c>
      <c r="DT21" s="158" t="b">
        <v>0</v>
      </c>
      <c r="DU21" s="158" t="b">
        <v>0</v>
      </c>
      <c r="DV21" s="158" t="b">
        <v>0</v>
      </c>
      <c r="DW21" s="158" t="b">
        <v>0</v>
      </c>
      <c r="DX21" s="158" t="b">
        <v>0</v>
      </c>
      <c r="DY21" s="158" t="b">
        <v>0</v>
      </c>
      <c r="DZ21" s="158" t="b">
        <v>0</v>
      </c>
      <c r="EA21" s="158" t="b">
        <v>0</v>
      </c>
      <c r="EB21" s="158" t="b">
        <v>0</v>
      </c>
      <c r="EC21" s="158" t="b">
        <v>0</v>
      </c>
      <c r="ED21" s="158" t="b">
        <v>0</v>
      </c>
      <c r="EE21" s="158" t="b">
        <v>0</v>
      </c>
      <c r="EF21" s="158" t="b">
        <v>0</v>
      </c>
      <c r="EG21" s="158" t="b">
        <v>0</v>
      </c>
      <c r="EH21" s="158" t="b">
        <v>0</v>
      </c>
      <c r="EI21" s="158" t="b">
        <v>0</v>
      </c>
      <c r="EJ21" s="158" t="b">
        <v>0</v>
      </c>
      <c r="EK21" s="158" t="b">
        <v>0</v>
      </c>
      <c r="EL21" s="158" t="b">
        <v>0</v>
      </c>
      <c r="EM21" s="158" t="b">
        <v>0</v>
      </c>
      <c r="EN21" s="158" t="b">
        <v>0</v>
      </c>
      <c r="EO21" s="158" t="b">
        <v>0</v>
      </c>
      <c r="EP21" s="158" t="b">
        <v>0</v>
      </c>
      <c r="EQ21" s="158" t="b">
        <v>0</v>
      </c>
      <c r="ER21" s="158" t="b">
        <v>0</v>
      </c>
      <c r="ES21" s="158" t="b">
        <v>0</v>
      </c>
      <c r="ET21" s="158" t="b">
        <v>0</v>
      </c>
      <c r="EU21" s="158" t="b">
        <v>0</v>
      </c>
      <c r="EV21" s="158" t="b">
        <v>0</v>
      </c>
      <c r="EW21" s="158" t="b">
        <v>0</v>
      </c>
      <c r="EX21" s="158" t="b">
        <v>0</v>
      </c>
      <c r="EY21" s="158" t="b">
        <v>0</v>
      </c>
      <c r="EZ21" s="158" t="b">
        <v>0</v>
      </c>
      <c r="FA21" s="158" t="b">
        <v>0</v>
      </c>
      <c r="FB21" s="158" t="b">
        <v>0</v>
      </c>
      <c r="FC21" s="158" t="b">
        <v>0</v>
      </c>
      <c r="FD21" s="158" t="b">
        <v>0</v>
      </c>
      <c r="FE21" s="158" t="b">
        <v>0</v>
      </c>
      <c r="FF21" s="158" t="b">
        <v>0</v>
      </c>
      <c r="FG21" s="158" t="b">
        <v>0</v>
      </c>
      <c r="FH21" s="158" t="b">
        <v>0</v>
      </c>
      <c r="FI21" s="158" t="b">
        <v>0</v>
      </c>
      <c r="FJ21" s="158" t="b">
        <v>0</v>
      </c>
      <c r="FK21" s="158" t="b">
        <v>0</v>
      </c>
      <c r="FL21" s="158" t="b">
        <v>0</v>
      </c>
      <c r="FM21" s="158" t="b">
        <v>0</v>
      </c>
      <c r="FN21" s="158" t="b">
        <v>0</v>
      </c>
      <c r="FO21" s="158" t="b">
        <v>0</v>
      </c>
      <c r="FP21" s="158" t="b">
        <v>0</v>
      </c>
      <c r="FQ21" s="158" t="b">
        <v>0</v>
      </c>
      <c r="FR21" s="158" t="b">
        <v>0</v>
      </c>
      <c r="FS21" s="158" t="b">
        <v>0</v>
      </c>
      <c r="FT21" s="158" t="b">
        <v>0</v>
      </c>
      <c r="FU21" s="158" t="b">
        <v>0</v>
      </c>
      <c r="FV21" s="158" t="b">
        <v>0</v>
      </c>
      <c r="FW21" s="158" t="b">
        <v>0</v>
      </c>
      <c r="FX21" s="158" t="b">
        <v>0</v>
      </c>
      <c r="FY21" s="158" t="b">
        <v>0</v>
      </c>
      <c r="FZ21" s="158" t="b">
        <v>0</v>
      </c>
      <c r="GA21" s="158" t="b">
        <v>0</v>
      </c>
      <c r="GB21" s="158" t="b">
        <v>0</v>
      </c>
      <c r="GC21" s="158" t="b">
        <v>0</v>
      </c>
      <c r="GD21" s="158" t="b">
        <v>0</v>
      </c>
      <c r="GE21" s="158" t="b">
        <v>0</v>
      </c>
      <c r="GF21" s="158" t="b">
        <v>0</v>
      </c>
      <c r="GG21" s="158" t="b">
        <v>0</v>
      </c>
      <c r="GH21" s="158" t="b">
        <v>0</v>
      </c>
      <c r="GI21" s="158" t="b">
        <v>0</v>
      </c>
      <c r="GJ21" s="158" t="b">
        <v>0</v>
      </c>
      <c r="GK21" s="158" t="b">
        <v>0</v>
      </c>
      <c r="GL21" s="158" t="b">
        <v>0</v>
      </c>
      <c r="GM21" s="158" t="b">
        <v>0</v>
      </c>
      <c r="GN21" s="158" t="b">
        <v>0</v>
      </c>
      <c r="GO21" s="158" t="b">
        <v>0</v>
      </c>
      <c r="GP21" s="158" t="b">
        <v>0</v>
      </c>
      <c r="GQ21" s="158" t="b">
        <v>0</v>
      </c>
      <c r="GR21" s="158" t="b">
        <v>0</v>
      </c>
      <c r="GS21" s="158" t="b">
        <v>0</v>
      </c>
      <c r="GT21" s="158" t="b">
        <v>0</v>
      </c>
      <c r="GU21" s="158" t="b">
        <v>0</v>
      </c>
      <c r="GV21" s="158" t="b">
        <v>0</v>
      </c>
      <c r="GW21" s="158" t="b">
        <v>0</v>
      </c>
      <c r="GX21" s="158" t="b">
        <v>0</v>
      </c>
      <c r="GY21" s="158" t="b">
        <v>0</v>
      </c>
      <c r="GZ21" s="158" t="b">
        <v>0</v>
      </c>
      <c r="HA21" s="158" t="b">
        <v>0</v>
      </c>
      <c r="HB21" s="158" t="b">
        <v>0</v>
      </c>
      <c r="HC21" s="158" t="b">
        <v>0</v>
      </c>
      <c r="HD21" s="158" t="b">
        <v>0</v>
      </c>
      <c r="HE21" s="158" t="b">
        <v>0</v>
      </c>
      <c r="HF21" s="158" t="b">
        <v>0</v>
      </c>
      <c r="HG21" s="158" t="b">
        <v>0</v>
      </c>
      <c r="HH21" s="158" t="b">
        <v>0</v>
      </c>
      <c r="HI21" s="158" t="b">
        <v>0</v>
      </c>
      <c r="HJ21" s="158" t="b">
        <v>0</v>
      </c>
      <c r="HK21" s="158" t="b">
        <v>0</v>
      </c>
      <c r="HL21" s="158" t="b">
        <v>0</v>
      </c>
      <c r="HM21" s="158" t="b">
        <v>0</v>
      </c>
      <c r="HN21" s="158" t="b">
        <v>0</v>
      </c>
      <c r="HO21" s="158" t="b">
        <v>0</v>
      </c>
      <c r="HP21" s="158" t="b">
        <v>0</v>
      </c>
      <c r="HQ21" s="158" t="b">
        <v>0</v>
      </c>
      <c r="HR21" s="158" t="b">
        <v>0</v>
      </c>
      <c r="HS21" s="158" t="b">
        <v>0</v>
      </c>
      <c r="HT21" s="158" t="b">
        <v>0</v>
      </c>
      <c r="HU21" s="158" t="b">
        <v>0</v>
      </c>
      <c r="HV21" s="158" t="b">
        <v>0</v>
      </c>
      <c r="HW21" s="158" t="b">
        <v>0</v>
      </c>
      <c r="HX21" s="158" t="b">
        <v>0</v>
      </c>
      <c r="HY21" s="158" t="b">
        <v>0</v>
      </c>
      <c r="HZ21" s="158" t="b">
        <v>0</v>
      </c>
      <c r="IA21" s="158" t="b">
        <v>0</v>
      </c>
      <c r="IB21" s="158" t="b">
        <v>0</v>
      </c>
      <c r="IC21" s="158" t="b">
        <v>0</v>
      </c>
      <c r="ID21" s="158" t="b">
        <v>0</v>
      </c>
      <c r="IE21" s="158" t="b">
        <v>0</v>
      </c>
      <c r="IF21" s="158" t="b">
        <v>0</v>
      </c>
      <c r="IG21" s="158" t="b">
        <v>0</v>
      </c>
      <c r="IH21" s="158" t="b">
        <v>0</v>
      </c>
      <c r="II21" s="158" t="b">
        <v>0</v>
      </c>
      <c r="IJ21" s="158" t="b">
        <v>0</v>
      </c>
      <c r="IK21" s="158" t="b">
        <v>0</v>
      </c>
      <c r="IL21" s="158" t="b">
        <v>0</v>
      </c>
      <c r="IM21" s="158" t="b">
        <v>0</v>
      </c>
      <c r="IN21" s="158" t="b">
        <v>0</v>
      </c>
      <c r="IO21" s="158" t="b">
        <v>0</v>
      </c>
      <c r="IP21" s="158" t="b">
        <v>0</v>
      </c>
      <c r="IQ21" s="158" t="b">
        <v>0</v>
      </c>
      <c r="IR21" s="158" t="b">
        <v>0</v>
      </c>
      <c r="IS21" s="158" t="b">
        <v>0</v>
      </c>
      <c r="IT21" s="158" t="b">
        <v>0</v>
      </c>
      <c r="IU21" s="158" t="b">
        <v>0</v>
      </c>
      <c r="IV21" s="158" t="b">
        <v>0</v>
      </c>
      <c r="IW21" s="158" t="b">
        <v>0</v>
      </c>
      <c r="IX21" s="158" t="b">
        <v>0</v>
      </c>
      <c r="IY21" s="158" t="b">
        <v>0</v>
      </c>
      <c r="IZ21" s="158" t="b">
        <v>0</v>
      </c>
      <c r="JA21" s="158" t="b">
        <v>0</v>
      </c>
      <c r="JB21" s="158" t="b">
        <v>0</v>
      </c>
      <c r="JC21" s="158" t="b">
        <v>0</v>
      </c>
      <c r="JD21" s="158" t="b">
        <v>0</v>
      </c>
      <c r="JE21" s="158" t="b">
        <v>0</v>
      </c>
      <c r="JF21" s="158" t="b">
        <v>0</v>
      </c>
      <c r="JG21" s="158" t="b">
        <v>0</v>
      </c>
      <c r="JH21" s="158" t="b">
        <v>0</v>
      </c>
      <c r="JI21" s="158" t="b">
        <v>0</v>
      </c>
      <c r="JJ21" s="158" t="b">
        <v>0</v>
      </c>
      <c r="JK21" s="158" t="b">
        <v>0</v>
      </c>
      <c r="JL21" s="158" t="b">
        <v>0</v>
      </c>
      <c r="JM21" s="158" t="b">
        <v>0</v>
      </c>
      <c r="JN21" s="158" t="b">
        <v>0</v>
      </c>
      <c r="JO21" s="158" t="b">
        <v>0</v>
      </c>
      <c r="JP21" s="158" t="b">
        <v>0</v>
      </c>
      <c r="JQ21" s="158" t="b">
        <v>0</v>
      </c>
      <c r="JR21" s="158" t="b">
        <v>0</v>
      </c>
      <c r="JS21" s="158" t="b">
        <v>0</v>
      </c>
      <c r="JT21" s="158" t="b">
        <v>0</v>
      </c>
      <c r="JU21" s="158" t="b">
        <v>0</v>
      </c>
      <c r="JV21" s="158" t="b">
        <v>0</v>
      </c>
      <c r="JW21" s="158" t="b">
        <v>0</v>
      </c>
      <c r="JX21" s="158" t="b">
        <v>0</v>
      </c>
      <c r="JY21" s="158" t="b">
        <v>0</v>
      </c>
      <c r="JZ21" s="158" t="b">
        <v>0</v>
      </c>
      <c r="KA21" s="158" t="b">
        <v>0</v>
      </c>
      <c r="KB21" s="158" t="b">
        <v>0</v>
      </c>
      <c r="KC21" s="158" t="b">
        <v>0</v>
      </c>
      <c r="KD21" s="158" t="b">
        <v>0</v>
      </c>
      <c r="KE21" s="158" t="b">
        <v>0</v>
      </c>
      <c r="KF21" s="158" t="b">
        <v>0</v>
      </c>
      <c r="KG21" s="158" t="b">
        <v>0</v>
      </c>
      <c r="KH21" s="158" t="b">
        <v>0</v>
      </c>
      <c r="KI21" s="158" t="b">
        <v>0</v>
      </c>
      <c r="KJ21" s="158" t="b">
        <v>0</v>
      </c>
      <c r="KK21" s="158" t="b">
        <v>0</v>
      </c>
      <c r="KL21" s="158" t="b">
        <v>0</v>
      </c>
      <c r="KM21" s="158" t="b">
        <v>0</v>
      </c>
      <c r="KN21" s="158" t="b">
        <v>0</v>
      </c>
      <c r="KO21" s="158" t="b">
        <v>0</v>
      </c>
      <c r="KP21" s="158" t="b">
        <v>0</v>
      </c>
      <c r="KQ21" s="158" t="b">
        <v>0</v>
      </c>
      <c r="KR21" s="158" t="b">
        <v>0</v>
      </c>
      <c r="KS21" s="158" t="b">
        <v>0</v>
      </c>
      <c r="KT21" s="158" t="b">
        <v>0</v>
      </c>
      <c r="KU21" s="158" t="b">
        <v>0</v>
      </c>
      <c r="KV21" s="158" t="b">
        <v>0</v>
      </c>
      <c r="KW21" s="158" t="b">
        <v>0</v>
      </c>
      <c r="KX21" s="158" t="b">
        <v>0</v>
      </c>
      <c r="KY21" s="158" t="b">
        <v>0</v>
      </c>
      <c r="KZ21" s="158" t="b">
        <v>0</v>
      </c>
      <c r="LA21" s="158" t="b">
        <v>0</v>
      </c>
      <c r="LB21" s="158" t="b">
        <v>0</v>
      </c>
      <c r="LC21" s="158" t="b">
        <v>0</v>
      </c>
      <c r="LD21" s="158" t="b">
        <v>0</v>
      </c>
      <c r="LE21" s="158" t="b">
        <v>0</v>
      </c>
      <c r="LF21" s="158" t="b">
        <v>0</v>
      </c>
      <c r="LG21" s="158" t="b">
        <v>0</v>
      </c>
      <c r="LH21" s="158" t="b">
        <v>0</v>
      </c>
      <c r="LI21" s="158" t="b">
        <v>0</v>
      </c>
      <c r="LJ21" s="158" t="b">
        <v>0</v>
      </c>
      <c r="LK21" s="158" t="b">
        <v>0</v>
      </c>
      <c r="LL21" s="158" t="b">
        <v>0</v>
      </c>
      <c r="LM21" s="158" t="b">
        <v>0</v>
      </c>
      <c r="LN21" s="158" t="b">
        <v>0</v>
      </c>
      <c r="LO21" s="158" t="b">
        <v>0</v>
      </c>
      <c r="LP21" s="158" t="b">
        <v>0</v>
      </c>
      <c r="LQ21" s="158" t="b">
        <v>0</v>
      </c>
      <c r="LR21" s="158" t="b">
        <v>0</v>
      </c>
      <c r="LS21" s="158" t="b">
        <v>0</v>
      </c>
      <c r="LT21" s="158" t="b">
        <v>0</v>
      </c>
      <c r="LU21" s="158" t="b">
        <v>0</v>
      </c>
      <c r="LV21" s="158" t="b">
        <v>0</v>
      </c>
      <c r="LW21" s="158" t="b">
        <v>0</v>
      </c>
      <c r="LX21" s="158" t="b">
        <v>0</v>
      </c>
      <c r="LY21" s="158" t="b">
        <v>0</v>
      </c>
      <c r="LZ21" s="158" t="b">
        <v>0</v>
      </c>
      <c r="MA21" s="158" t="b">
        <v>0</v>
      </c>
      <c r="MB21" s="158" t="b">
        <v>0</v>
      </c>
      <c r="MC21" s="158" t="b">
        <v>0</v>
      </c>
      <c r="MD21" s="158" t="b">
        <v>0</v>
      </c>
      <c r="ME21" s="158" t="b">
        <v>0</v>
      </c>
      <c r="MF21" s="158" t="b">
        <v>0</v>
      </c>
      <c r="MG21" s="158" t="b">
        <v>0</v>
      </c>
      <c r="MH21" s="158" t="b">
        <v>0</v>
      </c>
      <c r="MI21" s="158" t="b">
        <v>0</v>
      </c>
      <c r="MJ21" s="158" t="b">
        <v>0</v>
      </c>
      <c r="MK21" s="158" t="b">
        <v>0</v>
      </c>
      <c r="ML21" s="158" t="b">
        <v>0</v>
      </c>
      <c r="MM21" s="158" t="b">
        <v>0</v>
      </c>
      <c r="MN21" s="158" t="b">
        <v>0</v>
      </c>
      <c r="MO21" s="158" t="b">
        <v>0</v>
      </c>
      <c r="MP21" s="158" t="b">
        <v>0</v>
      </c>
      <c r="MQ21" s="158" t="b">
        <v>0</v>
      </c>
      <c r="MR21" s="158" t="b">
        <v>0</v>
      </c>
      <c r="MS21" s="158" t="b">
        <v>0</v>
      </c>
      <c r="MT21" s="158" t="b">
        <v>0</v>
      </c>
      <c r="MU21" s="158" t="b">
        <v>0</v>
      </c>
      <c r="MV21" s="158" t="b">
        <v>0</v>
      </c>
      <c r="MW21" s="158" t="b">
        <v>0</v>
      </c>
      <c r="MX21" s="158" t="b">
        <v>0</v>
      </c>
      <c r="MY21" s="158" t="b">
        <v>0</v>
      </c>
      <c r="MZ21" s="158" t="b">
        <v>0</v>
      </c>
      <c r="NA21" s="158" t="b">
        <v>0</v>
      </c>
      <c r="NB21" s="158" t="b">
        <v>0</v>
      </c>
      <c r="NC21" s="158" t="b">
        <v>0</v>
      </c>
      <c r="ND21" s="158" t="b">
        <v>0</v>
      </c>
      <c r="NE21" s="158" t="b">
        <v>0</v>
      </c>
      <c r="NF21" s="158" t="b">
        <v>0</v>
      </c>
      <c r="NG21" s="158" t="b">
        <v>0</v>
      </c>
      <c r="NH21" s="158" t="b">
        <v>0</v>
      </c>
      <c r="NI21" s="158" t="b">
        <v>0</v>
      </c>
      <c r="NJ21" s="158" t="b">
        <v>0</v>
      </c>
      <c r="NK21" s="158" t="b">
        <v>0</v>
      </c>
      <c r="NL21" s="158" t="b">
        <v>0</v>
      </c>
      <c r="NM21" s="158" t="b">
        <v>0</v>
      </c>
      <c r="NN21" s="158" t="b">
        <v>0</v>
      </c>
      <c r="NO21" s="158" t="b">
        <v>0</v>
      </c>
    </row>
    <row r="22" spans="1:379" ht="29.25" x14ac:dyDescent="0.4">
      <c r="A22" s="511" t="str">
        <v xml:space="preserve">Camile Thai </v>
      </c>
      <c r="B22" s="158" t="b">
        <v>0</v>
      </c>
      <c r="C22" s="158" t="b">
        <v>0</v>
      </c>
      <c r="D22" s="158" t="b">
        <v>0</v>
      </c>
      <c r="E22" s="158" t="b">
        <v>0</v>
      </c>
      <c r="F22" s="158" t="b">
        <v>0</v>
      </c>
      <c r="G22" s="158" t="b">
        <v>0</v>
      </c>
      <c r="H22" s="158" t="b">
        <v>0</v>
      </c>
      <c r="I22" s="158" t="b">
        <v>0</v>
      </c>
      <c r="J22" s="158" t="b">
        <v>0</v>
      </c>
      <c r="K22" s="158" t="b">
        <v>0</v>
      </c>
      <c r="L22" s="158" t="b">
        <v>0</v>
      </c>
      <c r="M22" s="158" t="b">
        <v>0</v>
      </c>
      <c r="N22" s="158" t="b">
        <v>0</v>
      </c>
      <c r="O22" s="158" t="b">
        <v>0</v>
      </c>
      <c r="P22" s="158" t="b">
        <v>0</v>
      </c>
      <c r="Q22" s="158" t="b">
        <v>0</v>
      </c>
      <c r="R22" s="158" t="b">
        <v>0</v>
      </c>
      <c r="S22" s="158" t="b">
        <v>0</v>
      </c>
      <c r="T22" s="158" t="b">
        <v>0</v>
      </c>
      <c r="U22" s="158" t="b">
        <v>0</v>
      </c>
      <c r="V22" s="158" t="b">
        <v>0</v>
      </c>
      <c r="W22" s="158" t="b">
        <v>0</v>
      </c>
      <c r="X22" s="158" t="b">
        <v>0</v>
      </c>
      <c r="Y22" s="158" t="b">
        <v>0</v>
      </c>
      <c r="Z22" s="158" t="b">
        <v>0</v>
      </c>
      <c r="AA22" s="158" t="b">
        <v>0</v>
      </c>
      <c r="AB22" s="158" t="b">
        <v>0</v>
      </c>
      <c r="AC22" s="158" t="b">
        <v>0</v>
      </c>
      <c r="AD22" s="158" t="b">
        <v>0</v>
      </c>
      <c r="AE22" s="158" t="b">
        <v>0</v>
      </c>
      <c r="AF22" s="158" t="b">
        <v>0</v>
      </c>
      <c r="AG22" s="158" t="b">
        <v>0</v>
      </c>
      <c r="AH22" s="158" t="b">
        <v>0</v>
      </c>
      <c r="AI22" s="158" t="b">
        <v>0</v>
      </c>
      <c r="AJ22" s="158" t="b">
        <v>0</v>
      </c>
      <c r="AK22" s="158" t="b">
        <v>0</v>
      </c>
      <c r="AL22" s="158" t="b">
        <v>0</v>
      </c>
      <c r="AM22" s="158" t="b">
        <v>0</v>
      </c>
      <c r="AN22" s="158" t="b">
        <v>0</v>
      </c>
      <c r="AO22" s="158" t="b">
        <v>0</v>
      </c>
      <c r="AP22" s="158" t="b">
        <v>0</v>
      </c>
      <c r="AQ22" s="158" t="b">
        <v>0</v>
      </c>
      <c r="AR22" s="158" t="b">
        <v>0</v>
      </c>
      <c r="AS22" s="158" t="b">
        <v>0</v>
      </c>
      <c r="AT22" s="158" t="b">
        <v>0</v>
      </c>
      <c r="AU22" s="158" t="b">
        <v>0</v>
      </c>
      <c r="AV22" s="158" t="b">
        <v>0</v>
      </c>
      <c r="AW22" s="158" t="b">
        <v>0</v>
      </c>
      <c r="AX22" s="158" t="b">
        <v>0</v>
      </c>
      <c r="AY22" s="158" t="b">
        <v>0</v>
      </c>
      <c r="AZ22" s="158" t="b">
        <v>0</v>
      </c>
      <c r="BA22" s="158" t="b">
        <v>0</v>
      </c>
      <c r="BB22" s="158" t="b">
        <v>0</v>
      </c>
      <c r="BC22" s="158" t="b">
        <v>0</v>
      </c>
      <c r="BD22" s="158" t="b">
        <v>0</v>
      </c>
      <c r="BE22" s="158" t="b">
        <v>0</v>
      </c>
      <c r="BF22" s="158" t="b">
        <v>0</v>
      </c>
      <c r="BG22" s="158" t="b">
        <v>0</v>
      </c>
      <c r="BH22" s="158" t="b">
        <v>0</v>
      </c>
      <c r="BI22" s="158" t="b">
        <v>0</v>
      </c>
      <c r="BJ22" s="158" t="b">
        <v>0</v>
      </c>
      <c r="BK22" s="158" t="b">
        <v>0</v>
      </c>
      <c r="BL22" s="158" t="b">
        <v>0</v>
      </c>
      <c r="BM22" s="158" t="b">
        <v>0</v>
      </c>
      <c r="BN22" s="158" t="b">
        <v>0</v>
      </c>
      <c r="BO22" s="158" t="b">
        <v>0</v>
      </c>
      <c r="BP22" s="158" t="b">
        <v>0</v>
      </c>
      <c r="BQ22" s="158" t="b">
        <v>0</v>
      </c>
      <c r="BR22" s="158" t="b">
        <v>0</v>
      </c>
      <c r="BS22" s="158" t="b">
        <v>0</v>
      </c>
      <c r="BT22" s="158" t="b">
        <v>0</v>
      </c>
      <c r="BU22" s="158" t="b">
        <v>0</v>
      </c>
      <c r="BV22" s="158" t="b">
        <v>0</v>
      </c>
      <c r="BW22" s="158" t="b">
        <v>0</v>
      </c>
      <c r="BX22" s="158" t="b">
        <v>0</v>
      </c>
      <c r="BY22" s="158" t="b">
        <v>0</v>
      </c>
      <c r="BZ22" s="93" t="b">
        <v>1</v>
      </c>
      <c r="CA22" s="158" t="b">
        <v>0</v>
      </c>
      <c r="CB22" s="158" t="b">
        <v>0</v>
      </c>
      <c r="CC22" s="158" t="b">
        <v>0</v>
      </c>
      <c r="CD22" s="158" t="b">
        <v>0</v>
      </c>
      <c r="CE22" s="158" t="b">
        <v>0</v>
      </c>
      <c r="CF22" s="158" t="b">
        <v>0</v>
      </c>
      <c r="CG22" s="158" t="b">
        <v>0</v>
      </c>
      <c r="CH22" s="158" t="b">
        <v>0</v>
      </c>
      <c r="CI22" s="158" t="b">
        <v>0</v>
      </c>
      <c r="CJ22" s="158" t="b">
        <v>0</v>
      </c>
      <c r="CK22" s="158" t="b">
        <v>0</v>
      </c>
      <c r="CL22" s="158" t="b">
        <v>0</v>
      </c>
      <c r="CM22" s="158" t="b">
        <v>0</v>
      </c>
      <c r="CN22" s="158" t="b">
        <v>0</v>
      </c>
      <c r="CO22" s="158" t="b">
        <v>0</v>
      </c>
      <c r="CP22" s="158" t="b">
        <v>0</v>
      </c>
      <c r="CQ22" s="158" t="b">
        <v>0</v>
      </c>
      <c r="CR22" s="158" t="b">
        <v>0</v>
      </c>
      <c r="CS22" s="158" t="b">
        <v>0</v>
      </c>
      <c r="CT22" s="158" t="b">
        <v>0</v>
      </c>
      <c r="CU22" s="158" t="b">
        <v>0</v>
      </c>
      <c r="CV22" s="158" t="b">
        <v>0</v>
      </c>
      <c r="CW22" s="158" t="b">
        <v>0</v>
      </c>
      <c r="CX22" s="158" t="b">
        <v>0</v>
      </c>
      <c r="CY22" s="158" t="b">
        <v>0</v>
      </c>
      <c r="CZ22" s="158" t="b">
        <v>0</v>
      </c>
      <c r="DA22" s="158" t="b">
        <v>0</v>
      </c>
      <c r="DB22" s="158" t="b">
        <v>0</v>
      </c>
      <c r="DC22" s="158" t="b">
        <v>0</v>
      </c>
      <c r="DD22" s="158" t="b">
        <v>0</v>
      </c>
      <c r="DE22" s="158" t="b">
        <v>0</v>
      </c>
      <c r="DF22" s="158" t="b">
        <v>0</v>
      </c>
      <c r="DG22" s="158" t="b">
        <v>0</v>
      </c>
      <c r="DH22" s="158" t="b">
        <v>0</v>
      </c>
      <c r="DI22" s="158" t="b">
        <v>0</v>
      </c>
      <c r="DJ22" s="158" t="b">
        <v>0</v>
      </c>
      <c r="DK22" s="158" t="b">
        <v>0</v>
      </c>
      <c r="DL22" s="158" t="b">
        <v>0</v>
      </c>
      <c r="DM22" s="158" t="b">
        <v>0</v>
      </c>
      <c r="DN22" s="93" t="b">
        <v>1</v>
      </c>
      <c r="DO22" s="93" t="b">
        <v>1</v>
      </c>
      <c r="DP22" s="93" t="b">
        <v>1</v>
      </c>
      <c r="DQ22" s="158" t="b">
        <v>0</v>
      </c>
      <c r="DR22" s="93" t="b">
        <v>1</v>
      </c>
      <c r="DS22" s="93" t="b">
        <v>1</v>
      </c>
      <c r="DT22" s="93" t="b">
        <v>1</v>
      </c>
      <c r="DU22" s="93" t="b">
        <v>1</v>
      </c>
      <c r="DV22" s="93" t="b">
        <v>1</v>
      </c>
      <c r="DW22" s="158" t="b">
        <v>0</v>
      </c>
      <c r="DX22" s="158" t="b">
        <v>0</v>
      </c>
      <c r="DY22" s="158" t="b">
        <v>0</v>
      </c>
      <c r="DZ22" s="158" t="b">
        <v>0</v>
      </c>
      <c r="EA22" s="158" t="b">
        <v>0</v>
      </c>
      <c r="EB22" s="158" t="b">
        <v>0</v>
      </c>
      <c r="EC22" s="93" t="b">
        <v>1</v>
      </c>
      <c r="ED22" s="93" t="b">
        <v>1</v>
      </c>
      <c r="EE22" s="158" t="b">
        <v>0</v>
      </c>
      <c r="EF22" s="158" t="b">
        <v>0</v>
      </c>
      <c r="EG22" s="158" t="b">
        <v>0</v>
      </c>
      <c r="EH22" s="158" t="b">
        <v>0</v>
      </c>
      <c r="EI22" s="93" t="b">
        <v>0</v>
      </c>
      <c r="EJ22" s="93" t="b">
        <v>0</v>
      </c>
      <c r="EK22" s="158" t="b">
        <v>0</v>
      </c>
      <c r="EL22" s="158" t="b">
        <v>0</v>
      </c>
      <c r="EM22" s="158" t="b">
        <v>0</v>
      </c>
      <c r="EN22" s="158" t="b">
        <v>0</v>
      </c>
      <c r="EO22" s="158" t="b">
        <v>0</v>
      </c>
      <c r="EP22" s="158" t="b">
        <v>0</v>
      </c>
      <c r="EQ22" s="158" t="b">
        <v>0</v>
      </c>
      <c r="ER22" s="158" t="b">
        <v>0</v>
      </c>
      <c r="ES22" s="158" t="b">
        <v>0</v>
      </c>
      <c r="ET22" s="158" t="b">
        <v>0</v>
      </c>
      <c r="EU22" s="93" t="b">
        <v>0</v>
      </c>
      <c r="EV22" s="93" t="b">
        <v>0</v>
      </c>
      <c r="EW22" s="158" t="b">
        <v>0</v>
      </c>
      <c r="EX22" s="158" t="b">
        <v>0</v>
      </c>
      <c r="EY22" s="158" t="b">
        <v>0</v>
      </c>
      <c r="EZ22" s="158" t="b">
        <v>0</v>
      </c>
      <c r="FA22" s="158" t="b">
        <v>0</v>
      </c>
      <c r="FB22" s="158" t="b">
        <v>0</v>
      </c>
      <c r="FC22" s="158" t="b">
        <v>0</v>
      </c>
      <c r="FD22" s="158" t="b">
        <v>0</v>
      </c>
      <c r="FE22" s="158" t="b">
        <v>0</v>
      </c>
      <c r="FF22" s="158" t="b">
        <v>0</v>
      </c>
      <c r="FG22" s="158" t="b">
        <v>0</v>
      </c>
      <c r="FH22" s="158" t="b">
        <v>0</v>
      </c>
      <c r="FI22" s="158" t="b">
        <v>0</v>
      </c>
      <c r="FJ22" s="158" t="b">
        <v>0</v>
      </c>
      <c r="FK22" s="158" t="b">
        <v>0</v>
      </c>
      <c r="FL22" s="158" t="b">
        <v>0</v>
      </c>
      <c r="FM22" s="158" t="b">
        <v>0</v>
      </c>
      <c r="FN22" s="158" t="b">
        <v>0</v>
      </c>
      <c r="FO22" s="158" t="b">
        <v>0</v>
      </c>
      <c r="FP22" s="158" t="b">
        <v>0</v>
      </c>
      <c r="FQ22" s="158" t="b">
        <v>0</v>
      </c>
      <c r="FR22" s="158" t="b">
        <v>0</v>
      </c>
      <c r="FS22" s="158" t="b">
        <v>0</v>
      </c>
      <c r="FT22" s="158" t="b">
        <v>0</v>
      </c>
      <c r="FU22" s="158" t="b">
        <v>0</v>
      </c>
      <c r="FV22" s="158" t="b">
        <v>0</v>
      </c>
      <c r="FW22" s="158" t="b">
        <v>0</v>
      </c>
      <c r="FX22" s="158" t="b">
        <v>0</v>
      </c>
      <c r="FY22" s="158" t="b">
        <v>0</v>
      </c>
      <c r="FZ22" s="158" t="b">
        <v>0</v>
      </c>
      <c r="GA22" s="158" t="b">
        <v>0</v>
      </c>
      <c r="GB22" s="158" t="b">
        <v>0</v>
      </c>
      <c r="GC22" s="158" t="b">
        <v>0</v>
      </c>
      <c r="GD22" s="158" t="b">
        <v>0</v>
      </c>
      <c r="GE22" s="158" t="b">
        <v>0</v>
      </c>
      <c r="GF22" s="158" t="b">
        <v>0</v>
      </c>
      <c r="GG22" s="158" t="b">
        <v>0</v>
      </c>
      <c r="GH22" s="158" t="b">
        <v>0</v>
      </c>
      <c r="GI22" s="158" t="b">
        <v>0</v>
      </c>
      <c r="GJ22" s="158" t="b">
        <v>0</v>
      </c>
      <c r="GK22" s="158" t="b">
        <v>0</v>
      </c>
      <c r="GL22" s="158" t="b">
        <v>0</v>
      </c>
      <c r="GM22" s="158" t="b">
        <v>0</v>
      </c>
      <c r="GN22" s="158" t="b">
        <v>0</v>
      </c>
      <c r="GO22" s="158" t="b">
        <v>0</v>
      </c>
      <c r="GP22" s="158" t="b">
        <v>0</v>
      </c>
      <c r="GQ22" s="158" t="b">
        <v>0</v>
      </c>
      <c r="GR22" s="158" t="b">
        <v>0</v>
      </c>
      <c r="GS22" s="158" t="b">
        <v>0</v>
      </c>
      <c r="GT22" s="158" t="b">
        <v>0</v>
      </c>
      <c r="GU22" s="158" t="b">
        <v>0</v>
      </c>
      <c r="GV22" s="158" t="b">
        <v>0</v>
      </c>
      <c r="GW22" s="158" t="b">
        <v>0</v>
      </c>
      <c r="GX22" s="158" t="b">
        <v>0</v>
      </c>
      <c r="GY22" s="158" t="b">
        <v>0</v>
      </c>
      <c r="GZ22" s="158" t="b">
        <v>0</v>
      </c>
      <c r="HA22" s="158" t="b">
        <v>0</v>
      </c>
      <c r="HB22" s="158" t="b">
        <v>0</v>
      </c>
      <c r="HC22" s="158" t="b">
        <v>0</v>
      </c>
      <c r="HD22" s="158" t="b">
        <v>0</v>
      </c>
      <c r="HE22" s="158" t="b">
        <v>0</v>
      </c>
      <c r="HF22" s="158" t="b">
        <v>0</v>
      </c>
      <c r="HG22" s="158" t="b">
        <v>0</v>
      </c>
      <c r="HH22" s="158" t="b">
        <v>0</v>
      </c>
      <c r="HI22" s="158" t="b">
        <v>0</v>
      </c>
      <c r="HJ22" s="158" t="b">
        <v>0</v>
      </c>
      <c r="HK22" s="158" t="b">
        <v>0</v>
      </c>
      <c r="HL22" s="158" t="b">
        <v>0</v>
      </c>
      <c r="HM22" s="158" t="b">
        <v>0</v>
      </c>
      <c r="HN22" s="158" t="b">
        <v>0</v>
      </c>
      <c r="HO22" s="158" t="b">
        <v>0</v>
      </c>
      <c r="HP22" s="158" t="b">
        <v>0</v>
      </c>
      <c r="HQ22" s="158" t="b">
        <v>0</v>
      </c>
      <c r="HR22" s="158" t="b">
        <v>0</v>
      </c>
      <c r="HS22" s="158" t="b">
        <v>0</v>
      </c>
      <c r="HT22" s="93" t="b">
        <v>1</v>
      </c>
      <c r="HU22" s="93" t="b">
        <v>1</v>
      </c>
      <c r="HV22" s="93" t="b">
        <v>1</v>
      </c>
      <c r="HW22" s="93" t="b">
        <v>1</v>
      </c>
      <c r="HX22" s="93" t="b">
        <v>1</v>
      </c>
      <c r="HY22" s="158" t="b">
        <v>0</v>
      </c>
      <c r="HZ22" s="158" t="b">
        <v>0</v>
      </c>
      <c r="IA22" s="158" t="b">
        <v>0</v>
      </c>
      <c r="IB22" s="158" t="b">
        <v>0</v>
      </c>
      <c r="IC22" s="158" t="b">
        <v>0</v>
      </c>
      <c r="ID22" s="158" t="b">
        <v>0</v>
      </c>
      <c r="IE22" s="158" t="b">
        <v>0</v>
      </c>
      <c r="IF22" s="158" t="b">
        <v>0</v>
      </c>
      <c r="IG22" s="158" t="b">
        <v>0</v>
      </c>
      <c r="IH22" s="158" t="b">
        <v>0</v>
      </c>
      <c r="II22" s="158" t="b">
        <v>0</v>
      </c>
      <c r="IJ22" s="158" t="b">
        <v>0</v>
      </c>
      <c r="IK22" s="158" t="b">
        <v>0</v>
      </c>
      <c r="IL22" s="158" t="b">
        <v>0</v>
      </c>
      <c r="IM22" s="158" t="b">
        <v>0</v>
      </c>
      <c r="IN22" s="158" t="b">
        <v>0</v>
      </c>
      <c r="IO22" s="158" t="b">
        <v>0</v>
      </c>
      <c r="IP22" s="158" t="b">
        <v>0</v>
      </c>
      <c r="IQ22" s="158" t="b">
        <v>0</v>
      </c>
      <c r="IR22" s="158" t="b">
        <v>0</v>
      </c>
      <c r="IS22" s="158" t="b">
        <v>0</v>
      </c>
      <c r="IT22" s="158" t="b">
        <v>0</v>
      </c>
      <c r="IU22" s="158" t="b">
        <v>0</v>
      </c>
      <c r="IV22" s="158" t="b">
        <v>0</v>
      </c>
      <c r="IW22" s="158" t="b">
        <v>0</v>
      </c>
      <c r="IX22" s="158" t="b">
        <v>0</v>
      </c>
      <c r="IY22" s="158" t="b">
        <v>0</v>
      </c>
      <c r="IZ22" s="158" t="b">
        <v>0</v>
      </c>
      <c r="JA22" s="158" t="b">
        <v>0</v>
      </c>
      <c r="JB22" s="158" t="b">
        <v>0</v>
      </c>
      <c r="JC22" s="158" t="b">
        <v>0</v>
      </c>
      <c r="JD22" s="158" t="b">
        <v>0</v>
      </c>
      <c r="JE22" s="158" t="b">
        <v>0</v>
      </c>
      <c r="JF22" s="158" t="b">
        <v>0</v>
      </c>
      <c r="JG22" s="158" t="b">
        <v>0</v>
      </c>
      <c r="JH22" s="158" t="b">
        <v>0</v>
      </c>
      <c r="JI22" s="158" t="b">
        <v>0</v>
      </c>
      <c r="JJ22" s="158" t="b">
        <v>0</v>
      </c>
      <c r="JK22" s="158" t="b">
        <v>0</v>
      </c>
      <c r="JL22" s="158" t="b">
        <v>0</v>
      </c>
      <c r="JM22" s="158" t="b">
        <v>0</v>
      </c>
      <c r="JN22" s="158" t="b">
        <v>0</v>
      </c>
      <c r="JO22" s="158" t="b">
        <v>0</v>
      </c>
      <c r="JP22" s="158" t="b">
        <v>0</v>
      </c>
      <c r="JQ22" s="158" t="b">
        <v>0</v>
      </c>
      <c r="JR22" s="158" t="b">
        <v>0</v>
      </c>
      <c r="JS22" s="158" t="b">
        <v>0</v>
      </c>
      <c r="JT22" s="158" t="b">
        <v>0</v>
      </c>
      <c r="JU22" s="158" t="b">
        <v>0</v>
      </c>
      <c r="JV22" s="158" t="b">
        <v>0</v>
      </c>
      <c r="JW22" s="158" t="b">
        <v>0</v>
      </c>
      <c r="JX22" s="158" t="b">
        <v>0</v>
      </c>
      <c r="JY22" s="158" t="b">
        <v>0</v>
      </c>
      <c r="JZ22" s="158" t="b">
        <v>0</v>
      </c>
      <c r="KA22" s="158" t="b">
        <v>0</v>
      </c>
      <c r="KB22" s="158" t="b">
        <v>0</v>
      </c>
      <c r="KC22" s="158" t="b">
        <v>0</v>
      </c>
      <c r="KD22" s="158" t="b">
        <v>0</v>
      </c>
      <c r="KE22" s="158" t="b">
        <v>0</v>
      </c>
      <c r="KF22" s="158" t="b">
        <v>0</v>
      </c>
      <c r="KG22" s="158" t="b">
        <v>0</v>
      </c>
      <c r="KH22" s="158" t="b">
        <v>0</v>
      </c>
      <c r="KI22" s="158" t="b">
        <v>0</v>
      </c>
      <c r="KJ22" s="158" t="b">
        <v>0</v>
      </c>
      <c r="KK22" s="158" t="b">
        <v>0</v>
      </c>
      <c r="KL22" s="158" t="b">
        <v>0</v>
      </c>
      <c r="KM22" s="158" t="b">
        <v>0</v>
      </c>
      <c r="KN22" s="158" t="b">
        <v>0</v>
      </c>
      <c r="KO22" s="158" t="b">
        <v>0</v>
      </c>
      <c r="KP22" s="158" t="b">
        <v>0</v>
      </c>
      <c r="KQ22" s="158" t="b">
        <v>0</v>
      </c>
      <c r="KR22" s="158" t="b">
        <v>0</v>
      </c>
      <c r="KS22" s="158" t="b">
        <v>0</v>
      </c>
      <c r="KT22" s="158" t="b">
        <v>0</v>
      </c>
      <c r="KU22" s="158" t="b">
        <v>0</v>
      </c>
      <c r="KV22" s="158" t="b">
        <v>0</v>
      </c>
      <c r="KW22" s="158" t="b">
        <v>0</v>
      </c>
      <c r="KX22" s="158" t="b">
        <v>0</v>
      </c>
      <c r="KY22" s="158" t="b">
        <v>0</v>
      </c>
      <c r="KZ22" s="158" t="b">
        <v>0</v>
      </c>
      <c r="LA22" s="158" t="b">
        <v>0</v>
      </c>
      <c r="LB22" s="158" t="b">
        <v>0</v>
      </c>
      <c r="LC22" s="158" t="b">
        <v>0</v>
      </c>
      <c r="LD22" s="158" t="b">
        <v>0</v>
      </c>
      <c r="LE22" s="158" t="b">
        <v>0</v>
      </c>
      <c r="LF22" s="158" t="b">
        <v>0</v>
      </c>
      <c r="LG22" s="158" t="b">
        <v>0</v>
      </c>
      <c r="LH22" s="158" t="b">
        <v>0</v>
      </c>
      <c r="LI22" s="158" t="b">
        <v>0</v>
      </c>
      <c r="LJ22" s="158" t="b">
        <v>0</v>
      </c>
      <c r="LK22" s="158" t="b">
        <v>0</v>
      </c>
      <c r="LL22" s="158" t="b">
        <v>0</v>
      </c>
      <c r="LM22" s="158" t="b">
        <v>0</v>
      </c>
      <c r="LN22" s="158" t="b">
        <v>0</v>
      </c>
      <c r="LO22" s="158" t="b">
        <v>0</v>
      </c>
      <c r="LP22" s="158" t="b">
        <v>0</v>
      </c>
      <c r="LQ22" s="158" t="b">
        <v>0</v>
      </c>
      <c r="LR22" s="158" t="b">
        <v>0</v>
      </c>
      <c r="LS22" s="158" t="b">
        <v>0</v>
      </c>
      <c r="LT22" s="158" t="b">
        <v>0</v>
      </c>
      <c r="LU22" s="158" t="b">
        <v>0</v>
      </c>
      <c r="LV22" s="158" t="b">
        <v>0</v>
      </c>
      <c r="LW22" s="158" t="b">
        <v>0</v>
      </c>
      <c r="LX22" s="158" t="b">
        <v>0</v>
      </c>
      <c r="LY22" s="158" t="b">
        <v>0</v>
      </c>
      <c r="LZ22" s="158" t="b">
        <v>0</v>
      </c>
      <c r="MA22" s="158" t="b">
        <v>0</v>
      </c>
      <c r="MB22" s="158" t="b">
        <v>0</v>
      </c>
      <c r="MC22" s="158" t="b">
        <v>0</v>
      </c>
      <c r="MD22" s="158" t="b">
        <v>0</v>
      </c>
      <c r="ME22" s="158" t="b">
        <v>0</v>
      </c>
      <c r="MF22" s="158" t="b">
        <v>0</v>
      </c>
      <c r="MG22" s="158" t="b">
        <v>0</v>
      </c>
      <c r="MH22" s="158" t="b">
        <v>0</v>
      </c>
      <c r="MI22" s="158" t="b">
        <v>0</v>
      </c>
      <c r="MJ22" s="158" t="b">
        <v>0</v>
      </c>
      <c r="MK22" s="158" t="b">
        <v>0</v>
      </c>
      <c r="ML22" s="158" t="b">
        <v>0</v>
      </c>
      <c r="MM22" s="158" t="b">
        <v>0</v>
      </c>
      <c r="MN22" s="158" t="b">
        <v>0</v>
      </c>
      <c r="MO22" s="158" t="b">
        <v>0</v>
      </c>
      <c r="MP22" s="158" t="b">
        <v>0</v>
      </c>
      <c r="MQ22" s="158" t="b">
        <v>0</v>
      </c>
      <c r="MR22" s="158" t="b">
        <v>0</v>
      </c>
      <c r="MS22" s="158" t="b">
        <v>0</v>
      </c>
      <c r="MT22" s="158" t="b">
        <v>0</v>
      </c>
      <c r="MU22" s="158" t="b">
        <v>0</v>
      </c>
      <c r="MV22" s="158" t="b">
        <v>0</v>
      </c>
      <c r="MW22" s="158" t="b">
        <v>0</v>
      </c>
      <c r="MX22" s="158" t="b">
        <v>0</v>
      </c>
      <c r="MY22" s="158" t="b">
        <v>0</v>
      </c>
      <c r="MZ22" s="158" t="b">
        <v>0</v>
      </c>
      <c r="NA22" s="158" t="b">
        <v>0</v>
      </c>
      <c r="NB22" s="158" t="b">
        <v>0</v>
      </c>
      <c r="NC22" s="158" t="b">
        <v>0</v>
      </c>
      <c r="ND22" s="158" t="b">
        <v>0</v>
      </c>
      <c r="NE22" s="158" t="b">
        <v>0</v>
      </c>
      <c r="NF22" s="158" t="b">
        <v>0</v>
      </c>
      <c r="NG22" s="158" t="b">
        <v>0</v>
      </c>
      <c r="NH22" s="158" t="b">
        <v>0</v>
      </c>
      <c r="NI22" s="158" t="b">
        <v>0</v>
      </c>
      <c r="NJ22" s="158" t="b">
        <v>0</v>
      </c>
      <c r="NK22" s="158" t="b">
        <v>0</v>
      </c>
      <c r="NL22" s="158" t="b">
        <v>0</v>
      </c>
      <c r="NM22" s="158" t="b">
        <v>0</v>
      </c>
      <c r="NN22" s="158" t="b">
        <v>0</v>
      </c>
      <c r="NO22" s="158" t="b">
        <v>0</v>
      </c>
    </row>
    <row r="23" spans="1:379" ht="29.25" x14ac:dyDescent="0.4">
      <c r="A23" s="509" t="str">
        <v>Coffee/Beverages</v>
      </c>
      <c r="B23" s="158" t="b">
        <v>0</v>
      </c>
      <c r="C23" s="158" t="b">
        <v>0</v>
      </c>
      <c r="D23" s="158" t="b">
        <v>0</v>
      </c>
      <c r="E23" s="158" t="b">
        <v>0</v>
      </c>
      <c r="F23" s="158" t="b">
        <v>0</v>
      </c>
      <c r="G23" s="158" t="b">
        <v>0</v>
      </c>
      <c r="H23" s="158" t="b">
        <v>0</v>
      </c>
      <c r="I23" s="158" t="b">
        <v>0</v>
      </c>
      <c r="J23" s="158" t="b">
        <v>0</v>
      </c>
      <c r="K23" s="158" t="b">
        <v>0</v>
      </c>
      <c r="L23" s="158" t="b">
        <v>0</v>
      </c>
      <c r="M23" s="158" t="b">
        <v>0</v>
      </c>
      <c r="N23" s="158" t="b">
        <v>0</v>
      </c>
      <c r="O23" s="158" t="b">
        <v>0</v>
      </c>
      <c r="P23" s="158" t="b">
        <v>0</v>
      </c>
      <c r="Q23" s="158" t="b">
        <v>0</v>
      </c>
      <c r="R23" s="158" t="b">
        <v>0</v>
      </c>
      <c r="S23" s="158" t="b">
        <v>0</v>
      </c>
      <c r="T23" s="158" t="b">
        <v>0</v>
      </c>
      <c r="U23" s="158" t="b">
        <v>0</v>
      </c>
      <c r="V23" s="158" t="b">
        <v>0</v>
      </c>
      <c r="W23" s="158" t="b">
        <v>0</v>
      </c>
      <c r="X23" s="158" t="b">
        <v>0</v>
      </c>
      <c r="Y23" s="158" t="b">
        <v>0</v>
      </c>
      <c r="Z23" s="158" t="b">
        <v>0</v>
      </c>
      <c r="AA23" s="158" t="b">
        <v>0</v>
      </c>
      <c r="AB23" s="158" t="b">
        <v>0</v>
      </c>
      <c r="AC23" s="158" t="b">
        <v>0</v>
      </c>
      <c r="AD23" s="158" t="b">
        <v>0</v>
      </c>
      <c r="AE23" s="158" t="b">
        <v>0</v>
      </c>
      <c r="AF23" s="158" t="b">
        <v>0</v>
      </c>
      <c r="AG23" s="158" t="b">
        <v>0</v>
      </c>
      <c r="AH23" s="158" t="b">
        <v>0</v>
      </c>
      <c r="AI23" s="158" t="b">
        <v>0</v>
      </c>
      <c r="AJ23" s="158" t="b">
        <v>0</v>
      </c>
      <c r="AK23" s="158" t="b">
        <v>0</v>
      </c>
      <c r="AL23" s="158" t="b">
        <v>0</v>
      </c>
      <c r="AM23" s="158" t="b">
        <v>0</v>
      </c>
      <c r="AN23" s="158" t="b">
        <v>0</v>
      </c>
      <c r="AO23" s="158" t="b">
        <v>0</v>
      </c>
      <c r="AP23" s="158" t="b">
        <v>0</v>
      </c>
      <c r="AQ23" s="158" t="b">
        <v>0</v>
      </c>
      <c r="AR23" s="158" t="b">
        <v>0</v>
      </c>
      <c r="AS23" s="158" t="b">
        <v>0</v>
      </c>
      <c r="AT23" s="158" t="b">
        <v>0</v>
      </c>
      <c r="AU23" s="158" t="b">
        <v>0</v>
      </c>
      <c r="AV23" s="158" t="b">
        <v>0</v>
      </c>
      <c r="AW23" s="158" t="b">
        <v>0</v>
      </c>
      <c r="AX23" s="158" t="b">
        <v>0</v>
      </c>
      <c r="AY23" s="158" t="b">
        <v>0</v>
      </c>
      <c r="AZ23" s="158" t="b">
        <v>0</v>
      </c>
      <c r="BA23" s="158" t="b">
        <v>0</v>
      </c>
      <c r="BB23" s="158" t="b">
        <v>0</v>
      </c>
      <c r="BC23" s="158" t="b">
        <v>0</v>
      </c>
      <c r="BD23" s="158" t="b">
        <v>0</v>
      </c>
      <c r="BE23" s="158" t="b">
        <v>0</v>
      </c>
      <c r="BF23" s="158" t="b">
        <v>0</v>
      </c>
      <c r="BG23" s="158" t="b">
        <v>0</v>
      </c>
      <c r="BH23" s="158" t="b">
        <v>0</v>
      </c>
      <c r="BI23" s="158" t="b">
        <v>0</v>
      </c>
      <c r="BJ23" s="158" t="b">
        <v>0</v>
      </c>
      <c r="BK23" s="158" t="b">
        <v>0</v>
      </c>
      <c r="BL23" s="158" t="b">
        <v>0</v>
      </c>
      <c r="BM23" s="158" t="b">
        <v>0</v>
      </c>
      <c r="BN23" s="158" t="b">
        <v>0</v>
      </c>
      <c r="BO23" s="158" t="b">
        <v>0</v>
      </c>
      <c r="BP23" s="158" t="b">
        <v>0</v>
      </c>
      <c r="BQ23" s="158" t="b">
        <v>0</v>
      </c>
      <c r="BR23" s="158" t="b">
        <v>0</v>
      </c>
      <c r="BS23" s="158" t="b">
        <v>0</v>
      </c>
      <c r="BT23" s="158" t="b">
        <v>0</v>
      </c>
      <c r="BU23" s="158" t="b">
        <v>0</v>
      </c>
      <c r="BV23" s="158" t="b">
        <v>0</v>
      </c>
      <c r="BW23" s="158" t="b">
        <v>0</v>
      </c>
      <c r="BX23" s="158" t="b">
        <v>0</v>
      </c>
      <c r="BY23" s="158" t="b">
        <v>0</v>
      </c>
      <c r="BZ23" s="158" t="b">
        <v>0</v>
      </c>
      <c r="CA23" s="158" t="b">
        <v>0</v>
      </c>
      <c r="CB23" s="158" t="b">
        <v>0</v>
      </c>
      <c r="CC23" s="158" t="b">
        <v>0</v>
      </c>
      <c r="CD23" s="158" t="b">
        <v>0</v>
      </c>
      <c r="CE23" s="158" t="b">
        <v>0</v>
      </c>
      <c r="CF23" s="158" t="b">
        <v>0</v>
      </c>
      <c r="CG23" s="158" t="b">
        <v>0</v>
      </c>
      <c r="CH23" s="158" t="b">
        <v>0</v>
      </c>
      <c r="CI23" s="158" t="b">
        <v>0</v>
      </c>
      <c r="CJ23" s="158" t="b">
        <v>0</v>
      </c>
      <c r="CK23" s="158" t="b">
        <v>0</v>
      </c>
      <c r="CL23" s="158" t="b">
        <v>0</v>
      </c>
      <c r="CM23" s="158" t="b">
        <v>0</v>
      </c>
      <c r="CN23" s="158" t="b">
        <v>0</v>
      </c>
      <c r="CO23" s="158" t="b">
        <v>0</v>
      </c>
      <c r="CP23" s="158" t="b">
        <v>0</v>
      </c>
      <c r="CQ23" s="158" t="b">
        <v>0</v>
      </c>
      <c r="CR23" s="158" t="b">
        <v>0</v>
      </c>
      <c r="CS23" s="158" t="b">
        <v>0</v>
      </c>
      <c r="CT23" s="158" t="b">
        <v>0</v>
      </c>
      <c r="CU23" s="158" t="b">
        <v>0</v>
      </c>
      <c r="CV23" s="158" t="b">
        <v>0</v>
      </c>
      <c r="CW23" s="158" t="b">
        <v>0</v>
      </c>
      <c r="CX23" s="158" t="b">
        <v>0</v>
      </c>
      <c r="CY23" s="158" t="b">
        <v>0</v>
      </c>
      <c r="CZ23" s="158" t="b">
        <v>0</v>
      </c>
      <c r="DA23" s="158" t="b">
        <v>0</v>
      </c>
      <c r="DB23" s="158" t="b">
        <v>0</v>
      </c>
      <c r="DC23" s="158" t="b">
        <v>0</v>
      </c>
      <c r="DD23" s="158" t="b">
        <v>0</v>
      </c>
      <c r="DE23" s="158" t="b">
        <v>0</v>
      </c>
      <c r="DF23" s="158" t="b">
        <v>0</v>
      </c>
      <c r="DG23" s="158" t="b">
        <v>0</v>
      </c>
      <c r="DH23" s="158" t="b">
        <v>0</v>
      </c>
      <c r="DI23" s="158" t="b">
        <v>0</v>
      </c>
      <c r="DJ23" s="158" t="b">
        <v>0</v>
      </c>
      <c r="DK23" s="158" t="b">
        <v>0</v>
      </c>
      <c r="DL23" s="158" t="b">
        <v>0</v>
      </c>
      <c r="DM23" s="158" t="b">
        <v>0</v>
      </c>
      <c r="DN23" s="158" t="b">
        <v>0</v>
      </c>
      <c r="DO23" s="158" t="b">
        <v>0</v>
      </c>
      <c r="DP23" s="158" t="b">
        <v>0</v>
      </c>
      <c r="DQ23" s="158" t="b">
        <v>0</v>
      </c>
      <c r="DR23" s="158" t="b">
        <v>0</v>
      </c>
      <c r="DS23" s="158" t="b">
        <v>0</v>
      </c>
      <c r="DT23" s="158" t="b">
        <v>0</v>
      </c>
      <c r="DU23" s="158" t="b">
        <v>0</v>
      </c>
      <c r="DV23" s="158" t="b">
        <v>0</v>
      </c>
      <c r="DW23" s="158" t="b">
        <v>0</v>
      </c>
      <c r="DX23" s="158" t="b">
        <v>0</v>
      </c>
      <c r="DY23" s="158" t="b">
        <v>0</v>
      </c>
      <c r="DZ23" s="158" t="b">
        <v>0</v>
      </c>
      <c r="EA23" s="158" t="b">
        <v>0</v>
      </c>
      <c r="EB23" s="158" t="b">
        <v>0</v>
      </c>
      <c r="EC23" s="158" t="b">
        <v>0</v>
      </c>
      <c r="ED23" s="158" t="b">
        <v>0</v>
      </c>
      <c r="EE23" s="158" t="b">
        <v>0</v>
      </c>
      <c r="EF23" s="158" t="b">
        <v>0</v>
      </c>
      <c r="EG23" s="158" t="b">
        <v>0</v>
      </c>
      <c r="EH23" s="158" t="b">
        <v>0</v>
      </c>
      <c r="EI23" s="158" t="b">
        <v>0</v>
      </c>
      <c r="EJ23" s="158" t="b">
        <v>0</v>
      </c>
      <c r="EK23" s="158" t="b">
        <v>0</v>
      </c>
      <c r="EL23" s="158" t="b">
        <v>0</v>
      </c>
      <c r="EM23" s="158" t="b">
        <v>0</v>
      </c>
      <c r="EN23" s="158" t="b">
        <v>0</v>
      </c>
      <c r="EO23" s="158" t="b">
        <v>0</v>
      </c>
      <c r="EP23" s="158" t="b">
        <v>0</v>
      </c>
      <c r="EQ23" s="158" t="b">
        <v>0</v>
      </c>
      <c r="ER23" s="158" t="b">
        <v>0</v>
      </c>
      <c r="ES23" s="158" t="b">
        <v>0</v>
      </c>
      <c r="ET23" s="158" t="b">
        <v>0</v>
      </c>
      <c r="EU23" s="158" t="b">
        <v>0</v>
      </c>
      <c r="EV23" s="158" t="b">
        <v>0</v>
      </c>
      <c r="EW23" s="158" t="b">
        <v>0</v>
      </c>
      <c r="EX23" s="158" t="b">
        <v>0</v>
      </c>
      <c r="EY23" s="158" t="b">
        <v>0</v>
      </c>
      <c r="EZ23" s="158" t="b">
        <v>0</v>
      </c>
      <c r="FA23" s="158" t="b">
        <v>0</v>
      </c>
      <c r="FB23" s="158" t="b">
        <v>0</v>
      </c>
      <c r="FC23" s="158" t="b">
        <v>0</v>
      </c>
      <c r="FD23" s="158" t="b">
        <v>0</v>
      </c>
      <c r="FE23" s="158" t="b">
        <v>0</v>
      </c>
      <c r="FF23" s="158" t="b">
        <v>0</v>
      </c>
      <c r="FG23" s="158" t="b">
        <v>0</v>
      </c>
      <c r="FH23" s="158" t="b">
        <v>0</v>
      </c>
      <c r="FI23" s="158" t="b">
        <v>0</v>
      </c>
      <c r="FJ23" s="158" t="b">
        <v>0</v>
      </c>
      <c r="FK23" s="158" t="b">
        <v>0</v>
      </c>
      <c r="FL23" s="158" t="b">
        <v>0</v>
      </c>
      <c r="FM23" s="158" t="b">
        <v>0</v>
      </c>
      <c r="FN23" s="158" t="b">
        <v>0</v>
      </c>
      <c r="FO23" s="158" t="b">
        <v>0</v>
      </c>
      <c r="FP23" s="158" t="b">
        <v>0</v>
      </c>
      <c r="FQ23" s="158" t="b">
        <v>0</v>
      </c>
      <c r="FR23" s="158" t="b">
        <v>0</v>
      </c>
      <c r="FS23" s="158" t="b">
        <v>0</v>
      </c>
      <c r="FT23" s="158" t="b">
        <v>0</v>
      </c>
      <c r="FU23" s="158" t="b">
        <v>0</v>
      </c>
      <c r="FV23" s="158" t="b">
        <v>0</v>
      </c>
      <c r="FW23" s="158" t="b">
        <v>0</v>
      </c>
      <c r="FX23" s="158" t="b">
        <v>0</v>
      </c>
      <c r="FY23" s="158" t="b">
        <v>0</v>
      </c>
      <c r="FZ23" s="158" t="b">
        <v>0</v>
      </c>
      <c r="GA23" s="158" t="b">
        <v>0</v>
      </c>
      <c r="GB23" s="158" t="b">
        <v>0</v>
      </c>
      <c r="GC23" s="158" t="b">
        <v>0</v>
      </c>
      <c r="GD23" s="158" t="b">
        <v>0</v>
      </c>
      <c r="GE23" s="158" t="b">
        <v>0</v>
      </c>
      <c r="GF23" s="158" t="b">
        <v>0</v>
      </c>
      <c r="GG23" s="158" t="b">
        <v>0</v>
      </c>
      <c r="GH23" s="158" t="b">
        <v>0</v>
      </c>
      <c r="GI23" s="158" t="b">
        <v>0</v>
      </c>
      <c r="GJ23" s="158" t="b">
        <v>0</v>
      </c>
      <c r="GK23" s="158" t="b">
        <v>0</v>
      </c>
      <c r="GL23" s="158" t="b">
        <v>0</v>
      </c>
      <c r="GM23" s="158" t="b">
        <v>0</v>
      </c>
      <c r="GN23" s="158" t="b">
        <v>0</v>
      </c>
      <c r="GO23" s="158" t="b">
        <v>0</v>
      </c>
      <c r="GP23" s="158" t="b">
        <v>0</v>
      </c>
      <c r="GQ23" s="158" t="b">
        <v>0</v>
      </c>
      <c r="GR23" s="158" t="b">
        <v>0</v>
      </c>
      <c r="GS23" s="158" t="b">
        <v>0</v>
      </c>
      <c r="GT23" s="158" t="b">
        <v>0</v>
      </c>
      <c r="GU23" s="158" t="b">
        <v>0</v>
      </c>
      <c r="GV23" s="158" t="b">
        <v>0</v>
      </c>
      <c r="GW23" s="158" t="b">
        <v>0</v>
      </c>
      <c r="GX23" s="158" t="b">
        <v>0</v>
      </c>
      <c r="GY23" s="158" t="b">
        <v>0</v>
      </c>
      <c r="GZ23" s="158" t="b">
        <v>0</v>
      </c>
      <c r="HA23" s="158" t="b">
        <v>0</v>
      </c>
      <c r="HB23" s="158" t="b">
        <v>0</v>
      </c>
      <c r="HC23" s="158" t="b">
        <v>0</v>
      </c>
      <c r="HD23" s="158" t="b">
        <v>0</v>
      </c>
      <c r="HE23" s="158" t="b">
        <v>0</v>
      </c>
      <c r="HF23" s="158" t="b">
        <v>0</v>
      </c>
      <c r="HG23" s="158" t="b">
        <v>0</v>
      </c>
      <c r="HH23" s="158" t="b">
        <v>0</v>
      </c>
      <c r="HI23" s="158" t="b">
        <v>0</v>
      </c>
      <c r="HJ23" s="158" t="b">
        <v>0</v>
      </c>
      <c r="HK23" s="158" t="b">
        <v>0</v>
      </c>
      <c r="HL23" s="158" t="b">
        <v>0</v>
      </c>
      <c r="HM23" s="158" t="b">
        <v>0</v>
      </c>
      <c r="HN23" s="158" t="b">
        <v>0</v>
      </c>
      <c r="HO23" s="158" t="b">
        <v>0</v>
      </c>
      <c r="HP23" s="158" t="b">
        <v>0</v>
      </c>
      <c r="HQ23" s="158" t="b">
        <v>0</v>
      </c>
      <c r="HR23" s="158" t="b">
        <v>0</v>
      </c>
      <c r="HS23" s="158" t="b">
        <v>0</v>
      </c>
      <c r="HT23" s="158" t="b">
        <v>0</v>
      </c>
      <c r="HU23" s="158" t="b">
        <v>0</v>
      </c>
      <c r="HV23" s="158" t="b">
        <v>0</v>
      </c>
      <c r="HW23" s="158" t="b">
        <v>0</v>
      </c>
      <c r="HX23" s="158" t="b">
        <v>0</v>
      </c>
      <c r="HY23" s="158" t="b">
        <v>0</v>
      </c>
      <c r="HZ23" s="158" t="b">
        <v>0</v>
      </c>
      <c r="IA23" s="158" t="b">
        <v>0</v>
      </c>
      <c r="IB23" s="158" t="b">
        <v>0</v>
      </c>
      <c r="IC23" s="158" t="b">
        <v>0</v>
      </c>
      <c r="ID23" s="158" t="b">
        <v>0</v>
      </c>
      <c r="IE23" s="158" t="b">
        <v>0</v>
      </c>
      <c r="IF23" s="158" t="b">
        <v>0</v>
      </c>
      <c r="IG23" s="158" t="b">
        <v>0</v>
      </c>
      <c r="IH23" s="158" t="b">
        <v>0</v>
      </c>
      <c r="II23" s="158" t="b">
        <v>0</v>
      </c>
      <c r="IJ23" s="158" t="b">
        <v>0</v>
      </c>
      <c r="IK23" s="158" t="b">
        <v>0</v>
      </c>
      <c r="IL23" s="158" t="b">
        <v>0</v>
      </c>
      <c r="IM23" s="158" t="b">
        <v>0</v>
      </c>
      <c r="IN23" s="158" t="b">
        <v>0</v>
      </c>
      <c r="IO23" s="158" t="b">
        <v>0</v>
      </c>
      <c r="IP23" s="158" t="b">
        <v>0</v>
      </c>
      <c r="IQ23" s="158" t="b">
        <v>0</v>
      </c>
      <c r="IR23" s="158" t="b">
        <v>0</v>
      </c>
      <c r="IS23" s="158" t="b">
        <v>0</v>
      </c>
      <c r="IT23" s="158" t="b">
        <v>0</v>
      </c>
      <c r="IU23" s="158" t="b">
        <v>0</v>
      </c>
      <c r="IV23" s="158" t="b">
        <v>0</v>
      </c>
      <c r="IW23" s="158" t="b">
        <v>0</v>
      </c>
      <c r="IX23" s="158" t="b">
        <v>0</v>
      </c>
      <c r="IY23" s="158" t="b">
        <v>0</v>
      </c>
      <c r="IZ23" s="158" t="b">
        <v>0</v>
      </c>
      <c r="JA23" s="158" t="b">
        <v>0</v>
      </c>
      <c r="JB23" s="158" t="b">
        <v>0</v>
      </c>
      <c r="JC23" s="158" t="b">
        <v>0</v>
      </c>
      <c r="JD23" s="158" t="b">
        <v>0</v>
      </c>
      <c r="JE23" s="158" t="b">
        <v>0</v>
      </c>
      <c r="JF23" s="158" t="b">
        <v>0</v>
      </c>
      <c r="JG23" s="158" t="b">
        <v>0</v>
      </c>
      <c r="JH23" s="158" t="b">
        <v>0</v>
      </c>
      <c r="JI23" s="158" t="b">
        <v>0</v>
      </c>
      <c r="JJ23" s="158" t="b">
        <v>0</v>
      </c>
      <c r="JK23" s="158" t="b">
        <v>0</v>
      </c>
      <c r="JL23" s="158" t="b">
        <v>0</v>
      </c>
      <c r="JM23" s="158" t="b">
        <v>0</v>
      </c>
      <c r="JN23" s="158" t="b">
        <v>0</v>
      </c>
      <c r="JO23" s="158" t="b">
        <v>0</v>
      </c>
      <c r="JP23" s="158" t="b">
        <v>0</v>
      </c>
      <c r="JQ23" s="158" t="b">
        <v>0</v>
      </c>
      <c r="JR23" s="158" t="b">
        <v>0</v>
      </c>
      <c r="JS23" s="158" t="b">
        <v>0</v>
      </c>
      <c r="JT23" s="158" t="b">
        <v>0</v>
      </c>
      <c r="JU23" s="158" t="b">
        <v>0</v>
      </c>
      <c r="JV23" s="158" t="b">
        <v>0</v>
      </c>
      <c r="JW23" s="158" t="b">
        <v>0</v>
      </c>
      <c r="JX23" s="158" t="b">
        <v>0</v>
      </c>
      <c r="JY23" s="158" t="b">
        <v>0</v>
      </c>
      <c r="JZ23" s="158" t="b">
        <v>0</v>
      </c>
      <c r="KA23" s="158" t="b">
        <v>0</v>
      </c>
      <c r="KB23" s="158" t="b">
        <v>0</v>
      </c>
      <c r="KC23" s="158" t="b">
        <v>0</v>
      </c>
      <c r="KD23" s="158" t="b">
        <v>0</v>
      </c>
      <c r="KE23" s="158" t="b">
        <v>0</v>
      </c>
      <c r="KF23" s="158" t="b">
        <v>0</v>
      </c>
      <c r="KG23" s="158" t="b">
        <v>0</v>
      </c>
      <c r="KH23" s="158" t="b">
        <v>0</v>
      </c>
      <c r="KI23" s="158" t="b">
        <v>0</v>
      </c>
      <c r="KJ23" s="158" t="b">
        <v>0</v>
      </c>
      <c r="KK23" s="158" t="b">
        <v>0</v>
      </c>
      <c r="KL23" s="158" t="b">
        <v>0</v>
      </c>
      <c r="KM23" s="158" t="b">
        <v>0</v>
      </c>
      <c r="KN23" s="158" t="b">
        <v>0</v>
      </c>
      <c r="KO23" s="158" t="b">
        <v>0</v>
      </c>
      <c r="KP23" s="158" t="b">
        <v>0</v>
      </c>
      <c r="KQ23" s="158" t="b">
        <v>0</v>
      </c>
      <c r="KR23" s="158" t="b">
        <v>0</v>
      </c>
      <c r="KS23" s="158" t="b">
        <v>0</v>
      </c>
      <c r="KT23" s="158" t="b">
        <v>0</v>
      </c>
      <c r="KU23" s="158" t="b">
        <v>0</v>
      </c>
      <c r="KV23" s="158" t="b">
        <v>0</v>
      </c>
      <c r="KW23" s="158" t="b">
        <v>0</v>
      </c>
      <c r="KX23" s="158" t="b">
        <v>0</v>
      </c>
      <c r="KY23" s="158" t="b">
        <v>0</v>
      </c>
      <c r="KZ23" s="158" t="b">
        <v>0</v>
      </c>
      <c r="LA23" s="158" t="b">
        <v>0</v>
      </c>
      <c r="LB23" s="158" t="b">
        <v>0</v>
      </c>
      <c r="LC23" s="158" t="b">
        <v>0</v>
      </c>
      <c r="LD23" s="158" t="b">
        <v>0</v>
      </c>
      <c r="LE23" s="158" t="b">
        <v>0</v>
      </c>
      <c r="LF23" s="158" t="b">
        <v>0</v>
      </c>
      <c r="LG23" s="158" t="b">
        <v>0</v>
      </c>
      <c r="LH23" s="158" t="b">
        <v>0</v>
      </c>
      <c r="LI23" s="158" t="b">
        <v>0</v>
      </c>
      <c r="LJ23" s="158" t="b">
        <v>0</v>
      </c>
      <c r="LK23" s="158" t="b">
        <v>0</v>
      </c>
      <c r="LL23" s="158" t="b">
        <v>0</v>
      </c>
      <c r="LM23" s="158" t="b">
        <v>0</v>
      </c>
      <c r="LN23" s="158" t="b">
        <v>0</v>
      </c>
      <c r="LO23" s="158" t="b">
        <v>0</v>
      </c>
      <c r="LP23" s="158" t="b">
        <v>0</v>
      </c>
      <c r="LQ23" s="158" t="b">
        <v>0</v>
      </c>
      <c r="LR23" s="158" t="b">
        <v>0</v>
      </c>
      <c r="LS23" s="158" t="b">
        <v>0</v>
      </c>
      <c r="LT23" s="158" t="b">
        <v>0</v>
      </c>
      <c r="LU23" s="158" t="b">
        <v>0</v>
      </c>
      <c r="LV23" s="158" t="b">
        <v>0</v>
      </c>
      <c r="LW23" s="158" t="b">
        <v>0</v>
      </c>
      <c r="LX23" s="158" t="b">
        <v>0</v>
      </c>
      <c r="LY23" s="158" t="b">
        <v>0</v>
      </c>
      <c r="LZ23" s="158" t="b">
        <v>0</v>
      </c>
      <c r="MA23" s="158" t="b">
        <v>0</v>
      </c>
      <c r="MB23" s="158" t="b">
        <v>0</v>
      </c>
      <c r="MC23" s="158" t="b">
        <v>0</v>
      </c>
      <c r="MD23" s="158" t="b">
        <v>0</v>
      </c>
      <c r="ME23" s="158" t="b">
        <v>0</v>
      </c>
      <c r="MF23" s="158" t="b">
        <v>0</v>
      </c>
      <c r="MG23" s="158" t="b">
        <v>0</v>
      </c>
      <c r="MH23" s="158" t="b">
        <v>0</v>
      </c>
      <c r="MI23" s="158" t="b">
        <v>0</v>
      </c>
      <c r="MJ23" s="158" t="b">
        <v>0</v>
      </c>
      <c r="MK23" s="158" t="b">
        <v>0</v>
      </c>
      <c r="ML23" s="158" t="b">
        <v>0</v>
      </c>
      <c r="MM23" s="158" t="b">
        <v>0</v>
      </c>
      <c r="MN23" s="158" t="b">
        <v>0</v>
      </c>
      <c r="MO23" s="158" t="b">
        <v>0</v>
      </c>
      <c r="MP23" s="158" t="b">
        <v>0</v>
      </c>
      <c r="MQ23" s="158" t="b">
        <v>0</v>
      </c>
      <c r="MR23" s="158" t="b">
        <v>0</v>
      </c>
      <c r="MS23" s="158" t="b">
        <v>0</v>
      </c>
      <c r="MT23" s="158" t="b">
        <v>0</v>
      </c>
      <c r="MU23" s="158" t="b">
        <v>0</v>
      </c>
      <c r="MV23" s="158" t="b">
        <v>0</v>
      </c>
      <c r="MW23" s="158" t="b">
        <v>0</v>
      </c>
      <c r="MX23" s="158" t="b">
        <v>0</v>
      </c>
      <c r="MY23" s="158" t="b">
        <v>0</v>
      </c>
      <c r="MZ23" s="158" t="b">
        <v>0</v>
      </c>
      <c r="NA23" s="158" t="b">
        <v>0</v>
      </c>
      <c r="NB23" s="158" t="b">
        <v>0</v>
      </c>
      <c r="NC23" s="158" t="b">
        <v>0</v>
      </c>
      <c r="ND23" s="158" t="b">
        <v>0</v>
      </c>
      <c r="NE23" s="158" t="b">
        <v>0</v>
      </c>
      <c r="NF23" s="158" t="b">
        <v>0</v>
      </c>
      <c r="NG23" s="158" t="b">
        <v>0</v>
      </c>
      <c r="NH23" s="158" t="b">
        <v>0</v>
      </c>
      <c r="NI23" s="158" t="b">
        <v>0</v>
      </c>
      <c r="NJ23" s="158" t="b">
        <v>0</v>
      </c>
      <c r="NK23" s="158" t="b">
        <v>0</v>
      </c>
      <c r="NL23" s="158" t="b">
        <v>0</v>
      </c>
      <c r="NM23" s="158" t="b">
        <v>0</v>
      </c>
      <c r="NN23" s="158" t="b">
        <v>0</v>
      </c>
      <c r="NO23" s="158" t="b">
        <v>0</v>
      </c>
    </row>
    <row r="24" spans="1:379" ht="29.25" x14ac:dyDescent="0.4">
      <c r="A24" s="511" t="str">
        <v xml:space="preserve">Caffe Duomo 1 </v>
      </c>
      <c r="B24" s="158" t="b">
        <v>0</v>
      </c>
      <c r="C24" s="158" t="b">
        <v>0</v>
      </c>
      <c r="D24" s="158" t="b">
        <v>0</v>
      </c>
      <c r="E24" s="158" t="b">
        <v>0</v>
      </c>
      <c r="F24" s="158" t="b">
        <v>0</v>
      </c>
      <c r="G24" s="158" t="b">
        <v>0</v>
      </c>
      <c r="H24" s="158" t="b">
        <v>0</v>
      </c>
      <c r="I24" s="158" t="b">
        <v>0</v>
      </c>
      <c r="J24" s="158" t="b">
        <v>0</v>
      </c>
      <c r="K24" s="158" t="b">
        <v>0</v>
      </c>
      <c r="L24" s="158" t="b">
        <v>0</v>
      </c>
      <c r="M24" s="158" t="b">
        <v>0</v>
      </c>
      <c r="N24" s="158" t="b">
        <v>0</v>
      </c>
      <c r="O24" s="158" t="b">
        <v>0</v>
      </c>
      <c r="P24" s="158" t="b">
        <v>0</v>
      </c>
      <c r="Q24" s="158" t="b">
        <v>0</v>
      </c>
      <c r="R24" s="158" t="b">
        <v>0</v>
      </c>
      <c r="S24" s="158" t="b">
        <v>0</v>
      </c>
      <c r="T24" s="158" t="b">
        <v>0</v>
      </c>
      <c r="U24" s="158" t="b">
        <v>0</v>
      </c>
      <c r="V24" s="158" t="b">
        <v>0</v>
      </c>
      <c r="W24" s="158" t="b">
        <v>0</v>
      </c>
      <c r="X24" s="158" t="b">
        <v>0</v>
      </c>
      <c r="Y24" s="158" t="b">
        <v>0</v>
      </c>
      <c r="Z24" s="158" t="b">
        <v>0</v>
      </c>
      <c r="AA24" s="158" t="b">
        <v>0</v>
      </c>
      <c r="AB24" s="158" t="b">
        <v>0</v>
      </c>
      <c r="AC24" s="158" t="b">
        <v>0</v>
      </c>
      <c r="AD24" s="158" t="b">
        <v>0</v>
      </c>
      <c r="AE24" s="158" t="b">
        <v>0</v>
      </c>
      <c r="AF24" s="158" t="b">
        <v>0</v>
      </c>
      <c r="AG24" s="158" t="b">
        <v>0</v>
      </c>
      <c r="AH24" s="158" t="b">
        <v>0</v>
      </c>
      <c r="AI24" s="158" t="b">
        <v>0</v>
      </c>
      <c r="AJ24" s="158" t="b">
        <v>0</v>
      </c>
      <c r="AK24" s="158" t="b">
        <v>0</v>
      </c>
      <c r="AL24" s="158" t="b">
        <v>0</v>
      </c>
      <c r="AM24" s="158" t="b">
        <v>0</v>
      </c>
      <c r="AN24" s="158" t="b">
        <v>0</v>
      </c>
      <c r="AO24" s="158" t="b">
        <v>0</v>
      </c>
      <c r="AP24" s="158" t="b">
        <v>0</v>
      </c>
      <c r="AQ24" s="158" t="b">
        <v>0</v>
      </c>
      <c r="AR24" s="158" t="b">
        <v>0</v>
      </c>
      <c r="AS24" s="158" t="b">
        <v>0</v>
      </c>
      <c r="AT24" s="158" t="b">
        <v>0</v>
      </c>
      <c r="AU24" s="158" t="b">
        <v>0</v>
      </c>
      <c r="AV24" s="158" t="b">
        <v>0</v>
      </c>
      <c r="AW24" s="158" t="b">
        <v>0</v>
      </c>
      <c r="AX24" s="158" t="b">
        <v>0</v>
      </c>
      <c r="AY24" s="158" t="b">
        <v>0</v>
      </c>
      <c r="AZ24" s="158" t="b">
        <v>0</v>
      </c>
      <c r="BA24" s="158" t="b">
        <v>0</v>
      </c>
      <c r="BB24" s="158" t="b">
        <v>0</v>
      </c>
      <c r="BC24" s="158" t="b">
        <v>0</v>
      </c>
      <c r="BD24" s="158" t="b">
        <v>0</v>
      </c>
      <c r="BE24" s="158" t="b">
        <v>0</v>
      </c>
      <c r="BF24" s="158" t="b">
        <v>0</v>
      </c>
      <c r="BG24" s="158" t="b">
        <v>0</v>
      </c>
      <c r="BH24" s="158" t="b">
        <v>0</v>
      </c>
      <c r="BI24" s="158" t="b">
        <v>0</v>
      </c>
      <c r="BJ24" s="158" t="b">
        <v>0</v>
      </c>
      <c r="BK24" s="93" t="b">
        <v>1</v>
      </c>
      <c r="BL24" s="93" t="b">
        <v>1</v>
      </c>
      <c r="BM24" s="158" t="b">
        <v>0</v>
      </c>
      <c r="BN24" s="158" t="b">
        <v>0</v>
      </c>
      <c r="BO24" s="158" t="b">
        <v>0</v>
      </c>
      <c r="BP24" s="158" t="b">
        <v>0</v>
      </c>
      <c r="BQ24" s="158" t="b">
        <v>0</v>
      </c>
      <c r="BR24" s="158" t="b">
        <v>0</v>
      </c>
      <c r="BS24" s="158" t="b">
        <v>0</v>
      </c>
      <c r="BT24" s="158" t="b">
        <v>0</v>
      </c>
      <c r="BU24" s="158" t="b">
        <v>0</v>
      </c>
      <c r="BV24" s="158" t="b">
        <v>0</v>
      </c>
      <c r="BW24" s="158" t="b">
        <v>0</v>
      </c>
      <c r="BX24" s="158" t="b">
        <v>0</v>
      </c>
      <c r="BY24" s="158" t="b">
        <v>0</v>
      </c>
      <c r="BZ24" s="93" t="b">
        <v>1</v>
      </c>
      <c r="CA24" s="158" t="b">
        <v>0</v>
      </c>
      <c r="CB24" s="158" t="b">
        <v>0</v>
      </c>
      <c r="CC24" s="158" t="b">
        <v>0</v>
      </c>
      <c r="CD24" s="158" t="b">
        <v>0</v>
      </c>
      <c r="CE24" s="158" t="b">
        <v>0</v>
      </c>
      <c r="CF24" s="158" t="b">
        <v>0</v>
      </c>
      <c r="CG24" s="158" t="b">
        <v>0</v>
      </c>
      <c r="CH24" s="158" t="b">
        <v>0</v>
      </c>
      <c r="CI24" s="158" t="b">
        <v>0</v>
      </c>
      <c r="CJ24" s="158" t="b">
        <v>0</v>
      </c>
      <c r="CK24" s="158" t="b">
        <v>0</v>
      </c>
      <c r="CL24" s="158" t="b">
        <v>0</v>
      </c>
      <c r="CM24" s="158" t="b">
        <v>0</v>
      </c>
      <c r="CN24" s="158" t="b">
        <v>0</v>
      </c>
      <c r="CO24" s="158" t="b">
        <v>0</v>
      </c>
      <c r="CP24" s="158" t="b">
        <v>0</v>
      </c>
      <c r="CQ24" s="158" t="b">
        <v>0</v>
      </c>
      <c r="CR24" s="158" t="b">
        <v>0</v>
      </c>
      <c r="CS24" s="158" t="b">
        <v>0</v>
      </c>
      <c r="CT24" s="158" t="b">
        <v>0</v>
      </c>
      <c r="CU24" s="93" t="b">
        <v>1</v>
      </c>
      <c r="CV24" s="158" t="b">
        <v>0</v>
      </c>
      <c r="CW24" s="158" t="b">
        <v>0</v>
      </c>
      <c r="CX24" s="158" t="b">
        <v>0</v>
      </c>
      <c r="CY24" s="158" t="b">
        <v>0</v>
      </c>
      <c r="CZ24" s="158" t="b">
        <v>0</v>
      </c>
      <c r="DA24" s="158" t="b">
        <v>0</v>
      </c>
      <c r="DB24" s="158" t="b">
        <v>0</v>
      </c>
      <c r="DC24" s="158" t="b">
        <v>0</v>
      </c>
      <c r="DD24" s="158" t="b">
        <v>0</v>
      </c>
      <c r="DE24" s="158" t="b">
        <v>0</v>
      </c>
      <c r="DF24" s="158" t="b">
        <v>0</v>
      </c>
      <c r="DG24" s="158" t="b">
        <v>0</v>
      </c>
      <c r="DH24" s="158" t="b">
        <v>0</v>
      </c>
      <c r="DI24" s="158" t="b">
        <v>0</v>
      </c>
      <c r="DJ24" s="158" t="b">
        <v>0</v>
      </c>
      <c r="DK24" s="158" t="b">
        <v>0</v>
      </c>
      <c r="DL24" s="158" t="b">
        <v>0</v>
      </c>
      <c r="DM24" s="158" t="b">
        <v>0</v>
      </c>
      <c r="DN24" s="93" t="b">
        <v>1</v>
      </c>
      <c r="DO24" s="93" t="b">
        <v>1</v>
      </c>
      <c r="DP24" s="93" t="b">
        <v>1</v>
      </c>
      <c r="DQ24" s="158" t="b">
        <v>0</v>
      </c>
      <c r="DR24" s="93" t="b">
        <v>1</v>
      </c>
      <c r="DS24" s="93" t="b">
        <v>1</v>
      </c>
      <c r="DT24" s="93" t="b">
        <v>1</v>
      </c>
      <c r="DU24" s="93" t="b">
        <v>1</v>
      </c>
      <c r="DV24" s="93" t="b">
        <v>1</v>
      </c>
      <c r="DW24" s="158" t="b">
        <v>0</v>
      </c>
      <c r="DX24" s="158" t="b">
        <v>0</v>
      </c>
      <c r="DY24" s="158" t="b">
        <v>0</v>
      </c>
      <c r="DZ24" s="158" t="b">
        <v>0</v>
      </c>
      <c r="EA24" s="158" t="b">
        <v>0</v>
      </c>
      <c r="EB24" s="158" t="b">
        <v>0</v>
      </c>
      <c r="EC24" s="93" t="b">
        <v>1</v>
      </c>
      <c r="ED24" s="158" t="b">
        <v>0</v>
      </c>
      <c r="EE24" s="158" t="b">
        <v>0</v>
      </c>
      <c r="EF24" s="158" t="b">
        <v>0</v>
      </c>
      <c r="EG24" s="158" t="b">
        <v>0</v>
      </c>
      <c r="EH24" s="158" t="b">
        <v>0</v>
      </c>
      <c r="EI24" s="158" t="b">
        <v>0</v>
      </c>
      <c r="EJ24" s="158" t="b">
        <v>0</v>
      </c>
      <c r="EK24" s="158" t="b">
        <v>0</v>
      </c>
      <c r="EL24" s="158" t="b">
        <v>0</v>
      </c>
      <c r="EM24" s="158" t="b">
        <v>0</v>
      </c>
      <c r="EN24" s="158" t="b">
        <v>0</v>
      </c>
      <c r="EO24" s="158" t="b">
        <v>0</v>
      </c>
      <c r="EP24" s="158" t="b">
        <v>0</v>
      </c>
      <c r="EQ24" s="158" t="b">
        <v>0</v>
      </c>
      <c r="ER24" s="158" t="b">
        <v>0</v>
      </c>
      <c r="ES24" s="158" t="b">
        <v>0</v>
      </c>
      <c r="ET24" s="158" t="b">
        <v>0</v>
      </c>
      <c r="EU24" s="93" t="b">
        <v>1</v>
      </c>
      <c r="EV24" s="93" t="b">
        <v>1</v>
      </c>
      <c r="EW24" s="93" t="b">
        <v>1</v>
      </c>
      <c r="EX24" s="93" t="b">
        <v>1</v>
      </c>
      <c r="EY24" s="158" t="b">
        <v>0</v>
      </c>
      <c r="EZ24" s="158" t="b">
        <v>0</v>
      </c>
      <c r="FA24" s="158" t="b">
        <v>0</v>
      </c>
      <c r="FB24" s="158" t="b">
        <v>0</v>
      </c>
      <c r="FC24" s="158" t="b">
        <v>0</v>
      </c>
      <c r="FD24" s="158" t="b">
        <v>0</v>
      </c>
      <c r="FE24" s="158" t="b">
        <v>0</v>
      </c>
      <c r="FF24" s="158" t="b">
        <v>0</v>
      </c>
      <c r="FG24" s="158" t="b">
        <v>0</v>
      </c>
      <c r="FH24" s="158" t="b">
        <v>0</v>
      </c>
      <c r="FI24" s="158" t="b">
        <v>0</v>
      </c>
      <c r="FJ24" s="158" t="b">
        <v>0</v>
      </c>
      <c r="FK24" s="158" t="b">
        <v>0</v>
      </c>
      <c r="FL24" s="158" t="b">
        <v>0</v>
      </c>
      <c r="FM24" s="158" t="b">
        <v>0</v>
      </c>
      <c r="FN24" s="158" t="b">
        <v>0</v>
      </c>
      <c r="FO24" s="158" t="b">
        <v>0</v>
      </c>
      <c r="FP24" s="158" t="b">
        <v>0</v>
      </c>
      <c r="FQ24" s="158" t="b">
        <v>0</v>
      </c>
      <c r="FR24" s="158" t="b">
        <v>0</v>
      </c>
      <c r="FS24" s="158" t="b">
        <v>0</v>
      </c>
      <c r="FT24" s="93" t="b">
        <v>1</v>
      </c>
      <c r="FU24" s="158" t="b">
        <v>0</v>
      </c>
      <c r="FV24" s="158" t="b">
        <v>0</v>
      </c>
      <c r="FW24" s="158" t="b">
        <v>0</v>
      </c>
      <c r="FX24" s="158" t="b">
        <v>0</v>
      </c>
      <c r="FY24" s="158" t="b">
        <v>0</v>
      </c>
      <c r="FZ24" s="158" t="b">
        <v>0</v>
      </c>
      <c r="GA24" s="158" t="b">
        <v>0</v>
      </c>
      <c r="GB24" s="158" t="b">
        <v>0</v>
      </c>
      <c r="GC24" s="158" t="b">
        <v>0</v>
      </c>
      <c r="GD24" s="158" t="b">
        <v>0</v>
      </c>
      <c r="GE24" s="158" t="b">
        <v>0</v>
      </c>
      <c r="GF24" s="158" t="b">
        <v>0</v>
      </c>
      <c r="GG24" s="158" t="b">
        <v>0</v>
      </c>
      <c r="GH24" s="158" t="b">
        <v>0</v>
      </c>
      <c r="GI24" s="158" t="b">
        <v>0</v>
      </c>
      <c r="GJ24" s="158" t="b">
        <v>0</v>
      </c>
      <c r="GK24" s="158" t="b">
        <v>0</v>
      </c>
      <c r="GL24" s="158" t="b">
        <v>0</v>
      </c>
      <c r="GM24" s="158" t="b">
        <v>0</v>
      </c>
      <c r="GN24" s="158" t="b">
        <v>0</v>
      </c>
      <c r="GO24" s="158" t="b">
        <v>0</v>
      </c>
      <c r="GP24" s="158" t="b">
        <v>0</v>
      </c>
      <c r="GQ24" s="158" t="b">
        <v>0</v>
      </c>
      <c r="GR24" s="158" t="b">
        <v>0</v>
      </c>
      <c r="GS24" s="158" t="b">
        <v>0</v>
      </c>
      <c r="GT24" s="158" t="b">
        <v>0</v>
      </c>
      <c r="GU24" s="158" t="b">
        <v>0</v>
      </c>
      <c r="GV24" s="158" t="b">
        <v>0</v>
      </c>
      <c r="GW24" s="158" t="b">
        <v>0</v>
      </c>
      <c r="GX24" s="158" t="b">
        <v>0</v>
      </c>
      <c r="GY24" s="158" t="b">
        <v>0</v>
      </c>
      <c r="GZ24" s="158" t="b">
        <v>0</v>
      </c>
      <c r="HA24" s="158" t="b">
        <v>0</v>
      </c>
      <c r="HB24" s="158" t="b">
        <v>0</v>
      </c>
      <c r="HC24" s="158" t="b">
        <v>0</v>
      </c>
      <c r="HD24" s="158" t="b">
        <v>0</v>
      </c>
      <c r="HE24" s="158" t="b">
        <v>0</v>
      </c>
      <c r="HF24" s="158" t="b">
        <v>0</v>
      </c>
      <c r="HG24" s="158" t="b">
        <v>0</v>
      </c>
      <c r="HH24" s="158" t="b">
        <v>0</v>
      </c>
      <c r="HI24" s="158" t="b">
        <v>0</v>
      </c>
      <c r="HJ24" s="93" t="b">
        <v>1</v>
      </c>
      <c r="HK24" s="93" t="b">
        <v>1</v>
      </c>
      <c r="HL24" s="93" t="b">
        <v>1</v>
      </c>
      <c r="HM24" s="158" t="b">
        <v>0</v>
      </c>
      <c r="HN24" s="158" t="b">
        <v>0</v>
      </c>
      <c r="HO24" s="158" t="b">
        <v>0</v>
      </c>
      <c r="HP24" s="158" t="b">
        <v>0</v>
      </c>
      <c r="HQ24" s="158" t="b">
        <v>0</v>
      </c>
      <c r="HR24" s="158" t="b">
        <v>0</v>
      </c>
      <c r="HS24" s="158" t="b">
        <v>0</v>
      </c>
      <c r="HT24" s="93" t="b">
        <v>1</v>
      </c>
      <c r="HU24" s="93" t="b">
        <v>1</v>
      </c>
      <c r="HV24" s="93" t="b">
        <v>1</v>
      </c>
      <c r="HW24" s="93" t="b">
        <v>1</v>
      </c>
      <c r="HX24" s="93" t="b">
        <v>1</v>
      </c>
      <c r="HY24" s="158" t="b">
        <v>0</v>
      </c>
      <c r="HZ24" s="158" t="b">
        <v>0</v>
      </c>
      <c r="IA24" s="158" t="b">
        <v>0</v>
      </c>
      <c r="IB24" s="158" t="b">
        <v>0</v>
      </c>
      <c r="IC24" s="158" t="b">
        <v>0</v>
      </c>
      <c r="ID24" s="158" t="b">
        <v>0</v>
      </c>
      <c r="IE24" s="158" t="b">
        <v>0</v>
      </c>
      <c r="IF24" s="158" t="b">
        <v>0</v>
      </c>
      <c r="IG24" s="158" t="b">
        <v>0</v>
      </c>
      <c r="IH24" s="158" t="b">
        <v>0</v>
      </c>
      <c r="II24" s="158" t="b">
        <v>0</v>
      </c>
      <c r="IJ24" s="158" t="b">
        <v>0</v>
      </c>
      <c r="IK24" s="158" t="b">
        <v>0</v>
      </c>
      <c r="IL24" s="158" t="b">
        <v>0</v>
      </c>
      <c r="IM24" s="158" t="b">
        <v>0</v>
      </c>
      <c r="IN24" s="158" t="b">
        <v>0</v>
      </c>
      <c r="IO24" s="158" t="b">
        <v>0</v>
      </c>
      <c r="IP24" s="158" t="b">
        <v>0</v>
      </c>
      <c r="IQ24" s="158" t="b">
        <v>0</v>
      </c>
      <c r="IR24" s="158" t="b">
        <v>0</v>
      </c>
      <c r="IS24" s="158" t="b">
        <v>0</v>
      </c>
      <c r="IT24" s="158" t="b">
        <v>0</v>
      </c>
      <c r="IU24" s="158" t="b">
        <v>0</v>
      </c>
      <c r="IV24" s="158" t="b">
        <v>0</v>
      </c>
      <c r="IW24" s="158" t="b">
        <v>0</v>
      </c>
      <c r="IX24" s="158" t="b">
        <v>0</v>
      </c>
      <c r="IY24" s="158" t="b">
        <v>0</v>
      </c>
      <c r="IZ24" s="158" t="b">
        <v>0</v>
      </c>
      <c r="JA24" s="158" t="b">
        <v>0</v>
      </c>
      <c r="JB24" s="158" t="b">
        <v>0</v>
      </c>
      <c r="JC24" s="158" t="b">
        <v>0</v>
      </c>
      <c r="JD24" s="158" t="b">
        <v>0</v>
      </c>
      <c r="JE24" s="158" t="b">
        <v>0</v>
      </c>
      <c r="JF24" s="158" t="b">
        <v>0</v>
      </c>
      <c r="JG24" s="158" t="b">
        <v>0</v>
      </c>
      <c r="JH24" s="158" t="b">
        <v>0</v>
      </c>
      <c r="JI24" s="158" t="b">
        <v>0</v>
      </c>
      <c r="JJ24" s="158" t="b">
        <v>0</v>
      </c>
      <c r="JK24" s="158" t="b">
        <v>0</v>
      </c>
      <c r="JL24" s="158" t="b">
        <v>0</v>
      </c>
      <c r="JM24" s="158" t="b">
        <v>0</v>
      </c>
      <c r="JN24" s="158" t="b">
        <v>0</v>
      </c>
      <c r="JO24" s="158" t="b">
        <v>0</v>
      </c>
      <c r="JP24" s="158" t="b">
        <v>0</v>
      </c>
      <c r="JQ24" s="158" t="b">
        <v>0</v>
      </c>
      <c r="JR24" s="158" t="b">
        <v>0</v>
      </c>
      <c r="JS24" s="158" t="b">
        <v>0</v>
      </c>
      <c r="JT24" s="158" t="b">
        <v>0</v>
      </c>
      <c r="JU24" s="158" t="b">
        <v>0</v>
      </c>
      <c r="JV24" s="158" t="b">
        <v>0</v>
      </c>
      <c r="JW24" s="158" t="b">
        <v>0</v>
      </c>
      <c r="JX24" s="158" t="b">
        <v>0</v>
      </c>
      <c r="JY24" s="158" t="b">
        <v>0</v>
      </c>
      <c r="JZ24" s="158" t="b">
        <v>0</v>
      </c>
      <c r="KA24" s="158" t="b">
        <v>0</v>
      </c>
      <c r="KB24" s="158" t="b">
        <v>0</v>
      </c>
      <c r="KC24" s="158" t="b">
        <v>0</v>
      </c>
      <c r="KD24" s="158" t="b">
        <v>0</v>
      </c>
      <c r="KE24" s="158" t="b">
        <v>0</v>
      </c>
      <c r="KF24" s="158" t="b">
        <v>0</v>
      </c>
      <c r="KG24" s="158" t="b">
        <v>0</v>
      </c>
      <c r="KH24" s="158" t="b">
        <v>0</v>
      </c>
      <c r="KI24" s="158" t="b">
        <v>0</v>
      </c>
      <c r="KJ24" s="158" t="b">
        <v>0</v>
      </c>
      <c r="KK24" s="158" t="b">
        <v>0</v>
      </c>
      <c r="KL24" s="158" t="b">
        <v>0</v>
      </c>
      <c r="KM24" s="158" t="b">
        <v>0</v>
      </c>
      <c r="KN24" s="158" t="b">
        <v>0</v>
      </c>
      <c r="KO24" s="158" t="b">
        <v>0</v>
      </c>
      <c r="KP24" s="158" t="b">
        <v>0</v>
      </c>
      <c r="KQ24" s="158" t="b">
        <v>0</v>
      </c>
      <c r="KR24" s="158" t="b">
        <v>0</v>
      </c>
      <c r="KS24" s="158" t="b">
        <v>0</v>
      </c>
      <c r="KT24" s="158" t="b">
        <v>0</v>
      </c>
      <c r="KU24" s="158" t="b">
        <v>0</v>
      </c>
      <c r="KV24" s="158" t="b">
        <v>0</v>
      </c>
      <c r="KW24" s="158" t="b">
        <v>0</v>
      </c>
      <c r="KX24" s="158" t="b">
        <v>0</v>
      </c>
      <c r="KY24" s="158" t="b">
        <v>0</v>
      </c>
      <c r="KZ24" s="158" t="b">
        <v>0</v>
      </c>
      <c r="LA24" s="158" t="b">
        <v>0</v>
      </c>
      <c r="LB24" s="158" t="b">
        <v>0</v>
      </c>
      <c r="LC24" s="158" t="b">
        <v>0</v>
      </c>
      <c r="LD24" s="158" t="b">
        <v>0</v>
      </c>
      <c r="LE24" s="158" t="b">
        <v>0</v>
      </c>
      <c r="LF24" s="158" t="b">
        <v>0</v>
      </c>
      <c r="LG24" s="158" t="b">
        <v>0</v>
      </c>
      <c r="LH24" s="158" t="b">
        <v>0</v>
      </c>
      <c r="LI24" s="158" t="b">
        <v>0</v>
      </c>
      <c r="LJ24" s="158" t="b">
        <v>0</v>
      </c>
      <c r="LK24" s="158" t="b">
        <v>0</v>
      </c>
      <c r="LL24" s="158" t="b">
        <v>0</v>
      </c>
      <c r="LM24" s="158" t="b">
        <v>0</v>
      </c>
      <c r="LN24" s="158" t="b">
        <v>0</v>
      </c>
      <c r="LO24" s="158" t="b">
        <v>0</v>
      </c>
      <c r="LP24" s="158" t="b">
        <v>0</v>
      </c>
      <c r="LQ24" s="158" t="b">
        <v>0</v>
      </c>
      <c r="LR24" s="158" t="b">
        <v>0</v>
      </c>
      <c r="LS24" s="158" t="b">
        <v>0</v>
      </c>
      <c r="LT24" s="158" t="b">
        <v>0</v>
      </c>
      <c r="LU24" s="158" t="b">
        <v>0</v>
      </c>
      <c r="LV24" s="158" t="b">
        <v>0</v>
      </c>
      <c r="LW24" s="158" t="b">
        <v>0</v>
      </c>
      <c r="LX24" s="158" t="b">
        <v>0</v>
      </c>
      <c r="LY24" s="158" t="b">
        <v>0</v>
      </c>
      <c r="LZ24" s="158" t="b">
        <v>0</v>
      </c>
      <c r="MA24" s="158" t="b">
        <v>0</v>
      </c>
      <c r="MB24" s="158" t="b">
        <v>0</v>
      </c>
      <c r="MC24" s="158" t="b">
        <v>0</v>
      </c>
      <c r="MD24" s="158" t="b">
        <v>0</v>
      </c>
      <c r="ME24" s="158" t="b">
        <v>0</v>
      </c>
      <c r="MF24" s="158" t="b">
        <v>0</v>
      </c>
      <c r="MG24" s="158" t="b">
        <v>0</v>
      </c>
      <c r="MH24" s="158" t="b">
        <v>0</v>
      </c>
      <c r="MI24" s="158" t="b">
        <v>0</v>
      </c>
      <c r="MJ24" s="158" t="b">
        <v>0</v>
      </c>
      <c r="MK24" s="158" t="b">
        <v>0</v>
      </c>
      <c r="ML24" s="158" t="b">
        <v>0</v>
      </c>
      <c r="MM24" s="158" t="b">
        <v>0</v>
      </c>
      <c r="MN24" s="158" t="b">
        <v>0</v>
      </c>
      <c r="MO24" s="158" t="b">
        <v>0</v>
      </c>
      <c r="MP24" s="158" t="b">
        <v>0</v>
      </c>
      <c r="MQ24" s="158" t="b">
        <v>0</v>
      </c>
      <c r="MR24" s="158" t="b">
        <v>0</v>
      </c>
      <c r="MS24" s="158" t="b">
        <v>0</v>
      </c>
      <c r="MT24" s="158" t="b">
        <v>0</v>
      </c>
      <c r="MU24" s="158" t="b">
        <v>0</v>
      </c>
      <c r="MV24" s="158" t="b">
        <v>0</v>
      </c>
      <c r="MW24" s="158" t="b">
        <v>0</v>
      </c>
      <c r="MX24" s="158" t="b">
        <v>0</v>
      </c>
      <c r="MY24" s="158" t="b">
        <v>0</v>
      </c>
      <c r="MZ24" s="158" t="b">
        <v>0</v>
      </c>
      <c r="NA24" s="158" t="b">
        <v>0</v>
      </c>
      <c r="NB24" s="158" t="b">
        <v>0</v>
      </c>
      <c r="NC24" s="158" t="b">
        <v>0</v>
      </c>
      <c r="ND24" s="158" t="b">
        <v>0</v>
      </c>
      <c r="NE24" s="158" t="b">
        <v>0</v>
      </c>
      <c r="NF24" s="158" t="b">
        <v>0</v>
      </c>
      <c r="NG24" s="158" t="b">
        <v>0</v>
      </c>
      <c r="NH24" s="158" t="b">
        <v>0</v>
      </c>
      <c r="NI24" s="158" t="b">
        <v>0</v>
      </c>
      <c r="NJ24" s="158" t="b">
        <v>0</v>
      </c>
      <c r="NK24" s="158" t="b">
        <v>0</v>
      </c>
      <c r="NL24" s="158" t="b">
        <v>0</v>
      </c>
      <c r="NM24" s="158" t="b">
        <v>0</v>
      </c>
      <c r="NN24" s="158" t="b">
        <v>0</v>
      </c>
      <c r="NO24" s="158" t="b">
        <v>0</v>
      </c>
    </row>
    <row r="25" spans="1:379" ht="29.25" x14ac:dyDescent="0.4">
      <c r="A25" s="511" t="str">
        <v>Caffe Duomo 2</v>
      </c>
      <c r="B25" s="158" t="b">
        <v>0</v>
      </c>
      <c r="C25" s="158" t="b">
        <v>0</v>
      </c>
      <c r="D25" s="158" t="b">
        <v>0</v>
      </c>
      <c r="E25" s="158" t="b">
        <v>0</v>
      </c>
      <c r="F25" s="158" t="b">
        <v>0</v>
      </c>
      <c r="G25" s="158" t="b">
        <v>0</v>
      </c>
      <c r="H25" s="158" t="b">
        <v>0</v>
      </c>
      <c r="I25" s="158" t="b">
        <v>0</v>
      </c>
      <c r="J25" s="158" t="b">
        <v>0</v>
      </c>
      <c r="K25" s="158" t="b">
        <v>0</v>
      </c>
      <c r="L25" s="158" t="b">
        <v>0</v>
      </c>
      <c r="M25" s="158" t="b">
        <v>0</v>
      </c>
      <c r="N25" s="158" t="b">
        <v>0</v>
      </c>
      <c r="O25" s="158" t="b">
        <v>0</v>
      </c>
      <c r="P25" s="158" t="b">
        <v>0</v>
      </c>
      <c r="Q25" s="158" t="b">
        <v>0</v>
      </c>
      <c r="R25" s="158" t="b">
        <v>0</v>
      </c>
      <c r="S25" s="158" t="b">
        <v>0</v>
      </c>
      <c r="T25" s="158" t="b">
        <v>0</v>
      </c>
      <c r="U25" s="158" t="b">
        <v>0</v>
      </c>
      <c r="V25" s="158" t="b">
        <v>0</v>
      </c>
      <c r="W25" s="158" t="b">
        <v>0</v>
      </c>
      <c r="X25" s="158" t="b">
        <v>0</v>
      </c>
      <c r="Y25" s="158" t="b">
        <v>0</v>
      </c>
      <c r="Z25" s="158" t="b">
        <v>0</v>
      </c>
      <c r="AA25" s="158" t="b">
        <v>0</v>
      </c>
      <c r="AB25" s="158" t="b">
        <v>0</v>
      </c>
      <c r="AC25" s="158" t="b">
        <v>0</v>
      </c>
      <c r="AD25" s="158" t="b">
        <v>0</v>
      </c>
      <c r="AE25" s="158" t="b">
        <v>0</v>
      </c>
      <c r="AF25" s="158" t="b">
        <v>0</v>
      </c>
      <c r="AG25" s="158" t="b">
        <v>0</v>
      </c>
      <c r="AH25" s="158" t="b">
        <v>0</v>
      </c>
      <c r="AI25" s="158" t="b">
        <v>0</v>
      </c>
      <c r="AJ25" s="158" t="b">
        <v>0</v>
      </c>
      <c r="AK25" s="158" t="b">
        <v>0</v>
      </c>
      <c r="AL25" s="158" t="b">
        <v>0</v>
      </c>
      <c r="AM25" s="158" t="b">
        <v>0</v>
      </c>
      <c r="AN25" s="158" t="b">
        <v>0</v>
      </c>
      <c r="AO25" s="158" t="b">
        <v>0</v>
      </c>
      <c r="AP25" s="158" t="b">
        <v>0</v>
      </c>
      <c r="AQ25" s="158" t="b">
        <v>0</v>
      </c>
      <c r="AR25" s="158" t="b">
        <v>0</v>
      </c>
      <c r="AS25" s="158" t="b">
        <v>0</v>
      </c>
      <c r="AT25" s="158" t="b">
        <v>0</v>
      </c>
      <c r="AU25" s="158" t="b">
        <v>0</v>
      </c>
      <c r="AV25" s="158" t="b">
        <v>0</v>
      </c>
      <c r="AW25" s="158" t="b">
        <v>0</v>
      </c>
      <c r="AX25" s="158" t="b">
        <v>0</v>
      </c>
      <c r="AY25" s="158" t="b">
        <v>0</v>
      </c>
      <c r="AZ25" s="158" t="b">
        <v>0</v>
      </c>
      <c r="BA25" s="158" t="b">
        <v>0</v>
      </c>
      <c r="BB25" s="158" t="b">
        <v>0</v>
      </c>
      <c r="BC25" s="158" t="b">
        <v>0</v>
      </c>
      <c r="BD25" s="158" t="b">
        <v>0</v>
      </c>
      <c r="BE25" s="158" t="b">
        <v>0</v>
      </c>
      <c r="BF25" s="158" t="b">
        <v>0</v>
      </c>
      <c r="BG25" s="158" t="b">
        <v>0</v>
      </c>
      <c r="BH25" s="158" t="b">
        <v>0</v>
      </c>
      <c r="BI25" s="158" t="b">
        <v>0</v>
      </c>
      <c r="BJ25" s="158" t="b">
        <v>0</v>
      </c>
      <c r="BK25" s="158" t="b">
        <v>0</v>
      </c>
      <c r="BL25" s="158" t="b">
        <v>0</v>
      </c>
      <c r="BM25" s="158" t="b">
        <v>0</v>
      </c>
      <c r="BN25" s="158" t="b">
        <v>0</v>
      </c>
      <c r="BO25" s="158" t="b">
        <v>0</v>
      </c>
      <c r="BP25" s="158" t="b">
        <v>0</v>
      </c>
      <c r="BQ25" s="158" t="b">
        <v>0</v>
      </c>
      <c r="BR25" s="158" t="b">
        <v>0</v>
      </c>
      <c r="BS25" s="158" t="b">
        <v>0</v>
      </c>
      <c r="BT25" s="158" t="b">
        <v>0</v>
      </c>
      <c r="BU25" s="158" t="b">
        <v>0</v>
      </c>
      <c r="BV25" s="158" t="b">
        <v>0</v>
      </c>
      <c r="BW25" s="158" t="b">
        <v>0</v>
      </c>
      <c r="BX25" s="158" t="b">
        <v>0</v>
      </c>
      <c r="BY25" s="158" t="b">
        <v>0</v>
      </c>
      <c r="BZ25" s="158" t="b">
        <v>0</v>
      </c>
      <c r="CA25" s="158" t="b">
        <v>0</v>
      </c>
      <c r="CB25" s="158" t="b">
        <v>0</v>
      </c>
      <c r="CC25" s="158" t="b">
        <v>0</v>
      </c>
      <c r="CD25" s="158" t="b">
        <v>0</v>
      </c>
      <c r="CE25" s="158" t="b">
        <v>0</v>
      </c>
      <c r="CF25" s="158" t="b">
        <v>0</v>
      </c>
      <c r="CG25" s="158" t="b">
        <v>0</v>
      </c>
      <c r="CH25" s="158" t="b">
        <v>0</v>
      </c>
      <c r="CI25" s="158" t="b">
        <v>0</v>
      </c>
      <c r="CJ25" s="158" t="b">
        <v>0</v>
      </c>
      <c r="CK25" s="158" t="b">
        <v>0</v>
      </c>
      <c r="CL25" s="158" t="b">
        <v>0</v>
      </c>
      <c r="CM25" s="93" t="b">
        <v>1</v>
      </c>
      <c r="CN25" s="93" t="b">
        <v>1</v>
      </c>
      <c r="CO25" s="93" t="b">
        <v>1</v>
      </c>
      <c r="CP25" s="158" t="b">
        <v>0</v>
      </c>
      <c r="CQ25" s="158" t="b">
        <v>0</v>
      </c>
      <c r="CR25" s="158" t="b">
        <v>0</v>
      </c>
      <c r="CS25" s="158" t="b">
        <v>0</v>
      </c>
      <c r="CT25" s="158" t="b">
        <v>0</v>
      </c>
      <c r="CU25" s="158" t="b">
        <v>0</v>
      </c>
      <c r="CV25" s="158" t="b">
        <v>0</v>
      </c>
      <c r="CW25" s="158" t="b">
        <v>0</v>
      </c>
      <c r="CX25" s="158" t="b">
        <v>0</v>
      </c>
      <c r="CY25" s="158" t="b">
        <v>0</v>
      </c>
      <c r="CZ25" s="158" t="b">
        <v>0</v>
      </c>
      <c r="DA25" s="158" t="b">
        <v>0</v>
      </c>
      <c r="DB25" s="158" t="b">
        <v>0</v>
      </c>
      <c r="DC25" s="158" t="b">
        <v>0</v>
      </c>
      <c r="DD25" s="158" t="b">
        <v>0</v>
      </c>
      <c r="DE25" s="158" t="b">
        <v>0</v>
      </c>
      <c r="DF25" s="158" t="b">
        <v>0</v>
      </c>
      <c r="DG25" s="158" t="b">
        <v>0</v>
      </c>
      <c r="DH25" s="158" t="b">
        <v>0</v>
      </c>
      <c r="DI25" s="158" t="b">
        <v>0</v>
      </c>
      <c r="DJ25" s="158" t="b">
        <v>0</v>
      </c>
      <c r="DK25" s="158" t="b">
        <v>0</v>
      </c>
      <c r="DL25" s="158" t="b">
        <v>0</v>
      </c>
      <c r="DM25" s="158" t="b">
        <v>0</v>
      </c>
      <c r="DN25" s="158" t="b">
        <v>0</v>
      </c>
      <c r="DO25" s="158" t="b">
        <v>0</v>
      </c>
      <c r="DP25" s="158" t="b">
        <v>0</v>
      </c>
      <c r="DQ25" s="158" t="b">
        <v>0</v>
      </c>
      <c r="DR25" s="158" t="b">
        <v>0</v>
      </c>
      <c r="DS25" s="158" t="b">
        <v>0</v>
      </c>
      <c r="DT25" s="158" t="b">
        <v>0</v>
      </c>
      <c r="DU25" s="158" t="b">
        <v>0</v>
      </c>
      <c r="DV25" s="158" t="b">
        <v>0</v>
      </c>
      <c r="DW25" s="158" t="b">
        <v>0</v>
      </c>
      <c r="DX25" s="158" t="b">
        <v>0</v>
      </c>
      <c r="DY25" s="158" t="b">
        <v>0</v>
      </c>
      <c r="DZ25" s="158" t="b">
        <v>0</v>
      </c>
      <c r="EA25" s="158" t="b">
        <v>0</v>
      </c>
      <c r="EB25" s="158" t="b">
        <v>0</v>
      </c>
      <c r="EC25" s="158" t="b">
        <v>0</v>
      </c>
      <c r="ED25" s="158" t="b">
        <v>0</v>
      </c>
      <c r="EE25" s="158" t="b">
        <v>0</v>
      </c>
      <c r="EF25" s="158" t="b">
        <v>0</v>
      </c>
      <c r="EG25" s="158" t="b">
        <v>0</v>
      </c>
      <c r="EH25" s="158" t="b">
        <v>0</v>
      </c>
      <c r="EI25" s="158" t="b">
        <v>0</v>
      </c>
      <c r="EJ25" s="158" t="b">
        <v>0</v>
      </c>
      <c r="EK25" s="158" t="b">
        <v>0</v>
      </c>
      <c r="EL25" s="158" t="b">
        <v>0</v>
      </c>
      <c r="EM25" s="158" t="b">
        <v>0</v>
      </c>
      <c r="EN25" s="158" t="b">
        <v>0</v>
      </c>
      <c r="EO25" s="158" t="b">
        <v>0</v>
      </c>
      <c r="EP25" s="158" t="b">
        <v>0</v>
      </c>
      <c r="EQ25" s="158" t="b">
        <v>0</v>
      </c>
      <c r="ER25" s="158" t="b">
        <v>0</v>
      </c>
      <c r="ES25" s="158" t="b">
        <v>0</v>
      </c>
      <c r="ET25" s="158" t="b">
        <v>0</v>
      </c>
      <c r="EU25" s="158" t="b">
        <v>0</v>
      </c>
      <c r="EV25" s="158" t="b">
        <v>0</v>
      </c>
      <c r="EW25" s="158" t="b">
        <v>0</v>
      </c>
      <c r="EX25" s="158" t="b">
        <v>0</v>
      </c>
      <c r="EY25" s="158" t="b">
        <v>0</v>
      </c>
      <c r="EZ25" s="158" t="b">
        <v>0</v>
      </c>
      <c r="FA25" s="158" t="b">
        <v>0</v>
      </c>
      <c r="FB25" s="158" t="b">
        <v>0</v>
      </c>
      <c r="FC25" s="158" t="b">
        <v>0</v>
      </c>
      <c r="FD25" s="158" t="b">
        <v>0</v>
      </c>
      <c r="FE25" s="158" t="b">
        <v>0</v>
      </c>
      <c r="FF25" s="158" t="b">
        <v>0</v>
      </c>
      <c r="FG25" s="158" t="b">
        <v>0</v>
      </c>
      <c r="FH25" s="158" t="b">
        <v>0</v>
      </c>
      <c r="FI25" s="158" t="b">
        <v>0</v>
      </c>
      <c r="FJ25" s="158" t="b">
        <v>0</v>
      </c>
      <c r="FK25" s="158" t="b">
        <v>0</v>
      </c>
      <c r="FL25" s="158" t="b">
        <v>0</v>
      </c>
      <c r="FM25" s="158" t="b">
        <v>0</v>
      </c>
      <c r="FN25" s="158" t="b">
        <v>0</v>
      </c>
      <c r="FO25" s="158" t="b">
        <v>0</v>
      </c>
      <c r="FP25" s="158" t="b">
        <v>0</v>
      </c>
      <c r="FQ25" s="158" t="b">
        <v>0</v>
      </c>
      <c r="FR25" s="158" t="b">
        <v>0</v>
      </c>
      <c r="FS25" s="158" t="b">
        <v>0</v>
      </c>
      <c r="FT25" s="158" t="b">
        <v>0</v>
      </c>
      <c r="FU25" s="158" t="b">
        <v>0</v>
      </c>
      <c r="FV25" s="158" t="b">
        <v>0</v>
      </c>
      <c r="FW25" s="158" t="b">
        <v>0</v>
      </c>
      <c r="FX25" s="158" t="b">
        <v>0</v>
      </c>
      <c r="FY25" s="158" t="b">
        <v>0</v>
      </c>
      <c r="FZ25" s="158" t="b">
        <v>0</v>
      </c>
      <c r="GA25" s="158" t="b">
        <v>0</v>
      </c>
      <c r="GB25" s="158" t="b">
        <v>0</v>
      </c>
      <c r="GC25" s="158" t="b">
        <v>0</v>
      </c>
      <c r="GD25" s="158" t="b">
        <v>0</v>
      </c>
      <c r="GE25" s="158" t="b">
        <v>0</v>
      </c>
      <c r="GF25" s="158" t="b">
        <v>0</v>
      </c>
      <c r="GG25" s="158" t="b">
        <v>0</v>
      </c>
      <c r="GH25" s="158" t="b">
        <v>0</v>
      </c>
      <c r="GI25" s="158" t="b">
        <v>0</v>
      </c>
      <c r="GJ25" s="158" t="b">
        <v>0</v>
      </c>
      <c r="GK25" s="158" t="b">
        <v>0</v>
      </c>
      <c r="GL25" s="158" t="b">
        <v>0</v>
      </c>
      <c r="GM25" s="158" t="b">
        <v>0</v>
      </c>
      <c r="GN25" s="158" t="b">
        <v>0</v>
      </c>
      <c r="GO25" s="158" t="b">
        <v>0</v>
      </c>
      <c r="GP25" s="158" t="b">
        <v>0</v>
      </c>
      <c r="GQ25" s="158" t="b">
        <v>0</v>
      </c>
      <c r="GR25" s="158" t="b">
        <v>0</v>
      </c>
      <c r="GS25" s="158" t="b">
        <v>0</v>
      </c>
      <c r="GT25" s="158" t="b">
        <v>0</v>
      </c>
      <c r="GU25" s="158" t="b">
        <v>0</v>
      </c>
      <c r="GV25" s="158" t="b">
        <v>0</v>
      </c>
      <c r="GW25" s="158" t="b">
        <v>0</v>
      </c>
      <c r="GX25" s="158" t="b">
        <v>0</v>
      </c>
      <c r="GY25" s="158" t="b">
        <v>0</v>
      </c>
      <c r="GZ25" s="158" t="b">
        <v>0</v>
      </c>
      <c r="HA25" s="158" t="b">
        <v>0</v>
      </c>
      <c r="HB25" s="158" t="b">
        <v>0</v>
      </c>
      <c r="HC25" s="158" t="b">
        <v>0</v>
      </c>
      <c r="HD25" s="158" t="b">
        <v>0</v>
      </c>
      <c r="HE25" s="158" t="b">
        <v>0</v>
      </c>
      <c r="HF25" s="158" t="b">
        <v>0</v>
      </c>
      <c r="HG25" s="158" t="b">
        <v>0</v>
      </c>
      <c r="HH25" s="158" t="b">
        <v>0</v>
      </c>
      <c r="HI25" s="158" t="b">
        <v>0</v>
      </c>
      <c r="HJ25" s="158" t="b">
        <v>0</v>
      </c>
      <c r="HK25" s="158" t="b">
        <v>0</v>
      </c>
      <c r="HL25" s="158" t="b">
        <v>0</v>
      </c>
      <c r="HM25" s="158" t="b">
        <v>0</v>
      </c>
      <c r="HN25" s="158" t="b">
        <v>0</v>
      </c>
      <c r="HO25" s="158" t="b">
        <v>0</v>
      </c>
      <c r="HP25" s="158" t="b">
        <v>0</v>
      </c>
      <c r="HQ25" s="158" t="b">
        <v>0</v>
      </c>
      <c r="HR25" s="158" t="b">
        <v>0</v>
      </c>
      <c r="HS25" s="158" t="b">
        <v>0</v>
      </c>
      <c r="HT25" s="158" t="b">
        <v>0</v>
      </c>
      <c r="HU25" s="158" t="b">
        <v>0</v>
      </c>
      <c r="HV25" s="158" t="b">
        <v>0</v>
      </c>
      <c r="HW25" s="158" t="b">
        <v>0</v>
      </c>
      <c r="HX25" s="158" t="b">
        <v>0</v>
      </c>
      <c r="HY25" s="158" t="b">
        <v>0</v>
      </c>
      <c r="HZ25" s="158" t="b">
        <v>0</v>
      </c>
      <c r="IA25" s="158" t="b">
        <v>0</v>
      </c>
      <c r="IB25" s="158" t="b">
        <v>0</v>
      </c>
      <c r="IC25" s="158" t="b">
        <v>0</v>
      </c>
      <c r="ID25" s="158" t="b">
        <v>0</v>
      </c>
      <c r="IE25" s="158" t="b">
        <v>0</v>
      </c>
      <c r="IF25" s="158" t="b">
        <v>0</v>
      </c>
      <c r="IG25" s="158" t="b">
        <v>0</v>
      </c>
      <c r="IH25" s="158" t="b">
        <v>0</v>
      </c>
      <c r="II25" s="158" t="b">
        <v>0</v>
      </c>
      <c r="IJ25" s="158" t="b">
        <v>0</v>
      </c>
      <c r="IK25" s="158" t="b">
        <v>0</v>
      </c>
      <c r="IL25" s="158" t="b">
        <v>0</v>
      </c>
      <c r="IM25" s="158" t="b">
        <v>0</v>
      </c>
      <c r="IN25" s="158" t="b">
        <v>0</v>
      </c>
      <c r="IO25" s="158" t="b">
        <v>0</v>
      </c>
      <c r="IP25" s="158" t="b">
        <v>0</v>
      </c>
      <c r="IQ25" s="158" t="b">
        <v>0</v>
      </c>
      <c r="IR25" s="158" t="b">
        <v>0</v>
      </c>
      <c r="IS25" s="158" t="b">
        <v>0</v>
      </c>
      <c r="IT25" s="158" t="b">
        <v>0</v>
      </c>
      <c r="IU25" s="158" t="b">
        <v>0</v>
      </c>
      <c r="IV25" s="158" t="b">
        <v>0</v>
      </c>
      <c r="IW25" s="158" t="b">
        <v>0</v>
      </c>
      <c r="IX25" s="158" t="b">
        <v>0</v>
      </c>
      <c r="IY25" s="158" t="b">
        <v>0</v>
      </c>
      <c r="IZ25" s="158" t="b">
        <v>0</v>
      </c>
      <c r="JA25" s="158" t="b">
        <v>0</v>
      </c>
      <c r="JB25" s="158" t="b">
        <v>0</v>
      </c>
      <c r="JC25" s="158" t="b">
        <v>0</v>
      </c>
      <c r="JD25" s="158" t="b">
        <v>0</v>
      </c>
      <c r="JE25" s="158" t="b">
        <v>0</v>
      </c>
      <c r="JF25" s="158" t="b">
        <v>0</v>
      </c>
      <c r="JG25" s="158" t="b">
        <v>0</v>
      </c>
      <c r="JH25" s="158" t="b">
        <v>0</v>
      </c>
      <c r="JI25" s="158" t="b">
        <v>0</v>
      </c>
      <c r="JJ25" s="158" t="b">
        <v>0</v>
      </c>
      <c r="JK25" s="158" t="b">
        <v>0</v>
      </c>
      <c r="JL25" s="158" t="b">
        <v>0</v>
      </c>
      <c r="JM25" s="158" t="b">
        <v>0</v>
      </c>
      <c r="JN25" s="158" t="b">
        <v>0</v>
      </c>
      <c r="JO25" s="158" t="b">
        <v>0</v>
      </c>
      <c r="JP25" s="158" t="b">
        <v>0</v>
      </c>
      <c r="JQ25" s="158" t="b">
        <v>0</v>
      </c>
      <c r="JR25" s="158" t="b">
        <v>0</v>
      </c>
      <c r="JS25" s="158" t="b">
        <v>0</v>
      </c>
      <c r="JT25" s="158" t="b">
        <v>0</v>
      </c>
      <c r="JU25" s="158" t="b">
        <v>0</v>
      </c>
      <c r="JV25" s="158" t="b">
        <v>0</v>
      </c>
      <c r="JW25" s="158" t="b">
        <v>0</v>
      </c>
      <c r="JX25" s="158" t="b">
        <v>0</v>
      </c>
      <c r="JY25" s="158" t="b">
        <v>0</v>
      </c>
      <c r="JZ25" s="158" t="b">
        <v>0</v>
      </c>
      <c r="KA25" s="158" t="b">
        <v>0</v>
      </c>
      <c r="KB25" s="158" t="b">
        <v>0</v>
      </c>
      <c r="KC25" s="158" t="b">
        <v>0</v>
      </c>
      <c r="KD25" s="158" t="b">
        <v>0</v>
      </c>
      <c r="KE25" s="158" t="b">
        <v>0</v>
      </c>
      <c r="KF25" s="158" t="b">
        <v>0</v>
      </c>
      <c r="KG25" s="158" t="b">
        <v>0</v>
      </c>
      <c r="KH25" s="158" t="b">
        <v>0</v>
      </c>
      <c r="KI25" s="158" t="b">
        <v>0</v>
      </c>
      <c r="KJ25" s="158" t="b">
        <v>0</v>
      </c>
      <c r="KK25" s="158" t="b">
        <v>0</v>
      </c>
      <c r="KL25" s="158" t="b">
        <v>0</v>
      </c>
      <c r="KM25" s="158" t="b">
        <v>0</v>
      </c>
      <c r="KN25" s="158" t="b">
        <v>0</v>
      </c>
      <c r="KO25" s="158" t="b">
        <v>0</v>
      </c>
      <c r="KP25" s="158" t="b">
        <v>0</v>
      </c>
      <c r="KQ25" s="158" t="b">
        <v>0</v>
      </c>
      <c r="KR25" s="158" t="b">
        <v>0</v>
      </c>
      <c r="KS25" s="158" t="b">
        <v>0</v>
      </c>
      <c r="KT25" s="158" t="b">
        <v>0</v>
      </c>
      <c r="KU25" s="158" t="b">
        <v>0</v>
      </c>
      <c r="KV25" s="158" t="b">
        <v>0</v>
      </c>
      <c r="KW25" s="158" t="b">
        <v>0</v>
      </c>
      <c r="KX25" s="158" t="b">
        <v>0</v>
      </c>
      <c r="KY25" s="158" t="b">
        <v>0</v>
      </c>
      <c r="KZ25" s="158" t="b">
        <v>0</v>
      </c>
      <c r="LA25" s="158" t="b">
        <v>0</v>
      </c>
      <c r="LB25" s="158" t="b">
        <v>0</v>
      </c>
      <c r="LC25" s="158" t="b">
        <v>0</v>
      </c>
      <c r="LD25" s="158" t="b">
        <v>0</v>
      </c>
      <c r="LE25" s="158" t="b">
        <v>0</v>
      </c>
      <c r="LF25" s="158" t="b">
        <v>0</v>
      </c>
      <c r="LG25" s="158" t="b">
        <v>0</v>
      </c>
      <c r="LH25" s="158" t="b">
        <v>0</v>
      </c>
      <c r="LI25" s="158" t="b">
        <v>0</v>
      </c>
      <c r="LJ25" s="158" t="b">
        <v>0</v>
      </c>
      <c r="LK25" s="158" t="b">
        <v>0</v>
      </c>
      <c r="LL25" s="158" t="b">
        <v>0</v>
      </c>
      <c r="LM25" s="158" t="b">
        <v>0</v>
      </c>
      <c r="LN25" s="158" t="b">
        <v>0</v>
      </c>
      <c r="LO25" s="158" t="b">
        <v>0</v>
      </c>
      <c r="LP25" s="158" t="b">
        <v>0</v>
      </c>
      <c r="LQ25" s="158" t="b">
        <v>0</v>
      </c>
      <c r="LR25" s="158" t="b">
        <v>0</v>
      </c>
      <c r="LS25" s="158" t="b">
        <v>0</v>
      </c>
      <c r="LT25" s="158" t="b">
        <v>0</v>
      </c>
      <c r="LU25" s="158" t="b">
        <v>0</v>
      </c>
      <c r="LV25" s="158" t="b">
        <v>0</v>
      </c>
      <c r="LW25" s="158" t="b">
        <v>0</v>
      </c>
      <c r="LX25" s="158" t="b">
        <v>0</v>
      </c>
      <c r="LY25" s="158" t="b">
        <v>0</v>
      </c>
      <c r="LZ25" s="158" t="b">
        <v>0</v>
      </c>
      <c r="MA25" s="158" t="b">
        <v>0</v>
      </c>
      <c r="MB25" s="158" t="b">
        <v>0</v>
      </c>
      <c r="MC25" s="158" t="b">
        <v>0</v>
      </c>
      <c r="MD25" s="158" t="b">
        <v>0</v>
      </c>
      <c r="ME25" s="158" t="b">
        <v>0</v>
      </c>
      <c r="MF25" s="158" t="b">
        <v>0</v>
      </c>
      <c r="MG25" s="158" t="b">
        <v>0</v>
      </c>
      <c r="MH25" s="158" t="b">
        <v>0</v>
      </c>
      <c r="MI25" s="158" t="b">
        <v>0</v>
      </c>
      <c r="MJ25" s="158" t="b">
        <v>0</v>
      </c>
      <c r="MK25" s="158" t="b">
        <v>0</v>
      </c>
      <c r="ML25" s="158" t="b">
        <v>0</v>
      </c>
      <c r="MM25" s="158" t="b">
        <v>0</v>
      </c>
      <c r="MN25" s="158" t="b">
        <v>0</v>
      </c>
      <c r="MO25" s="158" t="b">
        <v>0</v>
      </c>
      <c r="MP25" s="158" t="b">
        <v>0</v>
      </c>
      <c r="MQ25" s="158" t="b">
        <v>0</v>
      </c>
      <c r="MR25" s="158" t="b">
        <v>0</v>
      </c>
      <c r="MS25" s="158" t="b">
        <v>0</v>
      </c>
      <c r="MT25" s="158" t="b">
        <v>0</v>
      </c>
      <c r="MU25" s="158" t="b">
        <v>0</v>
      </c>
      <c r="MV25" s="158" t="b">
        <v>0</v>
      </c>
      <c r="MW25" s="158" t="b">
        <v>0</v>
      </c>
      <c r="MX25" s="158" t="b">
        <v>0</v>
      </c>
      <c r="MY25" s="158" t="b">
        <v>0</v>
      </c>
      <c r="MZ25" s="158" t="b">
        <v>0</v>
      </c>
      <c r="NA25" s="158" t="b">
        <v>0</v>
      </c>
      <c r="NB25" s="158" t="b">
        <v>0</v>
      </c>
      <c r="NC25" s="158" t="b">
        <v>0</v>
      </c>
      <c r="ND25" s="158" t="b">
        <v>0</v>
      </c>
      <c r="NE25" s="158" t="b">
        <v>0</v>
      </c>
      <c r="NF25" s="158" t="b">
        <v>0</v>
      </c>
      <c r="NG25" s="158" t="b">
        <v>0</v>
      </c>
      <c r="NH25" s="158" t="b">
        <v>0</v>
      </c>
      <c r="NI25" s="158" t="b">
        <v>0</v>
      </c>
      <c r="NJ25" s="158" t="b">
        <v>0</v>
      </c>
      <c r="NK25" s="158" t="b">
        <v>0</v>
      </c>
      <c r="NL25" s="158" t="b">
        <v>0</v>
      </c>
      <c r="NM25" s="158" t="b">
        <v>0</v>
      </c>
      <c r="NN25" s="158" t="b">
        <v>0</v>
      </c>
      <c r="NO25" s="158" t="b">
        <v>0</v>
      </c>
    </row>
    <row r="26" spans="1:379" ht="29.25" x14ac:dyDescent="0.4">
      <c r="A26" s="511" t="str">
        <v xml:space="preserve">Caffe Duomo 3 </v>
      </c>
      <c r="B26" s="158" t="b">
        <v>0</v>
      </c>
      <c r="C26" s="158" t="b">
        <v>0</v>
      </c>
      <c r="D26" s="158" t="b">
        <v>0</v>
      </c>
      <c r="E26" s="158" t="b">
        <v>0</v>
      </c>
      <c r="F26" s="158" t="b">
        <v>0</v>
      </c>
      <c r="G26" s="158" t="b">
        <v>0</v>
      </c>
      <c r="H26" s="158" t="b">
        <v>0</v>
      </c>
      <c r="I26" s="158" t="b">
        <v>0</v>
      </c>
      <c r="J26" s="158" t="b">
        <v>0</v>
      </c>
      <c r="K26" s="158" t="b">
        <v>0</v>
      </c>
      <c r="L26" s="158" t="b">
        <v>0</v>
      </c>
      <c r="M26" s="158" t="b">
        <v>0</v>
      </c>
      <c r="N26" s="158" t="b">
        <v>0</v>
      </c>
      <c r="O26" s="158" t="b">
        <v>0</v>
      </c>
      <c r="P26" s="158" t="b">
        <v>0</v>
      </c>
      <c r="Q26" s="158" t="b">
        <v>0</v>
      </c>
      <c r="R26" s="158" t="b">
        <v>0</v>
      </c>
      <c r="S26" s="158" t="b">
        <v>0</v>
      </c>
      <c r="T26" s="158" t="b">
        <v>0</v>
      </c>
      <c r="U26" s="158" t="b">
        <v>0</v>
      </c>
      <c r="V26" s="158" t="b">
        <v>0</v>
      </c>
      <c r="W26" s="158" t="b">
        <v>0</v>
      </c>
      <c r="X26" s="158" t="b">
        <v>0</v>
      </c>
      <c r="Y26" s="158" t="b">
        <v>0</v>
      </c>
      <c r="Z26" s="158" t="b">
        <v>0</v>
      </c>
      <c r="AA26" s="158" t="b">
        <v>0</v>
      </c>
      <c r="AB26" s="158" t="b">
        <v>0</v>
      </c>
      <c r="AC26" s="158" t="b">
        <v>0</v>
      </c>
      <c r="AD26" s="158" t="b">
        <v>0</v>
      </c>
      <c r="AE26" s="158" t="b">
        <v>0</v>
      </c>
      <c r="AF26" s="158" t="b">
        <v>0</v>
      </c>
      <c r="AG26" s="158" t="b">
        <v>0</v>
      </c>
      <c r="AH26" s="158" t="b">
        <v>0</v>
      </c>
      <c r="AI26" s="158" t="b">
        <v>0</v>
      </c>
      <c r="AJ26" s="158" t="b">
        <v>0</v>
      </c>
      <c r="AK26" s="158" t="b">
        <v>0</v>
      </c>
      <c r="AL26" s="158" t="b">
        <v>0</v>
      </c>
      <c r="AM26" s="158" t="b">
        <v>0</v>
      </c>
      <c r="AN26" s="158" t="b">
        <v>0</v>
      </c>
      <c r="AO26" s="158" t="b">
        <v>0</v>
      </c>
      <c r="AP26" s="158" t="b">
        <v>0</v>
      </c>
      <c r="AQ26" s="158" t="b">
        <v>0</v>
      </c>
      <c r="AR26" s="158" t="b">
        <v>0</v>
      </c>
      <c r="AS26" s="158" t="b">
        <v>0</v>
      </c>
      <c r="AT26" s="158" t="b">
        <v>0</v>
      </c>
      <c r="AU26" s="158" t="b">
        <v>0</v>
      </c>
      <c r="AV26" s="158" t="b">
        <v>0</v>
      </c>
      <c r="AW26" s="158" t="b">
        <v>0</v>
      </c>
      <c r="AX26" s="158" t="b">
        <v>0</v>
      </c>
      <c r="AY26" s="158" t="b">
        <v>0</v>
      </c>
      <c r="AZ26" s="158" t="b">
        <v>0</v>
      </c>
      <c r="BA26" s="158" t="b">
        <v>0</v>
      </c>
      <c r="BB26" s="158" t="b">
        <v>0</v>
      </c>
      <c r="BC26" s="158" t="b">
        <v>0</v>
      </c>
      <c r="BD26" s="158" t="b">
        <v>0</v>
      </c>
      <c r="BE26" s="158" t="b">
        <v>0</v>
      </c>
      <c r="BF26" s="158" t="b">
        <v>0</v>
      </c>
      <c r="BG26" s="158" t="b">
        <v>0</v>
      </c>
      <c r="BH26" s="158" t="b">
        <v>0</v>
      </c>
      <c r="BI26" s="158" t="b">
        <v>0</v>
      </c>
      <c r="BJ26" s="158" t="b">
        <v>0</v>
      </c>
      <c r="BK26" s="158" t="b">
        <v>0</v>
      </c>
      <c r="BL26" s="158" t="b">
        <v>0</v>
      </c>
      <c r="BM26" s="158" t="b">
        <v>0</v>
      </c>
      <c r="BN26" s="158" t="b">
        <v>0</v>
      </c>
      <c r="BO26" s="158" t="b">
        <v>0</v>
      </c>
      <c r="BP26" s="158" t="b">
        <v>0</v>
      </c>
      <c r="BQ26" s="158" t="b">
        <v>0</v>
      </c>
      <c r="BR26" s="158" t="b">
        <v>0</v>
      </c>
      <c r="BS26" s="158" t="b">
        <v>0</v>
      </c>
      <c r="BT26" s="158" t="b">
        <v>0</v>
      </c>
      <c r="BU26" s="158" t="b">
        <v>0</v>
      </c>
      <c r="BV26" s="158" t="b">
        <v>0</v>
      </c>
      <c r="BW26" s="158" t="b">
        <v>0</v>
      </c>
      <c r="BX26" s="158" t="b">
        <v>0</v>
      </c>
      <c r="BY26" s="158" t="b">
        <v>0</v>
      </c>
      <c r="BZ26" s="158" t="b">
        <v>0</v>
      </c>
      <c r="CA26" s="158" t="b">
        <v>0</v>
      </c>
      <c r="CB26" s="158" t="b">
        <v>0</v>
      </c>
      <c r="CC26" s="158" t="b">
        <v>0</v>
      </c>
      <c r="CD26" s="158" t="b">
        <v>0</v>
      </c>
      <c r="CE26" s="158" t="b">
        <v>0</v>
      </c>
      <c r="CF26" s="158" t="b">
        <v>0</v>
      </c>
      <c r="CG26" s="158" t="b">
        <v>0</v>
      </c>
      <c r="CH26" s="158" t="b">
        <v>0</v>
      </c>
      <c r="CI26" s="158" t="b">
        <v>0</v>
      </c>
      <c r="CJ26" s="158" t="b">
        <v>0</v>
      </c>
      <c r="CK26" s="158" t="b">
        <v>0</v>
      </c>
      <c r="CL26" s="158" t="b">
        <v>0</v>
      </c>
      <c r="CM26" s="158" t="b">
        <v>0</v>
      </c>
      <c r="CN26" s="93" t="b">
        <v>1</v>
      </c>
      <c r="CO26" s="93" t="b">
        <v>1</v>
      </c>
      <c r="CP26" s="158" t="b">
        <v>0</v>
      </c>
      <c r="CQ26" s="158" t="b">
        <v>0</v>
      </c>
      <c r="CR26" s="158" t="b">
        <v>0</v>
      </c>
      <c r="CS26" s="158" t="b">
        <v>0</v>
      </c>
      <c r="CT26" s="158" t="b">
        <v>0</v>
      </c>
      <c r="CU26" s="158" t="b">
        <v>0</v>
      </c>
      <c r="CV26" s="158" t="b">
        <v>0</v>
      </c>
      <c r="CW26" s="158" t="b">
        <v>0</v>
      </c>
      <c r="CX26" s="158" t="b">
        <v>0</v>
      </c>
      <c r="CY26" s="158" t="b">
        <v>0</v>
      </c>
      <c r="CZ26" s="158" t="b">
        <v>0</v>
      </c>
      <c r="DA26" s="158" t="b">
        <v>0</v>
      </c>
      <c r="DB26" s="158" t="b">
        <v>0</v>
      </c>
      <c r="DC26" s="158" t="b">
        <v>0</v>
      </c>
      <c r="DD26" s="158" t="b">
        <v>0</v>
      </c>
      <c r="DE26" s="158" t="b">
        <v>0</v>
      </c>
      <c r="DF26" s="158" t="b">
        <v>0</v>
      </c>
      <c r="DG26" s="158" t="b">
        <v>0</v>
      </c>
      <c r="DH26" s="158" t="b">
        <v>0</v>
      </c>
      <c r="DI26" s="158" t="b">
        <v>0</v>
      </c>
      <c r="DJ26" s="158" t="b">
        <v>0</v>
      </c>
      <c r="DK26" s="158" t="b">
        <v>0</v>
      </c>
      <c r="DL26" s="158" t="b">
        <v>0</v>
      </c>
      <c r="DM26" s="158" t="b">
        <v>0</v>
      </c>
      <c r="DN26" s="158" t="b">
        <v>0</v>
      </c>
      <c r="DO26" s="158" t="b">
        <v>0</v>
      </c>
      <c r="DP26" s="158" t="b">
        <v>0</v>
      </c>
      <c r="DQ26" s="158" t="b">
        <v>0</v>
      </c>
      <c r="DR26" s="158" t="b">
        <v>0</v>
      </c>
      <c r="DS26" s="158" t="b">
        <v>0</v>
      </c>
      <c r="DT26" s="158" t="b">
        <v>0</v>
      </c>
      <c r="DU26" s="158" t="b">
        <v>0</v>
      </c>
      <c r="DV26" s="158" t="b">
        <v>0</v>
      </c>
      <c r="DW26" s="158" t="b">
        <v>0</v>
      </c>
      <c r="DX26" s="158" t="b">
        <v>0</v>
      </c>
      <c r="DY26" s="158" t="b">
        <v>0</v>
      </c>
      <c r="DZ26" s="158" t="b">
        <v>0</v>
      </c>
      <c r="EA26" s="158" t="b">
        <v>0</v>
      </c>
      <c r="EB26" s="158" t="b">
        <v>0</v>
      </c>
      <c r="EC26" s="158" t="b">
        <v>0</v>
      </c>
      <c r="ED26" s="158" t="b">
        <v>0</v>
      </c>
      <c r="EE26" s="158" t="b">
        <v>0</v>
      </c>
      <c r="EF26" s="158" t="b">
        <v>0</v>
      </c>
      <c r="EG26" s="158" t="b">
        <v>0</v>
      </c>
      <c r="EH26" s="158" t="b">
        <v>0</v>
      </c>
      <c r="EI26" s="158" t="b">
        <v>0</v>
      </c>
      <c r="EJ26" s="158" t="b">
        <v>0</v>
      </c>
      <c r="EK26" s="158" t="b">
        <v>0</v>
      </c>
      <c r="EL26" s="158" t="b">
        <v>0</v>
      </c>
      <c r="EM26" s="158" t="b">
        <v>0</v>
      </c>
      <c r="EN26" s="158" t="b">
        <v>0</v>
      </c>
      <c r="EO26" s="158" t="b">
        <v>0</v>
      </c>
      <c r="EP26" s="158" t="b">
        <v>0</v>
      </c>
      <c r="EQ26" s="158" t="b">
        <v>0</v>
      </c>
      <c r="ER26" s="158" t="b">
        <v>0</v>
      </c>
      <c r="ES26" s="158" t="b">
        <v>0</v>
      </c>
      <c r="ET26" s="158" t="b">
        <v>0</v>
      </c>
      <c r="EU26" s="158" t="b">
        <v>0</v>
      </c>
      <c r="EV26" s="158" t="b">
        <v>0</v>
      </c>
      <c r="EW26" s="158" t="b">
        <v>0</v>
      </c>
      <c r="EX26" s="158" t="b">
        <v>0</v>
      </c>
      <c r="EY26" s="158" t="b">
        <v>0</v>
      </c>
      <c r="EZ26" s="158" t="b">
        <v>0</v>
      </c>
      <c r="FA26" s="158" t="b">
        <v>0</v>
      </c>
      <c r="FB26" s="158" t="b">
        <v>0</v>
      </c>
      <c r="FC26" s="158" t="b">
        <v>0</v>
      </c>
      <c r="FD26" s="158" t="b">
        <v>0</v>
      </c>
      <c r="FE26" s="158" t="b">
        <v>0</v>
      </c>
      <c r="FF26" s="158" t="b">
        <v>0</v>
      </c>
      <c r="FG26" s="158" t="b">
        <v>0</v>
      </c>
      <c r="FH26" s="158" t="b">
        <v>0</v>
      </c>
      <c r="FI26" s="158" t="b">
        <v>0</v>
      </c>
      <c r="FJ26" s="158" t="b">
        <v>0</v>
      </c>
      <c r="FK26" s="158" t="b">
        <v>0</v>
      </c>
      <c r="FL26" s="158" t="b">
        <v>0</v>
      </c>
      <c r="FM26" s="158" t="b">
        <v>0</v>
      </c>
      <c r="FN26" s="158" t="b">
        <v>0</v>
      </c>
      <c r="FO26" s="158" t="b">
        <v>0</v>
      </c>
      <c r="FP26" s="158" t="b">
        <v>0</v>
      </c>
      <c r="FQ26" s="158" t="b">
        <v>0</v>
      </c>
      <c r="FR26" s="158" t="b">
        <v>0</v>
      </c>
      <c r="FS26" s="158" t="b">
        <v>0</v>
      </c>
      <c r="FT26" s="158" t="b">
        <v>0</v>
      </c>
      <c r="FU26" s="158" t="b">
        <v>0</v>
      </c>
      <c r="FV26" s="158" t="b">
        <v>0</v>
      </c>
      <c r="FW26" s="158" t="b">
        <v>0</v>
      </c>
      <c r="FX26" s="158" t="b">
        <v>0</v>
      </c>
      <c r="FY26" s="158" t="b">
        <v>0</v>
      </c>
      <c r="FZ26" s="158" t="b">
        <v>0</v>
      </c>
      <c r="GA26" s="158" t="b">
        <v>0</v>
      </c>
      <c r="GB26" s="158" t="b">
        <v>0</v>
      </c>
      <c r="GC26" s="158" t="b">
        <v>0</v>
      </c>
      <c r="GD26" s="158" t="b">
        <v>0</v>
      </c>
      <c r="GE26" s="158" t="b">
        <v>0</v>
      </c>
      <c r="GF26" s="158" t="b">
        <v>0</v>
      </c>
      <c r="GG26" s="158" t="b">
        <v>0</v>
      </c>
      <c r="GH26" s="158" t="b">
        <v>0</v>
      </c>
      <c r="GI26" s="158" t="b">
        <v>0</v>
      </c>
      <c r="GJ26" s="158" t="b">
        <v>0</v>
      </c>
      <c r="GK26" s="158" t="b">
        <v>0</v>
      </c>
      <c r="GL26" s="158" t="b">
        <v>0</v>
      </c>
      <c r="GM26" s="158" t="b">
        <v>0</v>
      </c>
      <c r="GN26" s="158" t="b">
        <v>0</v>
      </c>
      <c r="GO26" s="158" t="b">
        <v>0</v>
      </c>
      <c r="GP26" s="158" t="b">
        <v>0</v>
      </c>
      <c r="GQ26" s="158" t="b">
        <v>0</v>
      </c>
      <c r="GR26" s="158" t="b">
        <v>0</v>
      </c>
      <c r="GS26" s="158" t="b">
        <v>0</v>
      </c>
      <c r="GT26" s="158" t="b">
        <v>0</v>
      </c>
      <c r="GU26" s="158" t="b">
        <v>0</v>
      </c>
      <c r="GV26" s="158" t="b">
        <v>0</v>
      </c>
      <c r="GW26" s="158" t="b">
        <v>0</v>
      </c>
      <c r="GX26" s="158" t="b">
        <v>0</v>
      </c>
      <c r="GY26" s="158" t="b">
        <v>0</v>
      </c>
      <c r="GZ26" s="158" t="b">
        <v>0</v>
      </c>
      <c r="HA26" s="158" t="b">
        <v>0</v>
      </c>
      <c r="HB26" s="158" t="b">
        <v>0</v>
      </c>
      <c r="HC26" s="158" t="b">
        <v>0</v>
      </c>
      <c r="HD26" s="158" t="b">
        <v>0</v>
      </c>
      <c r="HE26" s="158" t="b">
        <v>0</v>
      </c>
      <c r="HF26" s="158" t="b">
        <v>0</v>
      </c>
      <c r="HG26" s="158" t="b">
        <v>0</v>
      </c>
      <c r="HH26" s="158" t="b">
        <v>0</v>
      </c>
      <c r="HI26" s="158" t="b">
        <v>0</v>
      </c>
      <c r="HJ26" s="158" t="b">
        <v>0</v>
      </c>
      <c r="HK26" s="158" t="b">
        <v>0</v>
      </c>
      <c r="HL26" s="158" t="b">
        <v>0</v>
      </c>
      <c r="HM26" s="158" t="b">
        <v>0</v>
      </c>
      <c r="HN26" s="158" t="b">
        <v>0</v>
      </c>
      <c r="HO26" s="158" t="b">
        <v>0</v>
      </c>
      <c r="HP26" s="158" t="b">
        <v>0</v>
      </c>
      <c r="HQ26" s="158" t="b">
        <v>0</v>
      </c>
      <c r="HR26" s="158" t="b">
        <v>0</v>
      </c>
      <c r="HS26" s="158" t="b">
        <v>0</v>
      </c>
      <c r="HT26" s="93" t="b">
        <v>1</v>
      </c>
      <c r="HU26" s="93" t="b">
        <v>1</v>
      </c>
      <c r="HV26" s="93" t="b">
        <v>1</v>
      </c>
      <c r="HW26" s="93" t="b">
        <v>1</v>
      </c>
      <c r="HX26" s="93" t="b">
        <v>1</v>
      </c>
      <c r="HY26" s="158" t="b">
        <v>0</v>
      </c>
      <c r="HZ26" s="158" t="b">
        <v>0</v>
      </c>
      <c r="IA26" s="158" t="b">
        <v>0</v>
      </c>
      <c r="IB26" s="158" t="b">
        <v>0</v>
      </c>
      <c r="IC26" s="158" t="b">
        <v>0</v>
      </c>
      <c r="ID26" s="158" t="b">
        <v>0</v>
      </c>
      <c r="IE26" s="158" t="b">
        <v>0</v>
      </c>
      <c r="IF26" s="158" t="b">
        <v>0</v>
      </c>
      <c r="IG26" s="158" t="b">
        <v>0</v>
      </c>
      <c r="IH26" s="158" t="b">
        <v>0</v>
      </c>
      <c r="II26" s="158" t="b">
        <v>0</v>
      </c>
      <c r="IJ26" s="158" t="b">
        <v>0</v>
      </c>
      <c r="IK26" s="158" t="b">
        <v>0</v>
      </c>
      <c r="IL26" s="158" t="b">
        <v>0</v>
      </c>
      <c r="IM26" s="158" t="b">
        <v>0</v>
      </c>
      <c r="IN26" s="158" t="b">
        <v>0</v>
      </c>
      <c r="IO26" s="158" t="b">
        <v>0</v>
      </c>
      <c r="IP26" s="158" t="b">
        <v>0</v>
      </c>
      <c r="IQ26" s="158" t="b">
        <v>0</v>
      </c>
      <c r="IR26" s="158" t="b">
        <v>0</v>
      </c>
      <c r="IS26" s="158" t="b">
        <v>0</v>
      </c>
      <c r="IT26" s="158" t="b">
        <v>0</v>
      </c>
      <c r="IU26" s="158" t="b">
        <v>0</v>
      </c>
      <c r="IV26" s="158" t="b">
        <v>0</v>
      </c>
      <c r="IW26" s="158" t="b">
        <v>0</v>
      </c>
      <c r="IX26" s="158" t="b">
        <v>0</v>
      </c>
      <c r="IY26" s="158" t="b">
        <v>0</v>
      </c>
      <c r="IZ26" s="158" t="b">
        <v>0</v>
      </c>
      <c r="JA26" s="158" t="b">
        <v>0</v>
      </c>
      <c r="JB26" s="158" t="b">
        <v>0</v>
      </c>
      <c r="JC26" s="158" t="b">
        <v>0</v>
      </c>
      <c r="JD26" s="158" t="b">
        <v>0</v>
      </c>
      <c r="JE26" s="158" t="b">
        <v>0</v>
      </c>
      <c r="JF26" s="158" t="b">
        <v>0</v>
      </c>
      <c r="JG26" s="158" t="b">
        <v>0</v>
      </c>
      <c r="JH26" s="158" t="b">
        <v>0</v>
      </c>
      <c r="JI26" s="158" t="b">
        <v>0</v>
      </c>
      <c r="JJ26" s="158" t="b">
        <v>0</v>
      </c>
      <c r="JK26" s="158" t="b">
        <v>0</v>
      </c>
      <c r="JL26" s="158" t="b">
        <v>0</v>
      </c>
      <c r="JM26" s="158" t="b">
        <v>0</v>
      </c>
      <c r="JN26" s="158" t="b">
        <v>0</v>
      </c>
      <c r="JO26" s="158" t="b">
        <v>0</v>
      </c>
      <c r="JP26" s="158" t="b">
        <v>0</v>
      </c>
      <c r="JQ26" s="158" t="b">
        <v>0</v>
      </c>
      <c r="JR26" s="158" t="b">
        <v>0</v>
      </c>
      <c r="JS26" s="158" t="b">
        <v>0</v>
      </c>
      <c r="JT26" s="158" t="b">
        <v>0</v>
      </c>
      <c r="JU26" s="158" t="b">
        <v>0</v>
      </c>
      <c r="JV26" s="158" t="b">
        <v>0</v>
      </c>
      <c r="JW26" s="158" t="b">
        <v>0</v>
      </c>
      <c r="JX26" s="158" t="b">
        <v>0</v>
      </c>
      <c r="JY26" s="158" t="b">
        <v>0</v>
      </c>
      <c r="JZ26" s="158" t="b">
        <v>0</v>
      </c>
      <c r="KA26" s="158" t="b">
        <v>0</v>
      </c>
      <c r="KB26" s="158" t="b">
        <v>0</v>
      </c>
      <c r="KC26" s="158" t="b">
        <v>0</v>
      </c>
      <c r="KD26" s="158" t="b">
        <v>0</v>
      </c>
      <c r="KE26" s="158" t="b">
        <v>0</v>
      </c>
      <c r="KF26" s="158" t="b">
        <v>0</v>
      </c>
      <c r="KG26" s="158" t="b">
        <v>0</v>
      </c>
      <c r="KH26" s="158" t="b">
        <v>0</v>
      </c>
      <c r="KI26" s="158" t="b">
        <v>0</v>
      </c>
      <c r="KJ26" s="158" t="b">
        <v>0</v>
      </c>
      <c r="KK26" s="158" t="b">
        <v>0</v>
      </c>
      <c r="KL26" s="158" t="b">
        <v>0</v>
      </c>
      <c r="KM26" s="158" t="b">
        <v>0</v>
      </c>
      <c r="KN26" s="158" t="b">
        <v>0</v>
      </c>
      <c r="KO26" s="158" t="b">
        <v>0</v>
      </c>
      <c r="KP26" s="158" t="b">
        <v>0</v>
      </c>
      <c r="KQ26" s="158" t="b">
        <v>0</v>
      </c>
      <c r="KR26" s="158" t="b">
        <v>0</v>
      </c>
      <c r="KS26" s="158" t="b">
        <v>0</v>
      </c>
      <c r="KT26" s="158" t="b">
        <v>0</v>
      </c>
      <c r="KU26" s="158" t="b">
        <v>0</v>
      </c>
      <c r="KV26" s="158" t="b">
        <v>0</v>
      </c>
      <c r="KW26" s="158" t="b">
        <v>0</v>
      </c>
      <c r="KX26" s="158" t="b">
        <v>0</v>
      </c>
      <c r="KY26" s="158" t="b">
        <v>0</v>
      </c>
      <c r="KZ26" s="158" t="b">
        <v>0</v>
      </c>
      <c r="LA26" s="158" t="b">
        <v>0</v>
      </c>
      <c r="LB26" s="158" t="b">
        <v>0</v>
      </c>
      <c r="LC26" s="158" t="b">
        <v>0</v>
      </c>
      <c r="LD26" s="158" t="b">
        <v>0</v>
      </c>
      <c r="LE26" s="158" t="b">
        <v>0</v>
      </c>
      <c r="LF26" s="158" t="b">
        <v>0</v>
      </c>
      <c r="LG26" s="158" t="b">
        <v>0</v>
      </c>
      <c r="LH26" s="158" t="b">
        <v>0</v>
      </c>
      <c r="LI26" s="158" t="b">
        <v>0</v>
      </c>
      <c r="LJ26" s="158" t="b">
        <v>0</v>
      </c>
      <c r="LK26" s="158" t="b">
        <v>0</v>
      </c>
      <c r="LL26" s="158" t="b">
        <v>0</v>
      </c>
      <c r="LM26" s="158" t="b">
        <v>0</v>
      </c>
      <c r="LN26" s="158" t="b">
        <v>0</v>
      </c>
      <c r="LO26" s="158" t="b">
        <v>0</v>
      </c>
      <c r="LP26" s="158" t="b">
        <v>0</v>
      </c>
      <c r="LQ26" s="158" t="b">
        <v>0</v>
      </c>
      <c r="LR26" s="158" t="b">
        <v>0</v>
      </c>
      <c r="LS26" s="158" t="b">
        <v>0</v>
      </c>
      <c r="LT26" s="158" t="b">
        <v>0</v>
      </c>
      <c r="LU26" s="158" t="b">
        <v>0</v>
      </c>
      <c r="LV26" s="158" t="b">
        <v>0</v>
      </c>
      <c r="LW26" s="158" t="b">
        <v>0</v>
      </c>
      <c r="LX26" s="158" t="b">
        <v>0</v>
      </c>
      <c r="LY26" s="158" t="b">
        <v>0</v>
      </c>
      <c r="LZ26" s="158" t="b">
        <v>0</v>
      </c>
      <c r="MA26" s="158" t="b">
        <v>0</v>
      </c>
      <c r="MB26" s="158" t="b">
        <v>0</v>
      </c>
      <c r="MC26" s="158" t="b">
        <v>0</v>
      </c>
      <c r="MD26" s="158" t="b">
        <v>0</v>
      </c>
      <c r="ME26" s="158" t="b">
        <v>0</v>
      </c>
      <c r="MF26" s="158" t="b">
        <v>0</v>
      </c>
      <c r="MG26" s="158" t="b">
        <v>0</v>
      </c>
      <c r="MH26" s="158" t="b">
        <v>0</v>
      </c>
      <c r="MI26" s="158" t="b">
        <v>0</v>
      </c>
      <c r="MJ26" s="158" t="b">
        <v>0</v>
      </c>
      <c r="MK26" s="158" t="b">
        <v>0</v>
      </c>
      <c r="ML26" s="158" t="b">
        <v>0</v>
      </c>
      <c r="MM26" s="158" t="b">
        <v>0</v>
      </c>
      <c r="MN26" s="158" t="b">
        <v>0</v>
      </c>
      <c r="MO26" s="158" t="b">
        <v>0</v>
      </c>
      <c r="MP26" s="158" t="b">
        <v>0</v>
      </c>
      <c r="MQ26" s="158" t="b">
        <v>0</v>
      </c>
      <c r="MR26" s="158" t="b">
        <v>0</v>
      </c>
      <c r="MS26" s="158" t="b">
        <v>0</v>
      </c>
      <c r="MT26" s="158" t="b">
        <v>0</v>
      </c>
      <c r="MU26" s="158" t="b">
        <v>0</v>
      </c>
      <c r="MV26" s="158" t="b">
        <v>0</v>
      </c>
      <c r="MW26" s="158" t="b">
        <v>0</v>
      </c>
      <c r="MX26" s="158" t="b">
        <v>0</v>
      </c>
      <c r="MY26" s="158" t="b">
        <v>0</v>
      </c>
      <c r="MZ26" s="158" t="b">
        <v>0</v>
      </c>
      <c r="NA26" s="158" t="b">
        <v>0</v>
      </c>
      <c r="NB26" s="158" t="b">
        <v>0</v>
      </c>
      <c r="NC26" s="158" t="b">
        <v>0</v>
      </c>
      <c r="ND26" s="158" t="b">
        <v>0</v>
      </c>
      <c r="NE26" s="158" t="b">
        <v>0</v>
      </c>
      <c r="NF26" s="158" t="b">
        <v>0</v>
      </c>
      <c r="NG26" s="158" t="b">
        <v>0</v>
      </c>
      <c r="NH26" s="158" t="b">
        <v>0</v>
      </c>
      <c r="NI26" s="158" t="b">
        <v>0</v>
      </c>
      <c r="NJ26" s="158" t="b">
        <v>0</v>
      </c>
      <c r="NK26" s="158" t="b">
        <v>0</v>
      </c>
      <c r="NL26" s="158" t="b">
        <v>0</v>
      </c>
      <c r="NM26" s="158" t="b">
        <v>0</v>
      </c>
      <c r="NN26" s="158" t="b">
        <v>0</v>
      </c>
      <c r="NO26" s="158" t="b">
        <v>0</v>
      </c>
    </row>
    <row r="27" spans="1:379" ht="29.25" x14ac:dyDescent="0.4">
      <c r="A27" s="511" t="str">
        <v>Caffe Duomo Van</v>
      </c>
      <c r="B27" s="158" t="b">
        <v>0</v>
      </c>
      <c r="C27" s="158" t="b">
        <v>0</v>
      </c>
      <c r="D27" s="158" t="b">
        <v>0</v>
      </c>
      <c r="E27" s="158" t="b">
        <v>0</v>
      </c>
      <c r="F27" s="158" t="b">
        <v>0</v>
      </c>
      <c r="G27" s="158" t="b">
        <v>0</v>
      </c>
      <c r="H27" s="158" t="b">
        <v>0</v>
      </c>
      <c r="I27" s="158" t="b">
        <v>0</v>
      </c>
      <c r="J27" s="158" t="b">
        <v>0</v>
      </c>
      <c r="K27" s="158" t="b">
        <v>0</v>
      </c>
      <c r="L27" s="158" t="b">
        <v>0</v>
      </c>
      <c r="M27" s="158" t="b">
        <v>0</v>
      </c>
      <c r="N27" s="158" t="b">
        <v>0</v>
      </c>
      <c r="O27" s="158" t="b">
        <v>0</v>
      </c>
      <c r="P27" s="158" t="b">
        <v>0</v>
      </c>
      <c r="Q27" s="158" t="b">
        <v>0</v>
      </c>
      <c r="R27" s="158" t="b">
        <v>0</v>
      </c>
      <c r="S27" s="158" t="b">
        <v>0</v>
      </c>
      <c r="T27" s="158" t="b">
        <v>0</v>
      </c>
      <c r="U27" s="158" t="b">
        <v>0</v>
      </c>
      <c r="V27" s="158" t="b">
        <v>0</v>
      </c>
      <c r="W27" s="158" t="b">
        <v>0</v>
      </c>
      <c r="X27" s="158" t="b">
        <v>0</v>
      </c>
      <c r="Y27" s="158" t="b">
        <v>0</v>
      </c>
      <c r="Z27" s="158" t="b">
        <v>0</v>
      </c>
      <c r="AA27" s="158" t="b">
        <v>0</v>
      </c>
      <c r="AB27" s="158" t="b">
        <v>0</v>
      </c>
      <c r="AC27" s="158" t="b">
        <v>0</v>
      </c>
      <c r="AD27" s="158" t="b">
        <v>0</v>
      </c>
      <c r="AE27" s="158" t="b">
        <v>0</v>
      </c>
      <c r="AF27" s="158" t="b">
        <v>0</v>
      </c>
      <c r="AG27" s="158" t="b">
        <v>0</v>
      </c>
      <c r="AH27" s="158" t="b">
        <v>0</v>
      </c>
      <c r="AI27" s="158" t="b">
        <v>0</v>
      </c>
      <c r="AJ27" s="158" t="b">
        <v>0</v>
      </c>
      <c r="AK27" s="158" t="b">
        <v>0</v>
      </c>
      <c r="AL27" s="158" t="b">
        <v>0</v>
      </c>
      <c r="AM27" s="158" t="b">
        <v>0</v>
      </c>
      <c r="AN27" s="158" t="b">
        <v>0</v>
      </c>
      <c r="AO27" s="158" t="b">
        <v>0</v>
      </c>
      <c r="AP27" s="158" t="b">
        <v>0</v>
      </c>
      <c r="AQ27" s="158" t="b">
        <v>0</v>
      </c>
      <c r="AR27" s="158" t="b">
        <v>0</v>
      </c>
      <c r="AS27" s="158" t="b">
        <v>0</v>
      </c>
      <c r="AT27" s="158" t="b">
        <v>0</v>
      </c>
      <c r="AU27" s="158" t="b">
        <v>0</v>
      </c>
      <c r="AV27" s="158" t="b">
        <v>0</v>
      </c>
      <c r="AW27" s="158" t="b">
        <v>0</v>
      </c>
      <c r="AX27" s="158" t="b">
        <v>0</v>
      </c>
      <c r="AY27" s="158" t="b">
        <v>0</v>
      </c>
      <c r="AZ27" s="158" t="b">
        <v>0</v>
      </c>
      <c r="BA27" s="158" t="b">
        <v>0</v>
      </c>
      <c r="BB27" s="158" t="b">
        <v>0</v>
      </c>
      <c r="BC27" s="158" t="b">
        <v>0</v>
      </c>
      <c r="BD27" s="158" t="b">
        <v>0</v>
      </c>
      <c r="BE27" s="158" t="b">
        <v>0</v>
      </c>
      <c r="BF27" s="158" t="b">
        <v>0</v>
      </c>
      <c r="BG27" s="158" t="b">
        <v>0</v>
      </c>
      <c r="BH27" s="158" t="b">
        <v>0</v>
      </c>
      <c r="BI27" s="158" t="b">
        <v>0</v>
      </c>
      <c r="BJ27" s="158" t="b">
        <v>0</v>
      </c>
      <c r="BK27" s="158" t="b">
        <v>0</v>
      </c>
      <c r="BL27" s="158" t="b">
        <v>0</v>
      </c>
      <c r="BM27" s="158" t="b">
        <v>0</v>
      </c>
      <c r="BN27" s="158" t="b">
        <v>0</v>
      </c>
      <c r="BO27" s="158" t="b">
        <v>0</v>
      </c>
      <c r="BP27" s="158" t="b">
        <v>0</v>
      </c>
      <c r="BQ27" s="158" t="b">
        <v>0</v>
      </c>
      <c r="BR27" s="158" t="b">
        <v>0</v>
      </c>
      <c r="BS27" s="158" t="b">
        <v>0</v>
      </c>
      <c r="BT27" s="158" t="b">
        <v>0</v>
      </c>
      <c r="BU27" s="158" t="b">
        <v>0</v>
      </c>
      <c r="BV27" s="158" t="b">
        <v>0</v>
      </c>
      <c r="BW27" s="158" t="b">
        <v>0</v>
      </c>
      <c r="BX27" s="158" t="b">
        <v>0</v>
      </c>
      <c r="BY27" s="158" t="b">
        <v>0</v>
      </c>
      <c r="BZ27" s="158" t="b">
        <v>0</v>
      </c>
      <c r="CA27" s="158" t="b">
        <v>0</v>
      </c>
      <c r="CB27" s="158" t="b">
        <v>0</v>
      </c>
      <c r="CC27" s="158" t="b">
        <v>0</v>
      </c>
      <c r="CD27" s="158" t="b">
        <v>0</v>
      </c>
      <c r="CE27" s="158" t="b">
        <v>0</v>
      </c>
      <c r="CF27" s="158" t="b">
        <v>0</v>
      </c>
      <c r="CG27" s="158" t="b">
        <v>0</v>
      </c>
      <c r="CH27" s="158" t="b">
        <v>0</v>
      </c>
      <c r="CI27" s="158" t="b">
        <v>0</v>
      </c>
      <c r="CJ27" s="158" t="b">
        <v>0</v>
      </c>
      <c r="CK27" s="158" t="b">
        <v>0</v>
      </c>
      <c r="CL27" s="158" t="b">
        <v>0</v>
      </c>
      <c r="CM27" s="158" t="b">
        <v>0</v>
      </c>
      <c r="CN27" s="158" t="b">
        <v>0</v>
      </c>
      <c r="CO27" s="158" t="b">
        <v>0</v>
      </c>
      <c r="CP27" s="158" t="b">
        <v>0</v>
      </c>
      <c r="CQ27" s="158" t="b">
        <v>0</v>
      </c>
      <c r="CR27" s="158" t="b">
        <v>0</v>
      </c>
      <c r="CS27" s="158" t="b">
        <v>0</v>
      </c>
      <c r="CT27" s="158" t="b">
        <v>0</v>
      </c>
      <c r="CU27" s="158" t="b">
        <v>0</v>
      </c>
      <c r="CV27" s="158" t="b">
        <v>0</v>
      </c>
      <c r="CW27" s="158" t="b">
        <v>0</v>
      </c>
      <c r="CX27" s="158" t="b">
        <v>0</v>
      </c>
      <c r="CY27" s="158" t="b">
        <v>0</v>
      </c>
      <c r="CZ27" s="158" t="b">
        <v>0</v>
      </c>
      <c r="DA27" s="158" t="b">
        <v>0</v>
      </c>
      <c r="DB27" s="158" t="b">
        <v>0</v>
      </c>
      <c r="DC27" s="158" t="b">
        <v>0</v>
      </c>
      <c r="DD27" s="158" t="b">
        <v>0</v>
      </c>
      <c r="DE27" s="158" t="b">
        <v>0</v>
      </c>
      <c r="DF27" s="158" t="b">
        <v>0</v>
      </c>
      <c r="DG27" s="158" t="b">
        <v>0</v>
      </c>
      <c r="DH27" s="158" t="b">
        <v>0</v>
      </c>
      <c r="DI27" s="158" t="b">
        <v>0</v>
      </c>
      <c r="DJ27" s="158" t="b">
        <v>0</v>
      </c>
      <c r="DK27" s="158" t="b">
        <v>0</v>
      </c>
      <c r="DL27" s="158" t="b">
        <v>0</v>
      </c>
      <c r="DM27" s="158" t="b">
        <v>0</v>
      </c>
      <c r="DN27" s="158" t="b">
        <v>0</v>
      </c>
      <c r="DO27" s="158" t="b">
        <v>0</v>
      </c>
      <c r="DP27" s="158" t="b">
        <v>0</v>
      </c>
      <c r="DQ27" s="158" t="b">
        <v>0</v>
      </c>
      <c r="DR27" s="93" t="b">
        <v>1</v>
      </c>
      <c r="DS27" s="93" t="b">
        <v>1</v>
      </c>
      <c r="DT27" s="93" t="b">
        <v>1</v>
      </c>
      <c r="DU27" s="93" t="b">
        <v>1</v>
      </c>
      <c r="DV27" s="93" t="b">
        <v>1</v>
      </c>
      <c r="DW27" s="158" t="b">
        <v>0</v>
      </c>
      <c r="DX27" s="158" t="b">
        <v>0</v>
      </c>
      <c r="DY27" s="158" t="b">
        <v>0</v>
      </c>
      <c r="DZ27" s="158" t="b">
        <v>0</v>
      </c>
      <c r="EA27" s="158" t="b">
        <v>0</v>
      </c>
      <c r="EB27" s="158" t="b">
        <v>0</v>
      </c>
      <c r="EC27" s="93" t="b">
        <v>1</v>
      </c>
      <c r="ED27" s="158" t="b">
        <v>0</v>
      </c>
      <c r="EE27" s="158" t="b">
        <v>0</v>
      </c>
      <c r="EF27" s="158" t="b">
        <v>0</v>
      </c>
      <c r="EG27" s="158" t="b">
        <v>0</v>
      </c>
      <c r="EH27" s="158" t="b">
        <v>0</v>
      </c>
      <c r="EI27" s="158" t="b">
        <v>0</v>
      </c>
      <c r="EJ27" s="158" t="b">
        <v>0</v>
      </c>
      <c r="EK27" s="158" t="b">
        <v>0</v>
      </c>
      <c r="EL27" s="158" t="b">
        <v>0</v>
      </c>
      <c r="EM27" s="158" t="b">
        <v>0</v>
      </c>
      <c r="EN27" s="158" t="b">
        <v>0</v>
      </c>
      <c r="EO27" s="158" t="b">
        <v>0</v>
      </c>
      <c r="EP27" s="158" t="b">
        <v>0</v>
      </c>
      <c r="EQ27" s="158" t="b">
        <v>0</v>
      </c>
      <c r="ER27" s="158" t="b">
        <v>0</v>
      </c>
      <c r="ES27" s="158" t="b">
        <v>0</v>
      </c>
      <c r="ET27" s="158" t="b">
        <v>0</v>
      </c>
      <c r="EU27" s="158" t="b">
        <v>0</v>
      </c>
      <c r="EV27" s="158" t="b">
        <v>0</v>
      </c>
      <c r="EW27" s="158" t="b">
        <v>0</v>
      </c>
      <c r="EX27" s="158" t="b">
        <v>0</v>
      </c>
      <c r="EY27" s="158" t="b">
        <v>0</v>
      </c>
      <c r="EZ27" s="158" t="b">
        <v>0</v>
      </c>
      <c r="FA27" s="158" t="b">
        <v>0</v>
      </c>
      <c r="FB27" s="158" t="b">
        <v>0</v>
      </c>
      <c r="FC27" s="158" t="b">
        <v>0</v>
      </c>
      <c r="FD27" s="158" t="b">
        <v>0</v>
      </c>
      <c r="FE27" s="158" t="b">
        <v>0</v>
      </c>
      <c r="FF27" s="158" t="b">
        <v>0</v>
      </c>
      <c r="FG27" s="158" t="b">
        <v>0</v>
      </c>
      <c r="FH27" s="158" t="b">
        <v>0</v>
      </c>
      <c r="FI27" s="158" t="b">
        <v>0</v>
      </c>
      <c r="FJ27" s="158" t="b">
        <v>0</v>
      </c>
      <c r="FK27" s="158" t="b">
        <v>0</v>
      </c>
      <c r="FL27" s="158" t="b">
        <v>0</v>
      </c>
      <c r="FM27" s="158" t="b">
        <v>0</v>
      </c>
      <c r="FN27" s="158" t="b">
        <v>0</v>
      </c>
      <c r="FO27" s="158" t="b">
        <v>0</v>
      </c>
      <c r="FP27" s="158" t="b">
        <v>0</v>
      </c>
      <c r="FQ27" s="158" t="b">
        <v>0</v>
      </c>
      <c r="FR27" s="158" t="b">
        <v>0</v>
      </c>
      <c r="FS27" s="158" t="b">
        <v>0</v>
      </c>
      <c r="FT27" s="158" t="b">
        <v>0</v>
      </c>
      <c r="FU27" s="158" t="b">
        <v>0</v>
      </c>
      <c r="FV27" s="158" t="b">
        <v>0</v>
      </c>
      <c r="FW27" s="158" t="b">
        <v>0</v>
      </c>
      <c r="FX27" s="158" t="b">
        <v>0</v>
      </c>
      <c r="FY27" s="158" t="b">
        <v>0</v>
      </c>
      <c r="FZ27" s="158" t="b">
        <v>0</v>
      </c>
      <c r="GA27" s="158" t="b">
        <v>0</v>
      </c>
      <c r="GB27" s="158" t="b">
        <v>0</v>
      </c>
      <c r="GC27" s="158" t="b">
        <v>0</v>
      </c>
      <c r="GD27" s="158" t="b">
        <v>0</v>
      </c>
      <c r="GE27" s="158" t="b">
        <v>0</v>
      </c>
      <c r="GF27" s="158" t="b">
        <v>0</v>
      </c>
      <c r="GG27" s="158" t="b">
        <v>0</v>
      </c>
      <c r="GH27" s="158" t="b">
        <v>0</v>
      </c>
      <c r="GI27" s="158" t="b">
        <v>0</v>
      </c>
      <c r="GJ27" s="158" t="b">
        <v>0</v>
      </c>
      <c r="GK27" s="158" t="b">
        <v>0</v>
      </c>
      <c r="GL27" s="158" t="b">
        <v>0</v>
      </c>
      <c r="GM27" s="158" t="b">
        <v>0</v>
      </c>
      <c r="GN27" s="158" t="b">
        <v>0</v>
      </c>
      <c r="GO27" s="158" t="b">
        <v>0</v>
      </c>
      <c r="GP27" s="158" t="b">
        <v>0</v>
      </c>
      <c r="GQ27" s="158" t="b">
        <v>0</v>
      </c>
      <c r="GR27" s="158" t="b">
        <v>0</v>
      </c>
      <c r="GS27" s="158" t="b">
        <v>0</v>
      </c>
      <c r="GT27" s="158" t="b">
        <v>0</v>
      </c>
      <c r="GU27" s="158" t="b">
        <v>0</v>
      </c>
      <c r="GV27" s="158" t="b">
        <v>0</v>
      </c>
      <c r="GW27" s="158" t="b">
        <v>0</v>
      </c>
      <c r="GX27" s="158" t="b">
        <v>0</v>
      </c>
      <c r="GY27" s="158" t="b">
        <v>0</v>
      </c>
      <c r="GZ27" s="158" t="b">
        <v>0</v>
      </c>
      <c r="HA27" s="158" t="b">
        <v>0</v>
      </c>
      <c r="HB27" s="158" t="b">
        <v>0</v>
      </c>
      <c r="HC27" s="158" t="b">
        <v>0</v>
      </c>
      <c r="HD27" s="158" t="b">
        <v>0</v>
      </c>
      <c r="HE27" s="158" t="b">
        <v>0</v>
      </c>
      <c r="HF27" s="158" t="b">
        <v>0</v>
      </c>
      <c r="HG27" s="158" t="b">
        <v>0</v>
      </c>
      <c r="HH27" s="158" t="b">
        <v>0</v>
      </c>
      <c r="HI27" s="158" t="b">
        <v>0</v>
      </c>
      <c r="HJ27" s="158" t="b">
        <v>0</v>
      </c>
      <c r="HK27" s="158" t="b">
        <v>0</v>
      </c>
      <c r="HL27" s="158" t="b">
        <v>0</v>
      </c>
      <c r="HM27" s="158" t="b">
        <v>0</v>
      </c>
      <c r="HN27" s="158" t="b">
        <v>0</v>
      </c>
      <c r="HO27" s="158" t="b">
        <v>0</v>
      </c>
      <c r="HP27" s="158" t="b">
        <v>0</v>
      </c>
      <c r="HQ27" s="158" t="b">
        <v>0</v>
      </c>
      <c r="HR27" s="158" t="b">
        <v>0</v>
      </c>
      <c r="HS27" s="158" t="b">
        <v>0</v>
      </c>
      <c r="HT27" s="158" t="b">
        <v>0</v>
      </c>
      <c r="HU27" s="158" t="b">
        <v>0</v>
      </c>
      <c r="HV27" s="158" t="b">
        <v>0</v>
      </c>
      <c r="HW27" s="158" t="b">
        <v>0</v>
      </c>
      <c r="HX27" s="158" t="b">
        <v>0</v>
      </c>
      <c r="HY27" s="158" t="b">
        <v>0</v>
      </c>
      <c r="HZ27" s="158" t="b">
        <v>0</v>
      </c>
      <c r="IA27" s="158" t="b">
        <v>0</v>
      </c>
      <c r="IB27" s="158" t="b">
        <v>0</v>
      </c>
      <c r="IC27" s="158" t="b">
        <v>0</v>
      </c>
      <c r="ID27" s="158" t="b">
        <v>0</v>
      </c>
      <c r="IE27" s="158" t="b">
        <v>0</v>
      </c>
      <c r="IF27" s="158" t="b">
        <v>0</v>
      </c>
      <c r="IG27" s="158" t="b">
        <v>0</v>
      </c>
      <c r="IH27" s="158" t="b">
        <v>0</v>
      </c>
      <c r="II27" s="158" t="b">
        <v>0</v>
      </c>
      <c r="IJ27" s="158" t="b">
        <v>0</v>
      </c>
      <c r="IK27" s="158" t="b">
        <v>0</v>
      </c>
      <c r="IL27" s="158" t="b">
        <v>0</v>
      </c>
      <c r="IM27" s="158" t="b">
        <v>0</v>
      </c>
      <c r="IN27" s="158" t="b">
        <v>0</v>
      </c>
      <c r="IO27" s="158" t="b">
        <v>0</v>
      </c>
      <c r="IP27" s="158" t="b">
        <v>0</v>
      </c>
      <c r="IQ27" s="158" t="b">
        <v>0</v>
      </c>
      <c r="IR27" s="158" t="b">
        <v>0</v>
      </c>
      <c r="IS27" s="158" t="b">
        <v>0</v>
      </c>
      <c r="IT27" s="158" t="b">
        <v>0</v>
      </c>
      <c r="IU27" s="158" t="b">
        <v>0</v>
      </c>
      <c r="IV27" s="158" t="b">
        <v>0</v>
      </c>
      <c r="IW27" s="158" t="b">
        <v>0</v>
      </c>
      <c r="IX27" s="158" t="b">
        <v>0</v>
      </c>
      <c r="IY27" s="158" t="b">
        <v>0</v>
      </c>
      <c r="IZ27" s="158" t="b">
        <v>0</v>
      </c>
      <c r="JA27" s="158" t="b">
        <v>0</v>
      </c>
      <c r="JB27" s="158" t="b">
        <v>0</v>
      </c>
      <c r="JC27" s="158" t="b">
        <v>0</v>
      </c>
      <c r="JD27" s="158" t="b">
        <v>0</v>
      </c>
      <c r="JE27" s="158" t="b">
        <v>0</v>
      </c>
      <c r="JF27" s="158" t="b">
        <v>0</v>
      </c>
      <c r="JG27" s="158" t="b">
        <v>0</v>
      </c>
      <c r="JH27" s="158" t="b">
        <v>0</v>
      </c>
      <c r="JI27" s="158" t="b">
        <v>0</v>
      </c>
      <c r="JJ27" s="158" t="b">
        <v>0</v>
      </c>
      <c r="JK27" s="158" t="b">
        <v>0</v>
      </c>
      <c r="JL27" s="158" t="b">
        <v>0</v>
      </c>
      <c r="JM27" s="158" t="b">
        <v>0</v>
      </c>
      <c r="JN27" s="158" t="b">
        <v>0</v>
      </c>
      <c r="JO27" s="158" t="b">
        <v>0</v>
      </c>
      <c r="JP27" s="158" t="b">
        <v>0</v>
      </c>
      <c r="JQ27" s="158" t="b">
        <v>0</v>
      </c>
      <c r="JR27" s="158" t="b">
        <v>0</v>
      </c>
      <c r="JS27" s="158" t="b">
        <v>0</v>
      </c>
      <c r="JT27" s="158" t="b">
        <v>0</v>
      </c>
      <c r="JU27" s="158" t="b">
        <v>0</v>
      </c>
      <c r="JV27" s="158" t="b">
        <v>0</v>
      </c>
      <c r="JW27" s="158" t="b">
        <v>0</v>
      </c>
      <c r="JX27" s="158" t="b">
        <v>0</v>
      </c>
      <c r="JY27" s="158" t="b">
        <v>0</v>
      </c>
      <c r="JZ27" s="158" t="b">
        <v>0</v>
      </c>
      <c r="KA27" s="158" t="b">
        <v>0</v>
      </c>
      <c r="KB27" s="158" t="b">
        <v>0</v>
      </c>
      <c r="KC27" s="158" t="b">
        <v>0</v>
      </c>
      <c r="KD27" s="158" t="b">
        <v>0</v>
      </c>
      <c r="KE27" s="158" t="b">
        <v>0</v>
      </c>
      <c r="KF27" s="158" t="b">
        <v>0</v>
      </c>
      <c r="KG27" s="158" t="b">
        <v>0</v>
      </c>
      <c r="KH27" s="158" t="b">
        <v>0</v>
      </c>
      <c r="KI27" s="158" t="b">
        <v>0</v>
      </c>
      <c r="KJ27" s="158" t="b">
        <v>0</v>
      </c>
      <c r="KK27" s="158" t="b">
        <v>0</v>
      </c>
      <c r="KL27" s="158" t="b">
        <v>0</v>
      </c>
      <c r="KM27" s="158" t="b">
        <v>0</v>
      </c>
      <c r="KN27" s="158" t="b">
        <v>0</v>
      </c>
      <c r="KO27" s="158" t="b">
        <v>0</v>
      </c>
      <c r="KP27" s="158" t="b">
        <v>0</v>
      </c>
      <c r="KQ27" s="158" t="b">
        <v>0</v>
      </c>
      <c r="KR27" s="158" t="b">
        <v>0</v>
      </c>
      <c r="KS27" s="158" t="b">
        <v>0</v>
      </c>
      <c r="KT27" s="158" t="b">
        <v>0</v>
      </c>
      <c r="KU27" s="158" t="b">
        <v>0</v>
      </c>
      <c r="KV27" s="158" t="b">
        <v>0</v>
      </c>
      <c r="KW27" s="158" t="b">
        <v>0</v>
      </c>
      <c r="KX27" s="158" t="b">
        <v>0</v>
      </c>
      <c r="KY27" s="158" t="b">
        <v>0</v>
      </c>
      <c r="KZ27" s="158" t="b">
        <v>0</v>
      </c>
      <c r="LA27" s="158" t="b">
        <v>0</v>
      </c>
      <c r="LB27" s="158" t="b">
        <v>0</v>
      </c>
      <c r="LC27" s="158" t="b">
        <v>0</v>
      </c>
      <c r="LD27" s="158" t="b">
        <v>0</v>
      </c>
      <c r="LE27" s="158" t="b">
        <v>0</v>
      </c>
      <c r="LF27" s="158" t="b">
        <v>0</v>
      </c>
      <c r="LG27" s="158" t="b">
        <v>0</v>
      </c>
      <c r="LH27" s="158" t="b">
        <v>0</v>
      </c>
      <c r="LI27" s="158" t="b">
        <v>0</v>
      </c>
      <c r="LJ27" s="158" t="b">
        <v>0</v>
      </c>
      <c r="LK27" s="158" t="b">
        <v>0</v>
      </c>
      <c r="LL27" s="158" t="b">
        <v>0</v>
      </c>
      <c r="LM27" s="158" t="b">
        <v>0</v>
      </c>
      <c r="LN27" s="158" t="b">
        <v>0</v>
      </c>
      <c r="LO27" s="158" t="b">
        <v>0</v>
      </c>
      <c r="LP27" s="158" t="b">
        <v>0</v>
      </c>
      <c r="LQ27" s="158" t="b">
        <v>0</v>
      </c>
      <c r="LR27" s="158" t="b">
        <v>0</v>
      </c>
      <c r="LS27" s="158" t="b">
        <v>0</v>
      </c>
      <c r="LT27" s="158" t="b">
        <v>0</v>
      </c>
      <c r="LU27" s="158" t="b">
        <v>0</v>
      </c>
      <c r="LV27" s="158" t="b">
        <v>0</v>
      </c>
      <c r="LW27" s="158" t="b">
        <v>0</v>
      </c>
      <c r="LX27" s="158" t="b">
        <v>0</v>
      </c>
      <c r="LY27" s="158" t="b">
        <v>0</v>
      </c>
      <c r="LZ27" s="158" t="b">
        <v>0</v>
      </c>
      <c r="MA27" s="158" t="b">
        <v>0</v>
      </c>
      <c r="MB27" s="158" t="b">
        <v>0</v>
      </c>
      <c r="MC27" s="158" t="b">
        <v>0</v>
      </c>
      <c r="MD27" s="158" t="b">
        <v>0</v>
      </c>
      <c r="ME27" s="158" t="b">
        <v>0</v>
      </c>
      <c r="MF27" s="158" t="b">
        <v>0</v>
      </c>
      <c r="MG27" s="158" t="b">
        <v>0</v>
      </c>
      <c r="MH27" s="158" t="b">
        <v>0</v>
      </c>
      <c r="MI27" s="158" t="b">
        <v>0</v>
      </c>
      <c r="MJ27" s="158" t="b">
        <v>0</v>
      </c>
      <c r="MK27" s="158" t="b">
        <v>0</v>
      </c>
      <c r="ML27" s="158" t="b">
        <v>0</v>
      </c>
      <c r="MM27" s="158" t="b">
        <v>0</v>
      </c>
      <c r="MN27" s="158" t="b">
        <v>0</v>
      </c>
      <c r="MO27" s="158" t="b">
        <v>0</v>
      </c>
      <c r="MP27" s="158" t="b">
        <v>0</v>
      </c>
      <c r="MQ27" s="158" t="b">
        <v>0</v>
      </c>
      <c r="MR27" s="158" t="b">
        <v>0</v>
      </c>
      <c r="MS27" s="158" t="b">
        <v>0</v>
      </c>
      <c r="MT27" s="158" t="b">
        <v>0</v>
      </c>
      <c r="MU27" s="158" t="b">
        <v>0</v>
      </c>
      <c r="MV27" s="158" t="b">
        <v>0</v>
      </c>
      <c r="MW27" s="158" t="b">
        <v>0</v>
      </c>
      <c r="MX27" s="158" t="b">
        <v>0</v>
      </c>
      <c r="MY27" s="158" t="b">
        <v>0</v>
      </c>
      <c r="MZ27" s="158" t="b">
        <v>0</v>
      </c>
      <c r="NA27" s="158" t="b">
        <v>0</v>
      </c>
      <c r="NB27" s="158" t="b">
        <v>0</v>
      </c>
      <c r="NC27" s="158" t="b">
        <v>0</v>
      </c>
      <c r="ND27" s="158" t="b">
        <v>0</v>
      </c>
      <c r="NE27" s="158" t="b">
        <v>0</v>
      </c>
      <c r="NF27" s="158" t="b">
        <v>0</v>
      </c>
      <c r="NG27" s="158" t="b">
        <v>0</v>
      </c>
      <c r="NH27" s="158" t="b">
        <v>0</v>
      </c>
      <c r="NI27" s="158" t="b">
        <v>0</v>
      </c>
      <c r="NJ27" s="158" t="b">
        <v>0</v>
      </c>
      <c r="NK27" s="158" t="b">
        <v>0</v>
      </c>
      <c r="NL27" s="158" t="b">
        <v>0</v>
      </c>
      <c r="NM27" s="158" t="b">
        <v>0</v>
      </c>
      <c r="NN27" s="158" t="b">
        <v>0</v>
      </c>
      <c r="NO27" s="158" t="b">
        <v>0</v>
      </c>
    </row>
    <row r="28" spans="1:379" ht="29.25" x14ac:dyDescent="0.4">
      <c r="A28" s="511" t="str">
        <v>Caffe Duomo/Torelli</v>
      </c>
      <c r="B28" s="158" t="b">
        <v>0</v>
      </c>
      <c r="C28" s="158" t="b">
        <v>0</v>
      </c>
      <c r="D28" s="158" t="b">
        <v>0</v>
      </c>
      <c r="E28" s="158" t="b">
        <v>0</v>
      </c>
      <c r="F28" s="158" t="b">
        <v>0</v>
      </c>
      <c r="G28" s="93" t="b">
        <v>0</v>
      </c>
      <c r="H28" s="93" t="b">
        <v>0</v>
      </c>
      <c r="I28" s="93" t="b">
        <v>0</v>
      </c>
      <c r="J28" s="158" t="b">
        <v>0</v>
      </c>
      <c r="K28" s="158" t="b">
        <v>0</v>
      </c>
      <c r="L28" s="158" t="b">
        <v>0</v>
      </c>
      <c r="M28" s="158" t="b">
        <v>0</v>
      </c>
      <c r="N28" s="158" t="b">
        <v>0</v>
      </c>
      <c r="O28" s="158" t="b">
        <v>0</v>
      </c>
      <c r="P28" s="158" t="b">
        <v>0</v>
      </c>
      <c r="Q28" s="158" t="b">
        <v>0</v>
      </c>
      <c r="R28" s="158" t="b">
        <v>0</v>
      </c>
      <c r="S28" s="158" t="b">
        <v>0</v>
      </c>
      <c r="T28" s="158" t="b">
        <v>0</v>
      </c>
      <c r="U28" s="158" t="b">
        <v>0</v>
      </c>
      <c r="V28" s="158" t="b">
        <v>0</v>
      </c>
      <c r="W28" s="158" t="b">
        <v>0</v>
      </c>
      <c r="X28" s="158" t="b">
        <v>0</v>
      </c>
      <c r="Y28" s="158" t="b">
        <v>0</v>
      </c>
      <c r="Z28" s="158" t="b">
        <v>0</v>
      </c>
      <c r="AA28" s="158" t="b">
        <v>0</v>
      </c>
      <c r="AB28" s="158" t="b">
        <v>0</v>
      </c>
      <c r="AC28" s="158" t="b">
        <v>0</v>
      </c>
      <c r="AD28" s="158" t="b">
        <v>0</v>
      </c>
      <c r="AE28" s="158" t="b">
        <v>0</v>
      </c>
      <c r="AF28" s="158" t="b">
        <v>0</v>
      </c>
      <c r="AG28" s="158" t="b">
        <v>0</v>
      </c>
      <c r="AH28" s="158" t="b">
        <v>0</v>
      </c>
      <c r="AI28" s="158" t="b">
        <v>0</v>
      </c>
      <c r="AJ28" s="158" t="b">
        <v>0</v>
      </c>
      <c r="AK28" s="158" t="b">
        <v>0</v>
      </c>
      <c r="AL28" s="158" t="b">
        <v>0</v>
      </c>
      <c r="AM28" s="158" t="b">
        <v>0</v>
      </c>
      <c r="AN28" s="158" t="b">
        <v>0</v>
      </c>
      <c r="AO28" s="158" t="b">
        <v>0</v>
      </c>
      <c r="AP28" s="158" t="b">
        <v>0</v>
      </c>
      <c r="AQ28" s="158" t="b">
        <v>0</v>
      </c>
      <c r="AR28" s="158" t="b">
        <v>0</v>
      </c>
      <c r="AS28" s="158" t="b">
        <v>0</v>
      </c>
      <c r="AT28" s="158" t="b">
        <v>0</v>
      </c>
      <c r="AU28" s="158" t="b">
        <v>0</v>
      </c>
      <c r="AV28" s="158" t="b">
        <v>0</v>
      </c>
      <c r="AW28" s="158" t="b">
        <v>0</v>
      </c>
      <c r="AX28" s="158" t="b">
        <v>0</v>
      </c>
      <c r="AY28" s="158" t="b">
        <v>0</v>
      </c>
      <c r="AZ28" s="158" t="b">
        <v>0</v>
      </c>
      <c r="BA28" s="158" t="b">
        <v>0</v>
      </c>
      <c r="BB28" s="158" t="b">
        <v>0</v>
      </c>
      <c r="BC28" s="158" t="b">
        <v>0</v>
      </c>
      <c r="BD28" s="158" t="b">
        <v>0</v>
      </c>
      <c r="BE28" s="158" t="b">
        <v>0</v>
      </c>
      <c r="BF28" s="158" t="b">
        <v>0</v>
      </c>
      <c r="BG28" s="158" t="b">
        <v>0</v>
      </c>
      <c r="BH28" s="158" t="b">
        <v>0</v>
      </c>
      <c r="BI28" s="158" t="b">
        <v>0</v>
      </c>
      <c r="BJ28" s="158" t="b">
        <v>0</v>
      </c>
      <c r="BK28" s="158" t="b">
        <v>0</v>
      </c>
      <c r="BL28" s="158" t="b">
        <v>0</v>
      </c>
      <c r="BM28" s="158" t="b">
        <v>0</v>
      </c>
      <c r="BN28" s="158" t="b">
        <v>0</v>
      </c>
      <c r="BO28" s="158" t="b">
        <v>0</v>
      </c>
      <c r="BP28" s="158" t="b">
        <v>0</v>
      </c>
      <c r="BQ28" s="158" t="b">
        <v>0</v>
      </c>
      <c r="BR28" s="158" t="b">
        <v>0</v>
      </c>
      <c r="BS28" s="158" t="b">
        <v>0</v>
      </c>
      <c r="BT28" s="158" t="b">
        <v>0</v>
      </c>
      <c r="BU28" s="158" t="b">
        <v>0</v>
      </c>
      <c r="BV28" s="158" t="b">
        <v>0</v>
      </c>
      <c r="BW28" s="158" t="b">
        <v>0</v>
      </c>
      <c r="BX28" s="158" t="b">
        <v>0</v>
      </c>
      <c r="BY28" s="158" t="b">
        <v>0</v>
      </c>
      <c r="BZ28" s="158" t="b">
        <v>0</v>
      </c>
      <c r="CA28" s="158" t="b">
        <v>0</v>
      </c>
      <c r="CB28" s="158" t="b">
        <v>0</v>
      </c>
      <c r="CC28" s="158" t="b">
        <v>0</v>
      </c>
      <c r="CD28" s="158" t="b">
        <v>0</v>
      </c>
      <c r="CE28" s="158" t="b">
        <v>0</v>
      </c>
      <c r="CF28" s="158" t="b">
        <v>0</v>
      </c>
      <c r="CG28" s="158" t="b">
        <v>0</v>
      </c>
      <c r="CH28" s="158" t="b">
        <v>0</v>
      </c>
      <c r="CI28" s="158" t="b">
        <v>0</v>
      </c>
      <c r="CJ28" s="158" t="b">
        <v>0</v>
      </c>
      <c r="CK28" s="158" t="b">
        <v>0</v>
      </c>
      <c r="CL28" s="158" t="b">
        <v>0</v>
      </c>
      <c r="CM28" s="158" t="b">
        <v>0</v>
      </c>
      <c r="CN28" s="158" t="b">
        <v>0</v>
      </c>
      <c r="CO28" s="158" t="b">
        <v>0</v>
      </c>
      <c r="CP28" s="158" t="b">
        <v>0</v>
      </c>
      <c r="CQ28" s="158" t="b">
        <v>0</v>
      </c>
      <c r="CR28" s="158" t="b">
        <v>0</v>
      </c>
      <c r="CS28" s="158" t="b">
        <v>0</v>
      </c>
      <c r="CT28" s="158" t="b">
        <v>0</v>
      </c>
      <c r="CU28" s="158" t="b">
        <v>0</v>
      </c>
      <c r="CV28" s="158" t="b">
        <v>0</v>
      </c>
      <c r="CW28" s="158" t="b">
        <v>0</v>
      </c>
      <c r="CX28" s="158" t="b">
        <v>0</v>
      </c>
      <c r="CY28" s="158" t="b">
        <v>0</v>
      </c>
      <c r="CZ28" s="158" t="b">
        <v>0</v>
      </c>
      <c r="DA28" s="158" t="b">
        <v>0</v>
      </c>
      <c r="DB28" s="158" t="b">
        <v>0</v>
      </c>
      <c r="DC28" s="158" t="b">
        <v>0</v>
      </c>
      <c r="DD28" s="158" t="b">
        <v>0</v>
      </c>
      <c r="DE28" s="158" t="b">
        <v>0</v>
      </c>
      <c r="DF28" s="158" t="b">
        <v>0</v>
      </c>
      <c r="DG28" s="158" t="b">
        <v>0</v>
      </c>
      <c r="DH28" s="158" t="b">
        <v>0</v>
      </c>
      <c r="DI28" s="158" t="b">
        <v>0</v>
      </c>
      <c r="DJ28" s="158" t="b">
        <v>0</v>
      </c>
      <c r="DK28" s="158" t="b">
        <v>0</v>
      </c>
      <c r="DL28" s="158" t="b">
        <v>0</v>
      </c>
      <c r="DM28" s="158" t="b">
        <v>0</v>
      </c>
      <c r="DN28" s="158" t="b">
        <v>0</v>
      </c>
      <c r="DO28" s="158" t="b">
        <v>0</v>
      </c>
      <c r="DP28" s="158" t="b">
        <v>0</v>
      </c>
      <c r="DQ28" s="158" t="b">
        <v>0</v>
      </c>
      <c r="DR28" s="93" t="b">
        <v>1</v>
      </c>
      <c r="DS28" s="93" t="b">
        <v>1</v>
      </c>
      <c r="DT28" s="93" t="b">
        <v>1</v>
      </c>
      <c r="DU28" s="93" t="b">
        <v>1</v>
      </c>
      <c r="DV28" s="93" t="b">
        <v>1</v>
      </c>
      <c r="DW28" s="158" t="b">
        <v>0</v>
      </c>
      <c r="DX28" s="158" t="b">
        <v>0</v>
      </c>
      <c r="DY28" s="158" t="b">
        <v>0</v>
      </c>
      <c r="DZ28" s="158" t="b">
        <v>0</v>
      </c>
      <c r="EA28" s="158" t="b">
        <v>0</v>
      </c>
      <c r="EB28" s="158" t="b">
        <v>0</v>
      </c>
      <c r="EC28" s="158" t="b">
        <v>0</v>
      </c>
      <c r="ED28" s="158" t="b">
        <v>0</v>
      </c>
      <c r="EE28" s="158" t="b">
        <v>0</v>
      </c>
      <c r="EF28" s="158" t="b">
        <v>0</v>
      </c>
      <c r="EG28" s="158" t="b">
        <v>0</v>
      </c>
      <c r="EH28" s="158" t="b">
        <v>0</v>
      </c>
      <c r="EI28" s="158" t="b">
        <v>0</v>
      </c>
      <c r="EJ28" s="158" t="b">
        <v>0</v>
      </c>
      <c r="EK28" s="158" t="b">
        <v>0</v>
      </c>
      <c r="EL28" s="158" t="b">
        <v>0</v>
      </c>
      <c r="EM28" s="158" t="b">
        <v>0</v>
      </c>
      <c r="EN28" s="158" t="b">
        <v>0</v>
      </c>
      <c r="EO28" s="158" t="b">
        <v>0</v>
      </c>
      <c r="EP28" s="158" t="b">
        <v>0</v>
      </c>
      <c r="EQ28" s="158" t="b">
        <v>0</v>
      </c>
      <c r="ER28" s="158" t="b">
        <v>0</v>
      </c>
      <c r="ES28" s="158" t="b">
        <v>0</v>
      </c>
      <c r="ET28" s="158" t="b">
        <v>0</v>
      </c>
      <c r="EU28" s="158" t="b">
        <v>0</v>
      </c>
      <c r="EV28" s="158" t="b">
        <v>0</v>
      </c>
      <c r="EW28" s="158" t="b">
        <v>0</v>
      </c>
      <c r="EX28" s="158" t="b">
        <v>0</v>
      </c>
      <c r="EY28" s="158" t="b">
        <v>0</v>
      </c>
      <c r="EZ28" s="158" t="b">
        <v>0</v>
      </c>
      <c r="FA28" s="158" t="b">
        <v>0</v>
      </c>
      <c r="FB28" s="158" t="b">
        <v>0</v>
      </c>
      <c r="FC28" s="158" t="b">
        <v>0</v>
      </c>
      <c r="FD28" s="158" t="b">
        <v>0</v>
      </c>
      <c r="FE28" s="158" t="b">
        <v>0</v>
      </c>
      <c r="FF28" s="158" t="b">
        <v>0</v>
      </c>
      <c r="FG28" s="158" t="b">
        <v>0</v>
      </c>
      <c r="FH28" s="158" t="b">
        <v>0</v>
      </c>
      <c r="FI28" s="158" t="b">
        <v>0</v>
      </c>
      <c r="FJ28" s="158" t="b">
        <v>0</v>
      </c>
      <c r="FK28" s="158" t="b">
        <v>0</v>
      </c>
      <c r="FL28" s="158" t="b">
        <v>0</v>
      </c>
      <c r="FM28" s="158" t="b">
        <v>0</v>
      </c>
      <c r="FN28" s="158" t="b">
        <v>0</v>
      </c>
      <c r="FO28" s="158" t="b">
        <v>0</v>
      </c>
      <c r="FP28" s="158" t="b">
        <v>0</v>
      </c>
      <c r="FQ28" s="158" t="b">
        <v>0</v>
      </c>
      <c r="FR28" s="158" t="b">
        <v>0</v>
      </c>
      <c r="FS28" s="158" t="b">
        <v>0</v>
      </c>
      <c r="FT28" s="158" t="b">
        <v>0</v>
      </c>
      <c r="FU28" s="158" t="b">
        <v>0</v>
      </c>
      <c r="FV28" s="158" t="b">
        <v>0</v>
      </c>
      <c r="FW28" s="158" t="b">
        <v>0</v>
      </c>
      <c r="FX28" s="158" t="b">
        <v>0</v>
      </c>
      <c r="FY28" s="158" t="b">
        <v>0</v>
      </c>
      <c r="FZ28" s="158" t="b">
        <v>0</v>
      </c>
      <c r="GA28" s="158" t="b">
        <v>0</v>
      </c>
      <c r="GB28" s="158" t="b">
        <v>0</v>
      </c>
      <c r="GC28" s="158" t="b">
        <v>0</v>
      </c>
      <c r="GD28" s="158" t="b">
        <v>0</v>
      </c>
      <c r="GE28" s="158" t="b">
        <v>0</v>
      </c>
      <c r="GF28" s="158" t="b">
        <v>0</v>
      </c>
      <c r="GG28" s="158" t="b">
        <v>0</v>
      </c>
      <c r="GH28" s="158" t="b">
        <v>0</v>
      </c>
      <c r="GI28" s="158" t="b">
        <v>0</v>
      </c>
      <c r="GJ28" s="158" t="b">
        <v>0</v>
      </c>
      <c r="GK28" s="158" t="b">
        <v>0</v>
      </c>
      <c r="GL28" s="158" t="b">
        <v>0</v>
      </c>
      <c r="GM28" s="158" t="b">
        <v>0</v>
      </c>
      <c r="GN28" s="158" t="b">
        <v>0</v>
      </c>
      <c r="GO28" s="158" t="b">
        <v>0</v>
      </c>
      <c r="GP28" s="158" t="b">
        <v>0</v>
      </c>
      <c r="GQ28" s="158" t="b">
        <v>0</v>
      </c>
      <c r="GR28" s="158" t="b">
        <v>0</v>
      </c>
      <c r="GS28" s="158" t="b">
        <v>0</v>
      </c>
      <c r="GT28" s="158" t="b">
        <v>0</v>
      </c>
      <c r="GU28" s="158" t="b">
        <v>0</v>
      </c>
      <c r="GV28" s="158" t="b">
        <v>0</v>
      </c>
      <c r="GW28" s="158" t="b">
        <v>0</v>
      </c>
      <c r="GX28" s="158" t="b">
        <v>0</v>
      </c>
      <c r="GY28" s="158" t="b">
        <v>0</v>
      </c>
      <c r="GZ28" s="158" t="b">
        <v>0</v>
      </c>
      <c r="HA28" s="158" t="b">
        <v>0</v>
      </c>
      <c r="HB28" s="158" t="b">
        <v>0</v>
      </c>
      <c r="HC28" s="158" t="b">
        <v>0</v>
      </c>
      <c r="HD28" s="158" t="b">
        <v>0</v>
      </c>
      <c r="HE28" s="158" t="b">
        <v>0</v>
      </c>
      <c r="HF28" s="158" t="b">
        <v>0</v>
      </c>
      <c r="HG28" s="158" t="b">
        <v>0</v>
      </c>
      <c r="HH28" s="158" t="b">
        <v>0</v>
      </c>
      <c r="HI28" s="158" t="b">
        <v>0</v>
      </c>
      <c r="HJ28" s="158" t="b">
        <v>0</v>
      </c>
      <c r="HK28" s="158" t="b">
        <v>0</v>
      </c>
      <c r="HL28" s="158" t="b">
        <v>0</v>
      </c>
      <c r="HM28" s="158" t="b">
        <v>0</v>
      </c>
      <c r="HN28" s="158" t="b">
        <v>0</v>
      </c>
      <c r="HO28" s="158" t="b">
        <v>0</v>
      </c>
      <c r="HP28" s="158" t="b">
        <v>0</v>
      </c>
      <c r="HQ28" s="158" t="b">
        <v>0</v>
      </c>
      <c r="HR28" s="158" t="b">
        <v>0</v>
      </c>
      <c r="HS28" s="158" t="b">
        <v>0</v>
      </c>
      <c r="HT28" s="158" t="b">
        <v>0</v>
      </c>
      <c r="HU28" s="158" t="b">
        <v>0</v>
      </c>
      <c r="HV28" s="158" t="b">
        <v>0</v>
      </c>
      <c r="HW28" s="158" t="b">
        <v>0</v>
      </c>
      <c r="HX28" s="158" t="b">
        <v>0</v>
      </c>
      <c r="HY28" s="158" t="b">
        <v>0</v>
      </c>
      <c r="HZ28" s="158" t="b">
        <v>0</v>
      </c>
      <c r="IA28" s="158" t="b">
        <v>0</v>
      </c>
      <c r="IB28" s="158" t="b">
        <v>0</v>
      </c>
      <c r="IC28" s="158" t="b">
        <v>0</v>
      </c>
      <c r="ID28" s="158" t="b">
        <v>0</v>
      </c>
      <c r="IE28" s="158" t="b">
        <v>0</v>
      </c>
      <c r="IF28" s="158" t="b">
        <v>0</v>
      </c>
      <c r="IG28" s="158" t="b">
        <v>0</v>
      </c>
      <c r="IH28" s="158" t="b">
        <v>0</v>
      </c>
      <c r="II28" s="158" t="b">
        <v>0</v>
      </c>
      <c r="IJ28" s="158" t="b">
        <v>0</v>
      </c>
      <c r="IK28" s="158" t="b">
        <v>0</v>
      </c>
      <c r="IL28" s="158" t="b">
        <v>0</v>
      </c>
      <c r="IM28" s="158" t="b">
        <v>0</v>
      </c>
      <c r="IN28" s="158" t="b">
        <v>0</v>
      </c>
      <c r="IO28" s="158" t="b">
        <v>0</v>
      </c>
      <c r="IP28" s="158" t="b">
        <v>0</v>
      </c>
      <c r="IQ28" s="158" t="b">
        <v>0</v>
      </c>
      <c r="IR28" s="158" t="b">
        <v>0</v>
      </c>
      <c r="IS28" s="158" t="b">
        <v>0</v>
      </c>
      <c r="IT28" s="158" t="b">
        <v>0</v>
      </c>
      <c r="IU28" s="158" t="b">
        <v>0</v>
      </c>
      <c r="IV28" s="158" t="b">
        <v>0</v>
      </c>
      <c r="IW28" s="158" t="b">
        <v>0</v>
      </c>
      <c r="IX28" s="158" t="b">
        <v>0</v>
      </c>
      <c r="IY28" s="158" t="b">
        <v>0</v>
      </c>
      <c r="IZ28" s="158" t="b">
        <v>0</v>
      </c>
      <c r="JA28" s="158" t="b">
        <v>0</v>
      </c>
      <c r="JB28" s="158" t="b">
        <v>0</v>
      </c>
      <c r="JC28" s="158" t="b">
        <v>0</v>
      </c>
      <c r="JD28" s="158" t="b">
        <v>0</v>
      </c>
      <c r="JE28" s="158" t="b">
        <v>0</v>
      </c>
      <c r="JF28" s="158" t="b">
        <v>0</v>
      </c>
      <c r="JG28" s="158" t="b">
        <v>0</v>
      </c>
      <c r="JH28" s="158" t="b">
        <v>0</v>
      </c>
      <c r="JI28" s="158" t="b">
        <v>0</v>
      </c>
      <c r="JJ28" s="158" t="b">
        <v>0</v>
      </c>
      <c r="JK28" s="158" t="b">
        <v>0</v>
      </c>
      <c r="JL28" s="158" t="b">
        <v>0</v>
      </c>
      <c r="JM28" s="158" t="b">
        <v>0</v>
      </c>
      <c r="JN28" s="158" t="b">
        <v>0</v>
      </c>
      <c r="JO28" s="158" t="b">
        <v>0</v>
      </c>
      <c r="JP28" s="158" t="b">
        <v>0</v>
      </c>
      <c r="JQ28" s="158" t="b">
        <v>0</v>
      </c>
      <c r="JR28" s="158" t="b">
        <v>0</v>
      </c>
      <c r="JS28" s="158" t="b">
        <v>0</v>
      </c>
      <c r="JT28" s="158" t="b">
        <v>0</v>
      </c>
      <c r="JU28" s="158" t="b">
        <v>0</v>
      </c>
      <c r="JV28" s="158" t="b">
        <v>0</v>
      </c>
      <c r="JW28" s="158" t="b">
        <v>0</v>
      </c>
      <c r="JX28" s="158" t="b">
        <v>0</v>
      </c>
      <c r="JY28" s="158" t="b">
        <v>0</v>
      </c>
      <c r="JZ28" s="158" t="b">
        <v>0</v>
      </c>
      <c r="KA28" s="158" t="b">
        <v>0</v>
      </c>
      <c r="KB28" s="158" t="b">
        <v>0</v>
      </c>
      <c r="KC28" s="158" t="b">
        <v>0</v>
      </c>
      <c r="KD28" s="158" t="b">
        <v>0</v>
      </c>
      <c r="KE28" s="158" t="b">
        <v>0</v>
      </c>
      <c r="KF28" s="158" t="b">
        <v>0</v>
      </c>
      <c r="KG28" s="158" t="b">
        <v>0</v>
      </c>
      <c r="KH28" s="158" t="b">
        <v>0</v>
      </c>
      <c r="KI28" s="158" t="b">
        <v>0</v>
      </c>
      <c r="KJ28" s="158" t="b">
        <v>0</v>
      </c>
      <c r="KK28" s="158" t="b">
        <v>0</v>
      </c>
      <c r="KL28" s="158" t="b">
        <v>0</v>
      </c>
      <c r="KM28" s="158" t="b">
        <v>0</v>
      </c>
      <c r="KN28" s="158" t="b">
        <v>0</v>
      </c>
      <c r="KO28" s="158" t="b">
        <v>0</v>
      </c>
      <c r="KP28" s="158" t="b">
        <v>0</v>
      </c>
      <c r="KQ28" s="158" t="b">
        <v>0</v>
      </c>
      <c r="KR28" s="158" t="b">
        <v>0</v>
      </c>
      <c r="KS28" s="158" t="b">
        <v>0</v>
      </c>
      <c r="KT28" s="158" t="b">
        <v>0</v>
      </c>
      <c r="KU28" s="158" t="b">
        <v>0</v>
      </c>
      <c r="KV28" s="158" t="b">
        <v>0</v>
      </c>
      <c r="KW28" s="158" t="b">
        <v>0</v>
      </c>
      <c r="KX28" s="158" t="b">
        <v>0</v>
      </c>
      <c r="KY28" s="158" t="b">
        <v>0</v>
      </c>
      <c r="KZ28" s="158" t="b">
        <v>0</v>
      </c>
      <c r="LA28" s="158" t="b">
        <v>0</v>
      </c>
      <c r="LB28" s="158" t="b">
        <v>0</v>
      </c>
      <c r="LC28" s="158" t="b">
        <v>0</v>
      </c>
      <c r="LD28" s="158" t="b">
        <v>0</v>
      </c>
      <c r="LE28" s="158" t="b">
        <v>0</v>
      </c>
      <c r="LF28" s="158" t="b">
        <v>0</v>
      </c>
      <c r="LG28" s="158" t="b">
        <v>0</v>
      </c>
      <c r="LH28" s="158" t="b">
        <v>0</v>
      </c>
      <c r="LI28" s="158" t="b">
        <v>0</v>
      </c>
      <c r="LJ28" s="158" t="b">
        <v>0</v>
      </c>
      <c r="LK28" s="158" t="b">
        <v>0</v>
      </c>
      <c r="LL28" s="158" t="b">
        <v>0</v>
      </c>
      <c r="LM28" s="158" t="b">
        <v>0</v>
      </c>
      <c r="LN28" s="158" t="b">
        <v>0</v>
      </c>
      <c r="LO28" s="158" t="b">
        <v>0</v>
      </c>
      <c r="LP28" s="158" t="b">
        <v>0</v>
      </c>
      <c r="LQ28" s="158" t="b">
        <v>0</v>
      </c>
      <c r="LR28" s="158" t="b">
        <v>0</v>
      </c>
      <c r="LS28" s="158" t="b">
        <v>0</v>
      </c>
      <c r="LT28" s="158" t="b">
        <v>0</v>
      </c>
      <c r="LU28" s="158" t="b">
        <v>0</v>
      </c>
      <c r="LV28" s="158" t="b">
        <v>0</v>
      </c>
      <c r="LW28" s="158" t="b">
        <v>0</v>
      </c>
      <c r="LX28" s="158" t="b">
        <v>0</v>
      </c>
      <c r="LY28" s="158" t="b">
        <v>0</v>
      </c>
      <c r="LZ28" s="158" t="b">
        <v>0</v>
      </c>
      <c r="MA28" s="158" t="b">
        <v>0</v>
      </c>
      <c r="MB28" s="158" t="b">
        <v>0</v>
      </c>
      <c r="MC28" s="158" t="b">
        <v>0</v>
      </c>
      <c r="MD28" s="158" t="b">
        <v>0</v>
      </c>
      <c r="ME28" s="158" t="b">
        <v>0</v>
      </c>
      <c r="MF28" s="158" t="b">
        <v>0</v>
      </c>
      <c r="MG28" s="158" t="b">
        <v>0</v>
      </c>
      <c r="MH28" s="158" t="b">
        <v>0</v>
      </c>
      <c r="MI28" s="158" t="b">
        <v>0</v>
      </c>
      <c r="MJ28" s="158" t="b">
        <v>0</v>
      </c>
      <c r="MK28" s="158" t="b">
        <v>0</v>
      </c>
      <c r="ML28" s="158" t="b">
        <v>0</v>
      </c>
      <c r="MM28" s="158" t="b">
        <v>0</v>
      </c>
      <c r="MN28" s="158" t="b">
        <v>0</v>
      </c>
      <c r="MO28" s="158" t="b">
        <v>0</v>
      </c>
      <c r="MP28" s="158" t="b">
        <v>0</v>
      </c>
      <c r="MQ28" s="158" t="b">
        <v>0</v>
      </c>
      <c r="MR28" s="158" t="b">
        <v>0</v>
      </c>
      <c r="MS28" s="158" t="b">
        <v>0</v>
      </c>
      <c r="MT28" s="158" t="b">
        <v>0</v>
      </c>
      <c r="MU28" s="158" t="b">
        <v>0</v>
      </c>
      <c r="MV28" s="158" t="b">
        <v>0</v>
      </c>
      <c r="MW28" s="158" t="b">
        <v>0</v>
      </c>
      <c r="MX28" s="158" t="b">
        <v>0</v>
      </c>
      <c r="MY28" s="158" t="b">
        <v>0</v>
      </c>
      <c r="MZ28" s="158" t="b">
        <v>0</v>
      </c>
      <c r="NA28" s="158" t="b">
        <v>0</v>
      </c>
      <c r="NB28" s="158" t="b">
        <v>0</v>
      </c>
      <c r="NC28" s="158" t="b">
        <v>0</v>
      </c>
      <c r="ND28" s="158" t="b">
        <v>0</v>
      </c>
      <c r="NE28" s="158" t="b">
        <v>0</v>
      </c>
      <c r="NF28" s="158" t="b">
        <v>0</v>
      </c>
      <c r="NG28" s="158" t="b">
        <v>0</v>
      </c>
      <c r="NH28" s="158" t="b">
        <v>0</v>
      </c>
      <c r="NI28" s="158" t="b">
        <v>0</v>
      </c>
      <c r="NJ28" s="158" t="b">
        <v>0</v>
      </c>
      <c r="NK28" s="158" t="b">
        <v>0</v>
      </c>
      <c r="NL28" s="158" t="b">
        <v>0</v>
      </c>
      <c r="NM28" s="158" t="b">
        <v>0</v>
      </c>
      <c r="NN28" s="158" t="b">
        <v>0</v>
      </c>
      <c r="NO28" s="158" t="b">
        <v>0</v>
      </c>
    </row>
    <row r="29" spans="1:379" ht="29.25" x14ac:dyDescent="0.4">
      <c r="A29" s="511" t="str">
        <v>Freshly Ground Coffee 1</v>
      </c>
      <c r="B29" s="158" t="b">
        <v>0</v>
      </c>
      <c r="C29" s="158" t="b">
        <v>0</v>
      </c>
      <c r="D29" s="158" t="b">
        <v>0</v>
      </c>
      <c r="E29" s="158" t="b">
        <v>0</v>
      </c>
      <c r="F29" s="158" t="b">
        <v>0</v>
      </c>
      <c r="G29" s="158" t="b">
        <v>0</v>
      </c>
      <c r="H29" s="158" t="b">
        <v>0</v>
      </c>
      <c r="I29" s="158" t="b">
        <v>0</v>
      </c>
      <c r="J29" s="158" t="b">
        <v>0</v>
      </c>
      <c r="K29" s="158" t="b">
        <v>0</v>
      </c>
      <c r="L29" s="158" t="b">
        <v>0</v>
      </c>
      <c r="M29" s="158" t="b">
        <v>0</v>
      </c>
      <c r="N29" s="158" t="b">
        <v>0</v>
      </c>
      <c r="O29" s="158" t="b">
        <v>0</v>
      </c>
      <c r="P29" s="158" t="b">
        <v>0</v>
      </c>
      <c r="Q29" s="158" t="b">
        <v>0</v>
      </c>
      <c r="R29" s="158" t="b">
        <v>0</v>
      </c>
      <c r="S29" s="158" t="b">
        <v>0</v>
      </c>
      <c r="T29" s="158" t="b">
        <v>0</v>
      </c>
      <c r="U29" s="158" t="b">
        <v>0</v>
      </c>
      <c r="V29" s="158" t="b">
        <v>0</v>
      </c>
      <c r="W29" s="158" t="b">
        <v>0</v>
      </c>
      <c r="X29" s="158" t="b">
        <v>0</v>
      </c>
      <c r="Y29" s="158" t="b">
        <v>0</v>
      </c>
      <c r="Z29" s="158" t="b">
        <v>0</v>
      </c>
      <c r="AA29" s="158" t="b">
        <v>0</v>
      </c>
      <c r="AB29" s="158" t="b">
        <v>0</v>
      </c>
      <c r="AC29" s="158" t="b">
        <v>0</v>
      </c>
      <c r="AD29" s="158" t="b">
        <v>0</v>
      </c>
      <c r="AE29" s="158" t="b">
        <v>0</v>
      </c>
      <c r="AF29" s="158" t="b">
        <v>0</v>
      </c>
      <c r="AG29" s="158" t="b">
        <v>0</v>
      </c>
      <c r="AH29" s="158" t="b">
        <v>0</v>
      </c>
      <c r="AI29" s="158" t="b">
        <v>0</v>
      </c>
      <c r="AJ29" s="158" t="b">
        <v>0</v>
      </c>
      <c r="AK29" s="158" t="b">
        <v>0</v>
      </c>
      <c r="AL29" s="158" t="b">
        <v>0</v>
      </c>
      <c r="AM29" s="158" t="b">
        <v>0</v>
      </c>
      <c r="AN29" s="158" t="b">
        <v>0</v>
      </c>
      <c r="AO29" s="158" t="b">
        <v>0</v>
      </c>
      <c r="AP29" s="158" t="b">
        <v>0</v>
      </c>
      <c r="AQ29" s="158" t="b">
        <v>0</v>
      </c>
      <c r="AR29" s="158" t="b">
        <v>0</v>
      </c>
      <c r="AS29" s="158" t="b">
        <v>0</v>
      </c>
      <c r="AT29" s="158" t="b">
        <v>0</v>
      </c>
      <c r="AU29" s="158" t="b">
        <v>0</v>
      </c>
      <c r="AV29" s="158" t="b">
        <v>0</v>
      </c>
      <c r="AW29" s="158" t="b">
        <v>0</v>
      </c>
      <c r="AX29" s="158" t="b">
        <v>0</v>
      </c>
      <c r="AY29" s="158" t="b">
        <v>0</v>
      </c>
      <c r="AZ29" s="158" t="b">
        <v>0</v>
      </c>
      <c r="BA29" s="158" t="b">
        <v>0</v>
      </c>
      <c r="BB29" s="158" t="b">
        <v>0</v>
      </c>
      <c r="BC29" s="158" t="b">
        <v>0</v>
      </c>
      <c r="BD29" s="158" t="b">
        <v>0</v>
      </c>
      <c r="BE29" s="158" t="b">
        <v>0</v>
      </c>
      <c r="BF29" s="158" t="b">
        <v>0</v>
      </c>
      <c r="BG29" s="158" t="b">
        <v>0</v>
      </c>
      <c r="BH29" s="158" t="b">
        <v>0</v>
      </c>
      <c r="BI29" s="158" t="b">
        <v>0</v>
      </c>
      <c r="BJ29" s="158" t="b">
        <v>0</v>
      </c>
      <c r="BK29" s="158" t="b">
        <v>0</v>
      </c>
      <c r="BL29" s="158" t="b">
        <v>0</v>
      </c>
      <c r="BM29" s="158" t="b">
        <v>0</v>
      </c>
      <c r="BN29" s="158" t="b">
        <v>0</v>
      </c>
      <c r="BO29" s="158" t="b">
        <v>0</v>
      </c>
      <c r="BP29" s="158" t="b">
        <v>0</v>
      </c>
      <c r="BQ29" s="158" t="b">
        <v>0</v>
      </c>
      <c r="BR29" s="158" t="b">
        <v>0</v>
      </c>
      <c r="BS29" s="158" t="b">
        <v>0</v>
      </c>
      <c r="BT29" s="158" t="b">
        <v>0</v>
      </c>
      <c r="BU29" s="158" t="b">
        <v>0</v>
      </c>
      <c r="BV29" s="158" t="b">
        <v>0</v>
      </c>
      <c r="BW29" s="158" t="b">
        <v>0</v>
      </c>
      <c r="BX29" s="158" t="b">
        <v>0</v>
      </c>
      <c r="BY29" s="158" t="b">
        <v>0</v>
      </c>
      <c r="BZ29" s="158" t="b">
        <v>0</v>
      </c>
      <c r="CA29" s="158" t="b">
        <v>0</v>
      </c>
      <c r="CB29" s="158" t="b">
        <v>0</v>
      </c>
      <c r="CC29" s="158" t="b">
        <v>0</v>
      </c>
      <c r="CD29" s="158" t="b">
        <v>0</v>
      </c>
      <c r="CE29" s="158" t="b">
        <v>0</v>
      </c>
      <c r="CF29" s="158" t="b">
        <v>0</v>
      </c>
      <c r="CG29" s="158" t="b">
        <v>0</v>
      </c>
      <c r="CH29" s="158" t="b">
        <v>0</v>
      </c>
      <c r="CI29" s="158" t="b">
        <v>0</v>
      </c>
      <c r="CJ29" s="158" t="b">
        <v>0</v>
      </c>
      <c r="CK29" s="158" t="b">
        <v>0</v>
      </c>
      <c r="CL29" s="158" t="b">
        <v>0</v>
      </c>
      <c r="CM29" s="158" t="b">
        <v>0</v>
      </c>
      <c r="CN29" s="158" t="b">
        <v>0</v>
      </c>
      <c r="CO29" s="158" t="b">
        <v>0</v>
      </c>
      <c r="CP29" s="158" t="b">
        <v>0</v>
      </c>
      <c r="CQ29" s="158" t="b">
        <v>0</v>
      </c>
      <c r="CR29" s="158" t="b">
        <v>0</v>
      </c>
      <c r="CS29" s="158" t="b">
        <v>0</v>
      </c>
      <c r="CT29" s="158" t="b">
        <v>0</v>
      </c>
      <c r="CU29" s="158" t="b">
        <v>0</v>
      </c>
      <c r="CV29" s="158" t="b">
        <v>0</v>
      </c>
      <c r="CW29" s="158" t="b">
        <v>0</v>
      </c>
      <c r="CX29" s="158" t="b">
        <v>0</v>
      </c>
      <c r="CY29" s="158" t="b">
        <v>0</v>
      </c>
      <c r="CZ29" s="158" t="b">
        <v>0</v>
      </c>
      <c r="DA29" s="158" t="b">
        <v>0</v>
      </c>
      <c r="DB29" s="158" t="b">
        <v>0</v>
      </c>
      <c r="DC29" s="158" t="b">
        <v>0</v>
      </c>
      <c r="DD29" s="158" t="b">
        <v>0</v>
      </c>
      <c r="DE29" s="158" t="b">
        <v>0</v>
      </c>
      <c r="DF29" s="158" t="b">
        <v>0</v>
      </c>
      <c r="DG29" s="158" t="b">
        <v>0</v>
      </c>
      <c r="DH29" s="158" t="b">
        <v>0</v>
      </c>
      <c r="DI29" s="158" t="b">
        <v>0</v>
      </c>
      <c r="DJ29" s="158" t="b">
        <v>0</v>
      </c>
      <c r="DK29" s="158" t="b">
        <v>0</v>
      </c>
      <c r="DL29" s="158" t="b">
        <v>0</v>
      </c>
      <c r="DM29" s="158" t="b">
        <v>0</v>
      </c>
      <c r="DN29" s="158" t="b">
        <v>0</v>
      </c>
      <c r="DO29" s="158" t="b">
        <v>0</v>
      </c>
      <c r="DP29" s="158" t="b">
        <v>0</v>
      </c>
      <c r="DQ29" s="158" t="b">
        <v>0</v>
      </c>
      <c r="DR29" s="93" t="b">
        <v>1</v>
      </c>
      <c r="DS29" s="93" t="b">
        <v>1</v>
      </c>
      <c r="DT29" s="93" t="b">
        <v>1</v>
      </c>
      <c r="DU29" s="93" t="b">
        <v>1</v>
      </c>
      <c r="DV29" s="93" t="b">
        <v>1</v>
      </c>
      <c r="DW29" s="158" t="b">
        <v>0</v>
      </c>
      <c r="DX29" s="158" t="b">
        <v>0</v>
      </c>
      <c r="DY29" s="158" t="b">
        <v>0</v>
      </c>
      <c r="DZ29" s="158" t="b">
        <v>0</v>
      </c>
      <c r="EA29" s="158" t="b">
        <v>0</v>
      </c>
      <c r="EB29" s="158" t="b">
        <v>0</v>
      </c>
      <c r="EC29" s="93" t="b">
        <v>1</v>
      </c>
      <c r="ED29" s="158" t="b">
        <v>0</v>
      </c>
      <c r="EE29" s="158" t="b">
        <v>0</v>
      </c>
      <c r="EF29" s="158" t="b">
        <v>0</v>
      </c>
      <c r="EG29" s="158" t="b">
        <v>0</v>
      </c>
      <c r="EH29" s="158" t="b">
        <v>0</v>
      </c>
      <c r="EI29" s="158" t="b">
        <v>0</v>
      </c>
      <c r="EJ29" s="158" t="b">
        <v>0</v>
      </c>
      <c r="EK29" s="158" t="b">
        <v>0</v>
      </c>
      <c r="EL29" s="158" t="b">
        <v>0</v>
      </c>
      <c r="EM29" s="158" t="b">
        <v>0</v>
      </c>
      <c r="EN29" s="158" t="b">
        <v>0</v>
      </c>
      <c r="EO29" s="158" t="b">
        <v>0</v>
      </c>
      <c r="EP29" s="158" t="b">
        <v>0</v>
      </c>
      <c r="EQ29" s="158" t="b">
        <v>0</v>
      </c>
      <c r="ER29" s="158" t="b">
        <v>0</v>
      </c>
      <c r="ES29" s="158" t="b">
        <v>0</v>
      </c>
      <c r="ET29" s="158" t="b">
        <v>0</v>
      </c>
      <c r="EU29" s="158" t="b">
        <v>0</v>
      </c>
      <c r="EV29" s="158" t="b">
        <v>0</v>
      </c>
      <c r="EW29" s="93" t="b">
        <v>1</v>
      </c>
      <c r="EX29" s="93" t="b">
        <v>1</v>
      </c>
      <c r="EY29" s="158" t="b">
        <v>0</v>
      </c>
      <c r="EZ29" s="158" t="b">
        <v>0</v>
      </c>
      <c r="FA29" s="158" t="b">
        <v>0</v>
      </c>
      <c r="FB29" s="158" t="b">
        <v>0</v>
      </c>
      <c r="FC29" s="158" t="b">
        <v>0</v>
      </c>
      <c r="FD29" s="158" t="b">
        <v>0</v>
      </c>
      <c r="FE29" s="158" t="b">
        <v>0</v>
      </c>
      <c r="FF29" s="158" t="b">
        <v>0</v>
      </c>
      <c r="FG29" s="158" t="b">
        <v>0</v>
      </c>
      <c r="FH29" s="158" t="b">
        <v>0</v>
      </c>
      <c r="FI29" s="158" t="b">
        <v>0</v>
      </c>
      <c r="FJ29" s="158" t="b">
        <v>0</v>
      </c>
      <c r="FK29" s="158" t="b">
        <v>0</v>
      </c>
      <c r="FL29" s="158" t="b">
        <v>0</v>
      </c>
      <c r="FM29" s="158" t="b">
        <v>0</v>
      </c>
      <c r="FN29" s="158" t="b">
        <v>0</v>
      </c>
      <c r="FO29" s="158" t="b">
        <v>0</v>
      </c>
      <c r="FP29" s="158" t="b">
        <v>0</v>
      </c>
      <c r="FQ29" s="158" t="b">
        <v>0</v>
      </c>
      <c r="FR29" s="158" t="b">
        <v>0</v>
      </c>
      <c r="FS29" s="158" t="b">
        <v>0</v>
      </c>
      <c r="FT29" s="158" t="b">
        <v>0</v>
      </c>
      <c r="FU29" s="158" t="b">
        <v>0</v>
      </c>
      <c r="FV29" s="158" t="b">
        <v>0</v>
      </c>
      <c r="FW29" s="158" t="b">
        <v>0</v>
      </c>
      <c r="FX29" s="158" t="b">
        <v>0</v>
      </c>
      <c r="FY29" s="158" t="b">
        <v>0</v>
      </c>
      <c r="FZ29" s="158" t="b">
        <v>0</v>
      </c>
      <c r="GA29" s="158" t="b">
        <v>0</v>
      </c>
      <c r="GB29" s="158" t="b">
        <v>0</v>
      </c>
      <c r="GC29" s="158" t="b">
        <v>0</v>
      </c>
      <c r="GD29" s="158" t="b">
        <v>0</v>
      </c>
      <c r="GE29" s="158" t="b">
        <v>0</v>
      </c>
      <c r="GF29" s="158" t="b">
        <v>0</v>
      </c>
      <c r="GG29" s="158" t="b">
        <v>0</v>
      </c>
      <c r="GH29" s="158" t="b">
        <v>0</v>
      </c>
      <c r="GI29" s="158" t="b">
        <v>0</v>
      </c>
      <c r="GJ29" s="158" t="b">
        <v>0</v>
      </c>
      <c r="GK29" s="158" t="b">
        <v>0</v>
      </c>
      <c r="GL29" s="158" t="b">
        <v>0</v>
      </c>
      <c r="GM29" s="158" t="b">
        <v>0</v>
      </c>
      <c r="GN29" s="158" t="b">
        <v>0</v>
      </c>
      <c r="GO29" s="158" t="b">
        <v>0</v>
      </c>
      <c r="GP29" s="158" t="b">
        <v>0</v>
      </c>
      <c r="GQ29" s="158" t="b">
        <v>0</v>
      </c>
      <c r="GR29" s="158" t="b">
        <v>0</v>
      </c>
      <c r="GS29" s="158" t="b">
        <v>0</v>
      </c>
      <c r="GT29" s="158" t="b">
        <v>0</v>
      </c>
      <c r="GU29" s="158" t="b">
        <v>0</v>
      </c>
      <c r="GV29" s="158" t="b">
        <v>0</v>
      </c>
      <c r="GW29" s="158" t="b">
        <v>0</v>
      </c>
      <c r="GX29" s="158" t="b">
        <v>0</v>
      </c>
      <c r="GY29" s="158" t="b">
        <v>0</v>
      </c>
      <c r="GZ29" s="158" t="b">
        <v>0</v>
      </c>
      <c r="HA29" s="158" t="b">
        <v>0</v>
      </c>
      <c r="HB29" s="158" t="b">
        <v>0</v>
      </c>
      <c r="HC29" s="158" t="b">
        <v>0</v>
      </c>
      <c r="HD29" s="158" t="b">
        <v>0</v>
      </c>
      <c r="HE29" s="158" t="b">
        <v>0</v>
      </c>
      <c r="HF29" s="158" t="b">
        <v>0</v>
      </c>
      <c r="HG29" s="158" t="b">
        <v>0</v>
      </c>
      <c r="HH29" s="158" t="b">
        <v>0</v>
      </c>
      <c r="HI29" s="158" t="b">
        <v>0</v>
      </c>
      <c r="HJ29" s="158" t="b">
        <v>0</v>
      </c>
      <c r="HK29" s="158" t="b">
        <v>0</v>
      </c>
      <c r="HL29" s="158" t="b">
        <v>0</v>
      </c>
      <c r="HM29" s="158" t="b">
        <v>0</v>
      </c>
      <c r="HN29" s="158" t="b">
        <v>0</v>
      </c>
      <c r="HO29" s="158" t="b">
        <v>0</v>
      </c>
      <c r="HP29" s="158" t="b">
        <v>0</v>
      </c>
      <c r="HQ29" s="158" t="b">
        <v>0</v>
      </c>
      <c r="HR29" s="158" t="b">
        <v>0</v>
      </c>
      <c r="HS29" s="158" t="b">
        <v>0</v>
      </c>
      <c r="HT29" s="158" t="b">
        <v>0</v>
      </c>
      <c r="HU29" s="158" t="b">
        <v>0</v>
      </c>
      <c r="HV29" s="158" t="b">
        <v>0</v>
      </c>
      <c r="HW29" s="158" t="b">
        <v>0</v>
      </c>
      <c r="HX29" s="158" t="b">
        <v>0</v>
      </c>
      <c r="HY29" s="158" t="b">
        <v>0</v>
      </c>
      <c r="HZ29" s="158" t="b">
        <v>0</v>
      </c>
      <c r="IA29" s="158" t="b">
        <v>0</v>
      </c>
      <c r="IB29" s="158" t="b">
        <v>0</v>
      </c>
      <c r="IC29" s="158" t="b">
        <v>0</v>
      </c>
      <c r="ID29" s="158" t="b">
        <v>0</v>
      </c>
      <c r="IE29" s="158" t="b">
        <v>0</v>
      </c>
      <c r="IF29" s="158" t="b">
        <v>0</v>
      </c>
      <c r="IG29" s="158" t="b">
        <v>0</v>
      </c>
      <c r="IH29" s="158" t="b">
        <v>0</v>
      </c>
      <c r="II29" s="158" t="b">
        <v>0</v>
      </c>
      <c r="IJ29" s="158" t="b">
        <v>0</v>
      </c>
      <c r="IK29" s="158" t="b">
        <v>0</v>
      </c>
      <c r="IL29" s="158" t="b">
        <v>0</v>
      </c>
      <c r="IM29" s="158" t="b">
        <v>0</v>
      </c>
      <c r="IN29" s="158" t="b">
        <v>0</v>
      </c>
      <c r="IO29" s="158" t="b">
        <v>0</v>
      </c>
      <c r="IP29" s="158" t="b">
        <v>0</v>
      </c>
      <c r="IQ29" s="158" t="b">
        <v>0</v>
      </c>
      <c r="IR29" s="158" t="b">
        <v>0</v>
      </c>
      <c r="IS29" s="158" t="b">
        <v>0</v>
      </c>
      <c r="IT29" s="158" t="b">
        <v>0</v>
      </c>
      <c r="IU29" s="158" t="b">
        <v>0</v>
      </c>
      <c r="IV29" s="158" t="b">
        <v>0</v>
      </c>
      <c r="IW29" s="158" t="b">
        <v>0</v>
      </c>
      <c r="IX29" s="158" t="b">
        <v>0</v>
      </c>
      <c r="IY29" s="158" t="b">
        <v>0</v>
      </c>
      <c r="IZ29" s="158" t="b">
        <v>0</v>
      </c>
      <c r="JA29" s="158" t="b">
        <v>0</v>
      </c>
      <c r="JB29" s="158" t="b">
        <v>0</v>
      </c>
      <c r="JC29" s="158" t="b">
        <v>0</v>
      </c>
      <c r="JD29" s="158" t="b">
        <v>0</v>
      </c>
      <c r="JE29" s="158" t="b">
        <v>0</v>
      </c>
      <c r="JF29" s="158" t="b">
        <v>0</v>
      </c>
      <c r="JG29" s="158" t="b">
        <v>0</v>
      </c>
      <c r="JH29" s="158" t="b">
        <v>0</v>
      </c>
      <c r="JI29" s="158" t="b">
        <v>0</v>
      </c>
      <c r="JJ29" s="158" t="b">
        <v>0</v>
      </c>
      <c r="JK29" s="158" t="b">
        <v>0</v>
      </c>
      <c r="JL29" s="158" t="b">
        <v>0</v>
      </c>
      <c r="JM29" s="158" t="b">
        <v>0</v>
      </c>
      <c r="JN29" s="158" t="b">
        <v>0</v>
      </c>
      <c r="JO29" s="158" t="b">
        <v>0</v>
      </c>
      <c r="JP29" s="158" t="b">
        <v>0</v>
      </c>
      <c r="JQ29" s="158" t="b">
        <v>0</v>
      </c>
      <c r="JR29" s="158" t="b">
        <v>0</v>
      </c>
      <c r="JS29" s="158" t="b">
        <v>0</v>
      </c>
      <c r="JT29" s="158" t="b">
        <v>0</v>
      </c>
      <c r="JU29" s="158" t="b">
        <v>0</v>
      </c>
      <c r="JV29" s="158" t="b">
        <v>0</v>
      </c>
      <c r="JW29" s="158" t="b">
        <v>0</v>
      </c>
      <c r="JX29" s="158" t="b">
        <v>0</v>
      </c>
      <c r="JY29" s="158" t="b">
        <v>0</v>
      </c>
      <c r="JZ29" s="158" t="b">
        <v>0</v>
      </c>
      <c r="KA29" s="158" t="b">
        <v>0</v>
      </c>
      <c r="KB29" s="158" t="b">
        <v>0</v>
      </c>
      <c r="KC29" s="158" t="b">
        <v>0</v>
      </c>
      <c r="KD29" s="158" t="b">
        <v>0</v>
      </c>
      <c r="KE29" s="158" t="b">
        <v>0</v>
      </c>
      <c r="KF29" s="158" t="b">
        <v>0</v>
      </c>
      <c r="KG29" s="158" t="b">
        <v>0</v>
      </c>
      <c r="KH29" s="158" t="b">
        <v>0</v>
      </c>
      <c r="KI29" s="158" t="b">
        <v>0</v>
      </c>
      <c r="KJ29" s="158" t="b">
        <v>0</v>
      </c>
      <c r="KK29" s="158" t="b">
        <v>0</v>
      </c>
      <c r="KL29" s="158" t="b">
        <v>0</v>
      </c>
      <c r="KM29" s="158" t="b">
        <v>0</v>
      </c>
      <c r="KN29" s="158" t="b">
        <v>0</v>
      </c>
      <c r="KO29" s="158" t="b">
        <v>0</v>
      </c>
      <c r="KP29" s="158" t="b">
        <v>0</v>
      </c>
      <c r="KQ29" s="158" t="b">
        <v>0</v>
      </c>
      <c r="KR29" s="158" t="b">
        <v>0</v>
      </c>
      <c r="KS29" s="158" t="b">
        <v>0</v>
      </c>
      <c r="KT29" s="158" t="b">
        <v>0</v>
      </c>
      <c r="KU29" s="158" t="b">
        <v>0</v>
      </c>
      <c r="KV29" s="158" t="b">
        <v>0</v>
      </c>
      <c r="KW29" s="158" t="b">
        <v>0</v>
      </c>
      <c r="KX29" s="158" t="b">
        <v>0</v>
      </c>
      <c r="KY29" s="158" t="b">
        <v>0</v>
      </c>
      <c r="KZ29" s="158" t="b">
        <v>0</v>
      </c>
      <c r="LA29" s="158" t="b">
        <v>0</v>
      </c>
      <c r="LB29" s="158" t="b">
        <v>0</v>
      </c>
      <c r="LC29" s="158" t="b">
        <v>0</v>
      </c>
      <c r="LD29" s="158" t="b">
        <v>0</v>
      </c>
      <c r="LE29" s="158" t="b">
        <v>0</v>
      </c>
      <c r="LF29" s="158" t="b">
        <v>0</v>
      </c>
      <c r="LG29" s="158" t="b">
        <v>0</v>
      </c>
      <c r="LH29" s="158" t="b">
        <v>0</v>
      </c>
      <c r="LI29" s="158" t="b">
        <v>0</v>
      </c>
      <c r="LJ29" s="158" t="b">
        <v>0</v>
      </c>
      <c r="LK29" s="158" t="b">
        <v>0</v>
      </c>
      <c r="LL29" s="158" t="b">
        <v>0</v>
      </c>
      <c r="LM29" s="158" t="b">
        <v>0</v>
      </c>
      <c r="LN29" s="158" t="b">
        <v>0</v>
      </c>
      <c r="LO29" s="158" t="b">
        <v>0</v>
      </c>
      <c r="LP29" s="158" t="b">
        <v>0</v>
      </c>
      <c r="LQ29" s="158" t="b">
        <v>0</v>
      </c>
      <c r="LR29" s="158" t="b">
        <v>0</v>
      </c>
      <c r="LS29" s="158" t="b">
        <v>0</v>
      </c>
      <c r="LT29" s="158" t="b">
        <v>0</v>
      </c>
      <c r="LU29" s="158" t="b">
        <v>0</v>
      </c>
      <c r="LV29" s="158" t="b">
        <v>0</v>
      </c>
      <c r="LW29" s="158" t="b">
        <v>0</v>
      </c>
      <c r="LX29" s="158" t="b">
        <v>0</v>
      </c>
      <c r="LY29" s="158" t="b">
        <v>0</v>
      </c>
      <c r="LZ29" s="158" t="b">
        <v>0</v>
      </c>
      <c r="MA29" s="158" t="b">
        <v>0</v>
      </c>
      <c r="MB29" s="158" t="b">
        <v>0</v>
      </c>
      <c r="MC29" s="158" t="b">
        <v>0</v>
      </c>
      <c r="MD29" s="158" t="b">
        <v>0</v>
      </c>
      <c r="ME29" s="158" t="b">
        <v>0</v>
      </c>
      <c r="MF29" s="158" t="b">
        <v>0</v>
      </c>
      <c r="MG29" s="158" t="b">
        <v>0</v>
      </c>
      <c r="MH29" s="158" t="b">
        <v>0</v>
      </c>
      <c r="MI29" s="158" t="b">
        <v>0</v>
      </c>
      <c r="MJ29" s="158" t="b">
        <v>0</v>
      </c>
      <c r="MK29" s="158" t="b">
        <v>0</v>
      </c>
      <c r="ML29" s="158" t="b">
        <v>0</v>
      </c>
      <c r="MM29" s="158" t="b">
        <v>0</v>
      </c>
      <c r="MN29" s="158" t="b">
        <v>0</v>
      </c>
      <c r="MO29" s="158" t="b">
        <v>0</v>
      </c>
      <c r="MP29" s="158" t="b">
        <v>0</v>
      </c>
      <c r="MQ29" s="158" t="b">
        <v>0</v>
      </c>
      <c r="MR29" s="158" t="b">
        <v>0</v>
      </c>
      <c r="MS29" s="158" t="b">
        <v>0</v>
      </c>
      <c r="MT29" s="158" t="b">
        <v>0</v>
      </c>
      <c r="MU29" s="158" t="b">
        <v>0</v>
      </c>
      <c r="MV29" s="158" t="b">
        <v>0</v>
      </c>
      <c r="MW29" s="158" t="b">
        <v>0</v>
      </c>
      <c r="MX29" s="158" t="b">
        <v>0</v>
      </c>
      <c r="MY29" s="158" t="b">
        <v>0</v>
      </c>
      <c r="MZ29" s="158" t="b">
        <v>0</v>
      </c>
      <c r="NA29" s="158" t="b">
        <v>0</v>
      </c>
      <c r="NB29" s="158" t="b">
        <v>0</v>
      </c>
      <c r="NC29" s="158" t="b">
        <v>0</v>
      </c>
      <c r="ND29" s="158" t="b">
        <v>0</v>
      </c>
      <c r="NE29" s="158" t="b">
        <v>0</v>
      </c>
      <c r="NF29" s="158" t="b">
        <v>0</v>
      </c>
      <c r="NG29" s="158" t="b">
        <v>0</v>
      </c>
      <c r="NH29" s="158" t="b">
        <v>0</v>
      </c>
      <c r="NI29" s="158" t="b">
        <v>0</v>
      </c>
      <c r="NJ29" s="158" t="b">
        <v>0</v>
      </c>
      <c r="NK29" s="158" t="b">
        <v>0</v>
      </c>
      <c r="NL29" s="158" t="b">
        <v>0</v>
      </c>
      <c r="NM29" s="158" t="b">
        <v>0</v>
      </c>
      <c r="NN29" s="158" t="b">
        <v>0</v>
      </c>
      <c r="NO29" s="158" t="b">
        <v>0</v>
      </c>
    </row>
    <row r="30" spans="1:379" ht="29.25" x14ac:dyDescent="0.4">
      <c r="A30" s="511" t="str">
        <v xml:space="preserve">Freshly Ground Coffee 2 </v>
      </c>
      <c r="B30" s="158" t="b">
        <v>0</v>
      </c>
      <c r="C30" s="158" t="b">
        <v>0</v>
      </c>
      <c r="D30" s="158" t="b">
        <v>0</v>
      </c>
      <c r="E30" s="158" t="b">
        <v>0</v>
      </c>
      <c r="F30" s="158" t="b">
        <v>0</v>
      </c>
      <c r="G30" s="158" t="b">
        <v>0</v>
      </c>
      <c r="H30" s="158" t="b">
        <v>0</v>
      </c>
      <c r="I30" s="158" t="b">
        <v>0</v>
      </c>
      <c r="J30" s="158" t="b">
        <v>0</v>
      </c>
      <c r="K30" s="158" t="b">
        <v>0</v>
      </c>
      <c r="L30" s="158" t="b">
        <v>0</v>
      </c>
      <c r="M30" s="158" t="b">
        <v>0</v>
      </c>
      <c r="N30" s="158" t="b">
        <v>0</v>
      </c>
      <c r="O30" s="158" t="b">
        <v>0</v>
      </c>
      <c r="P30" s="158" t="b">
        <v>0</v>
      </c>
      <c r="Q30" s="158" t="b">
        <v>0</v>
      </c>
      <c r="R30" s="158" t="b">
        <v>0</v>
      </c>
      <c r="S30" s="158" t="b">
        <v>0</v>
      </c>
      <c r="T30" s="158" t="b">
        <v>0</v>
      </c>
      <c r="U30" s="158" t="b">
        <v>0</v>
      </c>
      <c r="V30" s="158" t="b">
        <v>0</v>
      </c>
      <c r="W30" s="158" t="b">
        <v>0</v>
      </c>
      <c r="X30" s="158" t="b">
        <v>0</v>
      </c>
      <c r="Y30" s="158" t="b">
        <v>0</v>
      </c>
      <c r="Z30" s="158" t="b">
        <v>0</v>
      </c>
      <c r="AA30" s="158" t="b">
        <v>0</v>
      </c>
      <c r="AB30" s="158" t="b">
        <v>0</v>
      </c>
      <c r="AC30" s="158" t="b">
        <v>0</v>
      </c>
      <c r="AD30" s="158" t="b">
        <v>0</v>
      </c>
      <c r="AE30" s="158" t="b">
        <v>0</v>
      </c>
      <c r="AF30" s="158" t="b">
        <v>0</v>
      </c>
      <c r="AG30" s="158" t="b">
        <v>0</v>
      </c>
      <c r="AH30" s="158" t="b">
        <v>0</v>
      </c>
      <c r="AI30" s="158" t="b">
        <v>0</v>
      </c>
      <c r="AJ30" s="158" t="b">
        <v>0</v>
      </c>
      <c r="AK30" s="158" t="b">
        <v>0</v>
      </c>
      <c r="AL30" s="158" t="b">
        <v>0</v>
      </c>
      <c r="AM30" s="158" t="b">
        <v>0</v>
      </c>
      <c r="AN30" s="158" t="b">
        <v>0</v>
      </c>
      <c r="AO30" s="158" t="b">
        <v>0</v>
      </c>
      <c r="AP30" s="158" t="b">
        <v>0</v>
      </c>
      <c r="AQ30" s="158" t="b">
        <v>0</v>
      </c>
      <c r="AR30" s="158" t="b">
        <v>0</v>
      </c>
      <c r="AS30" s="158" t="b">
        <v>0</v>
      </c>
      <c r="AT30" s="158" t="b">
        <v>0</v>
      </c>
      <c r="AU30" s="158" t="b">
        <v>0</v>
      </c>
      <c r="AV30" s="158" t="b">
        <v>0</v>
      </c>
      <c r="AW30" s="158" t="b">
        <v>0</v>
      </c>
      <c r="AX30" s="158" t="b">
        <v>0</v>
      </c>
      <c r="AY30" s="158" t="b">
        <v>0</v>
      </c>
      <c r="AZ30" s="158" t="b">
        <v>0</v>
      </c>
      <c r="BA30" s="158" t="b">
        <v>0</v>
      </c>
      <c r="BB30" s="158" t="b">
        <v>0</v>
      </c>
      <c r="BC30" s="158" t="b">
        <v>0</v>
      </c>
      <c r="BD30" s="158" t="b">
        <v>0</v>
      </c>
      <c r="BE30" s="158" t="b">
        <v>0</v>
      </c>
      <c r="BF30" s="158" t="b">
        <v>0</v>
      </c>
      <c r="BG30" s="158" t="b">
        <v>0</v>
      </c>
      <c r="BH30" s="158" t="b">
        <v>0</v>
      </c>
      <c r="BI30" s="158" t="b">
        <v>0</v>
      </c>
      <c r="BJ30" s="158" t="b">
        <v>0</v>
      </c>
      <c r="BK30" s="158" t="b">
        <v>0</v>
      </c>
      <c r="BL30" s="158" t="b">
        <v>0</v>
      </c>
      <c r="BM30" s="158" t="b">
        <v>0</v>
      </c>
      <c r="BN30" s="158" t="b">
        <v>0</v>
      </c>
      <c r="BO30" s="158" t="b">
        <v>0</v>
      </c>
      <c r="BP30" s="158" t="b">
        <v>0</v>
      </c>
      <c r="BQ30" s="158" t="b">
        <v>0</v>
      </c>
      <c r="BR30" s="158" t="b">
        <v>0</v>
      </c>
      <c r="BS30" s="158" t="b">
        <v>0</v>
      </c>
      <c r="BT30" s="158" t="b">
        <v>0</v>
      </c>
      <c r="BU30" s="158" t="b">
        <v>0</v>
      </c>
      <c r="BV30" s="158" t="b">
        <v>0</v>
      </c>
      <c r="BW30" s="158" t="b">
        <v>0</v>
      </c>
      <c r="BX30" s="158" t="b">
        <v>0</v>
      </c>
      <c r="BY30" s="158" t="b">
        <v>0</v>
      </c>
      <c r="BZ30" s="158" t="b">
        <v>0</v>
      </c>
      <c r="CA30" s="158" t="b">
        <v>0</v>
      </c>
      <c r="CB30" s="158" t="b">
        <v>0</v>
      </c>
      <c r="CC30" s="158" t="b">
        <v>0</v>
      </c>
      <c r="CD30" s="158" t="b">
        <v>0</v>
      </c>
      <c r="CE30" s="158" t="b">
        <v>0</v>
      </c>
      <c r="CF30" s="158" t="b">
        <v>0</v>
      </c>
      <c r="CG30" s="158" t="b">
        <v>0</v>
      </c>
      <c r="CH30" s="158" t="b">
        <v>0</v>
      </c>
      <c r="CI30" s="158" t="b">
        <v>0</v>
      </c>
      <c r="CJ30" s="158" t="b">
        <v>0</v>
      </c>
      <c r="CK30" s="158" t="b">
        <v>0</v>
      </c>
      <c r="CL30" s="158" t="b">
        <v>0</v>
      </c>
      <c r="CM30" s="158" t="b">
        <v>0</v>
      </c>
      <c r="CN30" s="158" t="b">
        <v>0</v>
      </c>
      <c r="CO30" s="158" t="b">
        <v>0</v>
      </c>
      <c r="CP30" s="158" t="b">
        <v>0</v>
      </c>
      <c r="CQ30" s="158" t="b">
        <v>0</v>
      </c>
      <c r="CR30" s="158" t="b">
        <v>0</v>
      </c>
      <c r="CS30" s="158" t="b">
        <v>0</v>
      </c>
      <c r="CT30" s="158" t="b">
        <v>0</v>
      </c>
      <c r="CU30" s="158" t="b">
        <v>0</v>
      </c>
      <c r="CV30" s="158" t="b">
        <v>0</v>
      </c>
      <c r="CW30" s="158" t="b">
        <v>0</v>
      </c>
      <c r="CX30" s="158" t="b">
        <v>0</v>
      </c>
      <c r="CY30" s="158" t="b">
        <v>0</v>
      </c>
      <c r="CZ30" s="158" t="b">
        <v>0</v>
      </c>
      <c r="DA30" s="158" t="b">
        <v>0</v>
      </c>
      <c r="DB30" s="158" t="b">
        <v>0</v>
      </c>
      <c r="DC30" s="158" t="b">
        <v>0</v>
      </c>
      <c r="DD30" s="158" t="b">
        <v>0</v>
      </c>
      <c r="DE30" s="158" t="b">
        <v>0</v>
      </c>
      <c r="DF30" s="158" t="b">
        <v>0</v>
      </c>
      <c r="DG30" s="158" t="b">
        <v>0</v>
      </c>
      <c r="DH30" s="158" t="b">
        <v>0</v>
      </c>
      <c r="DI30" s="158" t="b">
        <v>0</v>
      </c>
      <c r="DJ30" s="93" t="b">
        <v>0</v>
      </c>
      <c r="DK30" s="158" t="b">
        <v>0</v>
      </c>
      <c r="DL30" s="158" t="b">
        <v>0</v>
      </c>
      <c r="DM30" s="158" t="b">
        <v>0</v>
      </c>
      <c r="DN30" s="158" t="b">
        <v>0</v>
      </c>
      <c r="DO30" s="158" t="b">
        <v>0</v>
      </c>
      <c r="DP30" s="158" t="b">
        <v>0</v>
      </c>
      <c r="DQ30" s="158" t="b">
        <v>0</v>
      </c>
      <c r="DR30" s="158" t="b">
        <v>0</v>
      </c>
      <c r="DS30" s="158" t="b">
        <v>0</v>
      </c>
      <c r="DT30" s="158" t="b">
        <v>0</v>
      </c>
      <c r="DU30" s="158" t="b">
        <v>0</v>
      </c>
      <c r="DV30" s="158" t="b">
        <v>0</v>
      </c>
      <c r="DW30" s="158" t="b">
        <v>0</v>
      </c>
      <c r="DX30" s="158" t="b">
        <v>0</v>
      </c>
      <c r="DY30" s="158" t="b">
        <v>0</v>
      </c>
      <c r="DZ30" s="158" t="b">
        <v>0</v>
      </c>
      <c r="EA30" s="158" t="b">
        <v>0</v>
      </c>
      <c r="EB30" s="158" t="b">
        <v>0</v>
      </c>
      <c r="EC30" s="158" t="b">
        <v>0</v>
      </c>
      <c r="ED30" s="158" t="b">
        <v>0</v>
      </c>
      <c r="EE30" s="158" t="b">
        <v>0</v>
      </c>
      <c r="EF30" s="158" t="b">
        <v>0</v>
      </c>
      <c r="EG30" s="158" t="b">
        <v>0</v>
      </c>
      <c r="EH30" s="158" t="b">
        <v>0</v>
      </c>
      <c r="EI30" s="158" t="b">
        <v>0</v>
      </c>
      <c r="EJ30" s="158" t="b">
        <v>0</v>
      </c>
      <c r="EK30" s="158" t="b">
        <v>0</v>
      </c>
      <c r="EL30" s="158" t="b">
        <v>0</v>
      </c>
      <c r="EM30" s="158" t="b">
        <v>0</v>
      </c>
      <c r="EN30" s="158" t="b">
        <v>0</v>
      </c>
      <c r="EO30" s="158" t="b">
        <v>0</v>
      </c>
      <c r="EP30" s="158" t="b">
        <v>0</v>
      </c>
      <c r="EQ30" s="158" t="b">
        <v>0</v>
      </c>
      <c r="ER30" s="158" t="b">
        <v>0</v>
      </c>
      <c r="ES30" s="158" t="b">
        <v>0</v>
      </c>
      <c r="ET30" s="158" t="b">
        <v>0</v>
      </c>
      <c r="EU30" s="158" t="b">
        <v>0</v>
      </c>
      <c r="EV30" s="158" t="b">
        <v>0</v>
      </c>
      <c r="EW30" s="158" t="b">
        <v>0</v>
      </c>
      <c r="EX30" s="158" t="b">
        <v>0</v>
      </c>
      <c r="EY30" s="158" t="b">
        <v>0</v>
      </c>
      <c r="EZ30" s="158" t="b">
        <v>0</v>
      </c>
      <c r="FA30" s="158" t="b">
        <v>0</v>
      </c>
      <c r="FB30" s="158" t="b">
        <v>0</v>
      </c>
      <c r="FC30" s="158" t="b">
        <v>0</v>
      </c>
      <c r="FD30" s="158" t="b">
        <v>0</v>
      </c>
      <c r="FE30" s="158" t="b">
        <v>0</v>
      </c>
      <c r="FF30" s="158" t="b">
        <v>0</v>
      </c>
      <c r="FG30" s="158" t="b">
        <v>0</v>
      </c>
      <c r="FH30" s="158" t="b">
        <v>0</v>
      </c>
      <c r="FI30" s="158" t="b">
        <v>0</v>
      </c>
      <c r="FJ30" s="158" t="b">
        <v>0</v>
      </c>
      <c r="FK30" s="158" t="b">
        <v>0</v>
      </c>
      <c r="FL30" s="158" t="b">
        <v>0</v>
      </c>
      <c r="FM30" s="158" t="b">
        <v>0</v>
      </c>
      <c r="FN30" s="158" t="b">
        <v>0</v>
      </c>
      <c r="FO30" s="158" t="b">
        <v>0</v>
      </c>
      <c r="FP30" s="158" t="b">
        <v>0</v>
      </c>
      <c r="FQ30" s="158" t="b">
        <v>0</v>
      </c>
      <c r="FR30" s="158" t="b">
        <v>0</v>
      </c>
      <c r="FS30" s="158" t="b">
        <v>0</v>
      </c>
      <c r="FT30" s="158" t="b">
        <v>0</v>
      </c>
      <c r="FU30" s="158" t="b">
        <v>0</v>
      </c>
      <c r="FV30" s="158" t="b">
        <v>0</v>
      </c>
      <c r="FW30" s="158" t="b">
        <v>0</v>
      </c>
      <c r="FX30" s="158" t="b">
        <v>0</v>
      </c>
      <c r="FY30" s="158" t="b">
        <v>0</v>
      </c>
      <c r="FZ30" s="158" t="b">
        <v>0</v>
      </c>
      <c r="GA30" s="158" t="b">
        <v>0</v>
      </c>
      <c r="GB30" s="158" t="b">
        <v>0</v>
      </c>
      <c r="GC30" s="158" t="b">
        <v>0</v>
      </c>
      <c r="GD30" s="158" t="b">
        <v>0</v>
      </c>
      <c r="GE30" s="158" t="b">
        <v>0</v>
      </c>
      <c r="GF30" s="158" t="b">
        <v>0</v>
      </c>
      <c r="GG30" s="158" t="b">
        <v>0</v>
      </c>
      <c r="GH30" s="158" t="b">
        <v>0</v>
      </c>
      <c r="GI30" s="158" t="b">
        <v>0</v>
      </c>
      <c r="GJ30" s="158" t="b">
        <v>0</v>
      </c>
      <c r="GK30" s="158" t="b">
        <v>0</v>
      </c>
      <c r="GL30" s="158" t="b">
        <v>0</v>
      </c>
      <c r="GM30" s="158" t="b">
        <v>0</v>
      </c>
      <c r="GN30" s="158" t="b">
        <v>0</v>
      </c>
      <c r="GO30" s="158" t="b">
        <v>0</v>
      </c>
      <c r="GP30" s="158" t="b">
        <v>0</v>
      </c>
      <c r="GQ30" s="158" t="b">
        <v>0</v>
      </c>
      <c r="GR30" s="158" t="b">
        <v>0</v>
      </c>
      <c r="GS30" s="158" t="b">
        <v>0</v>
      </c>
      <c r="GT30" s="158" t="b">
        <v>0</v>
      </c>
      <c r="GU30" s="158" t="b">
        <v>0</v>
      </c>
      <c r="GV30" s="158" t="b">
        <v>0</v>
      </c>
      <c r="GW30" s="158" t="b">
        <v>0</v>
      </c>
      <c r="GX30" s="158" t="b">
        <v>0</v>
      </c>
      <c r="GY30" s="158" t="b">
        <v>0</v>
      </c>
      <c r="GZ30" s="158" t="b">
        <v>0</v>
      </c>
      <c r="HA30" s="158" t="b">
        <v>0</v>
      </c>
      <c r="HB30" s="158" t="b">
        <v>0</v>
      </c>
      <c r="HC30" s="158" t="b">
        <v>0</v>
      </c>
      <c r="HD30" s="158" t="b">
        <v>0</v>
      </c>
      <c r="HE30" s="158" t="b">
        <v>0</v>
      </c>
      <c r="HF30" s="158" t="b">
        <v>0</v>
      </c>
      <c r="HG30" s="158" t="b">
        <v>0</v>
      </c>
      <c r="HH30" s="158" t="b">
        <v>0</v>
      </c>
      <c r="HI30" s="158" t="b">
        <v>0</v>
      </c>
      <c r="HJ30" s="158" t="b">
        <v>0</v>
      </c>
      <c r="HK30" s="158" t="b">
        <v>0</v>
      </c>
      <c r="HL30" s="158" t="b">
        <v>0</v>
      </c>
      <c r="HM30" s="158" t="b">
        <v>0</v>
      </c>
      <c r="HN30" s="158" t="b">
        <v>0</v>
      </c>
      <c r="HO30" s="158" t="b">
        <v>0</v>
      </c>
      <c r="HP30" s="158" t="b">
        <v>0</v>
      </c>
      <c r="HQ30" s="158" t="b">
        <v>0</v>
      </c>
      <c r="HR30" s="158" t="b">
        <v>0</v>
      </c>
      <c r="HS30" s="158" t="b">
        <v>0</v>
      </c>
      <c r="HT30" s="158" t="b">
        <v>0</v>
      </c>
      <c r="HU30" s="158" t="b">
        <v>0</v>
      </c>
      <c r="HV30" s="158" t="b">
        <v>0</v>
      </c>
      <c r="HW30" s="158" t="b">
        <v>0</v>
      </c>
      <c r="HX30" s="158" t="b">
        <v>0</v>
      </c>
      <c r="HY30" s="158" t="b">
        <v>0</v>
      </c>
      <c r="HZ30" s="158" t="b">
        <v>0</v>
      </c>
      <c r="IA30" s="158" t="b">
        <v>0</v>
      </c>
      <c r="IB30" s="158" t="b">
        <v>0</v>
      </c>
      <c r="IC30" s="158" t="b">
        <v>0</v>
      </c>
      <c r="ID30" s="158" t="b">
        <v>0</v>
      </c>
      <c r="IE30" s="158" t="b">
        <v>0</v>
      </c>
      <c r="IF30" s="158" t="b">
        <v>0</v>
      </c>
      <c r="IG30" s="158" t="b">
        <v>0</v>
      </c>
      <c r="IH30" s="158" t="b">
        <v>0</v>
      </c>
      <c r="II30" s="158" t="b">
        <v>0</v>
      </c>
      <c r="IJ30" s="158" t="b">
        <v>0</v>
      </c>
      <c r="IK30" s="158" t="b">
        <v>0</v>
      </c>
      <c r="IL30" s="158" t="b">
        <v>0</v>
      </c>
      <c r="IM30" s="158" t="b">
        <v>0</v>
      </c>
      <c r="IN30" s="158" t="b">
        <v>0</v>
      </c>
      <c r="IO30" s="158" t="b">
        <v>0</v>
      </c>
      <c r="IP30" s="158" t="b">
        <v>0</v>
      </c>
      <c r="IQ30" s="158" t="b">
        <v>0</v>
      </c>
      <c r="IR30" s="158" t="b">
        <v>0</v>
      </c>
      <c r="IS30" s="158" t="b">
        <v>0</v>
      </c>
      <c r="IT30" s="158" t="b">
        <v>0</v>
      </c>
      <c r="IU30" s="158" t="b">
        <v>0</v>
      </c>
      <c r="IV30" s="158" t="b">
        <v>0</v>
      </c>
      <c r="IW30" s="158" t="b">
        <v>0</v>
      </c>
      <c r="IX30" s="158" t="b">
        <v>0</v>
      </c>
      <c r="IY30" s="158" t="b">
        <v>0</v>
      </c>
      <c r="IZ30" s="158" t="b">
        <v>0</v>
      </c>
      <c r="JA30" s="158" t="b">
        <v>0</v>
      </c>
      <c r="JB30" s="158" t="b">
        <v>0</v>
      </c>
      <c r="JC30" s="158" t="b">
        <v>0</v>
      </c>
      <c r="JD30" s="158" t="b">
        <v>0</v>
      </c>
      <c r="JE30" s="158" t="b">
        <v>0</v>
      </c>
      <c r="JF30" s="158" t="b">
        <v>0</v>
      </c>
      <c r="JG30" s="158" t="b">
        <v>0</v>
      </c>
      <c r="JH30" s="158" t="b">
        <v>0</v>
      </c>
      <c r="JI30" s="158" t="b">
        <v>0</v>
      </c>
      <c r="JJ30" s="158" t="b">
        <v>0</v>
      </c>
      <c r="JK30" s="158" t="b">
        <v>0</v>
      </c>
      <c r="JL30" s="158" t="b">
        <v>0</v>
      </c>
      <c r="JM30" s="158" t="b">
        <v>0</v>
      </c>
      <c r="JN30" s="158" t="b">
        <v>0</v>
      </c>
      <c r="JO30" s="158" t="b">
        <v>0</v>
      </c>
      <c r="JP30" s="158" t="b">
        <v>0</v>
      </c>
      <c r="JQ30" s="158" t="b">
        <v>0</v>
      </c>
      <c r="JR30" s="158" t="b">
        <v>0</v>
      </c>
      <c r="JS30" s="158" t="b">
        <v>0</v>
      </c>
      <c r="JT30" s="158" t="b">
        <v>0</v>
      </c>
      <c r="JU30" s="158" t="b">
        <v>0</v>
      </c>
      <c r="JV30" s="158" t="b">
        <v>0</v>
      </c>
      <c r="JW30" s="158" t="b">
        <v>0</v>
      </c>
      <c r="JX30" s="158" t="b">
        <v>0</v>
      </c>
      <c r="JY30" s="158" t="b">
        <v>0</v>
      </c>
      <c r="JZ30" s="158" t="b">
        <v>0</v>
      </c>
      <c r="KA30" s="158" t="b">
        <v>0</v>
      </c>
      <c r="KB30" s="158" t="b">
        <v>0</v>
      </c>
      <c r="KC30" s="158" t="b">
        <v>0</v>
      </c>
      <c r="KD30" s="158" t="b">
        <v>0</v>
      </c>
      <c r="KE30" s="158" t="b">
        <v>0</v>
      </c>
      <c r="KF30" s="158" t="b">
        <v>0</v>
      </c>
      <c r="KG30" s="158" t="b">
        <v>0</v>
      </c>
      <c r="KH30" s="158" t="b">
        <v>0</v>
      </c>
      <c r="KI30" s="158" t="b">
        <v>0</v>
      </c>
      <c r="KJ30" s="158" t="b">
        <v>0</v>
      </c>
      <c r="KK30" s="158" t="b">
        <v>0</v>
      </c>
      <c r="KL30" s="158" t="b">
        <v>0</v>
      </c>
      <c r="KM30" s="158" t="b">
        <v>0</v>
      </c>
      <c r="KN30" s="158" t="b">
        <v>0</v>
      </c>
      <c r="KO30" s="158" t="b">
        <v>0</v>
      </c>
      <c r="KP30" s="158" t="b">
        <v>0</v>
      </c>
      <c r="KQ30" s="158" t="b">
        <v>0</v>
      </c>
      <c r="KR30" s="158" t="b">
        <v>0</v>
      </c>
      <c r="KS30" s="158" t="b">
        <v>0</v>
      </c>
      <c r="KT30" s="158" t="b">
        <v>0</v>
      </c>
      <c r="KU30" s="158" t="b">
        <v>0</v>
      </c>
      <c r="KV30" s="158" t="b">
        <v>0</v>
      </c>
      <c r="KW30" s="158" t="b">
        <v>0</v>
      </c>
      <c r="KX30" s="158" t="b">
        <v>0</v>
      </c>
      <c r="KY30" s="158" t="b">
        <v>0</v>
      </c>
      <c r="KZ30" s="158" t="b">
        <v>0</v>
      </c>
      <c r="LA30" s="158" t="b">
        <v>0</v>
      </c>
      <c r="LB30" s="158" t="b">
        <v>0</v>
      </c>
      <c r="LC30" s="158" t="b">
        <v>0</v>
      </c>
      <c r="LD30" s="158" t="b">
        <v>0</v>
      </c>
      <c r="LE30" s="158" t="b">
        <v>0</v>
      </c>
      <c r="LF30" s="158" t="b">
        <v>0</v>
      </c>
      <c r="LG30" s="158" t="b">
        <v>0</v>
      </c>
      <c r="LH30" s="158" t="b">
        <v>0</v>
      </c>
      <c r="LI30" s="158" t="b">
        <v>0</v>
      </c>
      <c r="LJ30" s="158" t="b">
        <v>0</v>
      </c>
      <c r="LK30" s="158" t="b">
        <v>0</v>
      </c>
      <c r="LL30" s="158" t="b">
        <v>0</v>
      </c>
      <c r="LM30" s="158" t="b">
        <v>0</v>
      </c>
      <c r="LN30" s="158" t="b">
        <v>0</v>
      </c>
      <c r="LO30" s="158" t="b">
        <v>0</v>
      </c>
      <c r="LP30" s="158" t="b">
        <v>0</v>
      </c>
      <c r="LQ30" s="158" t="b">
        <v>0</v>
      </c>
      <c r="LR30" s="158" t="b">
        <v>0</v>
      </c>
      <c r="LS30" s="158" t="b">
        <v>0</v>
      </c>
      <c r="LT30" s="158" t="b">
        <v>0</v>
      </c>
      <c r="LU30" s="158" t="b">
        <v>0</v>
      </c>
      <c r="LV30" s="158" t="b">
        <v>0</v>
      </c>
      <c r="LW30" s="158" t="b">
        <v>0</v>
      </c>
      <c r="LX30" s="158" t="b">
        <v>0</v>
      </c>
      <c r="LY30" s="158" t="b">
        <v>0</v>
      </c>
      <c r="LZ30" s="158" t="b">
        <v>0</v>
      </c>
      <c r="MA30" s="158" t="b">
        <v>0</v>
      </c>
      <c r="MB30" s="158" t="b">
        <v>0</v>
      </c>
      <c r="MC30" s="158" t="b">
        <v>0</v>
      </c>
      <c r="MD30" s="158" t="b">
        <v>0</v>
      </c>
      <c r="ME30" s="158" t="b">
        <v>0</v>
      </c>
      <c r="MF30" s="158" t="b">
        <v>0</v>
      </c>
      <c r="MG30" s="158" t="b">
        <v>0</v>
      </c>
      <c r="MH30" s="158" t="b">
        <v>0</v>
      </c>
      <c r="MI30" s="158" t="b">
        <v>0</v>
      </c>
      <c r="MJ30" s="158" t="b">
        <v>0</v>
      </c>
      <c r="MK30" s="158" t="b">
        <v>0</v>
      </c>
      <c r="ML30" s="158" t="b">
        <v>0</v>
      </c>
      <c r="MM30" s="158" t="b">
        <v>0</v>
      </c>
      <c r="MN30" s="158" t="b">
        <v>0</v>
      </c>
      <c r="MO30" s="158" t="b">
        <v>0</v>
      </c>
      <c r="MP30" s="158" t="b">
        <v>0</v>
      </c>
      <c r="MQ30" s="158" t="b">
        <v>0</v>
      </c>
      <c r="MR30" s="158" t="b">
        <v>0</v>
      </c>
      <c r="MS30" s="158" t="b">
        <v>0</v>
      </c>
      <c r="MT30" s="158" t="b">
        <v>0</v>
      </c>
      <c r="MU30" s="158" t="b">
        <v>0</v>
      </c>
      <c r="MV30" s="158" t="b">
        <v>0</v>
      </c>
      <c r="MW30" s="158" t="b">
        <v>0</v>
      </c>
      <c r="MX30" s="158" t="b">
        <v>0</v>
      </c>
      <c r="MY30" s="158" t="b">
        <v>0</v>
      </c>
      <c r="MZ30" s="158" t="b">
        <v>0</v>
      </c>
      <c r="NA30" s="158" t="b">
        <v>0</v>
      </c>
      <c r="NB30" s="158" t="b">
        <v>0</v>
      </c>
      <c r="NC30" s="158" t="b">
        <v>0</v>
      </c>
      <c r="ND30" s="158" t="b">
        <v>0</v>
      </c>
      <c r="NE30" s="158" t="b">
        <v>0</v>
      </c>
      <c r="NF30" s="158" t="b">
        <v>0</v>
      </c>
      <c r="NG30" s="158" t="b">
        <v>0</v>
      </c>
      <c r="NH30" s="158" t="b">
        <v>0</v>
      </c>
      <c r="NI30" s="158" t="b">
        <v>0</v>
      </c>
      <c r="NJ30" s="158" t="b">
        <v>0</v>
      </c>
      <c r="NK30" s="158" t="b">
        <v>0</v>
      </c>
      <c r="NL30" s="158" t="b">
        <v>0</v>
      </c>
      <c r="NM30" s="158" t="b">
        <v>0</v>
      </c>
      <c r="NN30" s="158" t="b">
        <v>0</v>
      </c>
      <c r="NO30" s="158" t="b">
        <v>0</v>
      </c>
    </row>
    <row r="31" spans="1:379" ht="29.25" x14ac:dyDescent="0.4">
      <c r="A31" s="511" t="str">
        <v>Smoothies &amp; Shakes 1</v>
      </c>
      <c r="B31" s="158" t="b">
        <v>0</v>
      </c>
      <c r="C31" s="158" t="b">
        <v>0</v>
      </c>
      <c r="D31" s="158" t="b">
        <v>0</v>
      </c>
      <c r="E31" s="158" t="b">
        <v>0</v>
      </c>
      <c r="F31" s="158" t="b">
        <v>0</v>
      </c>
      <c r="G31" s="158" t="b">
        <v>0</v>
      </c>
      <c r="H31" s="93" t="b">
        <v>0</v>
      </c>
      <c r="I31" s="93" t="b">
        <v>0</v>
      </c>
      <c r="J31" s="158" t="b">
        <v>0</v>
      </c>
      <c r="K31" s="158" t="b">
        <v>0</v>
      </c>
      <c r="L31" s="158" t="b">
        <v>0</v>
      </c>
      <c r="M31" s="158" t="b">
        <v>0</v>
      </c>
      <c r="N31" s="158" t="b">
        <v>0</v>
      </c>
      <c r="O31" s="158" t="b">
        <v>0</v>
      </c>
      <c r="P31" s="93" t="b">
        <v>0</v>
      </c>
      <c r="Q31" s="158" t="b">
        <v>0</v>
      </c>
      <c r="R31" s="158" t="b">
        <v>0</v>
      </c>
      <c r="S31" s="158" t="b">
        <v>0</v>
      </c>
      <c r="T31" s="158" t="b">
        <v>0</v>
      </c>
      <c r="U31" s="158" t="b">
        <v>0</v>
      </c>
      <c r="V31" s="158" t="b">
        <v>0</v>
      </c>
      <c r="W31" s="93" t="b">
        <v>0</v>
      </c>
      <c r="X31" s="158" t="b">
        <v>0</v>
      </c>
      <c r="Y31" s="158" t="b">
        <v>0</v>
      </c>
      <c r="Z31" s="158" t="b">
        <v>0</v>
      </c>
      <c r="AA31" s="158" t="b">
        <v>0</v>
      </c>
      <c r="AB31" s="158" t="b">
        <v>0</v>
      </c>
      <c r="AC31" s="158" t="b">
        <v>0</v>
      </c>
      <c r="AD31" s="158" t="b">
        <v>0</v>
      </c>
      <c r="AE31" s="158" t="b">
        <v>0</v>
      </c>
      <c r="AF31" s="158" t="b">
        <v>0</v>
      </c>
      <c r="AG31" s="158" t="b">
        <v>0</v>
      </c>
      <c r="AH31" s="158" t="b">
        <v>0</v>
      </c>
      <c r="AI31" s="158" t="b">
        <v>0</v>
      </c>
      <c r="AJ31" s="158" t="b">
        <v>0</v>
      </c>
      <c r="AK31" s="158" t="b">
        <v>0</v>
      </c>
      <c r="AL31" s="158" t="b">
        <v>0</v>
      </c>
      <c r="AM31" s="158" t="b">
        <v>0</v>
      </c>
      <c r="AN31" s="158" t="b">
        <v>0</v>
      </c>
      <c r="AO31" s="158" t="b">
        <v>0</v>
      </c>
      <c r="AP31" s="158" t="b">
        <v>0</v>
      </c>
      <c r="AQ31" s="158" t="b">
        <v>0</v>
      </c>
      <c r="AR31" s="158" t="b">
        <v>0</v>
      </c>
      <c r="AS31" s="158" t="b">
        <v>0</v>
      </c>
      <c r="AT31" s="158" t="b">
        <v>0</v>
      </c>
      <c r="AU31" s="158" t="b">
        <v>0</v>
      </c>
      <c r="AV31" s="158" t="b">
        <v>0</v>
      </c>
      <c r="AW31" s="158" t="b">
        <v>0</v>
      </c>
      <c r="AX31" s="158" t="b">
        <v>0</v>
      </c>
      <c r="AY31" s="158" t="b">
        <v>0</v>
      </c>
      <c r="AZ31" s="158" t="b">
        <v>0</v>
      </c>
      <c r="BA31" s="158" t="b">
        <v>0</v>
      </c>
      <c r="BB31" s="158" t="b">
        <v>0</v>
      </c>
      <c r="BC31" s="158" t="b">
        <v>0</v>
      </c>
      <c r="BD31" s="158" t="b">
        <v>0</v>
      </c>
      <c r="BE31" s="158" t="b">
        <v>0</v>
      </c>
      <c r="BF31" s="158" t="b">
        <v>0</v>
      </c>
      <c r="BG31" s="158" t="b">
        <v>0</v>
      </c>
      <c r="BH31" s="158" t="b">
        <v>0</v>
      </c>
      <c r="BI31" s="158" t="b">
        <v>0</v>
      </c>
      <c r="BJ31" s="158" t="b">
        <v>0</v>
      </c>
      <c r="BK31" s="158" t="b">
        <v>0</v>
      </c>
      <c r="BL31" s="158" t="b">
        <v>0</v>
      </c>
      <c r="BM31" s="158" t="b">
        <v>0</v>
      </c>
      <c r="BN31" s="158" t="b">
        <v>0</v>
      </c>
      <c r="BO31" s="158" t="b">
        <v>0</v>
      </c>
      <c r="BP31" s="158" t="b">
        <v>0</v>
      </c>
      <c r="BQ31" s="158" t="b">
        <v>0</v>
      </c>
      <c r="BR31" s="158" t="b">
        <v>0</v>
      </c>
      <c r="BS31" s="158" t="b">
        <v>0</v>
      </c>
      <c r="BT31" s="158" t="b">
        <v>0</v>
      </c>
      <c r="BU31" s="158" t="b">
        <v>0</v>
      </c>
      <c r="BV31" s="158" t="b">
        <v>0</v>
      </c>
      <c r="BW31" s="158" t="b">
        <v>0</v>
      </c>
      <c r="BX31" s="158" t="b">
        <v>0</v>
      </c>
      <c r="BY31" s="158" t="b">
        <v>0</v>
      </c>
      <c r="BZ31" s="158" t="b">
        <v>0</v>
      </c>
      <c r="CA31" s="158" t="b">
        <v>0</v>
      </c>
      <c r="CB31" s="158" t="b">
        <v>0</v>
      </c>
      <c r="CC31" s="158" t="b">
        <v>0</v>
      </c>
      <c r="CD31" s="158" t="b">
        <v>0</v>
      </c>
      <c r="CE31" s="158" t="b">
        <v>0</v>
      </c>
      <c r="CF31" s="158" t="b">
        <v>0</v>
      </c>
      <c r="CG31" s="158" t="b">
        <v>0</v>
      </c>
      <c r="CH31" s="158" t="b">
        <v>0</v>
      </c>
      <c r="CI31" s="158" t="b">
        <v>0</v>
      </c>
      <c r="CJ31" s="158" t="b">
        <v>0</v>
      </c>
      <c r="CK31" s="158" t="b">
        <v>0</v>
      </c>
      <c r="CL31" s="158" t="b">
        <v>0</v>
      </c>
      <c r="CM31" s="158" t="b">
        <v>0</v>
      </c>
      <c r="CN31" s="158" t="b">
        <v>0</v>
      </c>
      <c r="CO31" s="158" t="b">
        <v>0</v>
      </c>
      <c r="CP31" s="158" t="b">
        <v>0</v>
      </c>
      <c r="CQ31" s="158" t="b">
        <v>0</v>
      </c>
      <c r="CR31" s="158" t="b">
        <v>0</v>
      </c>
      <c r="CS31" s="158" t="b">
        <v>0</v>
      </c>
      <c r="CT31" s="158" t="b">
        <v>0</v>
      </c>
      <c r="CU31" s="158" t="b">
        <v>0</v>
      </c>
      <c r="CV31" s="158" t="b">
        <v>0</v>
      </c>
      <c r="CW31" s="158" t="b">
        <v>0</v>
      </c>
      <c r="CX31" s="158" t="b">
        <v>0</v>
      </c>
      <c r="CY31" s="158" t="b">
        <v>0</v>
      </c>
      <c r="CZ31" s="158" t="b">
        <v>0</v>
      </c>
      <c r="DA31" s="158" t="b">
        <v>0</v>
      </c>
      <c r="DB31" s="158" t="b">
        <v>0</v>
      </c>
      <c r="DC31" s="158" t="b">
        <v>0</v>
      </c>
      <c r="DD31" s="158" t="b">
        <v>0</v>
      </c>
      <c r="DE31" s="158" t="b">
        <v>0</v>
      </c>
      <c r="DF31" s="158" t="b">
        <v>0</v>
      </c>
      <c r="DG31" s="158" t="b">
        <v>0</v>
      </c>
      <c r="DH31" s="158" t="b">
        <v>0</v>
      </c>
      <c r="DI31" s="158" t="b">
        <v>0</v>
      </c>
      <c r="DJ31" s="158" t="b">
        <v>0</v>
      </c>
      <c r="DK31" s="158" t="b">
        <v>0</v>
      </c>
      <c r="DL31" s="158" t="b">
        <v>0</v>
      </c>
      <c r="DM31" s="158" t="b">
        <v>0</v>
      </c>
      <c r="DN31" s="158" t="b">
        <v>0</v>
      </c>
      <c r="DO31" s="158" t="b">
        <v>0</v>
      </c>
      <c r="DP31" s="158" t="b">
        <v>0</v>
      </c>
      <c r="DQ31" s="158" t="b">
        <v>0</v>
      </c>
      <c r="DR31" s="158" t="b">
        <v>0</v>
      </c>
      <c r="DS31" s="158" t="b">
        <v>0</v>
      </c>
      <c r="DT31" s="158" t="b">
        <v>0</v>
      </c>
      <c r="DU31" s="158" t="b">
        <v>0</v>
      </c>
      <c r="DV31" s="158" t="b">
        <v>0</v>
      </c>
      <c r="DW31" s="158" t="b">
        <v>0</v>
      </c>
      <c r="DX31" s="158" t="b">
        <v>0</v>
      </c>
      <c r="DY31" s="158" t="b">
        <v>0</v>
      </c>
      <c r="DZ31" s="158" t="b">
        <v>0</v>
      </c>
      <c r="EA31" s="158" t="b">
        <v>0</v>
      </c>
      <c r="EB31" s="158" t="b">
        <v>0</v>
      </c>
      <c r="EC31" s="158" t="b">
        <v>0</v>
      </c>
      <c r="ED31" s="158" t="b">
        <v>0</v>
      </c>
      <c r="EE31" s="158" t="b">
        <v>0</v>
      </c>
      <c r="EF31" s="158" t="b">
        <v>0</v>
      </c>
      <c r="EG31" s="158" t="b">
        <v>0</v>
      </c>
      <c r="EH31" s="158" t="b">
        <v>0</v>
      </c>
      <c r="EI31" s="158" t="b">
        <v>0</v>
      </c>
      <c r="EJ31" s="158" t="b">
        <v>0</v>
      </c>
      <c r="EK31" s="158" t="b">
        <v>0</v>
      </c>
      <c r="EL31" s="158" t="b">
        <v>0</v>
      </c>
      <c r="EM31" s="158" t="b">
        <v>0</v>
      </c>
      <c r="EN31" s="158" t="b">
        <v>0</v>
      </c>
      <c r="EO31" s="158" t="b">
        <v>0</v>
      </c>
      <c r="EP31" s="158" t="b">
        <v>0</v>
      </c>
      <c r="EQ31" s="158" t="b">
        <v>0</v>
      </c>
      <c r="ER31" s="158" t="b">
        <v>0</v>
      </c>
      <c r="ES31" s="158" t="b">
        <v>0</v>
      </c>
      <c r="ET31" s="158" t="b">
        <v>0</v>
      </c>
      <c r="EU31" s="158" t="b">
        <v>0</v>
      </c>
      <c r="EV31" s="158" t="b">
        <v>0</v>
      </c>
      <c r="EW31" s="158" t="b">
        <v>0</v>
      </c>
      <c r="EX31" s="158" t="b">
        <v>0</v>
      </c>
      <c r="EY31" s="158" t="b">
        <v>0</v>
      </c>
      <c r="EZ31" s="158" t="b">
        <v>0</v>
      </c>
      <c r="FA31" s="158" t="b">
        <v>0</v>
      </c>
      <c r="FB31" s="158" t="b">
        <v>0</v>
      </c>
      <c r="FC31" s="158" t="b">
        <v>0</v>
      </c>
      <c r="FD31" s="158" t="b">
        <v>0</v>
      </c>
      <c r="FE31" s="158" t="b">
        <v>0</v>
      </c>
      <c r="FF31" s="158" t="b">
        <v>0</v>
      </c>
      <c r="FG31" s="158" t="b">
        <v>0</v>
      </c>
      <c r="FH31" s="158" t="b">
        <v>0</v>
      </c>
      <c r="FI31" s="158" t="b">
        <v>0</v>
      </c>
      <c r="FJ31" s="158" t="b">
        <v>0</v>
      </c>
      <c r="FK31" s="158" t="b">
        <v>0</v>
      </c>
      <c r="FL31" s="158" t="b">
        <v>0</v>
      </c>
      <c r="FM31" s="158" t="b">
        <v>0</v>
      </c>
      <c r="FN31" s="158" t="b">
        <v>0</v>
      </c>
      <c r="FO31" s="158" t="b">
        <v>0</v>
      </c>
      <c r="FP31" s="158" t="b">
        <v>0</v>
      </c>
      <c r="FQ31" s="158" t="b">
        <v>0</v>
      </c>
      <c r="FR31" s="158" t="b">
        <v>0</v>
      </c>
      <c r="FS31" s="158" t="b">
        <v>0</v>
      </c>
      <c r="FT31" s="158" t="b">
        <v>0</v>
      </c>
      <c r="FU31" s="158" t="b">
        <v>0</v>
      </c>
      <c r="FV31" s="158" t="b">
        <v>0</v>
      </c>
      <c r="FW31" s="158" t="b">
        <v>0</v>
      </c>
      <c r="FX31" s="158" t="b">
        <v>0</v>
      </c>
      <c r="FY31" s="158" t="b">
        <v>0</v>
      </c>
      <c r="FZ31" s="158" t="b">
        <v>0</v>
      </c>
      <c r="GA31" s="158" t="b">
        <v>0</v>
      </c>
      <c r="GB31" s="158" t="b">
        <v>0</v>
      </c>
      <c r="GC31" s="158" t="b">
        <v>0</v>
      </c>
      <c r="GD31" s="158" t="b">
        <v>0</v>
      </c>
      <c r="GE31" s="158" t="b">
        <v>0</v>
      </c>
      <c r="GF31" s="158" t="b">
        <v>0</v>
      </c>
      <c r="GG31" s="158" t="b">
        <v>0</v>
      </c>
      <c r="GH31" s="158" t="b">
        <v>0</v>
      </c>
      <c r="GI31" s="158" t="b">
        <v>0</v>
      </c>
      <c r="GJ31" s="158" t="b">
        <v>0</v>
      </c>
      <c r="GK31" s="158" t="b">
        <v>0</v>
      </c>
      <c r="GL31" s="158" t="b">
        <v>0</v>
      </c>
      <c r="GM31" s="158" t="b">
        <v>0</v>
      </c>
      <c r="GN31" s="158" t="b">
        <v>0</v>
      </c>
      <c r="GO31" s="158" t="b">
        <v>0</v>
      </c>
      <c r="GP31" s="158" t="b">
        <v>0</v>
      </c>
      <c r="GQ31" s="158" t="b">
        <v>0</v>
      </c>
      <c r="GR31" s="158" t="b">
        <v>0</v>
      </c>
      <c r="GS31" s="158" t="b">
        <v>0</v>
      </c>
      <c r="GT31" s="158" t="b">
        <v>0</v>
      </c>
      <c r="GU31" s="158" t="b">
        <v>0</v>
      </c>
      <c r="GV31" s="158" t="b">
        <v>0</v>
      </c>
      <c r="GW31" s="158" t="b">
        <v>0</v>
      </c>
      <c r="GX31" s="158" t="b">
        <v>0</v>
      </c>
      <c r="GY31" s="158" t="b">
        <v>0</v>
      </c>
      <c r="GZ31" s="158" t="b">
        <v>0</v>
      </c>
      <c r="HA31" s="158" t="b">
        <v>0</v>
      </c>
      <c r="HB31" s="158" t="b">
        <v>0</v>
      </c>
      <c r="HC31" s="158" t="b">
        <v>0</v>
      </c>
      <c r="HD31" s="158" t="b">
        <v>0</v>
      </c>
      <c r="HE31" s="158" t="b">
        <v>0</v>
      </c>
      <c r="HF31" s="158" t="b">
        <v>0</v>
      </c>
      <c r="HG31" s="158" t="b">
        <v>0</v>
      </c>
      <c r="HH31" s="158" t="b">
        <v>0</v>
      </c>
      <c r="HI31" s="158" t="b">
        <v>0</v>
      </c>
      <c r="HJ31" s="158" t="b">
        <v>0</v>
      </c>
      <c r="HK31" s="158" t="b">
        <v>0</v>
      </c>
      <c r="HL31" s="158" t="b">
        <v>0</v>
      </c>
      <c r="HM31" s="158" t="b">
        <v>0</v>
      </c>
      <c r="HN31" s="158" t="b">
        <v>0</v>
      </c>
      <c r="HO31" s="158" t="b">
        <v>0</v>
      </c>
      <c r="HP31" s="158" t="b">
        <v>0</v>
      </c>
      <c r="HQ31" s="158" t="b">
        <v>0</v>
      </c>
      <c r="HR31" s="158" t="b">
        <v>0</v>
      </c>
      <c r="HS31" s="158" t="b">
        <v>0</v>
      </c>
      <c r="HT31" s="93" t="b">
        <v>1</v>
      </c>
      <c r="HU31" s="93" t="b">
        <v>1</v>
      </c>
      <c r="HV31" s="93" t="b">
        <v>1</v>
      </c>
      <c r="HW31" s="93" t="b">
        <v>1</v>
      </c>
      <c r="HX31" s="93" t="b">
        <v>1</v>
      </c>
      <c r="HY31" s="158" t="b">
        <v>0</v>
      </c>
      <c r="HZ31" s="158" t="b">
        <v>0</v>
      </c>
      <c r="IA31" s="158" t="b">
        <v>0</v>
      </c>
      <c r="IB31" s="158" t="b">
        <v>0</v>
      </c>
      <c r="IC31" s="158" t="b">
        <v>0</v>
      </c>
      <c r="ID31" s="158" t="b">
        <v>0</v>
      </c>
      <c r="IE31" s="158" t="b">
        <v>0</v>
      </c>
      <c r="IF31" s="158" t="b">
        <v>0</v>
      </c>
      <c r="IG31" s="158" t="b">
        <v>0</v>
      </c>
      <c r="IH31" s="158" t="b">
        <v>0</v>
      </c>
      <c r="II31" s="158" t="b">
        <v>0</v>
      </c>
      <c r="IJ31" s="158" t="b">
        <v>0</v>
      </c>
      <c r="IK31" s="158" t="b">
        <v>0</v>
      </c>
      <c r="IL31" s="158" t="b">
        <v>0</v>
      </c>
      <c r="IM31" s="158" t="b">
        <v>0</v>
      </c>
      <c r="IN31" s="158" t="b">
        <v>0</v>
      </c>
      <c r="IO31" s="158" t="b">
        <v>0</v>
      </c>
      <c r="IP31" s="158" t="b">
        <v>0</v>
      </c>
      <c r="IQ31" s="158" t="b">
        <v>0</v>
      </c>
      <c r="IR31" s="158" t="b">
        <v>0</v>
      </c>
      <c r="IS31" s="158" t="b">
        <v>0</v>
      </c>
      <c r="IT31" s="158" t="b">
        <v>0</v>
      </c>
      <c r="IU31" s="158" t="b">
        <v>0</v>
      </c>
      <c r="IV31" s="158" t="b">
        <v>0</v>
      </c>
      <c r="IW31" s="158" t="b">
        <v>0</v>
      </c>
      <c r="IX31" s="158" t="b">
        <v>0</v>
      </c>
      <c r="IY31" s="158" t="b">
        <v>0</v>
      </c>
      <c r="IZ31" s="158" t="b">
        <v>0</v>
      </c>
      <c r="JA31" s="158" t="b">
        <v>0</v>
      </c>
      <c r="JB31" s="158" t="b">
        <v>0</v>
      </c>
      <c r="JC31" s="158" t="b">
        <v>0</v>
      </c>
      <c r="JD31" s="158" t="b">
        <v>0</v>
      </c>
      <c r="JE31" s="158" t="b">
        <v>0</v>
      </c>
      <c r="JF31" s="158" t="b">
        <v>0</v>
      </c>
      <c r="JG31" s="158" t="b">
        <v>0</v>
      </c>
      <c r="JH31" s="158" t="b">
        <v>0</v>
      </c>
      <c r="JI31" s="158" t="b">
        <v>0</v>
      </c>
      <c r="JJ31" s="158" t="b">
        <v>0</v>
      </c>
      <c r="JK31" s="158" t="b">
        <v>0</v>
      </c>
      <c r="JL31" s="158" t="b">
        <v>0</v>
      </c>
      <c r="JM31" s="158" t="b">
        <v>0</v>
      </c>
      <c r="JN31" s="158" t="b">
        <v>0</v>
      </c>
      <c r="JO31" s="158" t="b">
        <v>0</v>
      </c>
      <c r="JP31" s="158" t="b">
        <v>0</v>
      </c>
      <c r="JQ31" s="158" t="b">
        <v>0</v>
      </c>
      <c r="JR31" s="158" t="b">
        <v>0</v>
      </c>
      <c r="JS31" s="158" t="b">
        <v>0</v>
      </c>
      <c r="JT31" s="158" t="b">
        <v>0</v>
      </c>
      <c r="JU31" s="158" t="b">
        <v>0</v>
      </c>
      <c r="JV31" s="158" t="b">
        <v>0</v>
      </c>
      <c r="JW31" s="158" t="b">
        <v>0</v>
      </c>
      <c r="JX31" s="158" t="b">
        <v>0</v>
      </c>
      <c r="JY31" s="158" t="b">
        <v>0</v>
      </c>
      <c r="JZ31" s="158" t="b">
        <v>0</v>
      </c>
      <c r="KA31" s="158" t="b">
        <v>0</v>
      </c>
      <c r="KB31" s="158" t="b">
        <v>0</v>
      </c>
      <c r="KC31" s="158" t="b">
        <v>0</v>
      </c>
      <c r="KD31" s="158" t="b">
        <v>0</v>
      </c>
      <c r="KE31" s="158" t="b">
        <v>0</v>
      </c>
      <c r="KF31" s="158" t="b">
        <v>0</v>
      </c>
      <c r="KG31" s="158" t="b">
        <v>0</v>
      </c>
      <c r="KH31" s="158" t="b">
        <v>0</v>
      </c>
      <c r="KI31" s="158" t="b">
        <v>0</v>
      </c>
      <c r="KJ31" s="158" t="b">
        <v>0</v>
      </c>
      <c r="KK31" s="158" t="b">
        <v>0</v>
      </c>
      <c r="KL31" s="158" t="b">
        <v>0</v>
      </c>
      <c r="KM31" s="158" t="b">
        <v>0</v>
      </c>
      <c r="KN31" s="158" t="b">
        <v>0</v>
      </c>
      <c r="KO31" s="158" t="b">
        <v>0</v>
      </c>
      <c r="KP31" s="158" t="b">
        <v>0</v>
      </c>
      <c r="KQ31" s="158" t="b">
        <v>0</v>
      </c>
      <c r="KR31" s="158" t="b">
        <v>0</v>
      </c>
      <c r="KS31" s="158" t="b">
        <v>0</v>
      </c>
      <c r="KT31" s="158" t="b">
        <v>0</v>
      </c>
      <c r="KU31" s="158" t="b">
        <v>0</v>
      </c>
      <c r="KV31" s="158" t="b">
        <v>0</v>
      </c>
      <c r="KW31" s="158" t="b">
        <v>0</v>
      </c>
      <c r="KX31" s="158" t="b">
        <v>0</v>
      </c>
      <c r="KY31" s="158" t="b">
        <v>0</v>
      </c>
      <c r="KZ31" s="158" t="b">
        <v>0</v>
      </c>
      <c r="LA31" s="158" t="b">
        <v>0</v>
      </c>
      <c r="LB31" s="158" t="b">
        <v>0</v>
      </c>
      <c r="LC31" s="158" t="b">
        <v>0</v>
      </c>
      <c r="LD31" s="158" t="b">
        <v>0</v>
      </c>
      <c r="LE31" s="158" t="b">
        <v>0</v>
      </c>
      <c r="LF31" s="158" t="b">
        <v>0</v>
      </c>
      <c r="LG31" s="158" t="b">
        <v>0</v>
      </c>
      <c r="LH31" s="158" t="b">
        <v>0</v>
      </c>
      <c r="LI31" s="158" t="b">
        <v>0</v>
      </c>
      <c r="LJ31" s="158" t="b">
        <v>0</v>
      </c>
      <c r="LK31" s="158" t="b">
        <v>0</v>
      </c>
      <c r="LL31" s="158" t="b">
        <v>0</v>
      </c>
      <c r="LM31" s="158" t="b">
        <v>0</v>
      </c>
      <c r="LN31" s="158" t="b">
        <v>0</v>
      </c>
      <c r="LO31" s="158" t="b">
        <v>0</v>
      </c>
      <c r="LP31" s="158" t="b">
        <v>0</v>
      </c>
      <c r="LQ31" s="158" t="b">
        <v>0</v>
      </c>
      <c r="LR31" s="158" t="b">
        <v>0</v>
      </c>
      <c r="LS31" s="158" t="b">
        <v>0</v>
      </c>
      <c r="LT31" s="158" t="b">
        <v>0</v>
      </c>
      <c r="LU31" s="158" t="b">
        <v>0</v>
      </c>
      <c r="LV31" s="158" t="b">
        <v>0</v>
      </c>
      <c r="LW31" s="158" t="b">
        <v>0</v>
      </c>
      <c r="LX31" s="158" t="b">
        <v>0</v>
      </c>
      <c r="LY31" s="158" t="b">
        <v>0</v>
      </c>
      <c r="LZ31" s="158" t="b">
        <v>0</v>
      </c>
      <c r="MA31" s="158" t="b">
        <v>0</v>
      </c>
      <c r="MB31" s="158" t="b">
        <v>0</v>
      </c>
      <c r="MC31" s="158" t="b">
        <v>0</v>
      </c>
      <c r="MD31" s="158" t="b">
        <v>0</v>
      </c>
      <c r="ME31" s="158" t="b">
        <v>0</v>
      </c>
      <c r="MF31" s="158" t="b">
        <v>0</v>
      </c>
      <c r="MG31" s="158" t="b">
        <v>0</v>
      </c>
      <c r="MH31" s="158" t="b">
        <v>0</v>
      </c>
      <c r="MI31" s="158" t="b">
        <v>0</v>
      </c>
      <c r="MJ31" s="158" t="b">
        <v>0</v>
      </c>
      <c r="MK31" s="158" t="b">
        <v>0</v>
      </c>
      <c r="ML31" s="158" t="b">
        <v>0</v>
      </c>
      <c r="MM31" s="158" t="b">
        <v>0</v>
      </c>
      <c r="MN31" s="158" t="b">
        <v>0</v>
      </c>
      <c r="MO31" s="158" t="b">
        <v>0</v>
      </c>
      <c r="MP31" s="158" t="b">
        <v>0</v>
      </c>
      <c r="MQ31" s="158" t="b">
        <v>0</v>
      </c>
      <c r="MR31" s="158" t="b">
        <v>0</v>
      </c>
      <c r="MS31" s="158" t="b">
        <v>0</v>
      </c>
      <c r="MT31" s="158" t="b">
        <v>0</v>
      </c>
      <c r="MU31" s="158" t="b">
        <v>0</v>
      </c>
      <c r="MV31" s="158" t="b">
        <v>0</v>
      </c>
      <c r="MW31" s="158" t="b">
        <v>0</v>
      </c>
      <c r="MX31" s="158" t="b">
        <v>0</v>
      </c>
      <c r="MY31" s="158" t="b">
        <v>0</v>
      </c>
      <c r="MZ31" s="158" t="b">
        <v>0</v>
      </c>
      <c r="NA31" s="158" t="b">
        <v>0</v>
      </c>
      <c r="NB31" s="158" t="b">
        <v>0</v>
      </c>
      <c r="NC31" s="158" t="b">
        <v>0</v>
      </c>
      <c r="ND31" s="158" t="b">
        <v>0</v>
      </c>
      <c r="NE31" s="158" t="b">
        <v>0</v>
      </c>
      <c r="NF31" s="158" t="b">
        <v>0</v>
      </c>
      <c r="NG31" s="158" t="b">
        <v>0</v>
      </c>
      <c r="NH31" s="158" t="b">
        <v>0</v>
      </c>
      <c r="NI31" s="158" t="b">
        <v>0</v>
      </c>
      <c r="NJ31" s="158" t="b">
        <v>0</v>
      </c>
      <c r="NK31" s="158" t="b">
        <v>0</v>
      </c>
      <c r="NL31" s="158" t="b">
        <v>0</v>
      </c>
      <c r="NM31" s="158" t="b">
        <v>0</v>
      </c>
      <c r="NN31" s="158" t="b">
        <v>0</v>
      </c>
      <c r="NO31" s="158" t="b">
        <v>0</v>
      </c>
    </row>
    <row r="32" spans="1:379" ht="29.25" x14ac:dyDescent="0.4">
      <c r="A32" s="511" t="str">
        <v>Nobo/Citroen</v>
      </c>
      <c r="B32" s="158" t="b">
        <v>0</v>
      </c>
      <c r="C32" s="158" t="b">
        <v>0</v>
      </c>
      <c r="D32" s="158" t="b">
        <v>0</v>
      </c>
      <c r="E32" s="158" t="b">
        <v>0</v>
      </c>
      <c r="F32" s="158" t="b">
        <v>0</v>
      </c>
      <c r="G32" s="158" t="b">
        <v>0</v>
      </c>
      <c r="H32" s="158" t="b">
        <v>0</v>
      </c>
      <c r="I32" s="158" t="b">
        <v>0</v>
      </c>
      <c r="J32" s="158" t="b">
        <v>0</v>
      </c>
      <c r="K32" s="158" t="b">
        <v>0</v>
      </c>
      <c r="L32" s="158" t="b">
        <v>0</v>
      </c>
      <c r="M32" s="158" t="b">
        <v>0</v>
      </c>
      <c r="N32" s="158" t="b">
        <v>0</v>
      </c>
      <c r="O32" s="158" t="b">
        <v>0</v>
      </c>
      <c r="P32" s="158" t="b">
        <v>0</v>
      </c>
      <c r="Q32" s="158" t="b">
        <v>0</v>
      </c>
      <c r="R32" s="158" t="b">
        <v>0</v>
      </c>
      <c r="S32" s="158" t="b">
        <v>0</v>
      </c>
      <c r="T32" s="158" t="b">
        <v>0</v>
      </c>
      <c r="U32" s="158" t="b">
        <v>0</v>
      </c>
      <c r="V32" s="158" t="b">
        <v>0</v>
      </c>
      <c r="W32" s="158" t="b">
        <v>0</v>
      </c>
      <c r="X32" s="158" t="b">
        <v>0</v>
      </c>
      <c r="Y32" s="158" t="b">
        <v>0</v>
      </c>
      <c r="Z32" s="158" t="b">
        <v>0</v>
      </c>
      <c r="AA32" s="158" t="b">
        <v>0</v>
      </c>
      <c r="AB32" s="158" t="b">
        <v>0</v>
      </c>
      <c r="AC32" s="158" t="b">
        <v>0</v>
      </c>
      <c r="AD32" s="158" t="b">
        <v>0</v>
      </c>
      <c r="AE32" s="158" t="b">
        <v>0</v>
      </c>
      <c r="AF32" s="158" t="b">
        <v>0</v>
      </c>
      <c r="AG32" s="158" t="b">
        <v>0</v>
      </c>
      <c r="AH32" s="158" t="b">
        <v>0</v>
      </c>
      <c r="AI32" s="158" t="b">
        <v>0</v>
      </c>
      <c r="AJ32" s="158" t="b">
        <v>0</v>
      </c>
      <c r="AK32" s="158" t="b">
        <v>0</v>
      </c>
      <c r="AL32" s="158" t="b">
        <v>0</v>
      </c>
      <c r="AM32" s="158" t="b">
        <v>0</v>
      </c>
      <c r="AN32" s="158" t="b">
        <v>0</v>
      </c>
      <c r="AO32" s="158" t="b">
        <v>0</v>
      </c>
      <c r="AP32" s="158" t="b">
        <v>0</v>
      </c>
      <c r="AQ32" s="158" t="b">
        <v>0</v>
      </c>
      <c r="AR32" s="158" t="b">
        <v>0</v>
      </c>
      <c r="AS32" s="158" t="b">
        <v>0</v>
      </c>
      <c r="AT32" s="158" t="b">
        <v>0</v>
      </c>
      <c r="AU32" s="158" t="b">
        <v>0</v>
      </c>
      <c r="AV32" s="158" t="b">
        <v>0</v>
      </c>
      <c r="AW32" s="158" t="b">
        <v>0</v>
      </c>
      <c r="AX32" s="158" t="b">
        <v>0</v>
      </c>
      <c r="AY32" s="158" t="b">
        <v>0</v>
      </c>
      <c r="AZ32" s="158" t="b">
        <v>0</v>
      </c>
      <c r="BA32" s="158" t="b">
        <v>0</v>
      </c>
      <c r="BB32" s="158" t="b">
        <v>0</v>
      </c>
      <c r="BC32" s="158" t="b">
        <v>0</v>
      </c>
      <c r="BD32" s="158" t="b">
        <v>0</v>
      </c>
      <c r="BE32" s="158" t="b">
        <v>0</v>
      </c>
      <c r="BF32" s="158" t="b">
        <v>0</v>
      </c>
      <c r="BG32" s="158" t="b">
        <v>0</v>
      </c>
      <c r="BH32" s="158" t="b">
        <v>0</v>
      </c>
      <c r="BI32" s="158" t="b">
        <v>0</v>
      </c>
      <c r="BJ32" s="158" t="b">
        <v>0</v>
      </c>
      <c r="BK32" s="158" t="b">
        <v>0</v>
      </c>
      <c r="BL32" s="158" t="b">
        <v>0</v>
      </c>
      <c r="BM32" s="158" t="b">
        <v>0</v>
      </c>
      <c r="BN32" s="158" t="b">
        <v>0</v>
      </c>
      <c r="BO32" s="158" t="b">
        <v>0</v>
      </c>
      <c r="BP32" s="158" t="b">
        <v>0</v>
      </c>
      <c r="BQ32" s="158" t="b">
        <v>0</v>
      </c>
      <c r="BR32" s="158" t="b">
        <v>0</v>
      </c>
      <c r="BS32" s="158" t="b">
        <v>0</v>
      </c>
      <c r="BT32" s="158" t="b">
        <v>0</v>
      </c>
      <c r="BU32" s="158" t="b">
        <v>0</v>
      </c>
      <c r="BV32" s="158" t="b">
        <v>0</v>
      </c>
      <c r="BW32" s="158" t="b">
        <v>0</v>
      </c>
      <c r="BX32" s="158" t="b">
        <v>0</v>
      </c>
      <c r="BY32" s="158" t="b">
        <v>0</v>
      </c>
      <c r="BZ32" s="158" t="b">
        <v>0</v>
      </c>
      <c r="CA32" s="158" t="b">
        <v>0</v>
      </c>
      <c r="CB32" s="158" t="b">
        <v>0</v>
      </c>
      <c r="CC32" s="158" t="b">
        <v>0</v>
      </c>
      <c r="CD32" s="158" t="b">
        <v>0</v>
      </c>
      <c r="CE32" s="158" t="b">
        <v>0</v>
      </c>
      <c r="CF32" s="158" t="b">
        <v>0</v>
      </c>
      <c r="CG32" s="158" t="b">
        <v>0</v>
      </c>
      <c r="CH32" s="158" t="b">
        <v>0</v>
      </c>
      <c r="CI32" s="158" t="b">
        <v>0</v>
      </c>
      <c r="CJ32" s="158" t="b">
        <v>0</v>
      </c>
      <c r="CK32" s="158" t="b">
        <v>0</v>
      </c>
      <c r="CL32" s="158" t="b">
        <v>0</v>
      </c>
      <c r="CM32" s="158" t="b">
        <v>0</v>
      </c>
      <c r="CN32" s="158" t="b">
        <v>0</v>
      </c>
      <c r="CO32" s="93" t="b">
        <v>1</v>
      </c>
      <c r="CP32" s="158" t="b">
        <v>0</v>
      </c>
      <c r="CQ32" s="158" t="b">
        <v>0</v>
      </c>
      <c r="CR32" s="158" t="b">
        <v>0</v>
      </c>
      <c r="CS32" s="158" t="b">
        <v>0</v>
      </c>
      <c r="CT32" s="158" t="b">
        <v>0</v>
      </c>
      <c r="CU32" s="158" t="b">
        <v>0</v>
      </c>
      <c r="CV32" s="158" t="b">
        <v>0</v>
      </c>
      <c r="CW32" s="158" t="b">
        <v>0</v>
      </c>
      <c r="CX32" s="158" t="b">
        <v>0</v>
      </c>
      <c r="CY32" s="158" t="b">
        <v>0</v>
      </c>
      <c r="CZ32" s="158" t="b">
        <v>0</v>
      </c>
      <c r="DA32" s="158" t="b">
        <v>0</v>
      </c>
      <c r="DB32" s="158" t="b">
        <v>0</v>
      </c>
      <c r="DC32" s="158" t="b">
        <v>0</v>
      </c>
      <c r="DD32" s="158" t="b">
        <v>0</v>
      </c>
      <c r="DE32" s="158" t="b">
        <v>0</v>
      </c>
      <c r="DF32" s="158" t="b">
        <v>0</v>
      </c>
      <c r="DG32" s="158" t="b">
        <v>0</v>
      </c>
      <c r="DH32" s="158" t="b">
        <v>0</v>
      </c>
      <c r="DI32" s="158" t="b">
        <v>0</v>
      </c>
      <c r="DJ32" s="158" t="b">
        <v>0</v>
      </c>
      <c r="DK32" s="158" t="b">
        <v>0</v>
      </c>
      <c r="DL32" s="158" t="b">
        <v>0</v>
      </c>
      <c r="DM32" s="158" t="b">
        <v>0</v>
      </c>
      <c r="DN32" s="158" t="b">
        <v>0</v>
      </c>
      <c r="DO32" s="158" t="b">
        <v>0</v>
      </c>
      <c r="DP32" s="158" t="b">
        <v>0</v>
      </c>
      <c r="DQ32" s="158" t="b">
        <v>0</v>
      </c>
      <c r="DR32" s="158" t="b">
        <v>0</v>
      </c>
      <c r="DS32" s="158" t="b">
        <v>0</v>
      </c>
      <c r="DT32" s="158" t="b">
        <v>0</v>
      </c>
      <c r="DU32" s="158" t="b">
        <v>0</v>
      </c>
      <c r="DV32" s="158" t="b">
        <v>0</v>
      </c>
      <c r="DW32" s="158" t="b">
        <v>0</v>
      </c>
      <c r="DX32" s="158" t="b">
        <v>0</v>
      </c>
      <c r="DY32" s="158" t="b">
        <v>0</v>
      </c>
      <c r="DZ32" s="158" t="b">
        <v>0</v>
      </c>
      <c r="EA32" s="158" t="b">
        <v>0</v>
      </c>
      <c r="EB32" s="158" t="b">
        <v>0</v>
      </c>
      <c r="EC32" s="93" t="b">
        <v>1</v>
      </c>
      <c r="ED32" s="93" t="b">
        <v>1</v>
      </c>
      <c r="EE32" s="158" t="b">
        <v>0</v>
      </c>
      <c r="EF32" s="158" t="b">
        <v>0</v>
      </c>
      <c r="EG32" s="158" t="b">
        <v>0</v>
      </c>
      <c r="EH32" s="158" t="b">
        <v>0</v>
      </c>
      <c r="EI32" s="158" t="b">
        <v>0</v>
      </c>
      <c r="EJ32" s="158" t="b">
        <v>0</v>
      </c>
      <c r="EK32" s="158" t="b">
        <v>0</v>
      </c>
      <c r="EL32" s="158" t="b">
        <v>0</v>
      </c>
      <c r="EM32" s="158" t="b">
        <v>0</v>
      </c>
      <c r="EN32" s="158" t="b">
        <v>0</v>
      </c>
      <c r="EO32" s="158" t="b">
        <v>0</v>
      </c>
      <c r="EP32" s="158" t="b">
        <v>0</v>
      </c>
      <c r="EQ32" s="158" t="b">
        <v>0</v>
      </c>
      <c r="ER32" s="158" t="b">
        <v>0</v>
      </c>
      <c r="ES32" s="158" t="b">
        <v>0</v>
      </c>
      <c r="ET32" s="158" t="b">
        <v>0</v>
      </c>
      <c r="EU32" s="158" t="b">
        <v>0</v>
      </c>
      <c r="EV32" s="158" t="b">
        <v>0</v>
      </c>
      <c r="EW32" s="158" t="b">
        <v>0</v>
      </c>
      <c r="EX32" s="158" t="b">
        <v>0</v>
      </c>
      <c r="EY32" s="158" t="b">
        <v>0</v>
      </c>
      <c r="EZ32" s="158" t="b">
        <v>0</v>
      </c>
      <c r="FA32" s="158" t="b">
        <v>0</v>
      </c>
      <c r="FB32" s="158" t="b">
        <v>0</v>
      </c>
      <c r="FC32" s="158" t="b">
        <v>0</v>
      </c>
      <c r="FD32" s="158" t="b">
        <v>0</v>
      </c>
      <c r="FE32" s="158" t="b">
        <v>0</v>
      </c>
      <c r="FF32" s="158" t="b">
        <v>0</v>
      </c>
      <c r="FG32" s="158" t="b">
        <v>0</v>
      </c>
      <c r="FH32" s="158" t="b">
        <v>0</v>
      </c>
      <c r="FI32" s="158" t="b">
        <v>0</v>
      </c>
      <c r="FJ32" s="158" t="b">
        <v>0</v>
      </c>
      <c r="FK32" s="158" t="b">
        <v>0</v>
      </c>
      <c r="FL32" s="158" t="b">
        <v>0</v>
      </c>
      <c r="FM32" s="158" t="b">
        <v>0</v>
      </c>
      <c r="FN32" s="158" t="b">
        <v>0</v>
      </c>
      <c r="FO32" s="158" t="b">
        <v>0</v>
      </c>
      <c r="FP32" s="158" t="b">
        <v>0</v>
      </c>
      <c r="FQ32" s="158" t="b">
        <v>0</v>
      </c>
      <c r="FR32" s="158" t="b">
        <v>0</v>
      </c>
      <c r="FS32" s="158" t="b">
        <v>0</v>
      </c>
      <c r="FT32" s="158" t="b">
        <v>0</v>
      </c>
      <c r="FU32" s="158" t="b">
        <v>0</v>
      </c>
      <c r="FV32" s="158" t="b">
        <v>0</v>
      </c>
      <c r="FW32" s="158" t="b">
        <v>0</v>
      </c>
      <c r="FX32" s="158" t="b">
        <v>0</v>
      </c>
      <c r="FY32" s="158" t="b">
        <v>0</v>
      </c>
      <c r="FZ32" s="158" t="b">
        <v>0</v>
      </c>
      <c r="GA32" s="158" t="b">
        <v>0</v>
      </c>
      <c r="GB32" s="158" t="b">
        <v>0</v>
      </c>
      <c r="GC32" s="158" t="b">
        <v>0</v>
      </c>
      <c r="GD32" s="158" t="b">
        <v>0</v>
      </c>
      <c r="GE32" s="158" t="b">
        <v>0</v>
      </c>
      <c r="GF32" s="158" t="b">
        <v>0</v>
      </c>
      <c r="GG32" s="158" t="b">
        <v>0</v>
      </c>
      <c r="GH32" s="158" t="b">
        <v>0</v>
      </c>
      <c r="GI32" s="158" t="b">
        <v>0</v>
      </c>
      <c r="GJ32" s="158" t="b">
        <v>0</v>
      </c>
      <c r="GK32" s="158" t="b">
        <v>0</v>
      </c>
      <c r="GL32" s="158" t="b">
        <v>0</v>
      </c>
      <c r="GM32" s="158" t="b">
        <v>0</v>
      </c>
      <c r="GN32" s="158" t="b">
        <v>0</v>
      </c>
      <c r="GO32" s="158" t="b">
        <v>0</v>
      </c>
      <c r="GP32" s="158" t="b">
        <v>0</v>
      </c>
      <c r="GQ32" s="158" t="b">
        <v>0</v>
      </c>
      <c r="GR32" s="158" t="b">
        <v>0</v>
      </c>
      <c r="GS32" s="158" t="b">
        <v>0</v>
      </c>
      <c r="GT32" s="158" t="b">
        <v>0</v>
      </c>
      <c r="GU32" s="158" t="b">
        <v>0</v>
      </c>
      <c r="GV32" s="158" t="b">
        <v>0</v>
      </c>
      <c r="GW32" s="158" t="b">
        <v>0</v>
      </c>
      <c r="GX32" s="158" t="b">
        <v>0</v>
      </c>
      <c r="GY32" s="158" t="b">
        <v>0</v>
      </c>
      <c r="GZ32" s="158" t="b">
        <v>0</v>
      </c>
      <c r="HA32" s="158" t="b">
        <v>0</v>
      </c>
      <c r="HB32" s="158" t="b">
        <v>0</v>
      </c>
      <c r="HC32" s="158" t="b">
        <v>0</v>
      </c>
      <c r="HD32" s="158" t="b">
        <v>0</v>
      </c>
      <c r="HE32" s="158" t="b">
        <v>0</v>
      </c>
      <c r="HF32" s="158" t="b">
        <v>0</v>
      </c>
      <c r="HG32" s="158" t="b">
        <v>0</v>
      </c>
      <c r="HH32" s="158" t="b">
        <v>0</v>
      </c>
      <c r="HI32" s="158" t="b">
        <v>0</v>
      </c>
      <c r="HJ32" s="158" t="b">
        <v>0</v>
      </c>
      <c r="HK32" s="158" t="b">
        <v>0</v>
      </c>
      <c r="HL32" s="158" t="b">
        <v>0</v>
      </c>
      <c r="HM32" s="158" t="b">
        <v>0</v>
      </c>
      <c r="HN32" s="158" t="b">
        <v>0</v>
      </c>
      <c r="HO32" s="158" t="b">
        <v>0</v>
      </c>
      <c r="HP32" s="158" t="b">
        <v>0</v>
      </c>
      <c r="HQ32" s="158" t="b">
        <v>0</v>
      </c>
      <c r="HR32" s="158" t="b">
        <v>0</v>
      </c>
      <c r="HS32" s="158" t="b">
        <v>0</v>
      </c>
      <c r="HT32" s="158" t="b">
        <v>0</v>
      </c>
      <c r="HU32" s="158" t="b">
        <v>0</v>
      </c>
      <c r="HV32" s="158" t="b">
        <v>0</v>
      </c>
      <c r="HW32" s="158" t="b">
        <v>0</v>
      </c>
      <c r="HX32" s="158" t="b">
        <v>0</v>
      </c>
      <c r="HY32" s="158" t="b">
        <v>0</v>
      </c>
      <c r="HZ32" s="158" t="b">
        <v>0</v>
      </c>
      <c r="IA32" s="158" t="b">
        <v>0</v>
      </c>
      <c r="IB32" s="158" t="b">
        <v>0</v>
      </c>
      <c r="IC32" s="158" t="b">
        <v>0</v>
      </c>
      <c r="ID32" s="158" t="b">
        <v>0</v>
      </c>
      <c r="IE32" s="158" t="b">
        <v>0</v>
      </c>
      <c r="IF32" s="158" t="b">
        <v>0</v>
      </c>
      <c r="IG32" s="158" t="b">
        <v>0</v>
      </c>
      <c r="IH32" s="158" t="b">
        <v>0</v>
      </c>
      <c r="II32" s="158" t="b">
        <v>0</v>
      </c>
      <c r="IJ32" s="158" t="b">
        <v>0</v>
      </c>
      <c r="IK32" s="158" t="b">
        <v>0</v>
      </c>
      <c r="IL32" s="158" t="b">
        <v>0</v>
      </c>
      <c r="IM32" s="158" t="b">
        <v>0</v>
      </c>
      <c r="IN32" s="158" t="b">
        <v>0</v>
      </c>
      <c r="IO32" s="158" t="b">
        <v>0</v>
      </c>
      <c r="IP32" s="158" t="b">
        <v>0</v>
      </c>
      <c r="IQ32" s="158" t="b">
        <v>0</v>
      </c>
      <c r="IR32" s="158" t="b">
        <v>0</v>
      </c>
      <c r="IS32" s="158" t="b">
        <v>0</v>
      </c>
      <c r="IT32" s="158" t="b">
        <v>0</v>
      </c>
      <c r="IU32" s="158" t="b">
        <v>0</v>
      </c>
      <c r="IV32" s="158" t="b">
        <v>0</v>
      </c>
      <c r="IW32" s="158" t="b">
        <v>0</v>
      </c>
      <c r="IX32" s="158" t="b">
        <v>0</v>
      </c>
      <c r="IY32" s="158" t="b">
        <v>0</v>
      </c>
      <c r="IZ32" s="158" t="b">
        <v>0</v>
      </c>
      <c r="JA32" s="158" t="b">
        <v>0</v>
      </c>
      <c r="JB32" s="158" t="b">
        <v>0</v>
      </c>
      <c r="JC32" s="158" t="b">
        <v>0</v>
      </c>
      <c r="JD32" s="158" t="b">
        <v>0</v>
      </c>
      <c r="JE32" s="158" t="b">
        <v>0</v>
      </c>
      <c r="JF32" s="158" t="b">
        <v>0</v>
      </c>
      <c r="JG32" s="158" t="b">
        <v>0</v>
      </c>
      <c r="JH32" s="158" t="b">
        <v>0</v>
      </c>
      <c r="JI32" s="158" t="b">
        <v>0</v>
      </c>
      <c r="JJ32" s="158" t="b">
        <v>0</v>
      </c>
      <c r="JK32" s="158" t="b">
        <v>0</v>
      </c>
      <c r="JL32" s="158" t="b">
        <v>0</v>
      </c>
      <c r="JM32" s="158" t="b">
        <v>0</v>
      </c>
      <c r="JN32" s="158" t="b">
        <v>0</v>
      </c>
      <c r="JO32" s="158" t="b">
        <v>0</v>
      </c>
      <c r="JP32" s="158" t="b">
        <v>0</v>
      </c>
      <c r="JQ32" s="158" t="b">
        <v>0</v>
      </c>
      <c r="JR32" s="158" t="b">
        <v>0</v>
      </c>
      <c r="JS32" s="158" t="b">
        <v>0</v>
      </c>
      <c r="JT32" s="158" t="b">
        <v>0</v>
      </c>
      <c r="JU32" s="158" t="b">
        <v>0</v>
      </c>
      <c r="JV32" s="158" t="b">
        <v>0</v>
      </c>
      <c r="JW32" s="158" t="b">
        <v>0</v>
      </c>
      <c r="JX32" s="158" t="b">
        <v>0</v>
      </c>
      <c r="JY32" s="158" t="b">
        <v>0</v>
      </c>
      <c r="JZ32" s="158" t="b">
        <v>0</v>
      </c>
      <c r="KA32" s="158" t="b">
        <v>0</v>
      </c>
      <c r="KB32" s="158" t="b">
        <v>0</v>
      </c>
      <c r="KC32" s="158" t="b">
        <v>0</v>
      </c>
      <c r="KD32" s="158" t="b">
        <v>0</v>
      </c>
      <c r="KE32" s="158" t="b">
        <v>0</v>
      </c>
      <c r="KF32" s="158" t="b">
        <v>0</v>
      </c>
      <c r="KG32" s="158" t="b">
        <v>0</v>
      </c>
      <c r="KH32" s="158" t="b">
        <v>0</v>
      </c>
      <c r="KI32" s="158" t="b">
        <v>0</v>
      </c>
      <c r="KJ32" s="158" t="b">
        <v>0</v>
      </c>
      <c r="KK32" s="158" t="b">
        <v>0</v>
      </c>
      <c r="KL32" s="158" t="b">
        <v>0</v>
      </c>
      <c r="KM32" s="158" t="b">
        <v>0</v>
      </c>
      <c r="KN32" s="158" t="b">
        <v>0</v>
      </c>
      <c r="KO32" s="158" t="b">
        <v>0</v>
      </c>
      <c r="KP32" s="158" t="b">
        <v>0</v>
      </c>
      <c r="KQ32" s="158" t="b">
        <v>0</v>
      </c>
      <c r="KR32" s="158" t="b">
        <v>0</v>
      </c>
      <c r="KS32" s="158" t="b">
        <v>0</v>
      </c>
      <c r="KT32" s="158" t="b">
        <v>0</v>
      </c>
      <c r="KU32" s="158" t="b">
        <v>0</v>
      </c>
      <c r="KV32" s="158" t="b">
        <v>0</v>
      </c>
      <c r="KW32" s="158" t="b">
        <v>0</v>
      </c>
      <c r="KX32" s="158" t="b">
        <v>0</v>
      </c>
      <c r="KY32" s="158" t="b">
        <v>0</v>
      </c>
      <c r="KZ32" s="158" t="b">
        <v>0</v>
      </c>
      <c r="LA32" s="158" t="b">
        <v>0</v>
      </c>
      <c r="LB32" s="158" t="b">
        <v>0</v>
      </c>
      <c r="LC32" s="158" t="b">
        <v>0</v>
      </c>
      <c r="LD32" s="158" t="b">
        <v>0</v>
      </c>
      <c r="LE32" s="158" t="b">
        <v>0</v>
      </c>
      <c r="LF32" s="158" t="b">
        <v>0</v>
      </c>
      <c r="LG32" s="158" t="b">
        <v>0</v>
      </c>
      <c r="LH32" s="158" t="b">
        <v>0</v>
      </c>
      <c r="LI32" s="158" t="b">
        <v>0</v>
      </c>
      <c r="LJ32" s="158" t="b">
        <v>0</v>
      </c>
      <c r="LK32" s="158" t="b">
        <v>0</v>
      </c>
      <c r="LL32" s="158" t="b">
        <v>0</v>
      </c>
      <c r="LM32" s="158" t="b">
        <v>0</v>
      </c>
      <c r="LN32" s="158" t="b">
        <v>0</v>
      </c>
      <c r="LO32" s="158" t="b">
        <v>0</v>
      </c>
      <c r="LP32" s="158" t="b">
        <v>0</v>
      </c>
      <c r="LQ32" s="158" t="b">
        <v>0</v>
      </c>
      <c r="LR32" s="158" t="b">
        <v>0</v>
      </c>
      <c r="LS32" s="158" t="b">
        <v>0</v>
      </c>
      <c r="LT32" s="158" t="b">
        <v>0</v>
      </c>
      <c r="LU32" s="158" t="b">
        <v>0</v>
      </c>
      <c r="LV32" s="158" t="b">
        <v>0</v>
      </c>
      <c r="LW32" s="158" t="b">
        <v>0</v>
      </c>
      <c r="LX32" s="158" t="b">
        <v>0</v>
      </c>
      <c r="LY32" s="158" t="b">
        <v>0</v>
      </c>
      <c r="LZ32" s="158" t="b">
        <v>0</v>
      </c>
      <c r="MA32" s="158" t="b">
        <v>0</v>
      </c>
      <c r="MB32" s="158" t="b">
        <v>0</v>
      </c>
      <c r="MC32" s="158" t="b">
        <v>0</v>
      </c>
      <c r="MD32" s="158" t="b">
        <v>0</v>
      </c>
      <c r="ME32" s="158" t="b">
        <v>0</v>
      </c>
      <c r="MF32" s="158" t="b">
        <v>0</v>
      </c>
      <c r="MG32" s="158" t="b">
        <v>0</v>
      </c>
      <c r="MH32" s="158" t="b">
        <v>0</v>
      </c>
      <c r="MI32" s="158" t="b">
        <v>0</v>
      </c>
      <c r="MJ32" s="158" t="b">
        <v>0</v>
      </c>
      <c r="MK32" s="158" t="b">
        <v>0</v>
      </c>
      <c r="ML32" s="158" t="b">
        <v>0</v>
      </c>
      <c r="MM32" s="158" t="b">
        <v>0</v>
      </c>
      <c r="MN32" s="158" t="b">
        <v>0</v>
      </c>
      <c r="MO32" s="158" t="b">
        <v>0</v>
      </c>
      <c r="MP32" s="158" t="b">
        <v>0</v>
      </c>
      <c r="MQ32" s="158" t="b">
        <v>0</v>
      </c>
      <c r="MR32" s="158" t="b">
        <v>0</v>
      </c>
      <c r="MS32" s="158" t="b">
        <v>0</v>
      </c>
      <c r="MT32" s="158" t="b">
        <v>0</v>
      </c>
      <c r="MU32" s="158" t="b">
        <v>0</v>
      </c>
      <c r="MV32" s="158" t="b">
        <v>0</v>
      </c>
      <c r="MW32" s="158" t="b">
        <v>0</v>
      </c>
      <c r="MX32" s="158" t="b">
        <v>0</v>
      </c>
      <c r="MY32" s="158" t="b">
        <v>0</v>
      </c>
      <c r="MZ32" s="158" t="b">
        <v>0</v>
      </c>
      <c r="NA32" s="158" t="b">
        <v>0</v>
      </c>
      <c r="NB32" s="158" t="b">
        <v>0</v>
      </c>
      <c r="NC32" s="158" t="b">
        <v>0</v>
      </c>
      <c r="ND32" s="158" t="b">
        <v>0</v>
      </c>
      <c r="NE32" s="158" t="b">
        <v>0</v>
      </c>
      <c r="NF32" s="158" t="b">
        <v>0</v>
      </c>
      <c r="NG32" s="158" t="b">
        <v>0</v>
      </c>
      <c r="NH32" s="158" t="b">
        <v>0</v>
      </c>
      <c r="NI32" s="158" t="b">
        <v>0</v>
      </c>
      <c r="NJ32" s="158" t="b">
        <v>0</v>
      </c>
      <c r="NK32" s="158" t="b">
        <v>0</v>
      </c>
      <c r="NL32" s="158" t="b">
        <v>0</v>
      </c>
      <c r="NM32" s="158" t="b">
        <v>0</v>
      </c>
      <c r="NN32" s="158" t="b">
        <v>0</v>
      </c>
      <c r="NO32" s="158" t="b">
        <v>0</v>
      </c>
    </row>
    <row r="33" spans="1:379" ht="29.25" x14ac:dyDescent="0.4">
      <c r="A33" s="509" t="str">
        <f t="array" ref="A33:A67">Table!F13:F47</f>
        <v>Confectionery</v>
      </c>
      <c r="B33" s="158" t="b">
        <v>0</v>
      </c>
      <c r="C33" s="158" t="b">
        <v>0</v>
      </c>
      <c r="D33" s="158" t="b">
        <v>0</v>
      </c>
      <c r="E33" s="158" t="b">
        <v>0</v>
      </c>
      <c r="F33" s="158" t="b">
        <v>0</v>
      </c>
      <c r="G33" s="158" t="b">
        <v>0</v>
      </c>
      <c r="H33" s="158" t="b">
        <v>0</v>
      </c>
      <c r="I33" s="158" t="b">
        <v>0</v>
      </c>
      <c r="J33" s="158" t="b">
        <v>0</v>
      </c>
      <c r="K33" s="158" t="b">
        <v>0</v>
      </c>
      <c r="L33" s="158" t="b">
        <v>0</v>
      </c>
      <c r="M33" s="158" t="b">
        <v>0</v>
      </c>
      <c r="N33" s="158" t="b">
        <v>0</v>
      </c>
      <c r="O33" s="158" t="b">
        <v>0</v>
      </c>
      <c r="P33" s="158" t="b">
        <v>0</v>
      </c>
      <c r="Q33" s="158" t="b">
        <v>0</v>
      </c>
      <c r="R33" s="158" t="b">
        <v>0</v>
      </c>
      <c r="S33" s="158" t="b">
        <v>0</v>
      </c>
      <c r="T33" s="158" t="b">
        <v>0</v>
      </c>
      <c r="U33" s="158" t="b">
        <v>0</v>
      </c>
      <c r="V33" s="158" t="b">
        <v>0</v>
      </c>
      <c r="W33" s="158" t="b">
        <v>0</v>
      </c>
      <c r="X33" s="158" t="b">
        <v>0</v>
      </c>
      <c r="Y33" s="158" t="b">
        <v>0</v>
      </c>
      <c r="Z33" s="158" t="b">
        <v>0</v>
      </c>
      <c r="AA33" s="158" t="b">
        <v>0</v>
      </c>
      <c r="AB33" s="158" t="b">
        <v>0</v>
      </c>
      <c r="AC33" s="158" t="b">
        <v>0</v>
      </c>
      <c r="AD33" s="158" t="b">
        <v>0</v>
      </c>
      <c r="AE33" s="158" t="b">
        <v>0</v>
      </c>
      <c r="AF33" s="158" t="b">
        <v>0</v>
      </c>
      <c r="AG33" s="158" t="b">
        <v>0</v>
      </c>
      <c r="AH33" s="158" t="b">
        <v>0</v>
      </c>
      <c r="AI33" s="158" t="b">
        <v>0</v>
      </c>
      <c r="AJ33" s="158" t="b">
        <v>0</v>
      </c>
      <c r="AK33" s="158" t="b">
        <v>0</v>
      </c>
      <c r="AL33" s="158" t="b">
        <v>0</v>
      </c>
      <c r="AM33" s="158" t="b">
        <v>0</v>
      </c>
      <c r="AN33" s="158" t="b">
        <v>0</v>
      </c>
      <c r="AO33" s="158" t="b">
        <v>0</v>
      </c>
      <c r="AP33" s="158" t="b">
        <v>0</v>
      </c>
      <c r="AQ33" s="158" t="b">
        <v>0</v>
      </c>
      <c r="AR33" s="158" t="b">
        <v>0</v>
      </c>
      <c r="AS33" s="158" t="b">
        <v>0</v>
      </c>
      <c r="AT33" s="158" t="b">
        <v>0</v>
      </c>
      <c r="AU33" s="158" t="b">
        <v>0</v>
      </c>
      <c r="AV33" s="158" t="b">
        <v>0</v>
      </c>
      <c r="AW33" s="158" t="b">
        <v>0</v>
      </c>
      <c r="AX33" s="158" t="b">
        <v>0</v>
      </c>
      <c r="AY33" s="158" t="b">
        <v>0</v>
      </c>
      <c r="AZ33" s="158" t="b">
        <v>0</v>
      </c>
      <c r="BA33" s="158" t="b">
        <v>0</v>
      </c>
      <c r="BB33" s="158" t="b">
        <v>0</v>
      </c>
      <c r="BC33" s="158" t="b">
        <v>0</v>
      </c>
      <c r="BD33" s="158" t="b">
        <v>0</v>
      </c>
      <c r="BE33" s="158" t="b">
        <v>0</v>
      </c>
      <c r="BF33" s="158" t="b">
        <v>0</v>
      </c>
      <c r="BG33" s="158" t="b">
        <v>0</v>
      </c>
      <c r="BH33" s="158" t="b">
        <v>0</v>
      </c>
      <c r="BI33" s="158" t="b">
        <v>0</v>
      </c>
      <c r="BJ33" s="158" t="b">
        <v>0</v>
      </c>
      <c r="BK33" s="158" t="b">
        <v>0</v>
      </c>
      <c r="BL33" s="158" t="b">
        <v>0</v>
      </c>
      <c r="BM33" s="158" t="b">
        <v>0</v>
      </c>
      <c r="BN33" s="158" t="b">
        <v>0</v>
      </c>
      <c r="BO33" s="158" t="b">
        <v>0</v>
      </c>
      <c r="BP33" s="158" t="b">
        <v>0</v>
      </c>
      <c r="BQ33" s="158" t="b">
        <v>0</v>
      </c>
      <c r="BR33" s="158" t="b">
        <v>0</v>
      </c>
      <c r="BS33" s="158" t="b">
        <v>0</v>
      </c>
      <c r="BT33" s="158" t="b">
        <v>0</v>
      </c>
      <c r="BU33" s="158" t="b">
        <v>0</v>
      </c>
      <c r="BV33" s="158" t="b">
        <v>0</v>
      </c>
      <c r="BW33" s="158" t="b">
        <v>0</v>
      </c>
      <c r="BX33" s="158" t="b">
        <v>0</v>
      </c>
      <c r="BY33" s="158" t="b">
        <v>0</v>
      </c>
      <c r="BZ33" s="158" t="b">
        <v>0</v>
      </c>
      <c r="CA33" s="158" t="b">
        <v>0</v>
      </c>
      <c r="CB33" s="158" t="b">
        <v>0</v>
      </c>
      <c r="CC33" s="158" t="b">
        <v>0</v>
      </c>
      <c r="CD33" s="158" t="b">
        <v>0</v>
      </c>
      <c r="CE33" s="158" t="b">
        <v>0</v>
      </c>
      <c r="CF33" s="158" t="b">
        <v>0</v>
      </c>
      <c r="CG33" s="158" t="b">
        <v>0</v>
      </c>
      <c r="CH33" s="158" t="b">
        <v>0</v>
      </c>
      <c r="CI33" s="158" t="b">
        <v>0</v>
      </c>
      <c r="CJ33" s="158" t="b">
        <v>0</v>
      </c>
      <c r="CK33" s="158" t="b">
        <v>0</v>
      </c>
      <c r="CL33" s="158" t="b">
        <v>0</v>
      </c>
      <c r="CM33" s="158" t="b">
        <v>0</v>
      </c>
      <c r="CN33" s="158" t="b">
        <v>0</v>
      </c>
      <c r="CO33" s="158" t="b">
        <v>0</v>
      </c>
      <c r="CP33" s="158" t="b">
        <v>0</v>
      </c>
      <c r="CQ33" s="158" t="b">
        <v>0</v>
      </c>
      <c r="CR33" s="158" t="b">
        <v>0</v>
      </c>
      <c r="CS33" s="158" t="b">
        <v>0</v>
      </c>
      <c r="CT33" s="158" t="b">
        <v>0</v>
      </c>
      <c r="CU33" s="158" t="b">
        <v>0</v>
      </c>
      <c r="CV33" s="158" t="b">
        <v>0</v>
      </c>
      <c r="CW33" s="158" t="b">
        <v>0</v>
      </c>
      <c r="CX33" s="158" t="b">
        <v>0</v>
      </c>
      <c r="CY33" s="158" t="b">
        <v>0</v>
      </c>
      <c r="CZ33" s="158" t="b">
        <v>0</v>
      </c>
      <c r="DA33" s="158" t="b">
        <v>0</v>
      </c>
      <c r="DB33" s="158" t="b">
        <v>0</v>
      </c>
      <c r="DC33" s="158" t="b">
        <v>0</v>
      </c>
      <c r="DD33" s="158" t="b">
        <v>0</v>
      </c>
      <c r="DE33" s="158" t="b">
        <v>0</v>
      </c>
      <c r="DF33" s="158" t="b">
        <v>0</v>
      </c>
      <c r="DG33" s="158" t="b">
        <v>0</v>
      </c>
      <c r="DH33" s="158" t="b">
        <v>0</v>
      </c>
      <c r="DI33" s="158" t="b">
        <v>0</v>
      </c>
      <c r="DJ33" s="158" t="b">
        <v>0</v>
      </c>
      <c r="DK33" s="158" t="b">
        <v>0</v>
      </c>
      <c r="DL33" s="158" t="b">
        <v>0</v>
      </c>
      <c r="DM33" s="158" t="b">
        <v>0</v>
      </c>
      <c r="DN33" s="158" t="b">
        <v>0</v>
      </c>
      <c r="DO33" s="158" t="b">
        <v>0</v>
      </c>
      <c r="DP33" s="158" t="b">
        <v>0</v>
      </c>
      <c r="DQ33" s="158" t="b">
        <v>0</v>
      </c>
      <c r="DR33" s="158" t="b">
        <v>0</v>
      </c>
      <c r="DS33" s="158" t="b">
        <v>0</v>
      </c>
      <c r="DT33" s="158" t="b">
        <v>0</v>
      </c>
      <c r="DU33" s="158" t="b">
        <v>0</v>
      </c>
      <c r="DV33" s="158" t="b">
        <v>0</v>
      </c>
      <c r="DW33" s="158" t="b">
        <v>0</v>
      </c>
      <c r="DX33" s="158" t="b">
        <v>0</v>
      </c>
      <c r="DY33" s="158" t="b">
        <v>0</v>
      </c>
      <c r="DZ33" s="158" t="b">
        <v>0</v>
      </c>
      <c r="EA33" s="158" t="b">
        <v>0</v>
      </c>
      <c r="EB33" s="158" t="b">
        <v>0</v>
      </c>
      <c r="EC33" s="158" t="b">
        <v>0</v>
      </c>
      <c r="ED33" s="158" t="b">
        <v>0</v>
      </c>
      <c r="EE33" s="158" t="b">
        <v>0</v>
      </c>
      <c r="EF33" s="158" t="b">
        <v>0</v>
      </c>
      <c r="EG33" s="158" t="b">
        <v>0</v>
      </c>
      <c r="EH33" s="158" t="b">
        <v>0</v>
      </c>
      <c r="EI33" s="158" t="b">
        <v>0</v>
      </c>
      <c r="EJ33" s="158" t="b">
        <v>0</v>
      </c>
      <c r="EK33" s="158" t="b">
        <v>0</v>
      </c>
      <c r="EL33" s="158" t="b">
        <v>0</v>
      </c>
      <c r="EM33" s="158" t="b">
        <v>0</v>
      </c>
      <c r="EN33" s="158" t="b">
        <v>0</v>
      </c>
      <c r="EO33" s="158" t="b">
        <v>0</v>
      </c>
      <c r="EP33" s="158" t="b">
        <v>0</v>
      </c>
      <c r="EQ33" s="158" t="b">
        <v>0</v>
      </c>
      <c r="ER33" s="158" t="b">
        <v>0</v>
      </c>
      <c r="ES33" s="158" t="b">
        <v>0</v>
      </c>
      <c r="ET33" s="158" t="b">
        <v>0</v>
      </c>
      <c r="EU33" s="158" t="b">
        <v>0</v>
      </c>
      <c r="EV33" s="158" t="b">
        <v>0</v>
      </c>
      <c r="EW33" s="158" t="b">
        <v>0</v>
      </c>
      <c r="EX33" s="158" t="b">
        <v>0</v>
      </c>
      <c r="EY33" s="158" t="b">
        <v>0</v>
      </c>
      <c r="EZ33" s="158" t="b">
        <v>0</v>
      </c>
      <c r="FA33" s="158" t="b">
        <v>0</v>
      </c>
      <c r="FB33" s="158" t="b">
        <v>0</v>
      </c>
      <c r="FC33" s="158" t="b">
        <v>0</v>
      </c>
      <c r="FD33" s="158" t="b">
        <v>0</v>
      </c>
      <c r="FE33" s="158" t="b">
        <v>0</v>
      </c>
      <c r="FF33" s="158" t="b">
        <v>0</v>
      </c>
      <c r="FG33" s="158" t="b">
        <v>0</v>
      </c>
      <c r="FH33" s="158" t="b">
        <v>0</v>
      </c>
      <c r="FI33" s="158" t="b">
        <v>0</v>
      </c>
      <c r="FJ33" s="158" t="b">
        <v>0</v>
      </c>
      <c r="FK33" s="158" t="b">
        <v>0</v>
      </c>
      <c r="FL33" s="158" t="b">
        <v>0</v>
      </c>
      <c r="FM33" s="158" t="b">
        <v>0</v>
      </c>
      <c r="FN33" s="158" t="b">
        <v>0</v>
      </c>
      <c r="FO33" s="158" t="b">
        <v>0</v>
      </c>
      <c r="FP33" s="158" t="b">
        <v>0</v>
      </c>
      <c r="FQ33" s="158" t="b">
        <v>0</v>
      </c>
      <c r="FR33" s="158" t="b">
        <v>0</v>
      </c>
      <c r="FS33" s="158" t="b">
        <v>0</v>
      </c>
      <c r="FT33" s="158" t="b">
        <v>0</v>
      </c>
      <c r="FU33" s="158" t="b">
        <v>0</v>
      </c>
      <c r="FV33" s="158" t="b">
        <v>0</v>
      </c>
      <c r="FW33" s="158" t="b">
        <v>0</v>
      </c>
      <c r="FX33" s="158" t="b">
        <v>0</v>
      </c>
      <c r="FY33" s="158" t="b">
        <v>0</v>
      </c>
      <c r="FZ33" s="158" t="b">
        <v>0</v>
      </c>
      <c r="GA33" s="158" t="b">
        <v>0</v>
      </c>
      <c r="GB33" s="158" t="b">
        <v>0</v>
      </c>
      <c r="GC33" s="158" t="b">
        <v>0</v>
      </c>
      <c r="GD33" s="158" t="b">
        <v>0</v>
      </c>
      <c r="GE33" s="158" t="b">
        <v>0</v>
      </c>
      <c r="GF33" s="158" t="b">
        <v>0</v>
      </c>
      <c r="GG33" s="158" t="b">
        <v>0</v>
      </c>
      <c r="GH33" s="158" t="b">
        <v>0</v>
      </c>
      <c r="GI33" s="158" t="b">
        <v>0</v>
      </c>
      <c r="GJ33" s="158" t="b">
        <v>0</v>
      </c>
      <c r="GK33" s="158" t="b">
        <v>0</v>
      </c>
      <c r="GL33" s="158" t="b">
        <v>0</v>
      </c>
      <c r="GM33" s="158" t="b">
        <v>0</v>
      </c>
      <c r="GN33" s="158" t="b">
        <v>0</v>
      </c>
      <c r="GO33" s="158" t="b">
        <v>0</v>
      </c>
      <c r="GP33" s="158" t="b">
        <v>0</v>
      </c>
      <c r="GQ33" s="158" t="b">
        <v>0</v>
      </c>
      <c r="GR33" s="158" t="b">
        <v>0</v>
      </c>
      <c r="GS33" s="158" t="b">
        <v>0</v>
      </c>
      <c r="GT33" s="158" t="b">
        <v>0</v>
      </c>
      <c r="GU33" s="158" t="b">
        <v>0</v>
      </c>
      <c r="GV33" s="158" t="b">
        <v>0</v>
      </c>
      <c r="GW33" s="158" t="b">
        <v>0</v>
      </c>
      <c r="GX33" s="158" t="b">
        <v>0</v>
      </c>
      <c r="GY33" s="158" t="b">
        <v>0</v>
      </c>
      <c r="GZ33" s="158" t="b">
        <v>0</v>
      </c>
      <c r="HA33" s="158" t="b">
        <v>0</v>
      </c>
      <c r="HB33" s="158" t="b">
        <v>0</v>
      </c>
      <c r="HC33" s="158" t="b">
        <v>0</v>
      </c>
      <c r="HD33" s="158" t="b">
        <v>0</v>
      </c>
      <c r="HE33" s="158" t="b">
        <v>0</v>
      </c>
      <c r="HF33" s="158" t="b">
        <v>0</v>
      </c>
      <c r="HG33" s="158" t="b">
        <v>0</v>
      </c>
      <c r="HH33" s="158" t="b">
        <v>0</v>
      </c>
      <c r="HI33" s="158" t="b">
        <v>0</v>
      </c>
      <c r="HJ33" s="158" t="b">
        <v>0</v>
      </c>
      <c r="HK33" s="158" t="b">
        <v>0</v>
      </c>
      <c r="HL33" s="158" t="b">
        <v>0</v>
      </c>
      <c r="HM33" s="158" t="b">
        <v>0</v>
      </c>
      <c r="HN33" s="158" t="b">
        <v>0</v>
      </c>
      <c r="HO33" s="158" t="b">
        <v>0</v>
      </c>
      <c r="HP33" s="158" t="b">
        <v>0</v>
      </c>
      <c r="HQ33" s="158" t="b">
        <v>0</v>
      </c>
      <c r="HR33" s="158" t="b">
        <v>0</v>
      </c>
      <c r="HS33" s="158" t="b">
        <v>0</v>
      </c>
      <c r="HT33" s="158" t="b">
        <v>0</v>
      </c>
      <c r="HU33" s="158" t="b">
        <v>0</v>
      </c>
      <c r="HV33" s="158" t="b">
        <v>0</v>
      </c>
      <c r="HW33" s="158" t="b">
        <v>0</v>
      </c>
      <c r="HX33" s="158" t="b">
        <v>0</v>
      </c>
      <c r="HY33" s="158" t="b">
        <v>0</v>
      </c>
      <c r="HZ33" s="158" t="b">
        <v>0</v>
      </c>
      <c r="IA33" s="158" t="b">
        <v>0</v>
      </c>
      <c r="IB33" s="158" t="b">
        <v>0</v>
      </c>
      <c r="IC33" s="158" t="b">
        <v>0</v>
      </c>
      <c r="ID33" s="158" t="b">
        <v>0</v>
      </c>
      <c r="IE33" s="158" t="b">
        <v>0</v>
      </c>
      <c r="IF33" s="158" t="b">
        <v>0</v>
      </c>
      <c r="IG33" s="158" t="b">
        <v>0</v>
      </c>
      <c r="IH33" s="158" t="b">
        <v>0</v>
      </c>
      <c r="II33" s="158" t="b">
        <v>0</v>
      </c>
      <c r="IJ33" s="158" t="b">
        <v>0</v>
      </c>
      <c r="IK33" s="158" t="b">
        <v>0</v>
      </c>
      <c r="IL33" s="158" t="b">
        <v>0</v>
      </c>
      <c r="IM33" s="158" t="b">
        <v>0</v>
      </c>
      <c r="IN33" s="158" t="b">
        <v>0</v>
      </c>
      <c r="IO33" s="158" t="b">
        <v>0</v>
      </c>
      <c r="IP33" s="158" t="b">
        <v>0</v>
      </c>
      <c r="IQ33" s="158" t="b">
        <v>0</v>
      </c>
      <c r="IR33" s="158" t="b">
        <v>0</v>
      </c>
      <c r="IS33" s="158" t="b">
        <v>0</v>
      </c>
      <c r="IT33" s="158" t="b">
        <v>0</v>
      </c>
      <c r="IU33" s="158" t="b">
        <v>0</v>
      </c>
      <c r="IV33" s="158" t="b">
        <v>0</v>
      </c>
      <c r="IW33" s="158" t="b">
        <v>0</v>
      </c>
      <c r="IX33" s="158" t="b">
        <v>0</v>
      </c>
      <c r="IY33" s="158" t="b">
        <v>0</v>
      </c>
      <c r="IZ33" s="158" t="b">
        <v>0</v>
      </c>
      <c r="JA33" s="158" t="b">
        <v>0</v>
      </c>
      <c r="JB33" s="158" t="b">
        <v>0</v>
      </c>
      <c r="JC33" s="158" t="b">
        <v>0</v>
      </c>
      <c r="JD33" s="158" t="b">
        <v>0</v>
      </c>
      <c r="JE33" s="158" t="b">
        <v>0</v>
      </c>
      <c r="JF33" s="158" t="b">
        <v>0</v>
      </c>
      <c r="JG33" s="158" t="b">
        <v>0</v>
      </c>
      <c r="JH33" s="158" t="b">
        <v>0</v>
      </c>
      <c r="JI33" s="158" t="b">
        <v>0</v>
      </c>
      <c r="JJ33" s="158" t="b">
        <v>0</v>
      </c>
      <c r="JK33" s="158" t="b">
        <v>0</v>
      </c>
      <c r="JL33" s="158" t="b">
        <v>0</v>
      </c>
      <c r="JM33" s="158" t="b">
        <v>0</v>
      </c>
      <c r="JN33" s="158" t="b">
        <v>0</v>
      </c>
      <c r="JO33" s="158" t="b">
        <v>0</v>
      </c>
      <c r="JP33" s="158" t="b">
        <v>0</v>
      </c>
      <c r="JQ33" s="158" t="b">
        <v>0</v>
      </c>
      <c r="JR33" s="158" t="b">
        <v>0</v>
      </c>
      <c r="JS33" s="158" t="b">
        <v>0</v>
      </c>
      <c r="JT33" s="158" t="b">
        <v>0</v>
      </c>
      <c r="JU33" s="158" t="b">
        <v>0</v>
      </c>
      <c r="JV33" s="158" t="b">
        <v>0</v>
      </c>
      <c r="JW33" s="158" t="b">
        <v>0</v>
      </c>
      <c r="JX33" s="158" t="b">
        <v>0</v>
      </c>
      <c r="JY33" s="158" t="b">
        <v>0</v>
      </c>
      <c r="JZ33" s="158" t="b">
        <v>0</v>
      </c>
      <c r="KA33" s="158" t="b">
        <v>0</v>
      </c>
      <c r="KB33" s="158" t="b">
        <v>0</v>
      </c>
      <c r="KC33" s="158" t="b">
        <v>0</v>
      </c>
      <c r="KD33" s="158" t="b">
        <v>0</v>
      </c>
      <c r="KE33" s="158" t="b">
        <v>0</v>
      </c>
      <c r="KF33" s="158" t="b">
        <v>0</v>
      </c>
      <c r="KG33" s="158" t="b">
        <v>0</v>
      </c>
      <c r="KH33" s="158" t="b">
        <v>0</v>
      </c>
      <c r="KI33" s="158" t="b">
        <v>0</v>
      </c>
      <c r="KJ33" s="158" t="b">
        <v>0</v>
      </c>
      <c r="KK33" s="158" t="b">
        <v>0</v>
      </c>
      <c r="KL33" s="158" t="b">
        <v>0</v>
      </c>
      <c r="KM33" s="158" t="b">
        <v>0</v>
      </c>
      <c r="KN33" s="158" t="b">
        <v>0</v>
      </c>
      <c r="KO33" s="158" t="b">
        <v>0</v>
      </c>
      <c r="KP33" s="158" t="b">
        <v>0</v>
      </c>
      <c r="KQ33" s="158" t="b">
        <v>0</v>
      </c>
      <c r="KR33" s="158" t="b">
        <v>0</v>
      </c>
      <c r="KS33" s="158" t="b">
        <v>0</v>
      </c>
      <c r="KT33" s="158" t="b">
        <v>0</v>
      </c>
      <c r="KU33" s="158" t="b">
        <v>0</v>
      </c>
      <c r="KV33" s="158" t="b">
        <v>0</v>
      </c>
      <c r="KW33" s="158" t="b">
        <v>0</v>
      </c>
      <c r="KX33" s="158" t="b">
        <v>0</v>
      </c>
      <c r="KY33" s="158" t="b">
        <v>0</v>
      </c>
      <c r="KZ33" s="158" t="b">
        <v>0</v>
      </c>
      <c r="LA33" s="158" t="b">
        <v>0</v>
      </c>
      <c r="LB33" s="158" t="b">
        <v>0</v>
      </c>
      <c r="LC33" s="158" t="b">
        <v>0</v>
      </c>
      <c r="LD33" s="158" t="b">
        <v>0</v>
      </c>
      <c r="LE33" s="158" t="b">
        <v>0</v>
      </c>
      <c r="LF33" s="158" t="b">
        <v>0</v>
      </c>
      <c r="LG33" s="158" t="b">
        <v>0</v>
      </c>
      <c r="LH33" s="158" t="b">
        <v>0</v>
      </c>
      <c r="LI33" s="158" t="b">
        <v>0</v>
      </c>
      <c r="LJ33" s="158" t="b">
        <v>0</v>
      </c>
      <c r="LK33" s="158" t="b">
        <v>0</v>
      </c>
      <c r="LL33" s="158" t="b">
        <v>0</v>
      </c>
      <c r="LM33" s="158" t="b">
        <v>0</v>
      </c>
      <c r="LN33" s="158" t="b">
        <v>0</v>
      </c>
      <c r="LO33" s="158" t="b">
        <v>0</v>
      </c>
      <c r="LP33" s="158" t="b">
        <v>0</v>
      </c>
      <c r="LQ33" s="158" t="b">
        <v>0</v>
      </c>
      <c r="LR33" s="158" t="b">
        <v>0</v>
      </c>
      <c r="LS33" s="158" t="b">
        <v>0</v>
      </c>
      <c r="LT33" s="158" t="b">
        <v>0</v>
      </c>
      <c r="LU33" s="158" t="b">
        <v>0</v>
      </c>
      <c r="LV33" s="158" t="b">
        <v>0</v>
      </c>
      <c r="LW33" s="158" t="b">
        <v>0</v>
      </c>
      <c r="LX33" s="158" t="b">
        <v>0</v>
      </c>
      <c r="LY33" s="158" t="b">
        <v>0</v>
      </c>
      <c r="LZ33" s="158" t="b">
        <v>0</v>
      </c>
      <c r="MA33" s="158" t="b">
        <v>0</v>
      </c>
      <c r="MB33" s="158" t="b">
        <v>0</v>
      </c>
      <c r="MC33" s="158" t="b">
        <v>0</v>
      </c>
      <c r="MD33" s="158" t="b">
        <v>0</v>
      </c>
      <c r="ME33" s="158" t="b">
        <v>0</v>
      </c>
      <c r="MF33" s="158" t="b">
        <v>0</v>
      </c>
      <c r="MG33" s="158" t="b">
        <v>0</v>
      </c>
      <c r="MH33" s="158" t="b">
        <v>0</v>
      </c>
      <c r="MI33" s="158" t="b">
        <v>0</v>
      </c>
      <c r="MJ33" s="158" t="b">
        <v>0</v>
      </c>
      <c r="MK33" s="158" t="b">
        <v>0</v>
      </c>
      <c r="ML33" s="158" t="b">
        <v>0</v>
      </c>
      <c r="MM33" s="158" t="b">
        <v>0</v>
      </c>
      <c r="MN33" s="158" t="b">
        <v>0</v>
      </c>
      <c r="MO33" s="158" t="b">
        <v>0</v>
      </c>
      <c r="MP33" s="158" t="b">
        <v>0</v>
      </c>
      <c r="MQ33" s="158" t="b">
        <v>0</v>
      </c>
      <c r="MR33" s="158" t="b">
        <v>0</v>
      </c>
      <c r="MS33" s="158" t="b">
        <v>0</v>
      </c>
      <c r="MT33" s="158" t="b">
        <v>0</v>
      </c>
      <c r="MU33" s="158" t="b">
        <v>0</v>
      </c>
      <c r="MV33" s="158" t="b">
        <v>0</v>
      </c>
      <c r="MW33" s="158" t="b">
        <v>0</v>
      </c>
      <c r="MX33" s="158" t="b">
        <v>0</v>
      </c>
      <c r="MY33" s="158" t="b">
        <v>0</v>
      </c>
      <c r="MZ33" s="158" t="b">
        <v>0</v>
      </c>
      <c r="NA33" s="158" t="b">
        <v>0</v>
      </c>
      <c r="NB33" s="158" t="b">
        <v>0</v>
      </c>
      <c r="NC33" s="158" t="b">
        <v>0</v>
      </c>
      <c r="ND33" s="158" t="b">
        <v>0</v>
      </c>
      <c r="NE33" s="158" t="b">
        <v>0</v>
      </c>
      <c r="NF33" s="158" t="b">
        <v>0</v>
      </c>
      <c r="NG33" s="158" t="b">
        <v>0</v>
      </c>
      <c r="NH33" s="158" t="b">
        <v>0</v>
      </c>
      <c r="NI33" s="158" t="b">
        <v>0</v>
      </c>
      <c r="NJ33" s="158" t="b">
        <v>0</v>
      </c>
      <c r="NK33" s="158" t="b">
        <v>0</v>
      </c>
      <c r="NL33" s="158" t="b">
        <v>0</v>
      </c>
      <c r="NM33" s="158" t="b">
        <v>0</v>
      </c>
      <c r="NN33" s="158" t="b">
        <v>0</v>
      </c>
      <c r="NO33" s="158" t="b">
        <v>0</v>
      </c>
    </row>
    <row r="34" spans="1:379" ht="29.25" x14ac:dyDescent="0.4">
      <c r="A34" s="511" t="str">
        <v>Off Beat Donuts 2</v>
      </c>
      <c r="B34" s="158" t="b">
        <v>0</v>
      </c>
      <c r="C34" s="158" t="b">
        <v>0</v>
      </c>
      <c r="D34" s="158" t="b">
        <v>0</v>
      </c>
      <c r="E34" s="158" t="b">
        <v>0</v>
      </c>
      <c r="F34" s="158" t="b">
        <v>0</v>
      </c>
      <c r="G34" s="158" t="b">
        <v>0</v>
      </c>
      <c r="H34" s="158" t="b">
        <v>0</v>
      </c>
      <c r="I34" s="158" t="b">
        <v>0</v>
      </c>
      <c r="J34" s="158" t="b">
        <v>0</v>
      </c>
      <c r="K34" s="158" t="b">
        <v>0</v>
      </c>
      <c r="L34" s="158" t="b">
        <v>0</v>
      </c>
      <c r="M34" s="158" t="b">
        <v>0</v>
      </c>
      <c r="N34" s="158" t="b">
        <v>0</v>
      </c>
      <c r="O34" s="158" t="b">
        <v>0</v>
      </c>
      <c r="P34" s="158" t="b">
        <v>0</v>
      </c>
      <c r="Q34" s="158" t="b">
        <v>0</v>
      </c>
      <c r="R34" s="158" t="b">
        <v>0</v>
      </c>
      <c r="S34" s="158" t="b">
        <v>0</v>
      </c>
      <c r="T34" s="158" t="b">
        <v>0</v>
      </c>
      <c r="U34" s="158" t="b">
        <v>0</v>
      </c>
      <c r="V34" s="158" t="b">
        <v>0</v>
      </c>
      <c r="W34" s="158" t="b">
        <v>0</v>
      </c>
      <c r="X34" s="158" t="b">
        <v>0</v>
      </c>
      <c r="Y34" s="158" t="b">
        <v>0</v>
      </c>
      <c r="Z34" s="158" t="b">
        <v>0</v>
      </c>
      <c r="AA34" s="158" t="b">
        <v>0</v>
      </c>
      <c r="AB34" s="158" t="b">
        <v>0</v>
      </c>
      <c r="AC34" s="158" t="b">
        <v>0</v>
      </c>
      <c r="AD34" s="158" t="b">
        <v>0</v>
      </c>
      <c r="AE34" s="158" t="b">
        <v>0</v>
      </c>
      <c r="AF34" s="158" t="b">
        <v>0</v>
      </c>
      <c r="AG34" s="158" t="b">
        <v>0</v>
      </c>
      <c r="AH34" s="158" t="b">
        <v>0</v>
      </c>
      <c r="AI34" s="158" t="b">
        <v>0</v>
      </c>
      <c r="AJ34" s="158" t="b">
        <v>0</v>
      </c>
      <c r="AK34" s="158" t="b">
        <v>0</v>
      </c>
      <c r="AL34" s="158" t="b">
        <v>0</v>
      </c>
      <c r="AM34" s="158" t="b">
        <v>0</v>
      </c>
      <c r="AN34" s="158" t="b">
        <v>0</v>
      </c>
      <c r="AO34" s="158" t="b">
        <v>0</v>
      </c>
      <c r="AP34" s="158" t="b">
        <v>0</v>
      </c>
      <c r="AQ34" s="158" t="b">
        <v>0</v>
      </c>
      <c r="AR34" s="158" t="b">
        <v>0</v>
      </c>
      <c r="AS34" s="158" t="b">
        <v>0</v>
      </c>
      <c r="AT34" s="158" t="b">
        <v>0</v>
      </c>
      <c r="AU34" s="158" t="b">
        <v>0</v>
      </c>
      <c r="AV34" s="158" t="b">
        <v>0</v>
      </c>
      <c r="AW34" s="158" t="b">
        <v>0</v>
      </c>
      <c r="AX34" s="158" t="b">
        <v>0</v>
      </c>
      <c r="AY34" s="158" t="b">
        <v>0</v>
      </c>
      <c r="AZ34" s="158" t="b">
        <v>0</v>
      </c>
      <c r="BA34" s="158" t="b">
        <v>0</v>
      </c>
      <c r="BB34" s="158" t="b">
        <v>0</v>
      </c>
      <c r="BC34" s="158" t="b">
        <v>0</v>
      </c>
      <c r="BD34" s="158" t="b">
        <v>0</v>
      </c>
      <c r="BE34" s="158" t="b">
        <v>0</v>
      </c>
      <c r="BF34" s="158" t="b">
        <v>0</v>
      </c>
      <c r="BG34" s="158" t="b">
        <v>0</v>
      </c>
      <c r="BH34" s="158" t="b">
        <v>0</v>
      </c>
      <c r="BI34" s="158" t="b">
        <v>0</v>
      </c>
      <c r="BJ34" s="158" t="b">
        <v>0</v>
      </c>
      <c r="BK34" s="158" t="b">
        <v>0</v>
      </c>
      <c r="BL34" s="158" t="b">
        <v>0</v>
      </c>
      <c r="BM34" s="158" t="b">
        <v>0</v>
      </c>
      <c r="BN34" s="158" t="b">
        <v>0</v>
      </c>
      <c r="BO34" s="158" t="b">
        <v>0</v>
      </c>
      <c r="BP34" s="158" t="b">
        <v>0</v>
      </c>
      <c r="BQ34" s="158" t="b">
        <v>0</v>
      </c>
      <c r="BR34" s="158" t="b">
        <v>0</v>
      </c>
      <c r="BS34" s="158" t="b">
        <v>0</v>
      </c>
      <c r="BT34" s="158" t="b">
        <v>0</v>
      </c>
      <c r="BU34" s="158" t="b">
        <v>0</v>
      </c>
      <c r="BV34" s="158" t="b">
        <v>0</v>
      </c>
      <c r="BW34" s="158" t="b">
        <v>0</v>
      </c>
      <c r="BX34" s="158" t="b">
        <v>0</v>
      </c>
      <c r="BY34" s="158" t="b">
        <v>0</v>
      </c>
      <c r="BZ34" s="158" t="b">
        <v>0</v>
      </c>
      <c r="CA34" s="158" t="b">
        <v>0</v>
      </c>
      <c r="CB34" s="158" t="b">
        <v>0</v>
      </c>
      <c r="CC34" s="158" t="b">
        <v>0</v>
      </c>
      <c r="CD34" s="158" t="b">
        <v>0</v>
      </c>
      <c r="CE34" s="158" t="b">
        <v>0</v>
      </c>
      <c r="CF34" s="158" t="b">
        <v>0</v>
      </c>
      <c r="CG34" s="158" t="b">
        <v>0</v>
      </c>
      <c r="CH34" s="158" t="b">
        <v>0</v>
      </c>
      <c r="CI34" s="158" t="b">
        <v>0</v>
      </c>
      <c r="CJ34" s="158" t="b">
        <v>0</v>
      </c>
      <c r="CK34" s="158" t="b">
        <v>0</v>
      </c>
      <c r="CL34" s="158" t="b">
        <v>0</v>
      </c>
      <c r="CM34" s="158" t="b">
        <v>0</v>
      </c>
      <c r="CN34" s="158" t="b">
        <v>0</v>
      </c>
      <c r="CO34" s="158" t="b">
        <v>0</v>
      </c>
      <c r="CP34" s="158" t="b">
        <v>0</v>
      </c>
      <c r="CQ34" s="158" t="b">
        <v>0</v>
      </c>
      <c r="CR34" s="158" t="b">
        <v>0</v>
      </c>
      <c r="CS34" s="158" t="b">
        <v>0</v>
      </c>
      <c r="CT34" s="158" t="b">
        <v>0</v>
      </c>
      <c r="CU34" s="158" t="b">
        <v>0</v>
      </c>
      <c r="CV34" s="158" t="b">
        <v>0</v>
      </c>
      <c r="CW34" s="158" t="b">
        <v>0</v>
      </c>
      <c r="CX34" s="158" t="b">
        <v>0</v>
      </c>
      <c r="CY34" s="158" t="b">
        <v>0</v>
      </c>
      <c r="CZ34" s="158" t="b">
        <v>0</v>
      </c>
      <c r="DA34" s="158" t="b">
        <v>0</v>
      </c>
      <c r="DB34" s="158" t="b">
        <v>0</v>
      </c>
      <c r="DC34" s="158" t="b">
        <v>0</v>
      </c>
      <c r="DD34" s="158" t="b">
        <v>0</v>
      </c>
      <c r="DE34" s="158" t="b">
        <v>0</v>
      </c>
      <c r="DF34" s="158" t="b">
        <v>0</v>
      </c>
      <c r="DG34" s="158" t="b">
        <v>0</v>
      </c>
      <c r="DH34" s="158" t="b">
        <v>0</v>
      </c>
      <c r="DI34" s="158" t="b">
        <v>0</v>
      </c>
      <c r="DJ34" s="158" t="b">
        <v>0</v>
      </c>
      <c r="DK34" s="158" t="b">
        <v>0</v>
      </c>
      <c r="DL34" s="158" t="b">
        <v>0</v>
      </c>
      <c r="DM34" s="158" t="b">
        <v>0</v>
      </c>
      <c r="DN34" s="158" t="b">
        <v>0</v>
      </c>
      <c r="DO34" s="158" t="b">
        <v>0</v>
      </c>
      <c r="DP34" s="158" t="b">
        <v>0</v>
      </c>
      <c r="DQ34" s="158" t="b">
        <v>0</v>
      </c>
      <c r="DR34" s="158" t="b">
        <v>0</v>
      </c>
      <c r="DS34" s="158" t="b">
        <v>0</v>
      </c>
      <c r="DT34" s="158" t="b">
        <v>0</v>
      </c>
      <c r="DU34" s="158" t="b">
        <v>0</v>
      </c>
      <c r="DV34" s="158" t="b">
        <v>0</v>
      </c>
      <c r="DW34" s="158" t="b">
        <v>0</v>
      </c>
      <c r="DX34" s="158" t="b">
        <v>0</v>
      </c>
      <c r="DY34" s="158" t="b">
        <v>0</v>
      </c>
      <c r="DZ34" s="158" t="b">
        <v>0</v>
      </c>
      <c r="EA34" s="158" t="b">
        <v>0</v>
      </c>
      <c r="EB34" s="158" t="b">
        <v>0</v>
      </c>
      <c r="EC34" s="158" t="b">
        <v>0</v>
      </c>
      <c r="ED34" s="158" t="b">
        <v>0</v>
      </c>
      <c r="EE34" s="158" t="b">
        <v>0</v>
      </c>
      <c r="EF34" s="158" t="b">
        <v>0</v>
      </c>
      <c r="EG34" s="158" t="b">
        <v>0</v>
      </c>
      <c r="EH34" s="158" t="b">
        <v>0</v>
      </c>
      <c r="EI34" s="158" t="b">
        <v>0</v>
      </c>
      <c r="EJ34" s="158" t="b">
        <v>0</v>
      </c>
      <c r="EK34" s="158" t="b">
        <v>0</v>
      </c>
      <c r="EL34" s="158" t="b">
        <v>0</v>
      </c>
      <c r="EM34" s="158" t="b">
        <v>0</v>
      </c>
      <c r="EN34" s="158" t="b">
        <v>0</v>
      </c>
      <c r="EO34" s="158" t="b">
        <v>0</v>
      </c>
      <c r="EP34" s="158" t="b">
        <v>0</v>
      </c>
      <c r="EQ34" s="158" t="b">
        <v>0</v>
      </c>
      <c r="ER34" s="158" t="b">
        <v>0</v>
      </c>
      <c r="ES34" s="158" t="b">
        <v>0</v>
      </c>
      <c r="ET34" s="158" t="b">
        <v>0</v>
      </c>
      <c r="EU34" s="158" t="b">
        <v>0</v>
      </c>
      <c r="EV34" s="158" t="b">
        <v>0</v>
      </c>
      <c r="EW34" s="158" t="b">
        <v>0</v>
      </c>
      <c r="EX34" s="158" t="b">
        <v>0</v>
      </c>
      <c r="EY34" s="158" t="b">
        <v>0</v>
      </c>
      <c r="EZ34" s="158" t="b">
        <v>0</v>
      </c>
      <c r="FA34" s="158" t="b">
        <v>0</v>
      </c>
      <c r="FB34" s="158" t="b">
        <v>0</v>
      </c>
      <c r="FC34" s="158" t="b">
        <v>0</v>
      </c>
      <c r="FD34" s="158" t="b">
        <v>0</v>
      </c>
      <c r="FE34" s="158" t="b">
        <v>0</v>
      </c>
      <c r="FF34" s="158" t="b">
        <v>0</v>
      </c>
      <c r="FG34" s="158" t="b">
        <v>0</v>
      </c>
      <c r="FH34" s="158" t="b">
        <v>0</v>
      </c>
      <c r="FI34" s="158" t="b">
        <v>0</v>
      </c>
      <c r="FJ34" s="158" t="b">
        <v>0</v>
      </c>
      <c r="FK34" s="158" t="b">
        <v>0</v>
      </c>
      <c r="FL34" s="158" t="b">
        <v>0</v>
      </c>
      <c r="FM34" s="158" t="b">
        <v>0</v>
      </c>
      <c r="FN34" s="158" t="b">
        <v>0</v>
      </c>
      <c r="FO34" s="158" t="b">
        <v>0</v>
      </c>
      <c r="FP34" s="158" t="b">
        <v>0</v>
      </c>
      <c r="FQ34" s="158" t="b">
        <v>0</v>
      </c>
      <c r="FR34" s="158" t="b">
        <v>0</v>
      </c>
      <c r="FS34" s="158" t="b">
        <v>0</v>
      </c>
      <c r="FT34" s="158" t="b">
        <v>0</v>
      </c>
      <c r="FU34" s="158" t="b">
        <v>0</v>
      </c>
      <c r="FV34" s="158" t="b">
        <v>0</v>
      </c>
      <c r="FW34" s="158" t="b">
        <v>0</v>
      </c>
      <c r="FX34" s="158" t="b">
        <v>0</v>
      </c>
      <c r="FY34" s="158" t="b">
        <v>0</v>
      </c>
      <c r="FZ34" s="158" t="b">
        <v>0</v>
      </c>
      <c r="GA34" s="158" t="b">
        <v>0</v>
      </c>
      <c r="GB34" s="158" t="b">
        <v>0</v>
      </c>
      <c r="GC34" s="158" t="b">
        <v>0</v>
      </c>
      <c r="GD34" s="158" t="b">
        <v>0</v>
      </c>
      <c r="GE34" s="158" t="b">
        <v>0</v>
      </c>
      <c r="GF34" s="158" t="b">
        <v>0</v>
      </c>
      <c r="GG34" s="158" t="b">
        <v>0</v>
      </c>
      <c r="GH34" s="158" t="b">
        <v>0</v>
      </c>
      <c r="GI34" s="158" t="b">
        <v>0</v>
      </c>
      <c r="GJ34" s="158" t="b">
        <v>0</v>
      </c>
      <c r="GK34" s="158" t="b">
        <v>0</v>
      </c>
      <c r="GL34" s="158" t="b">
        <v>0</v>
      </c>
      <c r="GM34" s="158" t="b">
        <v>0</v>
      </c>
      <c r="GN34" s="158" t="b">
        <v>0</v>
      </c>
      <c r="GO34" s="158" t="b">
        <v>0</v>
      </c>
      <c r="GP34" s="158" t="b">
        <v>0</v>
      </c>
      <c r="GQ34" s="158" t="b">
        <v>0</v>
      </c>
      <c r="GR34" s="158" t="b">
        <v>0</v>
      </c>
      <c r="GS34" s="158" t="b">
        <v>0</v>
      </c>
      <c r="GT34" s="158" t="b">
        <v>0</v>
      </c>
      <c r="GU34" s="158" t="b">
        <v>0</v>
      </c>
      <c r="GV34" s="158" t="b">
        <v>0</v>
      </c>
      <c r="GW34" s="158" t="b">
        <v>0</v>
      </c>
      <c r="GX34" s="158" t="b">
        <v>0</v>
      </c>
      <c r="GY34" s="158" t="b">
        <v>0</v>
      </c>
      <c r="GZ34" s="158" t="b">
        <v>0</v>
      </c>
      <c r="HA34" s="158" t="b">
        <v>0</v>
      </c>
      <c r="HB34" s="158" t="b">
        <v>0</v>
      </c>
      <c r="HC34" s="158" t="b">
        <v>0</v>
      </c>
      <c r="HD34" s="158" t="b">
        <v>0</v>
      </c>
      <c r="HE34" s="158" t="b">
        <v>0</v>
      </c>
      <c r="HF34" s="158" t="b">
        <v>0</v>
      </c>
      <c r="HG34" s="158" t="b">
        <v>0</v>
      </c>
      <c r="HH34" s="158" t="b">
        <v>0</v>
      </c>
      <c r="HI34" s="158" t="b">
        <v>0</v>
      </c>
      <c r="HJ34" s="158" t="b">
        <v>0</v>
      </c>
      <c r="HK34" s="158" t="b">
        <v>0</v>
      </c>
      <c r="HL34" s="158" t="b">
        <v>0</v>
      </c>
      <c r="HM34" s="158" t="b">
        <v>0</v>
      </c>
      <c r="HN34" s="158" t="b">
        <v>0</v>
      </c>
      <c r="HO34" s="158" t="b">
        <v>0</v>
      </c>
      <c r="HP34" s="158" t="b">
        <v>0</v>
      </c>
      <c r="HQ34" s="158" t="b">
        <v>0</v>
      </c>
      <c r="HR34" s="158" t="b">
        <v>0</v>
      </c>
      <c r="HS34" s="158" t="b">
        <v>0</v>
      </c>
      <c r="HT34" s="158" t="b">
        <v>0</v>
      </c>
      <c r="HU34" s="158" t="b">
        <v>0</v>
      </c>
      <c r="HV34" s="158" t="b">
        <v>0</v>
      </c>
      <c r="HW34" s="158" t="b">
        <v>0</v>
      </c>
      <c r="HX34" s="158" t="b">
        <v>0</v>
      </c>
      <c r="HY34" s="158" t="b">
        <v>0</v>
      </c>
      <c r="HZ34" s="158" t="b">
        <v>0</v>
      </c>
      <c r="IA34" s="158" t="b">
        <v>0</v>
      </c>
      <c r="IB34" s="158" t="b">
        <v>0</v>
      </c>
      <c r="IC34" s="158" t="b">
        <v>0</v>
      </c>
      <c r="ID34" s="158" t="b">
        <v>0</v>
      </c>
      <c r="IE34" s="158" t="b">
        <v>0</v>
      </c>
      <c r="IF34" s="158" t="b">
        <v>0</v>
      </c>
      <c r="IG34" s="158" t="b">
        <v>0</v>
      </c>
      <c r="IH34" s="158" t="b">
        <v>0</v>
      </c>
      <c r="II34" s="158" t="b">
        <v>0</v>
      </c>
      <c r="IJ34" s="158" t="b">
        <v>0</v>
      </c>
      <c r="IK34" s="158" t="b">
        <v>0</v>
      </c>
      <c r="IL34" s="158" t="b">
        <v>0</v>
      </c>
      <c r="IM34" s="158" t="b">
        <v>0</v>
      </c>
      <c r="IN34" s="158" t="b">
        <v>0</v>
      </c>
      <c r="IO34" s="158" t="b">
        <v>0</v>
      </c>
      <c r="IP34" s="158" t="b">
        <v>0</v>
      </c>
      <c r="IQ34" s="158" t="b">
        <v>0</v>
      </c>
      <c r="IR34" s="158" t="b">
        <v>0</v>
      </c>
      <c r="IS34" s="158" t="b">
        <v>0</v>
      </c>
      <c r="IT34" s="158" t="b">
        <v>0</v>
      </c>
      <c r="IU34" s="158" t="b">
        <v>0</v>
      </c>
      <c r="IV34" s="158" t="b">
        <v>0</v>
      </c>
      <c r="IW34" s="158" t="b">
        <v>0</v>
      </c>
      <c r="IX34" s="158" t="b">
        <v>0</v>
      </c>
      <c r="IY34" s="158" t="b">
        <v>0</v>
      </c>
      <c r="IZ34" s="158" t="b">
        <v>0</v>
      </c>
      <c r="JA34" s="158" t="b">
        <v>0</v>
      </c>
      <c r="JB34" s="158" t="b">
        <v>0</v>
      </c>
      <c r="JC34" s="158" t="b">
        <v>0</v>
      </c>
      <c r="JD34" s="158" t="b">
        <v>0</v>
      </c>
      <c r="JE34" s="158" t="b">
        <v>0</v>
      </c>
      <c r="JF34" s="158" t="b">
        <v>0</v>
      </c>
      <c r="JG34" s="158" t="b">
        <v>0</v>
      </c>
      <c r="JH34" s="158" t="b">
        <v>0</v>
      </c>
      <c r="JI34" s="158" t="b">
        <v>0</v>
      </c>
      <c r="JJ34" s="158" t="b">
        <v>0</v>
      </c>
      <c r="JK34" s="158" t="b">
        <v>0</v>
      </c>
      <c r="JL34" s="158" t="b">
        <v>0</v>
      </c>
      <c r="JM34" s="158" t="b">
        <v>0</v>
      </c>
      <c r="JN34" s="158" t="b">
        <v>0</v>
      </c>
      <c r="JO34" s="158" t="b">
        <v>0</v>
      </c>
      <c r="JP34" s="158" t="b">
        <v>0</v>
      </c>
      <c r="JQ34" s="158" t="b">
        <v>0</v>
      </c>
      <c r="JR34" s="158" t="b">
        <v>0</v>
      </c>
      <c r="JS34" s="158" t="b">
        <v>0</v>
      </c>
      <c r="JT34" s="158" t="b">
        <v>0</v>
      </c>
      <c r="JU34" s="158" t="b">
        <v>0</v>
      </c>
      <c r="JV34" s="158" t="b">
        <v>0</v>
      </c>
      <c r="JW34" s="158" t="b">
        <v>0</v>
      </c>
      <c r="JX34" s="158" t="b">
        <v>0</v>
      </c>
      <c r="JY34" s="158" t="b">
        <v>0</v>
      </c>
      <c r="JZ34" s="158" t="b">
        <v>0</v>
      </c>
      <c r="KA34" s="158" t="b">
        <v>0</v>
      </c>
      <c r="KB34" s="158" t="b">
        <v>0</v>
      </c>
      <c r="KC34" s="158" t="b">
        <v>0</v>
      </c>
      <c r="KD34" s="158" t="b">
        <v>0</v>
      </c>
      <c r="KE34" s="158" t="b">
        <v>0</v>
      </c>
      <c r="KF34" s="158" t="b">
        <v>0</v>
      </c>
      <c r="KG34" s="158" t="b">
        <v>0</v>
      </c>
      <c r="KH34" s="158" t="b">
        <v>0</v>
      </c>
      <c r="KI34" s="158" t="b">
        <v>0</v>
      </c>
      <c r="KJ34" s="158" t="b">
        <v>0</v>
      </c>
      <c r="KK34" s="158" t="b">
        <v>0</v>
      </c>
      <c r="KL34" s="158" t="b">
        <v>0</v>
      </c>
      <c r="KM34" s="158" t="b">
        <v>0</v>
      </c>
      <c r="KN34" s="158" t="b">
        <v>0</v>
      </c>
      <c r="KO34" s="158" t="b">
        <v>0</v>
      </c>
      <c r="KP34" s="158" t="b">
        <v>0</v>
      </c>
      <c r="KQ34" s="158" t="b">
        <v>0</v>
      </c>
      <c r="KR34" s="158" t="b">
        <v>0</v>
      </c>
      <c r="KS34" s="158" t="b">
        <v>0</v>
      </c>
      <c r="KT34" s="158" t="b">
        <v>0</v>
      </c>
      <c r="KU34" s="158" t="b">
        <v>0</v>
      </c>
      <c r="KV34" s="158" t="b">
        <v>0</v>
      </c>
      <c r="KW34" s="158" t="b">
        <v>0</v>
      </c>
      <c r="KX34" s="158" t="b">
        <v>0</v>
      </c>
      <c r="KY34" s="158" t="b">
        <v>0</v>
      </c>
      <c r="KZ34" s="158" t="b">
        <v>0</v>
      </c>
      <c r="LA34" s="158" t="b">
        <v>0</v>
      </c>
      <c r="LB34" s="158" t="b">
        <v>0</v>
      </c>
      <c r="LC34" s="158" t="b">
        <v>0</v>
      </c>
      <c r="LD34" s="158" t="b">
        <v>0</v>
      </c>
      <c r="LE34" s="158" t="b">
        <v>0</v>
      </c>
      <c r="LF34" s="158" t="b">
        <v>0</v>
      </c>
      <c r="LG34" s="158" t="b">
        <v>0</v>
      </c>
      <c r="LH34" s="158" t="b">
        <v>0</v>
      </c>
      <c r="LI34" s="158" t="b">
        <v>0</v>
      </c>
      <c r="LJ34" s="158" t="b">
        <v>0</v>
      </c>
      <c r="LK34" s="158" t="b">
        <v>0</v>
      </c>
      <c r="LL34" s="158" t="b">
        <v>0</v>
      </c>
      <c r="LM34" s="158" t="b">
        <v>0</v>
      </c>
      <c r="LN34" s="158" t="b">
        <v>0</v>
      </c>
      <c r="LO34" s="158" t="b">
        <v>0</v>
      </c>
      <c r="LP34" s="158" t="b">
        <v>0</v>
      </c>
      <c r="LQ34" s="158" t="b">
        <v>0</v>
      </c>
      <c r="LR34" s="158" t="b">
        <v>0</v>
      </c>
      <c r="LS34" s="158" t="b">
        <v>0</v>
      </c>
      <c r="LT34" s="158" t="b">
        <v>0</v>
      </c>
      <c r="LU34" s="158" t="b">
        <v>0</v>
      </c>
      <c r="LV34" s="158" t="b">
        <v>0</v>
      </c>
      <c r="LW34" s="158" t="b">
        <v>0</v>
      </c>
      <c r="LX34" s="158" t="b">
        <v>0</v>
      </c>
      <c r="LY34" s="158" t="b">
        <v>0</v>
      </c>
      <c r="LZ34" s="158" t="b">
        <v>0</v>
      </c>
      <c r="MA34" s="158" t="b">
        <v>0</v>
      </c>
      <c r="MB34" s="158" t="b">
        <v>0</v>
      </c>
      <c r="MC34" s="158" t="b">
        <v>0</v>
      </c>
      <c r="MD34" s="158" t="b">
        <v>0</v>
      </c>
      <c r="ME34" s="158" t="b">
        <v>0</v>
      </c>
      <c r="MF34" s="158" t="b">
        <v>0</v>
      </c>
      <c r="MG34" s="158" t="b">
        <v>0</v>
      </c>
      <c r="MH34" s="158" t="b">
        <v>0</v>
      </c>
      <c r="MI34" s="158" t="b">
        <v>0</v>
      </c>
      <c r="MJ34" s="158" t="b">
        <v>0</v>
      </c>
      <c r="MK34" s="158" t="b">
        <v>0</v>
      </c>
      <c r="ML34" s="158" t="b">
        <v>0</v>
      </c>
      <c r="MM34" s="158" t="b">
        <v>0</v>
      </c>
      <c r="MN34" s="158" t="b">
        <v>0</v>
      </c>
      <c r="MO34" s="158" t="b">
        <v>0</v>
      </c>
      <c r="MP34" s="158" t="b">
        <v>0</v>
      </c>
      <c r="MQ34" s="158" t="b">
        <v>0</v>
      </c>
      <c r="MR34" s="158" t="b">
        <v>0</v>
      </c>
      <c r="MS34" s="158" t="b">
        <v>0</v>
      </c>
      <c r="MT34" s="158" t="b">
        <v>0</v>
      </c>
      <c r="MU34" s="158" t="b">
        <v>0</v>
      </c>
      <c r="MV34" s="158" t="b">
        <v>0</v>
      </c>
      <c r="MW34" s="158" t="b">
        <v>0</v>
      </c>
      <c r="MX34" s="158" t="b">
        <v>0</v>
      </c>
      <c r="MY34" s="158" t="b">
        <v>0</v>
      </c>
      <c r="MZ34" s="158" t="b">
        <v>0</v>
      </c>
      <c r="NA34" s="158" t="b">
        <v>0</v>
      </c>
      <c r="NB34" s="158" t="b">
        <v>0</v>
      </c>
      <c r="NC34" s="158" t="b">
        <v>0</v>
      </c>
      <c r="ND34" s="158" t="b">
        <v>0</v>
      </c>
      <c r="NE34" s="158" t="b">
        <v>0</v>
      </c>
      <c r="NF34" s="158" t="b">
        <v>0</v>
      </c>
      <c r="NG34" s="158" t="b">
        <v>0</v>
      </c>
      <c r="NH34" s="158" t="b">
        <v>0</v>
      </c>
      <c r="NI34" s="158" t="b">
        <v>0</v>
      </c>
      <c r="NJ34" s="158" t="b">
        <v>0</v>
      </c>
      <c r="NK34" s="158" t="b">
        <v>0</v>
      </c>
      <c r="NL34" s="158" t="b">
        <v>0</v>
      </c>
      <c r="NM34" s="158" t="b">
        <v>0</v>
      </c>
      <c r="NN34" s="158" t="b">
        <v>0</v>
      </c>
      <c r="NO34" s="158" t="b">
        <v>0</v>
      </c>
    </row>
    <row r="35" spans="1:379" ht="29.25" x14ac:dyDescent="0.4">
      <c r="A35" s="511" t="str">
        <v>Off Beat Donuts</v>
      </c>
      <c r="B35" s="158" t="b">
        <v>0</v>
      </c>
      <c r="C35" s="158" t="b">
        <v>0</v>
      </c>
      <c r="D35" s="158" t="b">
        <v>0</v>
      </c>
      <c r="E35" s="158" t="b">
        <v>0</v>
      </c>
      <c r="F35" s="158" t="b">
        <v>0</v>
      </c>
      <c r="G35" s="158" t="b">
        <v>0</v>
      </c>
      <c r="H35" s="158" t="b">
        <v>0</v>
      </c>
      <c r="I35" s="93" t="b">
        <v>0</v>
      </c>
      <c r="J35" s="158" t="b">
        <v>0</v>
      </c>
      <c r="K35" s="158" t="b">
        <v>0</v>
      </c>
      <c r="L35" s="158" t="b">
        <v>0</v>
      </c>
      <c r="M35" s="158" t="b">
        <v>0</v>
      </c>
      <c r="N35" s="158" t="b">
        <v>0</v>
      </c>
      <c r="O35" s="158" t="b">
        <v>0</v>
      </c>
      <c r="P35" s="158" t="b">
        <v>0</v>
      </c>
      <c r="Q35" s="158" t="b">
        <v>0</v>
      </c>
      <c r="R35" s="158" t="b">
        <v>0</v>
      </c>
      <c r="S35" s="158" t="b">
        <v>0</v>
      </c>
      <c r="T35" s="158" t="b">
        <v>0</v>
      </c>
      <c r="U35" s="158" t="b">
        <v>0</v>
      </c>
      <c r="V35" s="158" t="b">
        <v>0</v>
      </c>
      <c r="W35" s="158" t="b">
        <v>0</v>
      </c>
      <c r="X35" s="158" t="b">
        <v>0</v>
      </c>
      <c r="Y35" s="158" t="b">
        <v>0</v>
      </c>
      <c r="Z35" s="158" t="b">
        <v>0</v>
      </c>
      <c r="AA35" s="158" t="b">
        <v>0</v>
      </c>
      <c r="AB35" s="158" t="b">
        <v>0</v>
      </c>
      <c r="AC35" s="158" t="b">
        <v>0</v>
      </c>
      <c r="AD35" s="158" t="b">
        <v>0</v>
      </c>
      <c r="AE35" s="158" t="b">
        <v>0</v>
      </c>
      <c r="AF35" s="158" t="b">
        <v>0</v>
      </c>
      <c r="AG35" s="158" t="b">
        <v>0</v>
      </c>
      <c r="AH35" s="158" t="b">
        <v>0</v>
      </c>
      <c r="AI35" s="158" t="b">
        <v>0</v>
      </c>
      <c r="AJ35" s="158" t="b">
        <v>0</v>
      </c>
      <c r="AK35" s="158" t="b">
        <v>0</v>
      </c>
      <c r="AL35" s="158" t="b">
        <v>0</v>
      </c>
      <c r="AM35" s="158" t="b">
        <v>0</v>
      </c>
      <c r="AN35" s="158" t="b">
        <v>0</v>
      </c>
      <c r="AO35" s="158" t="b">
        <v>0</v>
      </c>
      <c r="AP35" s="158" t="b">
        <v>0</v>
      </c>
      <c r="AQ35" s="158" t="b">
        <v>0</v>
      </c>
      <c r="AR35" s="158" t="b">
        <v>0</v>
      </c>
      <c r="AS35" s="158" t="b">
        <v>0</v>
      </c>
      <c r="AT35" s="158" t="b">
        <v>0</v>
      </c>
      <c r="AU35" s="158" t="b">
        <v>0</v>
      </c>
      <c r="AV35" s="158" t="b">
        <v>0</v>
      </c>
      <c r="AW35" s="158" t="b">
        <v>0</v>
      </c>
      <c r="AX35" s="158" t="b">
        <v>0</v>
      </c>
      <c r="AY35" s="158" t="b">
        <v>0</v>
      </c>
      <c r="AZ35" s="158" t="b">
        <v>0</v>
      </c>
      <c r="BA35" s="158" t="b">
        <v>0</v>
      </c>
      <c r="BB35" s="158" t="b">
        <v>0</v>
      </c>
      <c r="BC35" s="158" t="b">
        <v>0</v>
      </c>
      <c r="BD35" s="158" t="b">
        <v>0</v>
      </c>
      <c r="BE35" s="158" t="b">
        <v>0</v>
      </c>
      <c r="BF35" s="158" t="b">
        <v>0</v>
      </c>
      <c r="BG35" s="158" t="b">
        <v>0</v>
      </c>
      <c r="BH35" s="158" t="b">
        <v>0</v>
      </c>
      <c r="BI35" s="158" t="b">
        <v>0</v>
      </c>
      <c r="BJ35" s="158" t="b">
        <v>0</v>
      </c>
      <c r="BK35" s="158" t="b">
        <v>0</v>
      </c>
      <c r="BL35" s="158" t="b">
        <v>0</v>
      </c>
      <c r="BM35" s="158" t="b">
        <v>0</v>
      </c>
      <c r="BN35" s="158" t="b">
        <v>0</v>
      </c>
      <c r="BO35" s="158" t="b">
        <v>0</v>
      </c>
      <c r="BP35" s="158" t="b">
        <v>0</v>
      </c>
      <c r="BQ35" s="158" t="b">
        <v>0</v>
      </c>
      <c r="BR35" s="158" t="b">
        <v>0</v>
      </c>
      <c r="BS35" s="158" t="b">
        <v>0</v>
      </c>
      <c r="BT35" s="158" t="b">
        <v>0</v>
      </c>
      <c r="BU35" s="158" t="b">
        <v>0</v>
      </c>
      <c r="BV35" s="158" t="b">
        <v>0</v>
      </c>
      <c r="BW35" s="158" t="b">
        <v>0</v>
      </c>
      <c r="BX35" s="158" t="b">
        <v>0</v>
      </c>
      <c r="BY35" s="158" t="b">
        <v>0</v>
      </c>
      <c r="BZ35" s="93" t="b">
        <v>1</v>
      </c>
      <c r="CA35" s="158" t="b">
        <v>0</v>
      </c>
      <c r="CB35" s="158" t="b">
        <v>0</v>
      </c>
      <c r="CC35" s="158" t="b">
        <v>0</v>
      </c>
      <c r="CD35" s="158" t="b">
        <v>0</v>
      </c>
      <c r="CE35" s="158" t="b">
        <v>0</v>
      </c>
      <c r="CF35" s="158" t="b">
        <v>0</v>
      </c>
      <c r="CG35" s="158" t="b">
        <v>0</v>
      </c>
      <c r="CH35" s="158" t="b">
        <v>0</v>
      </c>
      <c r="CI35" s="158" t="b">
        <v>0</v>
      </c>
      <c r="CJ35" s="158" t="b">
        <v>0</v>
      </c>
      <c r="CK35" s="158" t="b">
        <v>0</v>
      </c>
      <c r="CL35" s="158" t="b">
        <v>0</v>
      </c>
      <c r="CM35" s="93" t="b">
        <v>1</v>
      </c>
      <c r="CN35" s="93" t="b">
        <v>1</v>
      </c>
      <c r="CO35" s="93" t="b">
        <v>1</v>
      </c>
      <c r="CP35" s="158" t="b">
        <v>0</v>
      </c>
      <c r="CQ35" s="158" t="b">
        <v>0</v>
      </c>
      <c r="CR35" s="158" t="b">
        <v>0</v>
      </c>
      <c r="CS35" s="158" t="b">
        <v>0</v>
      </c>
      <c r="CT35" s="158" t="b">
        <v>0</v>
      </c>
      <c r="CU35" s="158" t="b">
        <v>0</v>
      </c>
      <c r="CV35" s="158" t="b">
        <v>0</v>
      </c>
      <c r="CW35" s="158" t="b">
        <v>0</v>
      </c>
      <c r="CX35" s="93" t="b">
        <v>1</v>
      </c>
      <c r="CY35" s="158" t="b">
        <v>0</v>
      </c>
      <c r="CZ35" s="158" t="b">
        <v>0</v>
      </c>
      <c r="DA35" s="158" t="b">
        <v>0</v>
      </c>
      <c r="DB35" s="158" t="b">
        <v>0</v>
      </c>
      <c r="DC35" s="93" t="b">
        <v>1</v>
      </c>
      <c r="DD35" s="93" t="b">
        <v>1</v>
      </c>
      <c r="DE35" s="93" t="b">
        <v>1</v>
      </c>
      <c r="DF35" s="93" t="b">
        <v>1</v>
      </c>
      <c r="DG35" s="158" t="b">
        <v>0</v>
      </c>
      <c r="DH35" s="158" t="b">
        <v>0</v>
      </c>
      <c r="DI35" s="158" t="b">
        <v>0</v>
      </c>
      <c r="DJ35" s="158" t="b">
        <v>0</v>
      </c>
      <c r="DK35" s="158" t="b">
        <v>0</v>
      </c>
      <c r="DL35" s="158" t="b">
        <v>0</v>
      </c>
      <c r="DM35" s="158" t="b">
        <v>0</v>
      </c>
      <c r="DN35" s="93" t="b">
        <v>1</v>
      </c>
      <c r="DO35" s="93" t="b">
        <v>1</v>
      </c>
      <c r="DP35" s="93" t="b">
        <v>1</v>
      </c>
      <c r="DQ35" s="158" t="b">
        <v>0</v>
      </c>
      <c r="DR35" s="93" t="b">
        <v>1</v>
      </c>
      <c r="DS35" s="93" t="b">
        <v>1</v>
      </c>
      <c r="DT35" s="93" t="b">
        <v>1</v>
      </c>
      <c r="DU35" s="93" t="b">
        <v>1</v>
      </c>
      <c r="DV35" s="93" t="b">
        <v>1</v>
      </c>
      <c r="DW35" s="158" t="b">
        <v>0</v>
      </c>
      <c r="DX35" s="158" t="b">
        <v>0</v>
      </c>
      <c r="DY35" s="158" t="b">
        <v>0</v>
      </c>
      <c r="DZ35" s="158" t="b">
        <v>0</v>
      </c>
      <c r="EA35" s="158" t="b">
        <v>0</v>
      </c>
      <c r="EB35" s="158" t="b">
        <v>0</v>
      </c>
      <c r="EC35" s="93" t="b">
        <v>1</v>
      </c>
      <c r="ED35" s="158" t="b">
        <v>0</v>
      </c>
      <c r="EE35" s="158" t="b">
        <v>0</v>
      </c>
      <c r="EF35" s="158" t="b">
        <v>0</v>
      </c>
      <c r="EG35" s="158" t="b">
        <v>0</v>
      </c>
      <c r="EH35" s="158" t="b">
        <v>0</v>
      </c>
      <c r="EI35" s="158" t="b">
        <v>0</v>
      </c>
      <c r="EJ35" s="158" t="b">
        <v>0</v>
      </c>
      <c r="EK35" s="158" t="b">
        <v>0</v>
      </c>
      <c r="EL35" s="158" t="b">
        <v>0</v>
      </c>
      <c r="EM35" s="158" t="b">
        <v>0</v>
      </c>
      <c r="EN35" s="158" t="b">
        <v>0</v>
      </c>
      <c r="EO35" s="158" t="b">
        <v>0</v>
      </c>
      <c r="EP35" s="158" t="b">
        <v>0</v>
      </c>
      <c r="EQ35" s="158" t="b">
        <v>0</v>
      </c>
      <c r="ER35" s="158" t="b">
        <v>0</v>
      </c>
      <c r="ES35" s="158" t="b">
        <v>0</v>
      </c>
      <c r="ET35" s="158" t="b">
        <v>0</v>
      </c>
      <c r="EU35" s="158" t="b">
        <v>0</v>
      </c>
      <c r="EV35" s="158" t="b">
        <v>0</v>
      </c>
      <c r="EW35" s="93" t="b">
        <v>1</v>
      </c>
      <c r="EX35" s="158" t="b">
        <v>0</v>
      </c>
      <c r="EY35" s="158" t="b">
        <v>0</v>
      </c>
      <c r="EZ35" s="158" t="b">
        <v>0</v>
      </c>
      <c r="FA35" s="158" t="b">
        <v>0</v>
      </c>
      <c r="FB35" s="158" t="b">
        <v>0</v>
      </c>
      <c r="FC35" s="158" t="b">
        <v>0</v>
      </c>
      <c r="FD35" s="158" t="b">
        <v>0</v>
      </c>
      <c r="FE35" s="158" t="b">
        <v>0</v>
      </c>
      <c r="FF35" s="158" t="b">
        <v>0</v>
      </c>
      <c r="FG35" s="158" t="b">
        <v>0</v>
      </c>
      <c r="FH35" s="158" t="b">
        <v>0</v>
      </c>
      <c r="FI35" s="158" t="b">
        <v>0</v>
      </c>
      <c r="FJ35" s="158" t="b">
        <v>0</v>
      </c>
      <c r="FK35" s="158" t="b">
        <v>0</v>
      </c>
      <c r="FL35" s="158" t="b">
        <v>0</v>
      </c>
      <c r="FM35" s="158" t="b">
        <v>0</v>
      </c>
      <c r="FN35" s="158" t="b">
        <v>0</v>
      </c>
      <c r="FO35" s="158" t="b">
        <v>0</v>
      </c>
      <c r="FP35" s="158" t="b">
        <v>0</v>
      </c>
      <c r="FQ35" s="158" t="b">
        <v>0</v>
      </c>
      <c r="FR35" s="158" t="b">
        <v>0</v>
      </c>
      <c r="FS35" s="158" t="b">
        <v>0</v>
      </c>
      <c r="FT35" s="93" t="b">
        <v>1</v>
      </c>
      <c r="FU35" s="158" t="b">
        <v>0</v>
      </c>
      <c r="FV35" s="158" t="b">
        <v>0</v>
      </c>
      <c r="FW35" s="158" t="b">
        <v>0</v>
      </c>
      <c r="FX35" s="158" t="b">
        <v>0</v>
      </c>
      <c r="FY35" s="158" t="b">
        <v>0</v>
      </c>
      <c r="FZ35" s="158" t="b">
        <v>0</v>
      </c>
      <c r="GA35" s="158" t="b">
        <v>0</v>
      </c>
      <c r="GB35" s="158" t="b">
        <v>0</v>
      </c>
      <c r="GC35" s="158" t="b">
        <v>0</v>
      </c>
      <c r="GD35" s="158" t="b">
        <v>0</v>
      </c>
      <c r="GE35" s="158" t="b">
        <v>0</v>
      </c>
      <c r="GF35" s="158" t="b">
        <v>0</v>
      </c>
      <c r="GG35" s="158" t="b">
        <v>0</v>
      </c>
      <c r="GH35" s="158" t="b">
        <v>0</v>
      </c>
      <c r="GI35" s="158" t="b">
        <v>0</v>
      </c>
      <c r="GJ35" s="158" t="b">
        <v>0</v>
      </c>
      <c r="GK35" s="158" t="b">
        <v>0</v>
      </c>
      <c r="GL35" s="158" t="b">
        <v>0</v>
      </c>
      <c r="GM35" s="158" t="b">
        <v>0</v>
      </c>
      <c r="GN35" s="158" t="b">
        <v>0</v>
      </c>
      <c r="GO35" s="158" t="b">
        <v>0</v>
      </c>
      <c r="GP35" s="158" t="b">
        <v>0</v>
      </c>
      <c r="GQ35" s="158" t="b">
        <v>0</v>
      </c>
      <c r="GR35" s="158" t="b">
        <v>0</v>
      </c>
      <c r="GS35" s="158" t="b">
        <v>0</v>
      </c>
      <c r="GT35" s="158" t="b">
        <v>0</v>
      </c>
      <c r="GU35" s="158" t="b">
        <v>0</v>
      </c>
      <c r="GV35" s="158" t="b">
        <v>0</v>
      </c>
      <c r="GW35" s="158" t="b">
        <v>0</v>
      </c>
      <c r="GX35" s="158" t="b">
        <v>0</v>
      </c>
      <c r="GY35" s="158" t="b">
        <v>0</v>
      </c>
      <c r="GZ35" s="158" t="b">
        <v>0</v>
      </c>
      <c r="HA35" s="158" t="b">
        <v>0</v>
      </c>
      <c r="HB35" s="158" t="b">
        <v>0</v>
      </c>
      <c r="HC35" s="158" t="b">
        <v>0</v>
      </c>
      <c r="HD35" s="158" t="b">
        <v>0</v>
      </c>
      <c r="HE35" s="158" t="b">
        <v>0</v>
      </c>
      <c r="HF35" s="158" t="b">
        <v>0</v>
      </c>
      <c r="HG35" s="158" t="b">
        <v>0</v>
      </c>
      <c r="HH35" s="158" t="b">
        <v>0</v>
      </c>
      <c r="HI35" s="158" t="b">
        <v>0</v>
      </c>
      <c r="HJ35" s="93" t="b">
        <v>1</v>
      </c>
      <c r="HK35" s="93" t="b">
        <v>1</v>
      </c>
      <c r="HL35" s="93" t="b">
        <v>1</v>
      </c>
      <c r="HM35" s="158" t="b">
        <v>0</v>
      </c>
      <c r="HN35" s="158" t="b">
        <v>0</v>
      </c>
      <c r="HO35" s="158" t="b">
        <v>0</v>
      </c>
      <c r="HP35" s="158" t="b">
        <v>0</v>
      </c>
      <c r="HQ35" s="158" t="b">
        <v>0</v>
      </c>
      <c r="HR35" s="158" t="b">
        <v>0</v>
      </c>
      <c r="HS35" s="158" t="b">
        <v>0</v>
      </c>
      <c r="HT35" s="93" t="b">
        <v>1</v>
      </c>
      <c r="HU35" s="93" t="b">
        <v>1</v>
      </c>
      <c r="HV35" s="93" t="b">
        <v>1</v>
      </c>
      <c r="HW35" s="93" t="b">
        <v>1</v>
      </c>
      <c r="HX35" s="93" t="b">
        <v>1</v>
      </c>
      <c r="HY35" s="158" t="b">
        <v>0</v>
      </c>
      <c r="HZ35" s="158" t="b">
        <v>0</v>
      </c>
      <c r="IA35" s="158" t="b">
        <v>0</v>
      </c>
      <c r="IB35" s="158" t="b">
        <v>0</v>
      </c>
      <c r="IC35" s="158" t="b">
        <v>0</v>
      </c>
      <c r="ID35" s="158" t="b">
        <v>0</v>
      </c>
      <c r="IE35" s="158" t="b">
        <v>0</v>
      </c>
      <c r="IF35" s="158" t="b">
        <v>0</v>
      </c>
      <c r="IG35" s="158" t="b">
        <v>0</v>
      </c>
      <c r="IH35" s="158" t="b">
        <v>0</v>
      </c>
      <c r="II35" s="158" t="b">
        <v>0</v>
      </c>
      <c r="IJ35" s="158" t="b">
        <v>0</v>
      </c>
      <c r="IK35" s="158" t="b">
        <v>0</v>
      </c>
      <c r="IL35" s="158" t="b">
        <v>0</v>
      </c>
      <c r="IM35" s="158" t="b">
        <v>0</v>
      </c>
      <c r="IN35" s="158" t="b">
        <v>0</v>
      </c>
      <c r="IO35" s="158" t="b">
        <v>0</v>
      </c>
      <c r="IP35" s="158" t="b">
        <v>0</v>
      </c>
      <c r="IQ35" s="158" t="b">
        <v>0</v>
      </c>
      <c r="IR35" s="158" t="b">
        <v>0</v>
      </c>
      <c r="IS35" s="158" t="b">
        <v>0</v>
      </c>
      <c r="IT35" s="158" t="b">
        <v>0</v>
      </c>
      <c r="IU35" s="158" t="b">
        <v>0</v>
      </c>
      <c r="IV35" s="158" t="b">
        <v>0</v>
      </c>
      <c r="IW35" s="158" t="b">
        <v>0</v>
      </c>
      <c r="IX35" s="158" t="b">
        <v>0</v>
      </c>
      <c r="IY35" s="158" t="b">
        <v>0</v>
      </c>
      <c r="IZ35" s="158" t="b">
        <v>0</v>
      </c>
      <c r="JA35" s="158" t="b">
        <v>0</v>
      </c>
      <c r="JB35" s="158" t="b">
        <v>0</v>
      </c>
      <c r="JC35" s="158" t="b">
        <v>0</v>
      </c>
      <c r="JD35" s="158" t="b">
        <v>0</v>
      </c>
      <c r="JE35" s="158" t="b">
        <v>0</v>
      </c>
      <c r="JF35" s="158" t="b">
        <v>0</v>
      </c>
      <c r="JG35" s="158" t="b">
        <v>0</v>
      </c>
      <c r="JH35" s="158" t="b">
        <v>0</v>
      </c>
      <c r="JI35" s="158" t="b">
        <v>0</v>
      </c>
      <c r="JJ35" s="158" t="b">
        <v>0</v>
      </c>
      <c r="JK35" s="158" t="b">
        <v>0</v>
      </c>
      <c r="JL35" s="158" t="b">
        <v>0</v>
      </c>
      <c r="JM35" s="158" t="b">
        <v>0</v>
      </c>
      <c r="JN35" s="158" t="b">
        <v>0</v>
      </c>
      <c r="JO35" s="158" t="b">
        <v>0</v>
      </c>
      <c r="JP35" s="158" t="b">
        <v>0</v>
      </c>
      <c r="JQ35" s="158" t="b">
        <v>0</v>
      </c>
      <c r="JR35" s="158" t="b">
        <v>0</v>
      </c>
      <c r="JS35" s="158" t="b">
        <v>0</v>
      </c>
      <c r="JT35" s="158" t="b">
        <v>0</v>
      </c>
      <c r="JU35" s="158" t="b">
        <v>0</v>
      </c>
      <c r="JV35" s="158" t="b">
        <v>0</v>
      </c>
      <c r="JW35" s="158" t="b">
        <v>0</v>
      </c>
      <c r="JX35" s="158" t="b">
        <v>0</v>
      </c>
      <c r="JY35" s="158" t="b">
        <v>0</v>
      </c>
      <c r="JZ35" s="158" t="b">
        <v>0</v>
      </c>
      <c r="KA35" s="158" t="b">
        <v>0</v>
      </c>
      <c r="KB35" s="158" t="b">
        <v>0</v>
      </c>
      <c r="KC35" s="158" t="b">
        <v>0</v>
      </c>
      <c r="KD35" s="158" t="b">
        <v>0</v>
      </c>
      <c r="KE35" s="158" t="b">
        <v>0</v>
      </c>
      <c r="KF35" s="158" t="b">
        <v>0</v>
      </c>
      <c r="KG35" s="158" t="b">
        <v>0</v>
      </c>
      <c r="KH35" s="158" t="b">
        <v>0</v>
      </c>
      <c r="KI35" s="158" t="b">
        <v>0</v>
      </c>
      <c r="KJ35" s="158" t="b">
        <v>0</v>
      </c>
      <c r="KK35" s="158" t="b">
        <v>0</v>
      </c>
      <c r="KL35" s="158" t="b">
        <v>0</v>
      </c>
      <c r="KM35" s="158" t="b">
        <v>0</v>
      </c>
      <c r="KN35" s="158" t="b">
        <v>0</v>
      </c>
      <c r="KO35" s="158" t="b">
        <v>0</v>
      </c>
      <c r="KP35" s="158" t="b">
        <v>0</v>
      </c>
      <c r="KQ35" s="158" t="b">
        <v>0</v>
      </c>
      <c r="KR35" s="158" t="b">
        <v>0</v>
      </c>
      <c r="KS35" s="158" t="b">
        <v>0</v>
      </c>
      <c r="KT35" s="158" t="b">
        <v>0</v>
      </c>
      <c r="KU35" s="158" t="b">
        <v>0</v>
      </c>
      <c r="KV35" s="158" t="b">
        <v>0</v>
      </c>
      <c r="KW35" s="158" t="b">
        <v>0</v>
      </c>
      <c r="KX35" s="158" t="b">
        <v>0</v>
      </c>
      <c r="KY35" s="158" t="b">
        <v>0</v>
      </c>
      <c r="KZ35" s="158" t="b">
        <v>0</v>
      </c>
      <c r="LA35" s="158" t="b">
        <v>0</v>
      </c>
      <c r="LB35" s="158" t="b">
        <v>0</v>
      </c>
      <c r="LC35" s="158" t="b">
        <v>0</v>
      </c>
      <c r="LD35" s="158" t="b">
        <v>0</v>
      </c>
      <c r="LE35" s="158" t="b">
        <v>0</v>
      </c>
      <c r="LF35" s="158" t="b">
        <v>0</v>
      </c>
      <c r="LG35" s="158" t="b">
        <v>0</v>
      </c>
      <c r="LH35" s="158" t="b">
        <v>0</v>
      </c>
      <c r="LI35" s="158" t="b">
        <v>0</v>
      </c>
      <c r="LJ35" s="158" t="b">
        <v>0</v>
      </c>
      <c r="LK35" s="158" t="b">
        <v>0</v>
      </c>
      <c r="LL35" s="158" t="b">
        <v>0</v>
      </c>
      <c r="LM35" s="158" t="b">
        <v>0</v>
      </c>
      <c r="LN35" s="158" t="b">
        <v>0</v>
      </c>
      <c r="LO35" s="158" t="b">
        <v>0</v>
      </c>
      <c r="LP35" s="158" t="b">
        <v>0</v>
      </c>
      <c r="LQ35" s="158" t="b">
        <v>0</v>
      </c>
      <c r="LR35" s="158" t="b">
        <v>0</v>
      </c>
      <c r="LS35" s="158" t="b">
        <v>0</v>
      </c>
      <c r="LT35" s="158" t="b">
        <v>0</v>
      </c>
      <c r="LU35" s="158" t="b">
        <v>0</v>
      </c>
      <c r="LV35" s="158" t="b">
        <v>0</v>
      </c>
      <c r="LW35" s="158" t="b">
        <v>0</v>
      </c>
      <c r="LX35" s="158" t="b">
        <v>0</v>
      </c>
      <c r="LY35" s="158" t="b">
        <v>0</v>
      </c>
      <c r="LZ35" s="158" t="b">
        <v>0</v>
      </c>
      <c r="MA35" s="158" t="b">
        <v>0</v>
      </c>
      <c r="MB35" s="158" t="b">
        <v>0</v>
      </c>
      <c r="MC35" s="158" t="b">
        <v>0</v>
      </c>
      <c r="MD35" s="158" t="b">
        <v>0</v>
      </c>
      <c r="ME35" s="158" t="b">
        <v>0</v>
      </c>
      <c r="MF35" s="158" t="b">
        <v>0</v>
      </c>
      <c r="MG35" s="158" t="b">
        <v>0</v>
      </c>
      <c r="MH35" s="158" t="b">
        <v>0</v>
      </c>
      <c r="MI35" s="158" t="b">
        <v>0</v>
      </c>
      <c r="MJ35" s="158" t="b">
        <v>0</v>
      </c>
      <c r="MK35" s="158" t="b">
        <v>0</v>
      </c>
      <c r="ML35" s="158" t="b">
        <v>0</v>
      </c>
      <c r="MM35" s="158" t="b">
        <v>0</v>
      </c>
      <c r="MN35" s="158" t="b">
        <v>0</v>
      </c>
      <c r="MO35" s="158" t="b">
        <v>0</v>
      </c>
      <c r="MP35" s="158" t="b">
        <v>0</v>
      </c>
      <c r="MQ35" s="158" t="b">
        <v>0</v>
      </c>
      <c r="MR35" s="158" t="b">
        <v>0</v>
      </c>
      <c r="MS35" s="158" t="b">
        <v>0</v>
      </c>
      <c r="MT35" s="158" t="b">
        <v>0</v>
      </c>
      <c r="MU35" s="158" t="b">
        <v>0</v>
      </c>
      <c r="MV35" s="158" t="b">
        <v>0</v>
      </c>
      <c r="MW35" s="158" t="b">
        <v>0</v>
      </c>
      <c r="MX35" s="158" t="b">
        <v>0</v>
      </c>
      <c r="MY35" s="158" t="b">
        <v>0</v>
      </c>
      <c r="MZ35" s="158" t="b">
        <v>0</v>
      </c>
      <c r="NA35" s="158" t="b">
        <v>0</v>
      </c>
      <c r="NB35" s="158" t="b">
        <v>0</v>
      </c>
      <c r="NC35" s="158" t="b">
        <v>0</v>
      </c>
      <c r="ND35" s="158" t="b">
        <v>0</v>
      </c>
      <c r="NE35" s="158" t="b">
        <v>0</v>
      </c>
      <c r="NF35" s="158" t="b">
        <v>0</v>
      </c>
      <c r="NG35" s="158" t="b">
        <v>0</v>
      </c>
      <c r="NH35" s="158" t="b">
        <v>0</v>
      </c>
      <c r="NI35" s="158" t="b">
        <v>0</v>
      </c>
      <c r="NJ35" s="158" t="b">
        <v>0</v>
      </c>
      <c r="NK35" s="158" t="b">
        <v>0</v>
      </c>
      <c r="NL35" s="158" t="b">
        <v>0</v>
      </c>
      <c r="NM35" s="158" t="b">
        <v>0</v>
      </c>
      <c r="NN35" s="158" t="b">
        <v>0</v>
      </c>
      <c r="NO35" s="158" t="b">
        <v>0</v>
      </c>
    </row>
    <row r="36" spans="1:379" ht="29.25" x14ac:dyDescent="0.4">
      <c r="A36" s="511" t="str">
        <v xml:space="preserve">Chocolate Fountain </v>
      </c>
      <c r="B36" s="158" t="b">
        <v>0</v>
      </c>
      <c r="C36" s="158" t="b">
        <v>0</v>
      </c>
      <c r="D36" s="158" t="b">
        <v>0</v>
      </c>
      <c r="E36" s="158" t="b">
        <v>0</v>
      </c>
      <c r="F36" s="158" t="b">
        <v>0</v>
      </c>
      <c r="G36" s="158" t="b">
        <v>0</v>
      </c>
      <c r="H36" s="158" t="b">
        <v>0</v>
      </c>
      <c r="I36" s="158" t="b">
        <v>0</v>
      </c>
      <c r="J36" s="158" t="b">
        <v>0</v>
      </c>
      <c r="K36" s="158" t="b">
        <v>0</v>
      </c>
      <c r="L36" s="158" t="b">
        <v>0</v>
      </c>
      <c r="M36" s="158" t="b">
        <v>0</v>
      </c>
      <c r="N36" s="158" t="b">
        <v>0</v>
      </c>
      <c r="O36" s="158" t="b">
        <v>0</v>
      </c>
      <c r="P36" s="158" t="b">
        <v>0</v>
      </c>
      <c r="Q36" s="158" t="b">
        <v>0</v>
      </c>
      <c r="R36" s="93" t="b">
        <v>0</v>
      </c>
      <c r="S36" s="158" t="b">
        <v>0</v>
      </c>
      <c r="T36" s="158" t="b">
        <v>0</v>
      </c>
      <c r="U36" s="158" t="b">
        <v>0</v>
      </c>
      <c r="V36" s="158" t="b">
        <v>0</v>
      </c>
      <c r="W36" s="158" t="b">
        <v>0</v>
      </c>
      <c r="X36" s="158" t="b">
        <v>0</v>
      </c>
      <c r="Y36" s="158" t="b">
        <v>0</v>
      </c>
      <c r="Z36" s="158" t="b">
        <v>0</v>
      </c>
      <c r="AA36" s="158" t="b">
        <v>0</v>
      </c>
      <c r="AB36" s="158" t="b">
        <v>0</v>
      </c>
      <c r="AC36" s="158" t="b">
        <v>0</v>
      </c>
      <c r="AD36" s="158" t="b">
        <v>0</v>
      </c>
      <c r="AE36" s="158" t="b">
        <v>0</v>
      </c>
      <c r="AF36" s="158" t="b">
        <v>0</v>
      </c>
      <c r="AG36" s="158" t="b">
        <v>0</v>
      </c>
      <c r="AH36" s="158" t="b">
        <v>0</v>
      </c>
      <c r="AI36" s="158" t="b">
        <v>0</v>
      </c>
      <c r="AJ36" s="158" t="b">
        <v>0</v>
      </c>
      <c r="AK36" s="158" t="b">
        <v>0</v>
      </c>
      <c r="AL36" s="158" t="b">
        <v>0</v>
      </c>
      <c r="AM36" s="158" t="b">
        <v>0</v>
      </c>
      <c r="AN36" s="158" t="b">
        <v>0</v>
      </c>
      <c r="AO36" s="158" t="b">
        <v>0</v>
      </c>
      <c r="AP36" s="158" t="b">
        <v>0</v>
      </c>
      <c r="AQ36" s="158" t="b">
        <v>0</v>
      </c>
      <c r="AR36" s="158" t="b">
        <v>0</v>
      </c>
      <c r="AS36" s="158" t="b">
        <v>0</v>
      </c>
      <c r="AT36" s="158" t="b">
        <v>0</v>
      </c>
      <c r="AU36" s="158" t="b">
        <v>0</v>
      </c>
      <c r="AV36" s="158" t="b">
        <v>0</v>
      </c>
      <c r="AW36" s="158" t="b">
        <v>0</v>
      </c>
      <c r="AX36" s="158" t="b">
        <v>0</v>
      </c>
      <c r="AY36" s="158" t="b">
        <v>0</v>
      </c>
      <c r="AZ36" s="158" t="b">
        <v>0</v>
      </c>
      <c r="BA36" s="158" t="b">
        <v>0</v>
      </c>
      <c r="BB36" s="158" t="b">
        <v>0</v>
      </c>
      <c r="BC36" s="158" t="b">
        <v>0</v>
      </c>
      <c r="BD36" s="158" t="b">
        <v>0</v>
      </c>
      <c r="BE36" s="158" t="b">
        <v>0</v>
      </c>
      <c r="BF36" s="158" t="b">
        <v>0</v>
      </c>
      <c r="BG36" s="158" t="b">
        <v>0</v>
      </c>
      <c r="BH36" s="158" t="b">
        <v>0</v>
      </c>
      <c r="BI36" s="158" t="b">
        <v>0</v>
      </c>
      <c r="BJ36" s="158" t="b">
        <v>0</v>
      </c>
      <c r="BK36" s="158" t="b">
        <v>0</v>
      </c>
      <c r="BL36" s="158" t="b">
        <v>0</v>
      </c>
      <c r="BM36" s="158" t="b">
        <v>0</v>
      </c>
      <c r="BN36" s="158" t="b">
        <v>0</v>
      </c>
      <c r="BO36" s="158" t="b">
        <v>0</v>
      </c>
      <c r="BP36" s="158" t="b">
        <v>0</v>
      </c>
      <c r="BQ36" s="158" t="b">
        <v>0</v>
      </c>
      <c r="BR36" s="158" t="b">
        <v>0</v>
      </c>
      <c r="BS36" s="158" t="b">
        <v>0</v>
      </c>
      <c r="BT36" s="158" t="b">
        <v>0</v>
      </c>
      <c r="BU36" s="158" t="b">
        <v>0</v>
      </c>
      <c r="BV36" s="158" t="b">
        <v>0</v>
      </c>
      <c r="BW36" s="158" t="b">
        <v>0</v>
      </c>
      <c r="BX36" s="158" t="b">
        <v>0</v>
      </c>
      <c r="BY36" s="158" t="b">
        <v>0</v>
      </c>
      <c r="BZ36" s="158" t="b">
        <v>0</v>
      </c>
      <c r="CA36" s="158" t="b">
        <v>0</v>
      </c>
      <c r="CB36" s="158" t="b">
        <v>0</v>
      </c>
      <c r="CC36" s="158" t="b">
        <v>0</v>
      </c>
      <c r="CD36" s="158" t="b">
        <v>0</v>
      </c>
      <c r="CE36" s="158" t="b">
        <v>0</v>
      </c>
      <c r="CF36" s="158" t="b">
        <v>0</v>
      </c>
      <c r="CG36" s="158" t="b">
        <v>0</v>
      </c>
      <c r="CH36" s="158" t="b">
        <v>0</v>
      </c>
      <c r="CI36" s="158" t="b">
        <v>0</v>
      </c>
      <c r="CJ36" s="158" t="b">
        <v>0</v>
      </c>
      <c r="CK36" s="158" t="b">
        <v>0</v>
      </c>
      <c r="CL36" s="158" t="b">
        <v>0</v>
      </c>
      <c r="CM36" s="158" t="b">
        <v>0</v>
      </c>
      <c r="CN36" s="158" t="b">
        <v>0</v>
      </c>
      <c r="CO36" s="158" t="b">
        <v>0</v>
      </c>
      <c r="CP36" s="158" t="b">
        <v>0</v>
      </c>
      <c r="CQ36" s="158" t="b">
        <v>0</v>
      </c>
      <c r="CR36" s="158" t="b">
        <v>0</v>
      </c>
      <c r="CS36" s="158" t="b">
        <v>0</v>
      </c>
      <c r="CT36" s="158" t="b">
        <v>0</v>
      </c>
      <c r="CU36" s="158" t="b">
        <v>0</v>
      </c>
      <c r="CV36" s="158" t="b">
        <v>0</v>
      </c>
      <c r="CW36" s="158" t="b">
        <v>0</v>
      </c>
      <c r="CX36" s="158" t="b">
        <v>0</v>
      </c>
      <c r="CY36" s="158" t="b">
        <v>0</v>
      </c>
      <c r="CZ36" s="158" t="b">
        <v>0</v>
      </c>
      <c r="DA36" s="158" t="b">
        <v>0</v>
      </c>
      <c r="DB36" s="158" t="b">
        <v>0</v>
      </c>
      <c r="DC36" s="158" t="b">
        <v>0</v>
      </c>
      <c r="DD36" s="158" t="b">
        <v>0</v>
      </c>
      <c r="DE36" s="158" t="b">
        <v>0</v>
      </c>
      <c r="DF36" s="158" t="b">
        <v>0</v>
      </c>
      <c r="DG36" s="158" t="b">
        <v>0</v>
      </c>
      <c r="DH36" s="158" t="b">
        <v>0</v>
      </c>
      <c r="DI36" s="158" t="b">
        <v>0</v>
      </c>
      <c r="DJ36" s="158" t="b">
        <v>0</v>
      </c>
      <c r="DK36" s="158" t="b">
        <v>0</v>
      </c>
      <c r="DL36" s="158" t="b">
        <v>0</v>
      </c>
      <c r="DM36" s="158" t="b">
        <v>0</v>
      </c>
      <c r="DN36" s="158" t="b">
        <v>0</v>
      </c>
      <c r="DO36" s="158" t="b">
        <v>0</v>
      </c>
      <c r="DP36" s="158" t="b">
        <v>0</v>
      </c>
      <c r="DQ36" s="158" t="b">
        <v>0</v>
      </c>
      <c r="DR36" s="158" t="b">
        <v>0</v>
      </c>
      <c r="DS36" s="158" t="b">
        <v>0</v>
      </c>
      <c r="DT36" s="158" t="b">
        <v>0</v>
      </c>
      <c r="DU36" s="158" t="b">
        <v>0</v>
      </c>
      <c r="DV36" s="158" t="b">
        <v>0</v>
      </c>
      <c r="DW36" s="158" t="b">
        <v>0</v>
      </c>
      <c r="DX36" s="158" t="b">
        <v>0</v>
      </c>
      <c r="DY36" s="158" t="b">
        <v>0</v>
      </c>
      <c r="DZ36" s="158" t="b">
        <v>0</v>
      </c>
      <c r="EA36" s="158" t="b">
        <v>0</v>
      </c>
      <c r="EB36" s="158" t="b">
        <v>0</v>
      </c>
      <c r="EC36" s="158" t="b">
        <v>0</v>
      </c>
      <c r="ED36" s="158" t="b">
        <v>0</v>
      </c>
      <c r="EE36" s="158" t="b">
        <v>0</v>
      </c>
      <c r="EF36" s="158" t="b">
        <v>0</v>
      </c>
      <c r="EG36" s="158" t="b">
        <v>0</v>
      </c>
      <c r="EH36" s="158" t="b">
        <v>0</v>
      </c>
      <c r="EI36" s="158" t="b">
        <v>0</v>
      </c>
      <c r="EJ36" s="158" t="b">
        <v>0</v>
      </c>
      <c r="EK36" s="158" t="b">
        <v>0</v>
      </c>
      <c r="EL36" s="158" t="b">
        <v>0</v>
      </c>
      <c r="EM36" s="158" t="b">
        <v>0</v>
      </c>
      <c r="EN36" s="158" t="b">
        <v>0</v>
      </c>
      <c r="EO36" s="158" t="b">
        <v>0</v>
      </c>
      <c r="EP36" s="158" t="b">
        <v>0</v>
      </c>
      <c r="EQ36" s="158" t="b">
        <v>0</v>
      </c>
      <c r="ER36" s="158" t="b">
        <v>0</v>
      </c>
      <c r="ES36" s="158" t="b">
        <v>0</v>
      </c>
      <c r="ET36" s="158" t="b">
        <v>0</v>
      </c>
      <c r="EU36" s="158" t="b">
        <v>0</v>
      </c>
      <c r="EV36" s="158" t="b">
        <v>0</v>
      </c>
      <c r="EW36" s="158" t="b">
        <v>0</v>
      </c>
      <c r="EX36" s="158" t="b">
        <v>0</v>
      </c>
      <c r="EY36" s="158" t="b">
        <v>0</v>
      </c>
      <c r="EZ36" s="158" t="b">
        <v>0</v>
      </c>
      <c r="FA36" s="158" t="b">
        <v>0</v>
      </c>
      <c r="FB36" s="158" t="b">
        <v>0</v>
      </c>
      <c r="FC36" s="158" t="b">
        <v>0</v>
      </c>
      <c r="FD36" s="158" t="b">
        <v>0</v>
      </c>
      <c r="FE36" s="158" t="b">
        <v>0</v>
      </c>
      <c r="FF36" s="158" t="b">
        <v>0</v>
      </c>
      <c r="FG36" s="158" t="b">
        <v>0</v>
      </c>
      <c r="FH36" s="158" t="b">
        <v>0</v>
      </c>
      <c r="FI36" s="158" t="b">
        <v>0</v>
      </c>
      <c r="FJ36" s="158" t="b">
        <v>0</v>
      </c>
      <c r="FK36" s="158" t="b">
        <v>0</v>
      </c>
      <c r="FL36" s="158" t="b">
        <v>0</v>
      </c>
      <c r="FM36" s="158" t="b">
        <v>0</v>
      </c>
      <c r="FN36" s="158" t="b">
        <v>0</v>
      </c>
      <c r="FO36" s="158" t="b">
        <v>0</v>
      </c>
      <c r="FP36" s="158" t="b">
        <v>0</v>
      </c>
      <c r="FQ36" s="158" t="b">
        <v>0</v>
      </c>
      <c r="FR36" s="158" t="b">
        <v>0</v>
      </c>
      <c r="FS36" s="158" t="b">
        <v>0</v>
      </c>
      <c r="FT36" s="158" t="b">
        <v>0</v>
      </c>
      <c r="FU36" s="158" t="b">
        <v>0</v>
      </c>
      <c r="FV36" s="158" t="b">
        <v>0</v>
      </c>
      <c r="FW36" s="158" t="b">
        <v>0</v>
      </c>
      <c r="FX36" s="158" t="b">
        <v>0</v>
      </c>
      <c r="FY36" s="158" t="b">
        <v>0</v>
      </c>
      <c r="FZ36" s="158" t="b">
        <v>0</v>
      </c>
      <c r="GA36" s="158" t="b">
        <v>0</v>
      </c>
      <c r="GB36" s="158" t="b">
        <v>0</v>
      </c>
      <c r="GC36" s="158" t="b">
        <v>0</v>
      </c>
      <c r="GD36" s="158" t="b">
        <v>0</v>
      </c>
      <c r="GE36" s="158" t="b">
        <v>0</v>
      </c>
      <c r="GF36" s="158" t="b">
        <v>0</v>
      </c>
      <c r="GG36" s="158" t="b">
        <v>0</v>
      </c>
      <c r="GH36" s="158" t="b">
        <v>0</v>
      </c>
      <c r="GI36" s="158" t="b">
        <v>0</v>
      </c>
      <c r="GJ36" s="158" t="b">
        <v>0</v>
      </c>
      <c r="GK36" s="158" t="b">
        <v>0</v>
      </c>
      <c r="GL36" s="158" t="b">
        <v>0</v>
      </c>
      <c r="GM36" s="158" t="b">
        <v>0</v>
      </c>
      <c r="GN36" s="158" t="b">
        <v>0</v>
      </c>
      <c r="GO36" s="158" t="b">
        <v>0</v>
      </c>
      <c r="GP36" s="158" t="b">
        <v>0</v>
      </c>
      <c r="GQ36" s="158" t="b">
        <v>0</v>
      </c>
      <c r="GR36" s="158" t="b">
        <v>0</v>
      </c>
      <c r="GS36" s="158" t="b">
        <v>0</v>
      </c>
      <c r="GT36" s="158" t="b">
        <v>0</v>
      </c>
      <c r="GU36" s="158" t="b">
        <v>0</v>
      </c>
      <c r="GV36" s="158" t="b">
        <v>0</v>
      </c>
      <c r="GW36" s="158" t="b">
        <v>0</v>
      </c>
      <c r="GX36" s="158" t="b">
        <v>0</v>
      </c>
      <c r="GY36" s="158" t="b">
        <v>0</v>
      </c>
      <c r="GZ36" s="158" t="b">
        <v>0</v>
      </c>
      <c r="HA36" s="158" t="b">
        <v>0</v>
      </c>
      <c r="HB36" s="158" t="b">
        <v>0</v>
      </c>
      <c r="HC36" s="158" t="b">
        <v>0</v>
      </c>
      <c r="HD36" s="158" t="b">
        <v>0</v>
      </c>
      <c r="HE36" s="158" t="b">
        <v>0</v>
      </c>
      <c r="HF36" s="158" t="b">
        <v>0</v>
      </c>
      <c r="HG36" s="158" t="b">
        <v>0</v>
      </c>
      <c r="HH36" s="158" t="b">
        <v>0</v>
      </c>
      <c r="HI36" s="158" t="b">
        <v>0</v>
      </c>
      <c r="HJ36" s="158" t="b">
        <v>0</v>
      </c>
      <c r="HK36" s="158" t="b">
        <v>0</v>
      </c>
      <c r="HL36" s="158" t="b">
        <v>0</v>
      </c>
      <c r="HM36" s="158" t="b">
        <v>0</v>
      </c>
      <c r="HN36" s="158" t="b">
        <v>0</v>
      </c>
      <c r="HO36" s="158" t="b">
        <v>0</v>
      </c>
      <c r="HP36" s="158" t="b">
        <v>0</v>
      </c>
      <c r="HQ36" s="158" t="b">
        <v>0</v>
      </c>
      <c r="HR36" s="158" t="b">
        <v>0</v>
      </c>
      <c r="HS36" s="158" t="b">
        <v>0</v>
      </c>
      <c r="HT36" s="93" t="b">
        <v>1</v>
      </c>
      <c r="HU36" s="93" t="b">
        <v>1</v>
      </c>
      <c r="HV36" s="93" t="b">
        <v>1</v>
      </c>
      <c r="HW36" s="93" t="b">
        <v>1</v>
      </c>
      <c r="HX36" s="93" t="b">
        <v>1</v>
      </c>
      <c r="HY36" s="158" t="b">
        <v>0</v>
      </c>
      <c r="HZ36" s="158" t="b">
        <v>0</v>
      </c>
      <c r="IA36" s="158" t="b">
        <v>0</v>
      </c>
      <c r="IB36" s="158" t="b">
        <v>0</v>
      </c>
      <c r="IC36" s="158" t="b">
        <v>0</v>
      </c>
      <c r="ID36" s="158" t="b">
        <v>0</v>
      </c>
      <c r="IE36" s="158" t="b">
        <v>0</v>
      </c>
      <c r="IF36" s="158" t="b">
        <v>0</v>
      </c>
      <c r="IG36" s="158" t="b">
        <v>0</v>
      </c>
      <c r="IH36" s="158" t="b">
        <v>0</v>
      </c>
      <c r="II36" s="158" t="b">
        <v>0</v>
      </c>
      <c r="IJ36" s="158" t="b">
        <v>0</v>
      </c>
      <c r="IK36" s="158" t="b">
        <v>0</v>
      </c>
      <c r="IL36" s="158" t="b">
        <v>0</v>
      </c>
      <c r="IM36" s="158" t="b">
        <v>0</v>
      </c>
      <c r="IN36" s="158" t="b">
        <v>0</v>
      </c>
      <c r="IO36" s="158" t="b">
        <v>0</v>
      </c>
      <c r="IP36" s="158" t="b">
        <v>0</v>
      </c>
      <c r="IQ36" s="158" t="b">
        <v>0</v>
      </c>
      <c r="IR36" s="158" t="b">
        <v>0</v>
      </c>
      <c r="IS36" s="158" t="b">
        <v>0</v>
      </c>
      <c r="IT36" s="158" t="b">
        <v>0</v>
      </c>
      <c r="IU36" s="158" t="b">
        <v>0</v>
      </c>
      <c r="IV36" s="158" t="b">
        <v>0</v>
      </c>
      <c r="IW36" s="158" t="b">
        <v>0</v>
      </c>
      <c r="IX36" s="158" t="b">
        <v>0</v>
      </c>
      <c r="IY36" s="158" t="b">
        <v>0</v>
      </c>
      <c r="IZ36" s="158" t="b">
        <v>0</v>
      </c>
      <c r="JA36" s="158" t="b">
        <v>0</v>
      </c>
      <c r="JB36" s="158" t="b">
        <v>0</v>
      </c>
      <c r="JC36" s="158" t="b">
        <v>0</v>
      </c>
      <c r="JD36" s="158" t="b">
        <v>0</v>
      </c>
      <c r="JE36" s="158" t="b">
        <v>0</v>
      </c>
      <c r="JF36" s="158" t="b">
        <v>0</v>
      </c>
      <c r="JG36" s="158" t="b">
        <v>0</v>
      </c>
      <c r="JH36" s="158" t="b">
        <v>0</v>
      </c>
      <c r="JI36" s="158" t="b">
        <v>0</v>
      </c>
      <c r="JJ36" s="158" t="b">
        <v>0</v>
      </c>
      <c r="JK36" s="158" t="b">
        <v>0</v>
      </c>
      <c r="JL36" s="158" t="b">
        <v>0</v>
      </c>
      <c r="JM36" s="158" t="b">
        <v>0</v>
      </c>
      <c r="JN36" s="158" t="b">
        <v>0</v>
      </c>
      <c r="JO36" s="158" t="b">
        <v>0</v>
      </c>
      <c r="JP36" s="158" t="b">
        <v>0</v>
      </c>
      <c r="JQ36" s="158" t="b">
        <v>0</v>
      </c>
      <c r="JR36" s="158" t="b">
        <v>0</v>
      </c>
      <c r="JS36" s="158" t="b">
        <v>0</v>
      </c>
      <c r="JT36" s="158" t="b">
        <v>0</v>
      </c>
      <c r="JU36" s="158" t="b">
        <v>0</v>
      </c>
      <c r="JV36" s="158" t="b">
        <v>0</v>
      </c>
      <c r="JW36" s="158" t="b">
        <v>0</v>
      </c>
      <c r="JX36" s="158" t="b">
        <v>0</v>
      </c>
      <c r="JY36" s="158" t="b">
        <v>0</v>
      </c>
      <c r="JZ36" s="158" t="b">
        <v>0</v>
      </c>
      <c r="KA36" s="158" t="b">
        <v>0</v>
      </c>
      <c r="KB36" s="158" t="b">
        <v>0</v>
      </c>
      <c r="KC36" s="158" t="b">
        <v>0</v>
      </c>
      <c r="KD36" s="158" t="b">
        <v>0</v>
      </c>
      <c r="KE36" s="158" t="b">
        <v>0</v>
      </c>
      <c r="KF36" s="158" t="b">
        <v>0</v>
      </c>
      <c r="KG36" s="158" t="b">
        <v>0</v>
      </c>
      <c r="KH36" s="158" t="b">
        <v>0</v>
      </c>
      <c r="KI36" s="158" t="b">
        <v>0</v>
      </c>
      <c r="KJ36" s="158" t="b">
        <v>0</v>
      </c>
      <c r="KK36" s="158" t="b">
        <v>0</v>
      </c>
      <c r="KL36" s="158" t="b">
        <v>0</v>
      </c>
      <c r="KM36" s="158" t="b">
        <v>0</v>
      </c>
      <c r="KN36" s="158" t="b">
        <v>0</v>
      </c>
      <c r="KO36" s="158" t="b">
        <v>0</v>
      </c>
      <c r="KP36" s="158" t="b">
        <v>0</v>
      </c>
      <c r="KQ36" s="158" t="b">
        <v>0</v>
      </c>
      <c r="KR36" s="158" t="b">
        <v>0</v>
      </c>
      <c r="KS36" s="158" t="b">
        <v>0</v>
      </c>
      <c r="KT36" s="158" t="b">
        <v>0</v>
      </c>
      <c r="KU36" s="158" t="b">
        <v>0</v>
      </c>
      <c r="KV36" s="158" t="b">
        <v>0</v>
      </c>
      <c r="KW36" s="158" t="b">
        <v>0</v>
      </c>
      <c r="KX36" s="158" t="b">
        <v>0</v>
      </c>
      <c r="KY36" s="158" t="b">
        <v>0</v>
      </c>
      <c r="KZ36" s="158" t="b">
        <v>0</v>
      </c>
      <c r="LA36" s="158" t="b">
        <v>0</v>
      </c>
      <c r="LB36" s="158" t="b">
        <v>0</v>
      </c>
      <c r="LC36" s="158" t="b">
        <v>0</v>
      </c>
      <c r="LD36" s="158" t="b">
        <v>0</v>
      </c>
      <c r="LE36" s="158" t="b">
        <v>0</v>
      </c>
      <c r="LF36" s="158" t="b">
        <v>0</v>
      </c>
      <c r="LG36" s="158" t="b">
        <v>0</v>
      </c>
      <c r="LH36" s="158" t="b">
        <v>0</v>
      </c>
      <c r="LI36" s="158" t="b">
        <v>0</v>
      </c>
      <c r="LJ36" s="158" t="b">
        <v>0</v>
      </c>
      <c r="LK36" s="158" t="b">
        <v>0</v>
      </c>
      <c r="LL36" s="158" t="b">
        <v>0</v>
      </c>
      <c r="LM36" s="158" t="b">
        <v>0</v>
      </c>
      <c r="LN36" s="158" t="b">
        <v>0</v>
      </c>
      <c r="LO36" s="158" t="b">
        <v>0</v>
      </c>
      <c r="LP36" s="158" t="b">
        <v>0</v>
      </c>
      <c r="LQ36" s="158" t="b">
        <v>0</v>
      </c>
      <c r="LR36" s="158" t="b">
        <v>0</v>
      </c>
      <c r="LS36" s="158" t="b">
        <v>0</v>
      </c>
      <c r="LT36" s="158" t="b">
        <v>0</v>
      </c>
      <c r="LU36" s="158" t="b">
        <v>0</v>
      </c>
      <c r="LV36" s="158" t="b">
        <v>0</v>
      </c>
      <c r="LW36" s="158" t="b">
        <v>0</v>
      </c>
      <c r="LX36" s="158" t="b">
        <v>0</v>
      </c>
      <c r="LY36" s="158" t="b">
        <v>0</v>
      </c>
      <c r="LZ36" s="158" t="b">
        <v>0</v>
      </c>
      <c r="MA36" s="158" t="b">
        <v>0</v>
      </c>
      <c r="MB36" s="158" t="b">
        <v>0</v>
      </c>
      <c r="MC36" s="158" t="b">
        <v>0</v>
      </c>
      <c r="MD36" s="158" t="b">
        <v>0</v>
      </c>
      <c r="ME36" s="158" t="b">
        <v>0</v>
      </c>
      <c r="MF36" s="158" t="b">
        <v>0</v>
      </c>
      <c r="MG36" s="158" t="b">
        <v>0</v>
      </c>
      <c r="MH36" s="158" t="b">
        <v>0</v>
      </c>
      <c r="MI36" s="158" t="b">
        <v>0</v>
      </c>
      <c r="MJ36" s="158" t="b">
        <v>0</v>
      </c>
      <c r="MK36" s="158" t="b">
        <v>0</v>
      </c>
      <c r="ML36" s="158" t="b">
        <v>0</v>
      </c>
      <c r="MM36" s="158" t="b">
        <v>0</v>
      </c>
      <c r="MN36" s="158" t="b">
        <v>0</v>
      </c>
      <c r="MO36" s="158" t="b">
        <v>0</v>
      </c>
      <c r="MP36" s="158" t="b">
        <v>0</v>
      </c>
      <c r="MQ36" s="158" t="b">
        <v>0</v>
      </c>
      <c r="MR36" s="158" t="b">
        <v>0</v>
      </c>
      <c r="MS36" s="158" t="b">
        <v>0</v>
      </c>
      <c r="MT36" s="158" t="b">
        <v>0</v>
      </c>
      <c r="MU36" s="158" t="b">
        <v>0</v>
      </c>
      <c r="MV36" s="158" t="b">
        <v>0</v>
      </c>
      <c r="MW36" s="158" t="b">
        <v>0</v>
      </c>
      <c r="MX36" s="158" t="b">
        <v>0</v>
      </c>
      <c r="MY36" s="158" t="b">
        <v>0</v>
      </c>
      <c r="MZ36" s="158" t="b">
        <v>0</v>
      </c>
      <c r="NA36" s="158" t="b">
        <v>0</v>
      </c>
      <c r="NB36" s="158" t="b">
        <v>0</v>
      </c>
      <c r="NC36" s="158" t="b">
        <v>0</v>
      </c>
      <c r="ND36" s="158" t="b">
        <v>0</v>
      </c>
      <c r="NE36" s="158" t="b">
        <v>0</v>
      </c>
      <c r="NF36" s="158" t="b">
        <v>0</v>
      </c>
      <c r="NG36" s="158" t="b">
        <v>0</v>
      </c>
      <c r="NH36" s="158" t="b">
        <v>0</v>
      </c>
      <c r="NI36" s="158" t="b">
        <v>0</v>
      </c>
      <c r="NJ36" s="158" t="b">
        <v>0</v>
      </c>
      <c r="NK36" s="158" t="b">
        <v>0</v>
      </c>
      <c r="NL36" s="158" t="b">
        <v>0</v>
      </c>
      <c r="NM36" s="158" t="b">
        <v>0</v>
      </c>
      <c r="NN36" s="158" t="b">
        <v>0</v>
      </c>
      <c r="NO36" s="158" t="b">
        <v>0</v>
      </c>
    </row>
    <row r="37" spans="1:379" ht="29.25" x14ac:dyDescent="0.4">
      <c r="A37" s="511" t="str">
        <v>Pick'n'Mix</v>
      </c>
      <c r="B37" s="158" t="b">
        <v>0</v>
      </c>
      <c r="C37" s="158" t="b">
        <v>0</v>
      </c>
      <c r="D37" s="158" t="b">
        <v>0</v>
      </c>
      <c r="E37" s="158" t="b">
        <v>0</v>
      </c>
      <c r="F37" s="158" t="b">
        <v>0</v>
      </c>
      <c r="G37" s="158" t="b">
        <v>0</v>
      </c>
      <c r="H37" s="158" t="b">
        <v>0</v>
      </c>
      <c r="I37" s="158" t="b">
        <v>0</v>
      </c>
      <c r="J37" s="158" t="b">
        <v>0</v>
      </c>
      <c r="K37" s="158" t="b">
        <v>0</v>
      </c>
      <c r="L37" s="158" t="b">
        <v>0</v>
      </c>
      <c r="M37" s="158" t="b">
        <v>0</v>
      </c>
      <c r="N37" s="158" t="b">
        <v>0</v>
      </c>
      <c r="O37" s="158" t="b">
        <v>0</v>
      </c>
      <c r="P37" s="158" t="b">
        <v>0</v>
      </c>
      <c r="Q37" s="158" t="b">
        <v>0</v>
      </c>
      <c r="R37" s="93" t="b">
        <v>0</v>
      </c>
      <c r="S37" s="158" t="b">
        <v>0</v>
      </c>
      <c r="T37" s="158" t="b">
        <v>0</v>
      </c>
      <c r="U37" s="158" t="b">
        <v>0</v>
      </c>
      <c r="V37" s="158" t="b">
        <v>0</v>
      </c>
      <c r="W37" s="158" t="b">
        <v>0</v>
      </c>
      <c r="X37" s="158" t="b">
        <v>0</v>
      </c>
      <c r="Y37" s="158" t="b">
        <v>0</v>
      </c>
      <c r="Z37" s="158" t="b">
        <v>0</v>
      </c>
      <c r="AA37" s="158" t="b">
        <v>0</v>
      </c>
      <c r="AB37" s="158" t="b">
        <v>0</v>
      </c>
      <c r="AC37" s="158" t="b">
        <v>0</v>
      </c>
      <c r="AD37" s="158" t="b">
        <v>0</v>
      </c>
      <c r="AE37" s="158" t="b">
        <v>0</v>
      </c>
      <c r="AF37" s="158" t="b">
        <v>0</v>
      </c>
      <c r="AG37" s="158" t="b">
        <v>0</v>
      </c>
      <c r="AH37" s="158" t="b">
        <v>0</v>
      </c>
      <c r="AI37" s="158" t="b">
        <v>0</v>
      </c>
      <c r="AJ37" s="158" t="b">
        <v>0</v>
      </c>
      <c r="AK37" s="158" t="b">
        <v>0</v>
      </c>
      <c r="AL37" s="158" t="b">
        <v>0</v>
      </c>
      <c r="AM37" s="158" t="b">
        <v>0</v>
      </c>
      <c r="AN37" s="158" t="b">
        <v>0</v>
      </c>
      <c r="AO37" s="158" t="b">
        <v>0</v>
      </c>
      <c r="AP37" s="158" t="b">
        <v>0</v>
      </c>
      <c r="AQ37" s="158" t="b">
        <v>0</v>
      </c>
      <c r="AR37" s="158" t="b">
        <v>0</v>
      </c>
      <c r="AS37" s="158" t="b">
        <v>0</v>
      </c>
      <c r="AT37" s="158" t="b">
        <v>0</v>
      </c>
      <c r="AU37" s="158" t="b">
        <v>0</v>
      </c>
      <c r="AV37" s="158" t="b">
        <v>0</v>
      </c>
      <c r="AW37" s="158" t="b">
        <v>0</v>
      </c>
      <c r="AX37" s="158" t="b">
        <v>0</v>
      </c>
      <c r="AY37" s="158" t="b">
        <v>0</v>
      </c>
      <c r="AZ37" s="158" t="b">
        <v>0</v>
      </c>
      <c r="BA37" s="158" t="b">
        <v>0</v>
      </c>
      <c r="BB37" s="158" t="b">
        <v>0</v>
      </c>
      <c r="BC37" s="158" t="b">
        <v>0</v>
      </c>
      <c r="BD37" s="158" t="b">
        <v>0</v>
      </c>
      <c r="BE37" s="158" t="b">
        <v>0</v>
      </c>
      <c r="BF37" s="158" t="b">
        <v>0</v>
      </c>
      <c r="BG37" s="158" t="b">
        <v>0</v>
      </c>
      <c r="BH37" s="158" t="b">
        <v>0</v>
      </c>
      <c r="BI37" s="158" t="b">
        <v>0</v>
      </c>
      <c r="BJ37" s="158" t="b">
        <v>0</v>
      </c>
      <c r="BK37" s="158" t="b">
        <v>0</v>
      </c>
      <c r="BL37" s="158" t="b">
        <v>0</v>
      </c>
      <c r="BM37" s="158" t="b">
        <v>0</v>
      </c>
      <c r="BN37" s="158" t="b">
        <v>0</v>
      </c>
      <c r="BO37" s="158" t="b">
        <v>0</v>
      </c>
      <c r="BP37" s="158" t="b">
        <v>0</v>
      </c>
      <c r="BQ37" s="158" t="b">
        <v>0</v>
      </c>
      <c r="BR37" s="158" t="b">
        <v>0</v>
      </c>
      <c r="BS37" s="158" t="b">
        <v>0</v>
      </c>
      <c r="BT37" s="158" t="b">
        <v>0</v>
      </c>
      <c r="BU37" s="158" t="b">
        <v>0</v>
      </c>
      <c r="BV37" s="158" t="b">
        <v>0</v>
      </c>
      <c r="BW37" s="158" t="b">
        <v>0</v>
      </c>
      <c r="BX37" s="158" t="b">
        <v>0</v>
      </c>
      <c r="BY37" s="158" t="b">
        <v>0</v>
      </c>
      <c r="BZ37" s="158" t="b">
        <v>0</v>
      </c>
      <c r="CA37" s="158" t="b">
        <v>0</v>
      </c>
      <c r="CB37" s="158" t="b">
        <v>0</v>
      </c>
      <c r="CC37" s="158" t="b">
        <v>0</v>
      </c>
      <c r="CD37" s="158" t="b">
        <v>0</v>
      </c>
      <c r="CE37" s="158" t="b">
        <v>0</v>
      </c>
      <c r="CF37" s="158" t="b">
        <v>0</v>
      </c>
      <c r="CG37" s="158" t="b">
        <v>0</v>
      </c>
      <c r="CH37" s="158" t="b">
        <v>0</v>
      </c>
      <c r="CI37" s="158" t="b">
        <v>0</v>
      </c>
      <c r="CJ37" s="158" t="b">
        <v>0</v>
      </c>
      <c r="CK37" s="158" t="b">
        <v>0</v>
      </c>
      <c r="CL37" s="158" t="b">
        <v>0</v>
      </c>
      <c r="CM37" s="158" t="b">
        <v>0</v>
      </c>
      <c r="CN37" s="158" t="b">
        <v>0</v>
      </c>
      <c r="CO37" s="158" t="b">
        <v>0</v>
      </c>
      <c r="CP37" s="158" t="b">
        <v>0</v>
      </c>
      <c r="CQ37" s="158" t="b">
        <v>0</v>
      </c>
      <c r="CR37" s="158" t="b">
        <v>0</v>
      </c>
      <c r="CS37" s="158" t="b">
        <v>0</v>
      </c>
      <c r="CT37" s="158" t="b">
        <v>0</v>
      </c>
      <c r="CU37" s="158" t="b">
        <v>0</v>
      </c>
      <c r="CV37" s="158" t="b">
        <v>0</v>
      </c>
      <c r="CW37" s="158" t="b">
        <v>0</v>
      </c>
      <c r="CX37" s="158" t="b">
        <v>0</v>
      </c>
      <c r="CY37" s="158" t="b">
        <v>0</v>
      </c>
      <c r="CZ37" s="158" t="b">
        <v>0</v>
      </c>
      <c r="DA37" s="158" t="b">
        <v>0</v>
      </c>
      <c r="DB37" s="158" t="b">
        <v>0</v>
      </c>
      <c r="DC37" s="158" t="b">
        <v>0</v>
      </c>
      <c r="DD37" s="158" t="b">
        <v>0</v>
      </c>
      <c r="DE37" s="158" t="b">
        <v>0</v>
      </c>
      <c r="DF37" s="158" t="b">
        <v>0</v>
      </c>
      <c r="DG37" s="158" t="b">
        <v>0</v>
      </c>
      <c r="DH37" s="158" t="b">
        <v>0</v>
      </c>
      <c r="DI37" s="158" t="b">
        <v>0</v>
      </c>
      <c r="DJ37" s="158" t="b">
        <v>0</v>
      </c>
      <c r="DK37" s="158" t="b">
        <v>0</v>
      </c>
      <c r="DL37" s="158" t="b">
        <v>0</v>
      </c>
      <c r="DM37" s="158" t="b">
        <v>0</v>
      </c>
      <c r="DN37" s="158" t="b">
        <v>0</v>
      </c>
      <c r="DO37" s="158" t="b">
        <v>0</v>
      </c>
      <c r="DP37" s="158" t="b">
        <v>0</v>
      </c>
      <c r="DQ37" s="158" t="b">
        <v>0</v>
      </c>
      <c r="DR37" s="158" t="b">
        <v>0</v>
      </c>
      <c r="DS37" s="158" t="b">
        <v>0</v>
      </c>
      <c r="DT37" s="158" t="b">
        <v>0</v>
      </c>
      <c r="DU37" s="158" t="b">
        <v>0</v>
      </c>
      <c r="DV37" s="158" t="b">
        <v>0</v>
      </c>
      <c r="DW37" s="158" t="b">
        <v>0</v>
      </c>
      <c r="DX37" s="158" t="b">
        <v>0</v>
      </c>
      <c r="DY37" s="158" t="b">
        <v>0</v>
      </c>
      <c r="DZ37" s="158" t="b">
        <v>0</v>
      </c>
      <c r="EA37" s="158" t="b">
        <v>0</v>
      </c>
      <c r="EB37" s="158" t="b">
        <v>0</v>
      </c>
      <c r="EC37" s="158" t="b">
        <v>0</v>
      </c>
      <c r="ED37" s="158" t="b">
        <v>0</v>
      </c>
      <c r="EE37" s="158" t="b">
        <v>0</v>
      </c>
      <c r="EF37" s="158" t="b">
        <v>0</v>
      </c>
      <c r="EG37" s="158" t="b">
        <v>0</v>
      </c>
      <c r="EH37" s="158" t="b">
        <v>0</v>
      </c>
      <c r="EI37" s="158" t="b">
        <v>0</v>
      </c>
      <c r="EJ37" s="158" t="b">
        <v>0</v>
      </c>
      <c r="EK37" s="158" t="b">
        <v>0</v>
      </c>
      <c r="EL37" s="158" t="b">
        <v>0</v>
      </c>
      <c r="EM37" s="158" t="b">
        <v>0</v>
      </c>
      <c r="EN37" s="158" t="b">
        <v>0</v>
      </c>
      <c r="EO37" s="158" t="b">
        <v>0</v>
      </c>
      <c r="EP37" s="158" t="b">
        <v>0</v>
      </c>
      <c r="EQ37" s="158" t="b">
        <v>0</v>
      </c>
      <c r="ER37" s="158" t="b">
        <v>0</v>
      </c>
      <c r="ES37" s="158" t="b">
        <v>0</v>
      </c>
      <c r="ET37" s="158" t="b">
        <v>0</v>
      </c>
      <c r="EU37" s="158" t="b">
        <v>0</v>
      </c>
      <c r="EV37" s="158" t="b">
        <v>0</v>
      </c>
      <c r="EW37" s="158" t="b">
        <v>0</v>
      </c>
      <c r="EX37" s="158" t="b">
        <v>0</v>
      </c>
      <c r="EY37" s="158" t="b">
        <v>0</v>
      </c>
      <c r="EZ37" s="158" t="b">
        <v>0</v>
      </c>
      <c r="FA37" s="158" t="b">
        <v>0</v>
      </c>
      <c r="FB37" s="158" t="b">
        <v>0</v>
      </c>
      <c r="FC37" s="158" t="b">
        <v>0</v>
      </c>
      <c r="FD37" s="158" t="b">
        <v>0</v>
      </c>
      <c r="FE37" s="158" t="b">
        <v>0</v>
      </c>
      <c r="FF37" s="158" t="b">
        <v>0</v>
      </c>
      <c r="FG37" s="158" t="b">
        <v>0</v>
      </c>
      <c r="FH37" s="158" t="b">
        <v>0</v>
      </c>
      <c r="FI37" s="158" t="b">
        <v>0</v>
      </c>
      <c r="FJ37" s="158" t="b">
        <v>0</v>
      </c>
      <c r="FK37" s="158" t="b">
        <v>0</v>
      </c>
      <c r="FL37" s="158" t="b">
        <v>0</v>
      </c>
      <c r="FM37" s="158" t="b">
        <v>0</v>
      </c>
      <c r="FN37" s="158" t="b">
        <v>0</v>
      </c>
      <c r="FO37" s="158" t="b">
        <v>0</v>
      </c>
      <c r="FP37" s="158" t="b">
        <v>0</v>
      </c>
      <c r="FQ37" s="158" t="b">
        <v>0</v>
      </c>
      <c r="FR37" s="158" t="b">
        <v>0</v>
      </c>
      <c r="FS37" s="158" t="b">
        <v>0</v>
      </c>
      <c r="FT37" s="158" t="b">
        <v>0</v>
      </c>
      <c r="FU37" s="158" t="b">
        <v>0</v>
      </c>
      <c r="FV37" s="158" t="b">
        <v>0</v>
      </c>
      <c r="FW37" s="158" t="b">
        <v>0</v>
      </c>
      <c r="FX37" s="158" t="b">
        <v>0</v>
      </c>
      <c r="FY37" s="158" t="b">
        <v>0</v>
      </c>
      <c r="FZ37" s="158" t="b">
        <v>0</v>
      </c>
      <c r="GA37" s="158" t="b">
        <v>0</v>
      </c>
      <c r="GB37" s="158" t="b">
        <v>0</v>
      </c>
      <c r="GC37" s="158" t="b">
        <v>0</v>
      </c>
      <c r="GD37" s="158" t="b">
        <v>0</v>
      </c>
      <c r="GE37" s="158" t="b">
        <v>0</v>
      </c>
      <c r="GF37" s="158" t="b">
        <v>0</v>
      </c>
      <c r="GG37" s="158" t="b">
        <v>0</v>
      </c>
      <c r="GH37" s="158" t="b">
        <v>0</v>
      </c>
      <c r="GI37" s="158" t="b">
        <v>0</v>
      </c>
      <c r="GJ37" s="158" t="b">
        <v>0</v>
      </c>
      <c r="GK37" s="158" t="b">
        <v>0</v>
      </c>
      <c r="GL37" s="158" t="b">
        <v>0</v>
      </c>
      <c r="GM37" s="158" t="b">
        <v>0</v>
      </c>
      <c r="GN37" s="158" t="b">
        <v>0</v>
      </c>
      <c r="GO37" s="158" t="b">
        <v>0</v>
      </c>
      <c r="GP37" s="158" t="b">
        <v>0</v>
      </c>
      <c r="GQ37" s="158" t="b">
        <v>0</v>
      </c>
      <c r="GR37" s="158" t="b">
        <v>0</v>
      </c>
      <c r="GS37" s="158" t="b">
        <v>0</v>
      </c>
      <c r="GT37" s="158" t="b">
        <v>0</v>
      </c>
      <c r="GU37" s="158" t="b">
        <v>0</v>
      </c>
      <c r="GV37" s="158" t="b">
        <v>0</v>
      </c>
      <c r="GW37" s="158" t="b">
        <v>0</v>
      </c>
      <c r="GX37" s="158" t="b">
        <v>0</v>
      </c>
      <c r="GY37" s="158" t="b">
        <v>0</v>
      </c>
      <c r="GZ37" s="158" t="b">
        <v>0</v>
      </c>
      <c r="HA37" s="158" t="b">
        <v>0</v>
      </c>
      <c r="HB37" s="158" t="b">
        <v>0</v>
      </c>
      <c r="HC37" s="158" t="b">
        <v>0</v>
      </c>
      <c r="HD37" s="158" t="b">
        <v>0</v>
      </c>
      <c r="HE37" s="158" t="b">
        <v>0</v>
      </c>
      <c r="HF37" s="158" t="b">
        <v>0</v>
      </c>
      <c r="HG37" s="158" t="b">
        <v>0</v>
      </c>
      <c r="HH37" s="158" t="b">
        <v>0</v>
      </c>
      <c r="HI37" s="158" t="b">
        <v>0</v>
      </c>
      <c r="HJ37" s="158" t="b">
        <v>0</v>
      </c>
      <c r="HK37" s="158" t="b">
        <v>0</v>
      </c>
      <c r="HL37" s="158" t="b">
        <v>0</v>
      </c>
      <c r="HM37" s="158" t="b">
        <v>0</v>
      </c>
      <c r="HN37" s="158" t="b">
        <v>0</v>
      </c>
      <c r="HO37" s="158" t="b">
        <v>0</v>
      </c>
      <c r="HP37" s="158" t="b">
        <v>0</v>
      </c>
      <c r="HQ37" s="158" t="b">
        <v>0</v>
      </c>
      <c r="HR37" s="158" t="b">
        <v>0</v>
      </c>
      <c r="HS37" s="158" t="b">
        <v>0</v>
      </c>
      <c r="HT37" s="158" t="b">
        <v>0</v>
      </c>
      <c r="HU37" s="158" t="b">
        <v>0</v>
      </c>
      <c r="HV37" s="158" t="b">
        <v>0</v>
      </c>
      <c r="HW37" s="158" t="b">
        <v>0</v>
      </c>
      <c r="HX37" s="158" t="b">
        <v>0</v>
      </c>
      <c r="HY37" s="158" t="b">
        <v>0</v>
      </c>
      <c r="HZ37" s="158" t="b">
        <v>0</v>
      </c>
      <c r="IA37" s="158" t="b">
        <v>0</v>
      </c>
      <c r="IB37" s="158" t="b">
        <v>0</v>
      </c>
      <c r="IC37" s="158" t="b">
        <v>0</v>
      </c>
      <c r="ID37" s="158" t="b">
        <v>0</v>
      </c>
      <c r="IE37" s="158" t="b">
        <v>0</v>
      </c>
      <c r="IF37" s="158" t="b">
        <v>0</v>
      </c>
      <c r="IG37" s="158" t="b">
        <v>0</v>
      </c>
      <c r="IH37" s="158" t="b">
        <v>0</v>
      </c>
      <c r="II37" s="158" t="b">
        <v>0</v>
      </c>
      <c r="IJ37" s="158" t="b">
        <v>0</v>
      </c>
      <c r="IK37" s="158" t="b">
        <v>0</v>
      </c>
      <c r="IL37" s="158" t="b">
        <v>0</v>
      </c>
      <c r="IM37" s="158" t="b">
        <v>0</v>
      </c>
      <c r="IN37" s="158" t="b">
        <v>0</v>
      </c>
      <c r="IO37" s="158" t="b">
        <v>0</v>
      </c>
      <c r="IP37" s="158" t="b">
        <v>0</v>
      </c>
      <c r="IQ37" s="158" t="b">
        <v>0</v>
      </c>
      <c r="IR37" s="158" t="b">
        <v>0</v>
      </c>
      <c r="IS37" s="158" t="b">
        <v>0</v>
      </c>
      <c r="IT37" s="158" t="b">
        <v>0</v>
      </c>
      <c r="IU37" s="158" t="b">
        <v>0</v>
      </c>
      <c r="IV37" s="158" t="b">
        <v>0</v>
      </c>
      <c r="IW37" s="158" t="b">
        <v>0</v>
      </c>
      <c r="IX37" s="158" t="b">
        <v>0</v>
      </c>
      <c r="IY37" s="158" t="b">
        <v>0</v>
      </c>
      <c r="IZ37" s="158" t="b">
        <v>0</v>
      </c>
      <c r="JA37" s="158" t="b">
        <v>0</v>
      </c>
      <c r="JB37" s="158" t="b">
        <v>0</v>
      </c>
      <c r="JC37" s="158" t="b">
        <v>0</v>
      </c>
      <c r="JD37" s="158" t="b">
        <v>0</v>
      </c>
      <c r="JE37" s="158" t="b">
        <v>0</v>
      </c>
      <c r="JF37" s="158" t="b">
        <v>0</v>
      </c>
      <c r="JG37" s="158" t="b">
        <v>0</v>
      </c>
      <c r="JH37" s="158" t="b">
        <v>0</v>
      </c>
      <c r="JI37" s="158" t="b">
        <v>0</v>
      </c>
      <c r="JJ37" s="158" t="b">
        <v>0</v>
      </c>
      <c r="JK37" s="158" t="b">
        <v>0</v>
      </c>
      <c r="JL37" s="158" t="b">
        <v>0</v>
      </c>
      <c r="JM37" s="158" t="b">
        <v>0</v>
      </c>
      <c r="JN37" s="158" t="b">
        <v>0</v>
      </c>
      <c r="JO37" s="158" t="b">
        <v>0</v>
      </c>
      <c r="JP37" s="158" t="b">
        <v>0</v>
      </c>
      <c r="JQ37" s="158" t="b">
        <v>0</v>
      </c>
      <c r="JR37" s="158" t="b">
        <v>0</v>
      </c>
      <c r="JS37" s="158" t="b">
        <v>0</v>
      </c>
      <c r="JT37" s="158" t="b">
        <v>0</v>
      </c>
      <c r="JU37" s="158" t="b">
        <v>0</v>
      </c>
      <c r="JV37" s="158" t="b">
        <v>0</v>
      </c>
      <c r="JW37" s="158" t="b">
        <v>0</v>
      </c>
      <c r="JX37" s="158" t="b">
        <v>0</v>
      </c>
      <c r="JY37" s="158" t="b">
        <v>0</v>
      </c>
      <c r="JZ37" s="158" t="b">
        <v>0</v>
      </c>
      <c r="KA37" s="158" t="b">
        <v>0</v>
      </c>
      <c r="KB37" s="158" t="b">
        <v>0</v>
      </c>
      <c r="KC37" s="158" t="b">
        <v>0</v>
      </c>
      <c r="KD37" s="158" t="b">
        <v>0</v>
      </c>
      <c r="KE37" s="158" t="b">
        <v>0</v>
      </c>
      <c r="KF37" s="158" t="b">
        <v>0</v>
      </c>
      <c r="KG37" s="158" t="b">
        <v>0</v>
      </c>
      <c r="KH37" s="158" t="b">
        <v>0</v>
      </c>
      <c r="KI37" s="158" t="b">
        <v>0</v>
      </c>
      <c r="KJ37" s="158" t="b">
        <v>0</v>
      </c>
      <c r="KK37" s="158" t="b">
        <v>0</v>
      </c>
      <c r="KL37" s="158" t="b">
        <v>0</v>
      </c>
      <c r="KM37" s="158" t="b">
        <v>0</v>
      </c>
      <c r="KN37" s="158" t="b">
        <v>0</v>
      </c>
      <c r="KO37" s="158" t="b">
        <v>0</v>
      </c>
      <c r="KP37" s="158" t="b">
        <v>0</v>
      </c>
      <c r="KQ37" s="158" t="b">
        <v>0</v>
      </c>
      <c r="KR37" s="158" t="b">
        <v>0</v>
      </c>
      <c r="KS37" s="158" t="b">
        <v>0</v>
      </c>
      <c r="KT37" s="158" t="b">
        <v>0</v>
      </c>
      <c r="KU37" s="158" t="b">
        <v>0</v>
      </c>
      <c r="KV37" s="158" t="b">
        <v>0</v>
      </c>
      <c r="KW37" s="158" t="b">
        <v>0</v>
      </c>
      <c r="KX37" s="158" t="b">
        <v>0</v>
      </c>
      <c r="KY37" s="158" t="b">
        <v>0</v>
      </c>
      <c r="KZ37" s="158" t="b">
        <v>0</v>
      </c>
      <c r="LA37" s="158" t="b">
        <v>0</v>
      </c>
      <c r="LB37" s="158" t="b">
        <v>0</v>
      </c>
      <c r="LC37" s="158" t="b">
        <v>0</v>
      </c>
      <c r="LD37" s="158" t="b">
        <v>0</v>
      </c>
      <c r="LE37" s="158" t="b">
        <v>0</v>
      </c>
      <c r="LF37" s="158" t="b">
        <v>0</v>
      </c>
      <c r="LG37" s="158" t="b">
        <v>0</v>
      </c>
      <c r="LH37" s="158" t="b">
        <v>0</v>
      </c>
      <c r="LI37" s="158" t="b">
        <v>0</v>
      </c>
      <c r="LJ37" s="158" t="b">
        <v>0</v>
      </c>
      <c r="LK37" s="158" t="b">
        <v>0</v>
      </c>
      <c r="LL37" s="158" t="b">
        <v>0</v>
      </c>
      <c r="LM37" s="158" t="b">
        <v>0</v>
      </c>
      <c r="LN37" s="158" t="b">
        <v>0</v>
      </c>
      <c r="LO37" s="158" t="b">
        <v>0</v>
      </c>
      <c r="LP37" s="158" t="b">
        <v>0</v>
      </c>
      <c r="LQ37" s="158" t="b">
        <v>0</v>
      </c>
      <c r="LR37" s="158" t="b">
        <v>0</v>
      </c>
      <c r="LS37" s="158" t="b">
        <v>0</v>
      </c>
      <c r="LT37" s="158" t="b">
        <v>0</v>
      </c>
      <c r="LU37" s="158" t="b">
        <v>0</v>
      </c>
      <c r="LV37" s="158" t="b">
        <v>0</v>
      </c>
      <c r="LW37" s="158" t="b">
        <v>0</v>
      </c>
      <c r="LX37" s="158" t="b">
        <v>0</v>
      </c>
      <c r="LY37" s="158" t="b">
        <v>0</v>
      </c>
      <c r="LZ37" s="158" t="b">
        <v>0</v>
      </c>
      <c r="MA37" s="158" t="b">
        <v>0</v>
      </c>
      <c r="MB37" s="158" t="b">
        <v>0</v>
      </c>
      <c r="MC37" s="158" t="b">
        <v>0</v>
      </c>
      <c r="MD37" s="158" t="b">
        <v>0</v>
      </c>
      <c r="ME37" s="158" t="b">
        <v>0</v>
      </c>
      <c r="MF37" s="158" t="b">
        <v>0</v>
      </c>
      <c r="MG37" s="158" t="b">
        <v>0</v>
      </c>
      <c r="MH37" s="158" t="b">
        <v>0</v>
      </c>
      <c r="MI37" s="158" t="b">
        <v>0</v>
      </c>
      <c r="MJ37" s="158" t="b">
        <v>0</v>
      </c>
      <c r="MK37" s="158" t="b">
        <v>0</v>
      </c>
      <c r="ML37" s="158" t="b">
        <v>0</v>
      </c>
      <c r="MM37" s="158" t="b">
        <v>0</v>
      </c>
      <c r="MN37" s="158" t="b">
        <v>0</v>
      </c>
      <c r="MO37" s="158" t="b">
        <v>0</v>
      </c>
      <c r="MP37" s="158" t="b">
        <v>0</v>
      </c>
      <c r="MQ37" s="158" t="b">
        <v>0</v>
      </c>
      <c r="MR37" s="158" t="b">
        <v>0</v>
      </c>
      <c r="MS37" s="158" t="b">
        <v>0</v>
      </c>
      <c r="MT37" s="158" t="b">
        <v>0</v>
      </c>
      <c r="MU37" s="158" t="b">
        <v>0</v>
      </c>
      <c r="MV37" s="158" t="b">
        <v>0</v>
      </c>
      <c r="MW37" s="158" t="b">
        <v>0</v>
      </c>
      <c r="MX37" s="158" t="b">
        <v>0</v>
      </c>
      <c r="MY37" s="158" t="b">
        <v>0</v>
      </c>
      <c r="MZ37" s="158" t="b">
        <v>0</v>
      </c>
      <c r="NA37" s="158" t="b">
        <v>0</v>
      </c>
      <c r="NB37" s="158" t="b">
        <v>0</v>
      </c>
      <c r="NC37" s="158" t="b">
        <v>0</v>
      </c>
      <c r="ND37" s="158" t="b">
        <v>0</v>
      </c>
      <c r="NE37" s="158" t="b">
        <v>0</v>
      </c>
      <c r="NF37" s="158" t="b">
        <v>0</v>
      </c>
      <c r="NG37" s="158" t="b">
        <v>0</v>
      </c>
      <c r="NH37" s="158" t="b">
        <v>0</v>
      </c>
      <c r="NI37" s="158" t="b">
        <v>0</v>
      </c>
      <c r="NJ37" s="158" t="b">
        <v>0</v>
      </c>
      <c r="NK37" s="158" t="b">
        <v>0</v>
      </c>
      <c r="NL37" s="158" t="b">
        <v>0</v>
      </c>
      <c r="NM37" s="158" t="b">
        <v>0</v>
      </c>
      <c r="NN37" s="158" t="b">
        <v>0</v>
      </c>
      <c r="NO37" s="158" t="b">
        <v>0</v>
      </c>
    </row>
    <row r="38" spans="1:379" ht="29.25" x14ac:dyDescent="0.4">
      <c r="A38" s="511" t="str">
        <v xml:space="preserve">The Village Kiosk 1 </v>
      </c>
      <c r="B38" s="158" t="b">
        <v>0</v>
      </c>
      <c r="C38" s="158" t="b">
        <v>0</v>
      </c>
      <c r="D38" s="158" t="b">
        <v>0</v>
      </c>
      <c r="E38" s="158" t="b">
        <v>0</v>
      </c>
      <c r="F38" s="158" t="b">
        <v>0</v>
      </c>
      <c r="G38" s="158" t="b">
        <v>0</v>
      </c>
      <c r="H38" s="158" t="b">
        <v>0</v>
      </c>
      <c r="I38" s="158" t="b">
        <v>0</v>
      </c>
      <c r="J38" s="158" t="b">
        <v>0</v>
      </c>
      <c r="K38" s="158" t="b">
        <v>0</v>
      </c>
      <c r="L38" s="158" t="b">
        <v>0</v>
      </c>
      <c r="M38" s="158" t="b">
        <v>0</v>
      </c>
      <c r="N38" s="158" t="b">
        <v>0</v>
      </c>
      <c r="O38" s="158" t="b">
        <v>0</v>
      </c>
      <c r="P38" s="158" t="b">
        <v>0</v>
      </c>
      <c r="Q38" s="158" t="b">
        <v>0</v>
      </c>
      <c r="R38" s="158" t="b">
        <v>0</v>
      </c>
      <c r="S38" s="158" t="b">
        <v>0</v>
      </c>
      <c r="T38" s="158" t="b">
        <v>0</v>
      </c>
      <c r="U38" s="158" t="b">
        <v>0</v>
      </c>
      <c r="V38" s="158" t="b">
        <v>0</v>
      </c>
      <c r="W38" s="158" t="b">
        <v>0</v>
      </c>
      <c r="X38" s="158" t="b">
        <v>0</v>
      </c>
      <c r="Y38" s="158" t="b">
        <v>0</v>
      </c>
      <c r="Z38" s="158" t="b">
        <v>0</v>
      </c>
      <c r="AA38" s="158" t="b">
        <v>0</v>
      </c>
      <c r="AB38" s="158" t="b">
        <v>0</v>
      </c>
      <c r="AC38" s="158" t="b">
        <v>0</v>
      </c>
      <c r="AD38" s="158" t="b">
        <v>0</v>
      </c>
      <c r="AE38" s="158" t="b">
        <v>0</v>
      </c>
      <c r="AF38" s="158" t="b">
        <v>0</v>
      </c>
      <c r="AG38" s="158" t="b">
        <v>0</v>
      </c>
      <c r="AH38" s="158" t="b">
        <v>0</v>
      </c>
      <c r="AI38" s="158" t="b">
        <v>0</v>
      </c>
      <c r="AJ38" s="158" t="b">
        <v>0</v>
      </c>
      <c r="AK38" s="158" t="b">
        <v>0</v>
      </c>
      <c r="AL38" s="158" t="b">
        <v>0</v>
      </c>
      <c r="AM38" s="158" t="b">
        <v>0</v>
      </c>
      <c r="AN38" s="158" t="b">
        <v>0</v>
      </c>
      <c r="AO38" s="158" t="b">
        <v>0</v>
      </c>
      <c r="AP38" s="158" t="b">
        <v>0</v>
      </c>
      <c r="AQ38" s="158" t="b">
        <v>0</v>
      </c>
      <c r="AR38" s="158" t="b">
        <v>0</v>
      </c>
      <c r="AS38" s="158" t="b">
        <v>0</v>
      </c>
      <c r="AT38" s="158" t="b">
        <v>0</v>
      </c>
      <c r="AU38" s="158" t="b">
        <v>0</v>
      </c>
      <c r="AV38" s="158" t="b">
        <v>0</v>
      </c>
      <c r="AW38" s="158" t="b">
        <v>0</v>
      </c>
      <c r="AX38" s="158" t="b">
        <v>0</v>
      </c>
      <c r="AY38" s="158" t="b">
        <v>0</v>
      </c>
      <c r="AZ38" s="158" t="b">
        <v>0</v>
      </c>
      <c r="BA38" s="158" t="b">
        <v>0</v>
      </c>
      <c r="BB38" s="158" t="b">
        <v>0</v>
      </c>
      <c r="BC38" s="158" t="b">
        <v>0</v>
      </c>
      <c r="BD38" s="158" t="b">
        <v>0</v>
      </c>
      <c r="BE38" s="158" t="b">
        <v>0</v>
      </c>
      <c r="BF38" s="158" t="b">
        <v>0</v>
      </c>
      <c r="BG38" s="158" t="b">
        <v>0</v>
      </c>
      <c r="BH38" s="158" t="b">
        <v>0</v>
      </c>
      <c r="BI38" s="158" t="b">
        <v>0</v>
      </c>
      <c r="BJ38" s="158" t="b">
        <v>0</v>
      </c>
      <c r="BK38" s="158" t="b">
        <v>0</v>
      </c>
      <c r="BL38" s="158" t="b">
        <v>0</v>
      </c>
      <c r="BM38" s="158" t="b">
        <v>0</v>
      </c>
      <c r="BN38" s="158" t="b">
        <v>0</v>
      </c>
      <c r="BO38" s="158" t="b">
        <v>0</v>
      </c>
      <c r="BP38" s="158" t="b">
        <v>0</v>
      </c>
      <c r="BQ38" s="158" t="b">
        <v>0</v>
      </c>
      <c r="BR38" s="158" t="b">
        <v>0</v>
      </c>
      <c r="BS38" s="158" t="b">
        <v>0</v>
      </c>
      <c r="BT38" s="158" t="b">
        <v>0</v>
      </c>
      <c r="BU38" s="158" t="b">
        <v>0</v>
      </c>
      <c r="BV38" s="158" t="b">
        <v>0</v>
      </c>
      <c r="BW38" s="158" t="b">
        <v>0</v>
      </c>
      <c r="BX38" s="158" t="b">
        <v>0</v>
      </c>
      <c r="BY38" s="158" t="b">
        <v>0</v>
      </c>
      <c r="BZ38" s="93" t="b">
        <v>1</v>
      </c>
      <c r="CA38" s="158" t="b">
        <v>0</v>
      </c>
      <c r="CB38" s="158" t="b">
        <v>0</v>
      </c>
      <c r="CC38" s="158" t="b">
        <v>0</v>
      </c>
      <c r="CD38" s="158" t="b">
        <v>0</v>
      </c>
      <c r="CE38" s="158" t="b">
        <v>0</v>
      </c>
      <c r="CF38" s="158" t="b">
        <v>0</v>
      </c>
      <c r="CG38" s="158" t="b">
        <v>0</v>
      </c>
      <c r="CH38" s="158" t="b">
        <v>0</v>
      </c>
      <c r="CI38" s="158" t="b">
        <v>0</v>
      </c>
      <c r="CJ38" s="158" t="b">
        <v>0</v>
      </c>
      <c r="CK38" s="158" t="b">
        <v>0</v>
      </c>
      <c r="CL38" s="158" t="b">
        <v>0</v>
      </c>
      <c r="CM38" s="158" t="b">
        <v>0</v>
      </c>
      <c r="CN38" s="158" t="b">
        <v>0</v>
      </c>
      <c r="CO38" s="158" t="b">
        <v>0</v>
      </c>
      <c r="CP38" s="158" t="b">
        <v>0</v>
      </c>
      <c r="CQ38" s="158" t="b">
        <v>0</v>
      </c>
      <c r="CR38" s="158" t="b">
        <v>0</v>
      </c>
      <c r="CS38" s="158" t="b">
        <v>0</v>
      </c>
      <c r="CT38" s="158" t="b">
        <v>0</v>
      </c>
      <c r="CU38" s="93" t="b">
        <v>1</v>
      </c>
      <c r="CV38" s="158" t="b">
        <v>0</v>
      </c>
      <c r="CW38" s="158" t="b">
        <v>0</v>
      </c>
      <c r="CX38" s="158" t="b">
        <v>0</v>
      </c>
      <c r="CY38" s="158" t="b">
        <v>0</v>
      </c>
      <c r="CZ38" s="158" t="b">
        <v>0</v>
      </c>
      <c r="DA38" s="158" t="b">
        <v>0</v>
      </c>
      <c r="DB38" s="158" t="b">
        <v>0</v>
      </c>
      <c r="DC38" s="158" t="b">
        <v>0</v>
      </c>
      <c r="DD38" s="158" t="b">
        <v>0</v>
      </c>
      <c r="DE38" s="158" t="b">
        <v>0</v>
      </c>
      <c r="DF38" s="158" t="b">
        <v>0</v>
      </c>
      <c r="DG38" s="158" t="b">
        <v>0</v>
      </c>
      <c r="DH38" s="158" t="b">
        <v>0</v>
      </c>
      <c r="DI38" s="158" t="b">
        <v>0</v>
      </c>
      <c r="DJ38" s="158" t="b">
        <v>0</v>
      </c>
      <c r="DK38" s="158" t="b">
        <v>0</v>
      </c>
      <c r="DL38" s="158" t="b">
        <v>0</v>
      </c>
      <c r="DM38" s="158" t="b">
        <v>0</v>
      </c>
      <c r="DN38" s="158" t="b">
        <v>0</v>
      </c>
      <c r="DO38" s="158" t="b">
        <v>0</v>
      </c>
      <c r="DP38" s="158" t="b">
        <v>0</v>
      </c>
      <c r="DQ38" s="158" t="b">
        <v>0</v>
      </c>
      <c r="DR38" s="93" t="b">
        <v>1</v>
      </c>
      <c r="DS38" s="93" t="b">
        <v>1</v>
      </c>
      <c r="DT38" s="93" t="b">
        <v>1</v>
      </c>
      <c r="DU38" s="93" t="b">
        <v>1</v>
      </c>
      <c r="DV38" s="93" t="b">
        <v>1</v>
      </c>
      <c r="DW38" s="158" t="b">
        <v>0</v>
      </c>
      <c r="DX38" s="158" t="b">
        <v>0</v>
      </c>
      <c r="DY38" s="158" t="b">
        <v>0</v>
      </c>
      <c r="DZ38" s="158" t="b">
        <v>0</v>
      </c>
      <c r="EA38" s="158" t="b">
        <v>0</v>
      </c>
      <c r="EB38" s="158" t="b">
        <v>0</v>
      </c>
      <c r="EC38" s="93" t="b">
        <v>1</v>
      </c>
      <c r="ED38" s="158" t="b">
        <v>0</v>
      </c>
      <c r="EE38" s="158" t="b">
        <v>0</v>
      </c>
      <c r="EF38" s="158" t="b">
        <v>0</v>
      </c>
      <c r="EG38" s="158" t="b">
        <v>0</v>
      </c>
      <c r="EH38" s="158" t="b">
        <v>0</v>
      </c>
      <c r="EI38" s="158" t="b">
        <v>0</v>
      </c>
      <c r="EJ38" s="158" t="b">
        <v>0</v>
      </c>
      <c r="EK38" s="158" t="b">
        <v>0</v>
      </c>
      <c r="EL38" s="158" t="b">
        <v>0</v>
      </c>
      <c r="EM38" s="158" t="b">
        <v>0</v>
      </c>
      <c r="EN38" s="158" t="b">
        <v>0</v>
      </c>
      <c r="EO38" s="158" t="b">
        <v>0</v>
      </c>
      <c r="EP38" s="158" t="b">
        <v>0</v>
      </c>
      <c r="EQ38" s="158" t="b">
        <v>0</v>
      </c>
      <c r="ER38" s="158" t="b">
        <v>0</v>
      </c>
      <c r="ES38" s="158" t="b">
        <v>0</v>
      </c>
      <c r="ET38" s="158" t="b">
        <v>0</v>
      </c>
      <c r="EU38" s="158" t="b">
        <v>0</v>
      </c>
      <c r="EV38" s="158" t="b">
        <v>0</v>
      </c>
      <c r="EW38" s="93" t="b">
        <v>1</v>
      </c>
      <c r="EX38" s="158" t="b">
        <v>0</v>
      </c>
      <c r="EY38" s="158" t="b">
        <v>0</v>
      </c>
      <c r="EZ38" s="158" t="b">
        <v>0</v>
      </c>
      <c r="FA38" s="158" t="b">
        <v>0</v>
      </c>
      <c r="FB38" s="158" t="b">
        <v>0</v>
      </c>
      <c r="FC38" s="158" t="b">
        <v>0</v>
      </c>
      <c r="FD38" s="158" t="b">
        <v>0</v>
      </c>
      <c r="FE38" s="158" t="b">
        <v>0</v>
      </c>
      <c r="FF38" s="158" t="b">
        <v>0</v>
      </c>
      <c r="FG38" s="158" t="b">
        <v>0</v>
      </c>
      <c r="FH38" s="158" t="b">
        <v>0</v>
      </c>
      <c r="FI38" s="158" t="b">
        <v>0</v>
      </c>
      <c r="FJ38" s="158" t="b">
        <v>0</v>
      </c>
      <c r="FK38" s="158" t="b">
        <v>0</v>
      </c>
      <c r="FL38" s="158" t="b">
        <v>0</v>
      </c>
      <c r="FM38" s="158" t="b">
        <v>0</v>
      </c>
      <c r="FN38" s="158" t="b">
        <v>0</v>
      </c>
      <c r="FO38" s="158" t="b">
        <v>0</v>
      </c>
      <c r="FP38" s="158" t="b">
        <v>0</v>
      </c>
      <c r="FQ38" s="158" t="b">
        <v>0</v>
      </c>
      <c r="FR38" s="158" t="b">
        <v>0</v>
      </c>
      <c r="FS38" s="158" t="b">
        <v>0</v>
      </c>
      <c r="FT38" s="93" t="b">
        <v>1</v>
      </c>
      <c r="FU38" s="158" t="b">
        <v>0</v>
      </c>
      <c r="FV38" s="158" t="b">
        <v>0</v>
      </c>
      <c r="FW38" s="158" t="b">
        <v>0</v>
      </c>
      <c r="FX38" s="158" t="b">
        <v>0</v>
      </c>
      <c r="FY38" s="158" t="b">
        <v>0</v>
      </c>
      <c r="FZ38" s="158" t="b">
        <v>0</v>
      </c>
      <c r="GA38" s="158" t="b">
        <v>0</v>
      </c>
      <c r="GB38" s="158" t="b">
        <v>0</v>
      </c>
      <c r="GC38" s="158" t="b">
        <v>0</v>
      </c>
      <c r="GD38" s="158" t="b">
        <v>0</v>
      </c>
      <c r="GE38" s="158" t="b">
        <v>0</v>
      </c>
      <c r="GF38" s="158" t="b">
        <v>0</v>
      </c>
      <c r="GG38" s="158" t="b">
        <v>0</v>
      </c>
      <c r="GH38" s="158" t="b">
        <v>0</v>
      </c>
      <c r="GI38" s="158" t="b">
        <v>0</v>
      </c>
      <c r="GJ38" s="158" t="b">
        <v>0</v>
      </c>
      <c r="GK38" s="158" t="b">
        <v>0</v>
      </c>
      <c r="GL38" s="158" t="b">
        <v>0</v>
      </c>
      <c r="GM38" s="158" t="b">
        <v>0</v>
      </c>
      <c r="GN38" s="158" t="b">
        <v>0</v>
      </c>
      <c r="GO38" s="158" t="b">
        <v>0</v>
      </c>
      <c r="GP38" s="158" t="b">
        <v>0</v>
      </c>
      <c r="GQ38" s="158" t="b">
        <v>0</v>
      </c>
      <c r="GR38" s="158" t="b">
        <v>0</v>
      </c>
      <c r="GS38" s="158" t="b">
        <v>0</v>
      </c>
      <c r="GT38" s="158" t="b">
        <v>0</v>
      </c>
      <c r="GU38" s="158" t="b">
        <v>0</v>
      </c>
      <c r="GV38" s="158" t="b">
        <v>0</v>
      </c>
      <c r="GW38" s="158" t="b">
        <v>0</v>
      </c>
      <c r="GX38" s="158" t="b">
        <v>0</v>
      </c>
      <c r="GY38" s="158" t="b">
        <v>0</v>
      </c>
      <c r="GZ38" s="158" t="b">
        <v>0</v>
      </c>
      <c r="HA38" s="158" t="b">
        <v>0</v>
      </c>
      <c r="HB38" s="158" t="b">
        <v>0</v>
      </c>
      <c r="HC38" s="158" t="b">
        <v>0</v>
      </c>
      <c r="HD38" s="158" t="b">
        <v>0</v>
      </c>
      <c r="HE38" s="158" t="b">
        <v>0</v>
      </c>
      <c r="HF38" s="158" t="b">
        <v>0</v>
      </c>
      <c r="HG38" s="158" t="b">
        <v>0</v>
      </c>
      <c r="HH38" s="158" t="b">
        <v>0</v>
      </c>
      <c r="HI38" s="158" t="b">
        <v>0</v>
      </c>
      <c r="HJ38" s="158" t="b">
        <v>0</v>
      </c>
      <c r="HK38" s="158" t="b">
        <v>0</v>
      </c>
      <c r="HL38" s="158" t="b">
        <v>0</v>
      </c>
      <c r="HM38" s="158" t="b">
        <v>0</v>
      </c>
      <c r="HN38" s="158" t="b">
        <v>0</v>
      </c>
      <c r="HO38" s="158" t="b">
        <v>0</v>
      </c>
      <c r="HP38" s="158" t="b">
        <v>0</v>
      </c>
      <c r="HQ38" s="158" t="b">
        <v>0</v>
      </c>
      <c r="HR38" s="158" t="b">
        <v>0</v>
      </c>
      <c r="HS38" s="158" t="b">
        <v>0</v>
      </c>
      <c r="HT38" s="158" t="b">
        <v>0</v>
      </c>
      <c r="HU38" s="158" t="b">
        <v>0</v>
      </c>
      <c r="HV38" s="158" t="b">
        <v>0</v>
      </c>
      <c r="HW38" s="158" t="b">
        <v>0</v>
      </c>
      <c r="HX38" s="158" t="b">
        <v>0</v>
      </c>
      <c r="HY38" s="158" t="b">
        <v>0</v>
      </c>
      <c r="HZ38" s="158" t="b">
        <v>0</v>
      </c>
      <c r="IA38" s="158" t="b">
        <v>0</v>
      </c>
      <c r="IB38" s="158" t="b">
        <v>0</v>
      </c>
      <c r="IC38" s="158" t="b">
        <v>0</v>
      </c>
      <c r="ID38" s="158" t="b">
        <v>0</v>
      </c>
      <c r="IE38" s="158" t="b">
        <v>0</v>
      </c>
      <c r="IF38" s="158" t="b">
        <v>0</v>
      </c>
      <c r="IG38" s="158" t="b">
        <v>0</v>
      </c>
      <c r="IH38" s="158" t="b">
        <v>0</v>
      </c>
      <c r="II38" s="158" t="b">
        <v>0</v>
      </c>
      <c r="IJ38" s="158" t="b">
        <v>0</v>
      </c>
      <c r="IK38" s="158" t="b">
        <v>0</v>
      </c>
      <c r="IL38" s="158" t="b">
        <v>0</v>
      </c>
      <c r="IM38" s="158" t="b">
        <v>0</v>
      </c>
      <c r="IN38" s="158" t="b">
        <v>0</v>
      </c>
      <c r="IO38" s="158" t="b">
        <v>0</v>
      </c>
      <c r="IP38" s="158" t="b">
        <v>0</v>
      </c>
      <c r="IQ38" s="158" t="b">
        <v>0</v>
      </c>
      <c r="IR38" s="158" t="b">
        <v>0</v>
      </c>
      <c r="IS38" s="158" t="b">
        <v>0</v>
      </c>
      <c r="IT38" s="158" t="b">
        <v>0</v>
      </c>
      <c r="IU38" s="158" t="b">
        <v>0</v>
      </c>
      <c r="IV38" s="158" t="b">
        <v>0</v>
      </c>
      <c r="IW38" s="158" t="b">
        <v>0</v>
      </c>
      <c r="IX38" s="158" t="b">
        <v>0</v>
      </c>
      <c r="IY38" s="158" t="b">
        <v>0</v>
      </c>
      <c r="IZ38" s="158" t="b">
        <v>0</v>
      </c>
      <c r="JA38" s="158" t="b">
        <v>0</v>
      </c>
      <c r="JB38" s="158" t="b">
        <v>0</v>
      </c>
      <c r="JC38" s="158" t="b">
        <v>0</v>
      </c>
      <c r="JD38" s="158" t="b">
        <v>0</v>
      </c>
      <c r="JE38" s="158" t="b">
        <v>0</v>
      </c>
      <c r="JF38" s="158" t="b">
        <v>0</v>
      </c>
      <c r="JG38" s="158" t="b">
        <v>0</v>
      </c>
      <c r="JH38" s="158" t="b">
        <v>0</v>
      </c>
      <c r="JI38" s="158" t="b">
        <v>0</v>
      </c>
      <c r="JJ38" s="158" t="b">
        <v>0</v>
      </c>
      <c r="JK38" s="158" t="b">
        <v>0</v>
      </c>
      <c r="JL38" s="158" t="b">
        <v>0</v>
      </c>
      <c r="JM38" s="158" t="b">
        <v>0</v>
      </c>
      <c r="JN38" s="158" t="b">
        <v>0</v>
      </c>
      <c r="JO38" s="158" t="b">
        <v>0</v>
      </c>
      <c r="JP38" s="158" t="b">
        <v>0</v>
      </c>
      <c r="JQ38" s="158" t="b">
        <v>0</v>
      </c>
      <c r="JR38" s="158" t="b">
        <v>0</v>
      </c>
      <c r="JS38" s="158" t="b">
        <v>0</v>
      </c>
      <c r="JT38" s="158" t="b">
        <v>0</v>
      </c>
      <c r="JU38" s="158" t="b">
        <v>0</v>
      </c>
      <c r="JV38" s="158" t="b">
        <v>0</v>
      </c>
      <c r="JW38" s="158" t="b">
        <v>0</v>
      </c>
      <c r="JX38" s="158" t="b">
        <v>0</v>
      </c>
      <c r="JY38" s="158" t="b">
        <v>0</v>
      </c>
      <c r="JZ38" s="158" t="b">
        <v>0</v>
      </c>
      <c r="KA38" s="158" t="b">
        <v>0</v>
      </c>
      <c r="KB38" s="158" t="b">
        <v>0</v>
      </c>
      <c r="KC38" s="158" t="b">
        <v>0</v>
      </c>
      <c r="KD38" s="158" t="b">
        <v>0</v>
      </c>
      <c r="KE38" s="158" t="b">
        <v>0</v>
      </c>
      <c r="KF38" s="158" t="b">
        <v>0</v>
      </c>
      <c r="KG38" s="158" t="b">
        <v>0</v>
      </c>
      <c r="KH38" s="158" t="b">
        <v>0</v>
      </c>
      <c r="KI38" s="158" t="b">
        <v>0</v>
      </c>
      <c r="KJ38" s="158" t="b">
        <v>0</v>
      </c>
      <c r="KK38" s="158" t="b">
        <v>0</v>
      </c>
      <c r="KL38" s="158" t="b">
        <v>0</v>
      </c>
      <c r="KM38" s="158" t="b">
        <v>0</v>
      </c>
      <c r="KN38" s="158" t="b">
        <v>0</v>
      </c>
      <c r="KO38" s="158" t="b">
        <v>0</v>
      </c>
      <c r="KP38" s="158" t="b">
        <v>0</v>
      </c>
      <c r="KQ38" s="158" t="b">
        <v>0</v>
      </c>
      <c r="KR38" s="158" t="b">
        <v>0</v>
      </c>
      <c r="KS38" s="158" t="b">
        <v>0</v>
      </c>
      <c r="KT38" s="158" t="b">
        <v>0</v>
      </c>
      <c r="KU38" s="158" t="b">
        <v>0</v>
      </c>
      <c r="KV38" s="158" t="b">
        <v>0</v>
      </c>
      <c r="KW38" s="158" t="b">
        <v>0</v>
      </c>
      <c r="KX38" s="158" t="b">
        <v>0</v>
      </c>
      <c r="KY38" s="158" t="b">
        <v>0</v>
      </c>
      <c r="KZ38" s="158" t="b">
        <v>0</v>
      </c>
      <c r="LA38" s="158" t="b">
        <v>0</v>
      </c>
      <c r="LB38" s="158" t="b">
        <v>0</v>
      </c>
      <c r="LC38" s="158" t="b">
        <v>0</v>
      </c>
      <c r="LD38" s="158" t="b">
        <v>0</v>
      </c>
      <c r="LE38" s="158" t="b">
        <v>0</v>
      </c>
      <c r="LF38" s="158" t="b">
        <v>0</v>
      </c>
      <c r="LG38" s="158" t="b">
        <v>0</v>
      </c>
      <c r="LH38" s="158" t="b">
        <v>0</v>
      </c>
      <c r="LI38" s="158" t="b">
        <v>0</v>
      </c>
      <c r="LJ38" s="158" t="b">
        <v>0</v>
      </c>
      <c r="LK38" s="158" t="b">
        <v>0</v>
      </c>
      <c r="LL38" s="158" t="b">
        <v>0</v>
      </c>
      <c r="LM38" s="158" t="b">
        <v>0</v>
      </c>
      <c r="LN38" s="158" t="b">
        <v>0</v>
      </c>
      <c r="LO38" s="158" t="b">
        <v>0</v>
      </c>
      <c r="LP38" s="158" t="b">
        <v>0</v>
      </c>
      <c r="LQ38" s="158" t="b">
        <v>0</v>
      </c>
      <c r="LR38" s="158" t="b">
        <v>0</v>
      </c>
      <c r="LS38" s="158" t="b">
        <v>0</v>
      </c>
      <c r="LT38" s="158" t="b">
        <v>0</v>
      </c>
      <c r="LU38" s="158" t="b">
        <v>0</v>
      </c>
      <c r="LV38" s="158" t="b">
        <v>0</v>
      </c>
      <c r="LW38" s="158" t="b">
        <v>0</v>
      </c>
      <c r="LX38" s="158" t="b">
        <v>0</v>
      </c>
      <c r="LY38" s="158" t="b">
        <v>0</v>
      </c>
      <c r="LZ38" s="158" t="b">
        <v>0</v>
      </c>
      <c r="MA38" s="158" t="b">
        <v>0</v>
      </c>
      <c r="MB38" s="158" t="b">
        <v>0</v>
      </c>
      <c r="MC38" s="158" t="b">
        <v>0</v>
      </c>
      <c r="MD38" s="158" t="b">
        <v>0</v>
      </c>
      <c r="ME38" s="158" t="b">
        <v>0</v>
      </c>
      <c r="MF38" s="158" t="b">
        <v>0</v>
      </c>
      <c r="MG38" s="158" t="b">
        <v>0</v>
      </c>
      <c r="MH38" s="158" t="b">
        <v>0</v>
      </c>
      <c r="MI38" s="158" t="b">
        <v>0</v>
      </c>
      <c r="MJ38" s="158" t="b">
        <v>0</v>
      </c>
      <c r="MK38" s="158" t="b">
        <v>0</v>
      </c>
      <c r="ML38" s="158" t="b">
        <v>0</v>
      </c>
      <c r="MM38" s="158" t="b">
        <v>0</v>
      </c>
      <c r="MN38" s="158" t="b">
        <v>0</v>
      </c>
      <c r="MO38" s="158" t="b">
        <v>0</v>
      </c>
      <c r="MP38" s="158" t="b">
        <v>0</v>
      </c>
      <c r="MQ38" s="158" t="b">
        <v>0</v>
      </c>
      <c r="MR38" s="158" t="b">
        <v>0</v>
      </c>
      <c r="MS38" s="158" t="b">
        <v>0</v>
      </c>
      <c r="MT38" s="158" t="b">
        <v>0</v>
      </c>
      <c r="MU38" s="158" t="b">
        <v>0</v>
      </c>
      <c r="MV38" s="158" t="b">
        <v>0</v>
      </c>
      <c r="MW38" s="158" t="b">
        <v>0</v>
      </c>
      <c r="MX38" s="158" t="b">
        <v>0</v>
      </c>
      <c r="MY38" s="158" t="b">
        <v>0</v>
      </c>
      <c r="MZ38" s="158" t="b">
        <v>0</v>
      </c>
      <c r="NA38" s="158" t="b">
        <v>0</v>
      </c>
      <c r="NB38" s="158" t="b">
        <v>0</v>
      </c>
      <c r="NC38" s="158" t="b">
        <v>0</v>
      </c>
      <c r="ND38" s="158" t="b">
        <v>0</v>
      </c>
      <c r="NE38" s="158" t="b">
        <v>0</v>
      </c>
      <c r="NF38" s="158" t="b">
        <v>0</v>
      </c>
      <c r="NG38" s="158" t="b">
        <v>0</v>
      </c>
      <c r="NH38" s="158" t="b">
        <v>0</v>
      </c>
      <c r="NI38" s="158" t="b">
        <v>0</v>
      </c>
      <c r="NJ38" s="158" t="b">
        <v>0</v>
      </c>
      <c r="NK38" s="158" t="b">
        <v>0</v>
      </c>
      <c r="NL38" s="158" t="b">
        <v>0</v>
      </c>
      <c r="NM38" s="158" t="b">
        <v>0</v>
      </c>
      <c r="NN38" s="158" t="b">
        <v>0</v>
      </c>
      <c r="NO38" s="158" t="b">
        <v>0</v>
      </c>
    </row>
    <row r="39" spans="1:379" ht="29.25" x14ac:dyDescent="0.4">
      <c r="A39" s="511" t="str">
        <v>The Village Kiosk 2</v>
      </c>
      <c r="B39" s="158" t="b">
        <v>0</v>
      </c>
      <c r="C39" s="158" t="b">
        <v>0</v>
      </c>
      <c r="D39" s="158" t="b">
        <v>0</v>
      </c>
      <c r="E39" s="158" t="b">
        <v>0</v>
      </c>
      <c r="F39" s="158" t="b">
        <v>0</v>
      </c>
      <c r="G39" s="158" t="b">
        <v>0</v>
      </c>
      <c r="H39" s="158" t="b">
        <v>0</v>
      </c>
      <c r="I39" s="158" t="b">
        <v>0</v>
      </c>
      <c r="J39" s="158" t="b">
        <v>0</v>
      </c>
      <c r="K39" s="158" t="b">
        <v>0</v>
      </c>
      <c r="L39" s="158" t="b">
        <v>0</v>
      </c>
      <c r="M39" s="158" t="b">
        <v>0</v>
      </c>
      <c r="N39" s="158" t="b">
        <v>0</v>
      </c>
      <c r="O39" s="158" t="b">
        <v>0</v>
      </c>
      <c r="P39" s="158" t="b">
        <v>0</v>
      </c>
      <c r="Q39" s="158" t="b">
        <v>0</v>
      </c>
      <c r="R39" s="158" t="b">
        <v>0</v>
      </c>
      <c r="S39" s="158" t="b">
        <v>0</v>
      </c>
      <c r="T39" s="158" t="b">
        <v>0</v>
      </c>
      <c r="U39" s="158" t="b">
        <v>0</v>
      </c>
      <c r="V39" s="158" t="b">
        <v>0</v>
      </c>
      <c r="W39" s="158" t="b">
        <v>0</v>
      </c>
      <c r="X39" s="158" t="b">
        <v>0</v>
      </c>
      <c r="Y39" s="158" t="b">
        <v>0</v>
      </c>
      <c r="Z39" s="158" t="b">
        <v>0</v>
      </c>
      <c r="AA39" s="158" t="b">
        <v>0</v>
      </c>
      <c r="AB39" s="158" t="b">
        <v>0</v>
      </c>
      <c r="AC39" s="158" t="b">
        <v>0</v>
      </c>
      <c r="AD39" s="158" t="b">
        <v>0</v>
      </c>
      <c r="AE39" s="158" t="b">
        <v>0</v>
      </c>
      <c r="AF39" s="158" t="b">
        <v>0</v>
      </c>
      <c r="AG39" s="158" t="b">
        <v>0</v>
      </c>
      <c r="AH39" s="158" t="b">
        <v>0</v>
      </c>
      <c r="AI39" s="158" t="b">
        <v>0</v>
      </c>
      <c r="AJ39" s="158" t="b">
        <v>0</v>
      </c>
      <c r="AK39" s="158" t="b">
        <v>0</v>
      </c>
      <c r="AL39" s="158" t="b">
        <v>0</v>
      </c>
      <c r="AM39" s="158" t="b">
        <v>0</v>
      </c>
      <c r="AN39" s="158" t="b">
        <v>0</v>
      </c>
      <c r="AO39" s="158" t="b">
        <v>0</v>
      </c>
      <c r="AP39" s="158" t="b">
        <v>0</v>
      </c>
      <c r="AQ39" s="158" t="b">
        <v>0</v>
      </c>
      <c r="AR39" s="158" t="b">
        <v>0</v>
      </c>
      <c r="AS39" s="158" t="b">
        <v>0</v>
      </c>
      <c r="AT39" s="158" t="b">
        <v>0</v>
      </c>
      <c r="AU39" s="158" t="b">
        <v>0</v>
      </c>
      <c r="AV39" s="158" t="b">
        <v>0</v>
      </c>
      <c r="AW39" s="158" t="b">
        <v>0</v>
      </c>
      <c r="AX39" s="158" t="b">
        <v>0</v>
      </c>
      <c r="AY39" s="158" t="b">
        <v>0</v>
      </c>
      <c r="AZ39" s="158" t="b">
        <v>0</v>
      </c>
      <c r="BA39" s="158" t="b">
        <v>0</v>
      </c>
      <c r="BB39" s="158" t="b">
        <v>0</v>
      </c>
      <c r="BC39" s="158" t="b">
        <v>0</v>
      </c>
      <c r="BD39" s="158" t="b">
        <v>0</v>
      </c>
      <c r="BE39" s="158" t="b">
        <v>0</v>
      </c>
      <c r="BF39" s="158" t="b">
        <v>0</v>
      </c>
      <c r="BG39" s="158" t="b">
        <v>0</v>
      </c>
      <c r="BH39" s="158" t="b">
        <v>0</v>
      </c>
      <c r="BI39" s="158" t="b">
        <v>0</v>
      </c>
      <c r="BJ39" s="158" t="b">
        <v>0</v>
      </c>
      <c r="BK39" s="158" t="b">
        <v>0</v>
      </c>
      <c r="BL39" s="158" t="b">
        <v>0</v>
      </c>
      <c r="BM39" s="158" t="b">
        <v>0</v>
      </c>
      <c r="BN39" s="158" t="b">
        <v>0</v>
      </c>
      <c r="BO39" s="158" t="b">
        <v>0</v>
      </c>
      <c r="BP39" s="158" t="b">
        <v>0</v>
      </c>
      <c r="BQ39" s="158" t="b">
        <v>0</v>
      </c>
      <c r="BR39" s="158" t="b">
        <v>0</v>
      </c>
      <c r="BS39" s="158" t="b">
        <v>0</v>
      </c>
      <c r="BT39" s="158" t="b">
        <v>0</v>
      </c>
      <c r="BU39" s="158" t="b">
        <v>0</v>
      </c>
      <c r="BV39" s="158" t="b">
        <v>0</v>
      </c>
      <c r="BW39" s="158" t="b">
        <v>0</v>
      </c>
      <c r="BX39" s="158" t="b">
        <v>0</v>
      </c>
      <c r="BY39" s="158" t="b">
        <v>0</v>
      </c>
      <c r="BZ39" s="93" t="b">
        <v>1</v>
      </c>
      <c r="CA39" s="158" t="b">
        <v>0</v>
      </c>
      <c r="CB39" s="158" t="b">
        <v>0</v>
      </c>
      <c r="CC39" s="158" t="b">
        <v>0</v>
      </c>
      <c r="CD39" s="158" t="b">
        <v>0</v>
      </c>
      <c r="CE39" s="158" t="b">
        <v>0</v>
      </c>
      <c r="CF39" s="158" t="b">
        <v>0</v>
      </c>
      <c r="CG39" s="158" t="b">
        <v>0</v>
      </c>
      <c r="CH39" s="158" t="b">
        <v>0</v>
      </c>
      <c r="CI39" s="158" t="b">
        <v>0</v>
      </c>
      <c r="CJ39" s="158" t="b">
        <v>0</v>
      </c>
      <c r="CK39" s="158" t="b">
        <v>0</v>
      </c>
      <c r="CL39" s="158" t="b">
        <v>0</v>
      </c>
      <c r="CM39" s="158" t="b">
        <v>0</v>
      </c>
      <c r="CN39" s="158" t="b">
        <v>0</v>
      </c>
      <c r="CO39" s="158" t="b">
        <v>0</v>
      </c>
      <c r="CP39" s="158" t="b">
        <v>0</v>
      </c>
      <c r="CQ39" s="158" t="b">
        <v>0</v>
      </c>
      <c r="CR39" s="158" t="b">
        <v>0</v>
      </c>
      <c r="CS39" s="158" t="b">
        <v>0</v>
      </c>
      <c r="CT39" s="158" t="b">
        <v>0</v>
      </c>
      <c r="CU39" s="158" t="b">
        <v>0</v>
      </c>
      <c r="CV39" s="158" t="b">
        <v>0</v>
      </c>
      <c r="CW39" s="158" t="b">
        <v>0</v>
      </c>
      <c r="CX39" s="158" t="b">
        <v>0</v>
      </c>
      <c r="CY39" s="158" t="b">
        <v>0</v>
      </c>
      <c r="CZ39" s="158" t="b">
        <v>0</v>
      </c>
      <c r="DA39" s="158" t="b">
        <v>0</v>
      </c>
      <c r="DB39" s="158" t="b">
        <v>0</v>
      </c>
      <c r="DC39" s="158" t="b">
        <v>0</v>
      </c>
      <c r="DD39" s="158" t="b">
        <v>0</v>
      </c>
      <c r="DE39" s="158" t="b">
        <v>0</v>
      </c>
      <c r="DF39" s="158" t="b">
        <v>0</v>
      </c>
      <c r="DG39" s="158" t="b">
        <v>0</v>
      </c>
      <c r="DH39" s="158" t="b">
        <v>0</v>
      </c>
      <c r="DI39" s="158" t="b">
        <v>0</v>
      </c>
      <c r="DJ39" s="158" t="b">
        <v>0</v>
      </c>
      <c r="DK39" s="158" t="b">
        <v>0</v>
      </c>
      <c r="DL39" s="158" t="b">
        <v>0</v>
      </c>
      <c r="DM39" s="158" t="b">
        <v>0</v>
      </c>
      <c r="DN39" s="158" t="b">
        <v>0</v>
      </c>
      <c r="DO39" s="158" t="b">
        <v>0</v>
      </c>
      <c r="DP39" s="158" t="b">
        <v>0</v>
      </c>
      <c r="DQ39" s="158" t="b">
        <v>0</v>
      </c>
      <c r="DR39" s="158" t="b">
        <v>0</v>
      </c>
      <c r="DS39" s="158" t="b">
        <v>0</v>
      </c>
      <c r="DT39" s="158" t="b">
        <v>0</v>
      </c>
      <c r="DU39" s="158" t="b">
        <v>0</v>
      </c>
      <c r="DV39" s="158" t="b">
        <v>0</v>
      </c>
      <c r="DW39" s="158" t="b">
        <v>0</v>
      </c>
      <c r="DX39" s="158" t="b">
        <v>0</v>
      </c>
      <c r="DY39" s="158" t="b">
        <v>0</v>
      </c>
      <c r="DZ39" s="158" t="b">
        <v>0</v>
      </c>
      <c r="EA39" s="158" t="b">
        <v>0</v>
      </c>
      <c r="EB39" s="158" t="b">
        <v>0</v>
      </c>
      <c r="EC39" s="93" t="b">
        <v>1</v>
      </c>
      <c r="ED39" s="158" t="b">
        <v>0</v>
      </c>
      <c r="EE39" s="158" t="b">
        <v>0</v>
      </c>
      <c r="EF39" s="158" t="b">
        <v>0</v>
      </c>
      <c r="EG39" s="158" t="b">
        <v>0</v>
      </c>
      <c r="EH39" s="158" t="b">
        <v>0</v>
      </c>
      <c r="EI39" s="158" t="b">
        <v>0</v>
      </c>
      <c r="EJ39" s="158" t="b">
        <v>0</v>
      </c>
      <c r="EK39" s="158" t="b">
        <v>0</v>
      </c>
      <c r="EL39" s="158" t="b">
        <v>0</v>
      </c>
      <c r="EM39" s="158" t="b">
        <v>0</v>
      </c>
      <c r="EN39" s="158" t="b">
        <v>0</v>
      </c>
      <c r="EO39" s="158" t="b">
        <v>0</v>
      </c>
      <c r="EP39" s="158" t="b">
        <v>0</v>
      </c>
      <c r="EQ39" s="158" t="b">
        <v>0</v>
      </c>
      <c r="ER39" s="158" t="b">
        <v>0</v>
      </c>
      <c r="ES39" s="158" t="b">
        <v>0</v>
      </c>
      <c r="ET39" s="158" t="b">
        <v>0</v>
      </c>
      <c r="EU39" s="158" t="b">
        <v>0</v>
      </c>
      <c r="EV39" s="158" t="b">
        <v>0</v>
      </c>
      <c r="EW39" s="93" t="b">
        <v>1</v>
      </c>
      <c r="EX39" s="158" t="b">
        <v>0</v>
      </c>
      <c r="EY39" s="158" t="b">
        <v>0</v>
      </c>
      <c r="EZ39" s="158" t="b">
        <v>0</v>
      </c>
      <c r="FA39" s="158" t="b">
        <v>0</v>
      </c>
      <c r="FB39" s="158" t="b">
        <v>0</v>
      </c>
      <c r="FC39" s="158" t="b">
        <v>0</v>
      </c>
      <c r="FD39" s="158" t="b">
        <v>0</v>
      </c>
      <c r="FE39" s="158" t="b">
        <v>0</v>
      </c>
      <c r="FF39" s="158" t="b">
        <v>0</v>
      </c>
      <c r="FG39" s="158" t="b">
        <v>0</v>
      </c>
      <c r="FH39" s="158" t="b">
        <v>0</v>
      </c>
      <c r="FI39" s="158" t="b">
        <v>0</v>
      </c>
      <c r="FJ39" s="158" t="b">
        <v>0</v>
      </c>
      <c r="FK39" s="158" t="b">
        <v>0</v>
      </c>
      <c r="FL39" s="158" t="b">
        <v>0</v>
      </c>
      <c r="FM39" s="158" t="b">
        <v>0</v>
      </c>
      <c r="FN39" s="158" t="b">
        <v>0</v>
      </c>
      <c r="FO39" s="158" t="b">
        <v>0</v>
      </c>
      <c r="FP39" s="158" t="b">
        <v>0</v>
      </c>
      <c r="FQ39" s="158" t="b">
        <v>0</v>
      </c>
      <c r="FR39" s="158" t="b">
        <v>0</v>
      </c>
      <c r="FS39" s="158" t="b">
        <v>0</v>
      </c>
      <c r="FT39" s="158" t="b">
        <v>0</v>
      </c>
      <c r="FU39" s="158" t="b">
        <v>0</v>
      </c>
      <c r="FV39" s="158" t="b">
        <v>0</v>
      </c>
      <c r="FW39" s="158" t="b">
        <v>0</v>
      </c>
      <c r="FX39" s="158" t="b">
        <v>0</v>
      </c>
      <c r="FY39" s="158" t="b">
        <v>0</v>
      </c>
      <c r="FZ39" s="158" t="b">
        <v>0</v>
      </c>
      <c r="GA39" s="158" t="b">
        <v>0</v>
      </c>
      <c r="GB39" s="158" t="b">
        <v>0</v>
      </c>
      <c r="GC39" s="158" t="b">
        <v>0</v>
      </c>
      <c r="GD39" s="158" t="b">
        <v>0</v>
      </c>
      <c r="GE39" s="158" t="b">
        <v>0</v>
      </c>
      <c r="GF39" s="158" t="b">
        <v>0</v>
      </c>
      <c r="GG39" s="158" t="b">
        <v>0</v>
      </c>
      <c r="GH39" s="158" t="b">
        <v>0</v>
      </c>
      <c r="GI39" s="158" t="b">
        <v>0</v>
      </c>
      <c r="GJ39" s="158" t="b">
        <v>0</v>
      </c>
      <c r="GK39" s="158" t="b">
        <v>0</v>
      </c>
      <c r="GL39" s="158" t="b">
        <v>0</v>
      </c>
      <c r="GM39" s="158" t="b">
        <v>0</v>
      </c>
      <c r="GN39" s="158" t="b">
        <v>0</v>
      </c>
      <c r="GO39" s="158" t="b">
        <v>0</v>
      </c>
      <c r="GP39" s="158" t="b">
        <v>0</v>
      </c>
      <c r="GQ39" s="158" t="b">
        <v>0</v>
      </c>
      <c r="GR39" s="158" t="b">
        <v>0</v>
      </c>
      <c r="GS39" s="158" t="b">
        <v>0</v>
      </c>
      <c r="GT39" s="158" t="b">
        <v>0</v>
      </c>
      <c r="GU39" s="158" t="b">
        <v>0</v>
      </c>
      <c r="GV39" s="158" t="b">
        <v>0</v>
      </c>
      <c r="GW39" s="158" t="b">
        <v>0</v>
      </c>
      <c r="GX39" s="158" t="b">
        <v>0</v>
      </c>
      <c r="GY39" s="158" t="b">
        <v>0</v>
      </c>
      <c r="GZ39" s="158" t="b">
        <v>0</v>
      </c>
      <c r="HA39" s="158" t="b">
        <v>0</v>
      </c>
      <c r="HB39" s="158" t="b">
        <v>0</v>
      </c>
      <c r="HC39" s="158" t="b">
        <v>0</v>
      </c>
      <c r="HD39" s="158" t="b">
        <v>0</v>
      </c>
      <c r="HE39" s="158" t="b">
        <v>0</v>
      </c>
      <c r="HF39" s="158" t="b">
        <v>0</v>
      </c>
      <c r="HG39" s="158" t="b">
        <v>0</v>
      </c>
      <c r="HH39" s="158" t="b">
        <v>0</v>
      </c>
      <c r="HI39" s="158" t="b">
        <v>0</v>
      </c>
      <c r="HJ39" s="158" t="b">
        <v>0</v>
      </c>
      <c r="HK39" s="158" t="b">
        <v>0</v>
      </c>
      <c r="HL39" s="158" t="b">
        <v>0</v>
      </c>
      <c r="HM39" s="158" t="b">
        <v>0</v>
      </c>
      <c r="HN39" s="158" t="b">
        <v>0</v>
      </c>
      <c r="HO39" s="158" t="b">
        <v>0</v>
      </c>
      <c r="HP39" s="158" t="b">
        <v>0</v>
      </c>
      <c r="HQ39" s="158" t="b">
        <v>0</v>
      </c>
      <c r="HR39" s="158" t="b">
        <v>0</v>
      </c>
      <c r="HS39" s="158" t="b">
        <v>0</v>
      </c>
      <c r="HT39" s="158" t="b">
        <v>0</v>
      </c>
      <c r="HU39" s="158" t="b">
        <v>0</v>
      </c>
      <c r="HV39" s="158" t="b">
        <v>0</v>
      </c>
      <c r="HW39" s="158" t="b">
        <v>0</v>
      </c>
      <c r="HX39" s="158" t="b">
        <v>0</v>
      </c>
      <c r="HY39" s="158" t="b">
        <v>0</v>
      </c>
      <c r="HZ39" s="158" t="b">
        <v>0</v>
      </c>
      <c r="IA39" s="158" t="b">
        <v>0</v>
      </c>
      <c r="IB39" s="158" t="b">
        <v>0</v>
      </c>
      <c r="IC39" s="158" t="b">
        <v>0</v>
      </c>
      <c r="ID39" s="158" t="b">
        <v>0</v>
      </c>
      <c r="IE39" s="158" t="b">
        <v>0</v>
      </c>
      <c r="IF39" s="158" t="b">
        <v>0</v>
      </c>
      <c r="IG39" s="158" t="b">
        <v>0</v>
      </c>
      <c r="IH39" s="158" t="b">
        <v>0</v>
      </c>
      <c r="II39" s="158" t="b">
        <v>0</v>
      </c>
      <c r="IJ39" s="158" t="b">
        <v>0</v>
      </c>
      <c r="IK39" s="158" t="b">
        <v>0</v>
      </c>
      <c r="IL39" s="158" t="b">
        <v>0</v>
      </c>
      <c r="IM39" s="158" t="b">
        <v>0</v>
      </c>
      <c r="IN39" s="158" t="b">
        <v>0</v>
      </c>
      <c r="IO39" s="158" t="b">
        <v>0</v>
      </c>
      <c r="IP39" s="158" t="b">
        <v>0</v>
      </c>
      <c r="IQ39" s="158" t="b">
        <v>0</v>
      </c>
      <c r="IR39" s="158" t="b">
        <v>0</v>
      </c>
      <c r="IS39" s="158" t="b">
        <v>0</v>
      </c>
      <c r="IT39" s="158" t="b">
        <v>0</v>
      </c>
      <c r="IU39" s="158" t="b">
        <v>0</v>
      </c>
      <c r="IV39" s="158" t="b">
        <v>0</v>
      </c>
      <c r="IW39" s="158" t="b">
        <v>0</v>
      </c>
      <c r="IX39" s="158" t="b">
        <v>0</v>
      </c>
      <c r="IY39" s="158" t="b">
        <v>0</v>
      </c>
      <c r="IZ39" s="158" t="b">
        <v>0</v>
      </c>
      <c r="JA39" s="158" t="b">
        <v>0</v>
      </c>
      <c r="JB39" s="158" t="b">
        <v>0</v>
      </c>
      <c r="JC39" s="158" t="b">
        <v>0</v>
      </c>
      <c r="JD39" s="158" t="b">
        <v>0</v>
      </c>
      <c r="JE39" s="158" t="b">
        <v>0</v>
      </c>
      <c r="JF39" s="158" t="b">
        <v>0</v>
      </c>
      <c r="JG39" s="158" t="b">
        <v>0</v>
      </c>
      <c r="JH39" s="158" t="b">
        <v>0</v>
      </c>
      <c r="JI39" s="158" t="b">
        <v>0</v>
      </c>
      <c r="JJ39" s="158" t="b">
        <v>0</v>
      </c>
      <c r="JK39" s="158" t="b">
        <v>0</v>
      </c>
      <c r="JL39" s="158" t="b">
        <v>0</v>
      </c>
      <c r="JM39" s="158" t="b">
        <v>0</v>
      </c>
      <c r="JN39" s="158" t="b">
        <v>0</v>
      </c>
      <c r="JO39" s="158" t="b">
        <v>0</v>
      </c>
      <c r="JP39" s="158" t="b">
        <v>0</v>
      </c>
      <c r="JQ39" s="158" t="b">
        <v>0</v>
      </c>
      <c r="JR39" s="158" t="b">
        <v>0</v>
      </c>
      <c r="JS39" s="158" t="b">
        <v>0</v>
      </c>
      <c r="JT39" s="158" t="b">
        <v>0</v>
      </c>
      <c r="JU39" s="158" t="b">
        <v>0</v>
      </c>
      <c r="JV39" s="158" t="b">
        <v>0</v>
      </c>
      <c r="JW39" s="158" t="b">
        <v>0</v>
      </c>
      <c r="JX39" s="158" t="b">
        <v>0</v>
      </c>
      <c r="JY39" s="158" t="b">
        <v>0</v>
      </c>
      <c r="JZ39" s="158" t="b">
        <v>0</v>
      </c>
      <c r="KA39" s="158" t="b">
        <v>0</v>
      </c>
      <c r="KB39" s="158" t="b">
        <v>0</v>
      </c>
      <c r="KC39" s="158" t="b">
        <v>0</v>
      </c>
      <c r="KD39" s="158" t="b">
        <v>0</v>
      </c>
      <c r="KE39" s="158" t="b">
        <v>0</v>
      </c>
      <c r="KF39" s="158" t="b">
        <v>0</v>
      </c>
      <c r="KG39" s="158" t="b">
        <v>0</v>
      </c>
      <c r="KH39" s="158" t="b">
        <v>0</v>
      </c>
      <c r="KI39" s="158" t="b">
        <v>0</v>
      </c>
      <c r="KJ39" s="158" t="b">
        <v>0</v>
      </c>
      <c r="KK39" s="158" t="b">
        <v>0</v>
      </c>
      <c r="KL39" s="158" t="b">
        <v>0</v>
      </c>
      <c r="KM39" s="158" t="b">
        <v>0</v>
      </c>
      <c r="KN39" s="158" t="b">
        <v>0</v>
      </c>
      <c r="KO39" s="158" t="b">
        <v>0</v>
      </c>
      <c r="KP39" s="158" t="b">
        <v>0</v>
      </c>
      <c r="KQ39" s="158" t="b">
        <v>0</v>
      </c>
      <c r="KR39" s="158" t="b">
        <v>0</v>
      </c>
      <c r="KS39" s="158" t="b">
        <v>0</v>
      </c>
      <c r="KT39" s="158" t="b">
        <v>0</v>
      </c>
      <c r="KU39" s="158" t="b">
        <v>0</v>
      </c>
      <c r="KV39" s="158" t="b">
        <v>0</v>
      </c>
      <c r="KW39" s="158" t="b">
        <v>0</v>
      </c>
      <c r="KX39" s="158" t="b">
        <v>0</v>
      </c>
      <c r="KY39" s="158" t="b">
        <v>0</v>
      </c>
      <c r="KZ39" s="158" t="b">
        <v>0</v>
      </c>
      <c r="LA39" s="158" t="b">
        <v>0</v>
      </c>
      <c r="LB39" s="158" t="b">
        <v>0</v>
      </c>
      <c r="LC39" s="158" t="b">
        <v>0</v>
      </c>
      <c r="LD39" s="158" t="b">
        <v>0</v>
      </c>
      <c r="LE39" s="158" t="b">
        <v>0</v>
      </c>
      <c r="LF39" s="158" t="b">
        <v>0</v>
      </c>
      <c r="LG39" s="158" t="b">
        <v>0</v>
      </c>
      <c r="LH39" s="158" t="b">
        <v>0</v>
      </c>
      <c r="LI39" s="158" t="b">
        <v>0</v>
      </c>
      <c r="LJ39" s="158" t="b">
        <v>0</v>
      </c>
      <c r="LK39" s="158" t="b">
        <v>0</v>
      </c>
      <c r="LL39" s="158" t="b">
        <v>0</v>
      </c>
      <c r="LM39" s="158" t="b">
        <v>0</v>
      </c>
      <c r="LN39" s="158" t="b">
        <v>0</v>
      </c>
      <c r="LO39" s="158" t="b">
        <v>0</v>
      </c>
      <c r="LP39" s="158" t="b">
        <v>0</v>
      </c>
      <c r="LQ39" s="158" t="b">
        <v>0</v>
      </c>
      <c r="LR39" s="158" t="b">
        <v>0</v>
      </c>
      <c r="LS39" s="158" t="b">
        <v>0</v>
      </c>
      <c r="LT39" s="158" t="b">
        <v>0</v>
      </c>
      <c r="LU39" s="158" t="b">
        <v>0</v>
      </c>
      <c r="LV39" s="158" t="b">
        <v>0</v>
      </c>
      <c r="LW39" s="158" t="b">
        <v>0</v>
      </c>
      <c r="LX39" s="158" t="b">
        <v>0</v>
      </c>
      <c r="LY39" s="158" t="b">
        <v>0</v>
      </c>
      <c r="LZ39" s="158" t="b">
        <v>0</v>
      </c>
      <c r="MA39" s="158" t="b">
        <v>0</v>
      </c>
      <c r="MB39" s="158" t="b">
        <v>0</v>
      </c>
      <c r="MC39" s="158" t="b">
        <v>0</v>
      </c>
      <c r="MD39" s="158" t="b">
        <v>0</v>
      </c>
      <c r="ME39" s="158" t="b">
        <v>0</v>
      </c>
      <c r="MF39" s="158" t="b">
        <v>0</v>
      </c>
      <c r="MG39" s="158" t="b">
        <v>0</v>
      </c>
      <c r="MH39" s="158" t="b">
        <v>0</v>
      </c>
      <c r="MI39" s="158" t="b">
        <v>0</v>
      </c>
      <c r="MJ39" s="158" t="b">
        <v>0</v>
      </c>
      <c r="MK39" s="158" t="b">
        <v>0</v>
      </c>
      <c r="ML39" s="158" t="b">
        <v>0</v>
      </c>
      <c r="MM39" s="158" t="b">
        <v>0</v>
      </c>
      <c r="MN39" s="158" t="b">
        <v>0</v>
      </c>
      <c r="MO39" s="158" t="b">
        <v>0</v>
      </c>
      <c r="MP39" s="158" t="b">
        <v>0</v>
      </c>
      <c r="MQ39" s="158" t="b">
        <v>0</v>
      </c>
      <c r="MR39" s="158" t="b">
        <v>0</v>
      </c>
      <c r="MS39" s="158" t="b">
        <v>0</v>
      </c>
      <c r="MT39" s="158" t="b">
        <v>0</v>
      </c>
      <c r="MU39" s="158" t="b">
        <v>0</v>
      </c>
      <c r="MV39" s="158" t="b">
        <v>0</v>
      </c>
      <c r="MW39" s="158" t="b">
        <v>0</v>
      </c>
      <c r="MX39" s="158" t="b">
        <v>0</v>
      </c>
      <c r="MY39" s="158" t="b">
        <v>0</v>
      </c>
      <c r="MZ39" s="158" t="b">
        <v>0</v>
      </c>
      <c r="NA39" s="158" t="b">
        <v>0</v>
      </c>
      <c r="NB39" s="158" t="b">
        <v>0</v>
      </c>
      <c r="NC39" s="158" t="b">
        <v>0</v>
      </c>
      <c r="ND39" s="158" t="b">
        <v>0</v>
      </c>
      <c r="NE39" s="158" t="b">
        <v>0</v>
      </c>
      <c r="NF39" s="158" t="b">
        <v>0</v>
      </c>
      <c r="NG39" s="158" t="b">
        <v>0</v>
      </c>
      <c r="NH39" s="158" t="b">
        <v>0</v>
      </c>
      <c r="NI39" s="158" t="b">
        <v>0</v>
      </c>
      <c r="NJ39" s="158" t="b">
        <v>0</v>
      </c>
      <c r="NK39" s="158" t="b">
        <v>0</v>
      </c>
      <c r="NL39" s="158" t="b">
        <v>0</v>
      </c>
      <c r="NM39" s="158" t="b">
        <v>0</v>
      </c>
      <c r="NN39" s="158" t="b">
        <v>0</v>
      </c>
      <c r="NO39" s="158" t="b">
        <v>0</v>
      </c>
    </row>
    <row r="40" spans="1:379" ht="29.25" x14ac:dyDescent="0.4">
      <c r="A40" s="511" t="str">
        <v>Sprinkles Churros</v>
      </c>
      <c r="B40" s="158" t="b">
        <v>0</v>
      </c>
      <c r="C40" s="158" t="b">
        <v>0</v>
      </c>
      <c r="D40" s="158" t="b">
        <v>0</v>
      </c>
      <c r="E40" s="158" t="b">
        <v>0</v>
      </c>
      <c r="F40" s="158" t="b">
        <v>0</v>
      </c>
      <c r="G40" s="158" t="b">
        <v>0</v>
      </c>
      <c r="H40" s="158" t="b">
        <v>0</v>
      </c>
      <c r="I40" s="158" t="b">
        <v>0</v>
      </c>
      <c r="J40" s="158" t="b">
        <v>0</v>
      </c>
      <c r="K40" s="158" t="b">
        <v>0</v>
      </c>
      <c r="L40" s="158" t="b">
        <v>0</v>
      </c>
      <c r="M40" s="158" t="b">
        <v>0</v>
      </c>
      <c r="N40" s="158" t="b">
        <v>0</v>
      </c>
      <c r="O40" s="158" t="b">
        <v>0</v>
      </c>
      <c r="P40" s="158" t="b">
        <v>0</v>
      </c>
      <c r="Q40" s="158" t="b">
        <v>0</v>
      </c>
      <c r="R40" s="158" t="b">
        <v>0</v>
      </c>
      <c r="S40" s="158" t="b">
        <v>0</v>
      </c>
      <c r="T40" s="158" t="b">
        <v>0</v>
      </c>
      <c r="U40" s="158" t="b">
        <v>0</v>
      </c>
      <c r="V40" s="158" t="b">
        <v>0</v>
      </c>
      <c r="W40" s="158" t="b">
        <v>0</v>
      </c>
      <c r="X40" s="158" t="b">
        <v>0</v>
      </c>
      <c r="Y40" s="158" t="b">
        <v>0</v>
      </c>
      <c r="Z40" s="158" t="b">
        <v>0</v>
      </c>
      <c r="AA40" s="158" t="b">
        <v>0</v>
      </c>
      <c r="AB40" s="158" t="b">
        <v>0</v>
      </c>
      <c r="AC40" s="158" t="b">
        <v>0</v>
      </c>
      <c r="AD40" s="158" t="b">
        <v>0</v>
      </c>
      <c r="AE40" s="158" t="b">
        <v>0</v>
      </c>
      <c r="AF40" s="158" t="b">
        <v>0</v>
      </c>
      <c r="AG40" s="158" t="b">
        <v>0</v>
      </c>
      <c r="AH40" s="158" t="b">
        <v>0</v>
      </c>
      <c r="AI40" s="158" t="b">
        <v>0</v>
      </c>
      <c r="AJ40" s="158" t="b">
        <v>0</v>
      </c>
      <c r="AK40" s="158" t="b">
        <v>0</v>
      </c>
      <c r="AL40" s="158" t="b">
        <v>0</v>
      </c>
      <c r="AM40" s="158" t="b">
        <v>0</v>
      </c>
      <c r="AN40" s="158" t="b">
        <v>0</v>
      </c>
      <c r="AO40" s="158" t="b">
        <v>0</v>
      </c>
      <c r="AP40" s="158" t="b">
        <v>0</v>
      </c>
      <c r="AQ40" s="158" t="b">
        <v>0</v>
      </c>
      <c r="AR40" s="158" t="b">
        <v>0</v>
      </c>
      <c r="AS40" s="158" t="b">
        <v>0</v>
      </c>
      <c r="AT40" s="158" t="b">
        <v>0</v>
      </c>
      <c r="AU40" s="158" t="b">
        <v>0</v>
      </c>
      <c r="AV40" s="158" t="b">
        <v>0</v>
      </c>
      <c r="AW40" s="158" t="b">
        <v>0</v>
      </c>
      <c r="AX40" s="158" t="b">
        <v>0</v>
      </c>
      <c r="AY40" s="158" t="b">
        <v>0</v>
      </c>
      <c r="AZ40" s="158" t="b">
        <v>0</v>
      </c>
      <c r="BA40" s="158" t="b">
        <v>0</v>
      </c>
      <c r="BB40" s="158" t="b">
        <v>0</v>
      </c>
      <c r="BC40" s="158" t="b">
        <v>0</v>
      </c>
      <c r="BD40" s="158" t="b">
        <v>0</v>
      </c>
      <c r="BE40" s="158" t="b">
        <v>0</v>
      </c>
      <c r="BF40" s="158" t="b">
        <v>0</v>
      </c>
      <c r="BG40" s="158" t="b">
        <v>0</v>
      </c>
      <c r="BH40" s="158" t="b">
        <v>0</v>
      </c>
      <c r="BI40" s="158" t="b">
        <v>0</v>
      </c>
      <c r="BJ40" s="158" t="b">
        <v>0</v>
      </c>
      <c r="BK40" s="158" t="b">
        <v>0</v>
      </c>
      <c r="BL40" s="158" t="b">
        <v>0</v>
      </c>
      <c r="BM40" s="158" t="b">
        <v>0</v>
      </c>
      <c r="BN40" s="158" t="b">
        <v>0</v>
      </c>
      <c r="BO40" s="158" t="b">
        <v>0</v>
      </c>
      <c r="BP40" s="158" t="b">
        <v>0</v>
      </c>
      <c r="BQ40" s="158" t="b">
        <v>0</v>
      </c>
      <c r="BR40" s="158" t="b">
        <v>0</v>
      </c>
      <c r="BS40" s="158" t="b">
        <v>0</v>
      </c>
      <c r="BT40" s="158" t="b">
        <v>0</v>
      </c>
      <c r="BU40" s="158" t="b">
        <v>0</v>
      </c>
      <c r="BV40" s="158" t="b">
        <v>0</v>
      </c>
      <c r="BW40" s="158" t="b">
        <v>0</v>
      </c>
      <c r="BX40" s="158" t="b">
        <v>0</v>
      </c>
      <c r="BY40" s="158" t="b">
        <v>0</v>
      </c>
      <c r="BZ40" s="158" t="b">
        <v>0</v>
      </c>
      <c r="CA40" s="158" t="b">
        <v>0</v>
      </c>
      <c r="CB40" s="158" t="b">
        <v>0</v>
      </c>
      <c r="CC40" s="158" t="b">
        <v>0</v>
      </c>
      <c r="CD40" s="158" t="b">
        <v>0</v>
      </c>
      <c r="CE40" s="158" t="b">
        <v>0</v>
      </c>
      <c r="CF40" s="158" t="b">
        <v>0</v>
      </c>
      <c r="CG40" s="158" t="b">
        <v>0</v>
      </c>
      <c r="CH40" s="158" t="b">
        <v>0</v>
      </c>
      <c r="CI40" s="158" t="b">
        <v>0</v>
      </c>
      <c r="CJ40" s="158" t="b">
        <v>0</v>
      </c>
      <c r="CK40" s="158" t="b">
        <v>0</v>
      </c>
      <c r="CL40" s="158" t="b">
        <v>0</v>
      </c>
      <c r="CM40" s="158" t="b">
        <v>0</v>
      </c>
      <c r="CN40" s="93" t="b">
        <v>1</v>
      </c>
      <c r="CO40" s="93" t="b">
        <v>1</v>
      </c>
      <c r="CP40" s="158" t="b">
        <v>0</v>
      </c>
      <c r="CQ40" s="158" t="b">
        <v>0</v>
      </c>
      <c r="CR40" s="158" t="b">
        <v>0</v>
      </c>
      <c r="CS40" s="158" t="b">
        <v>0</v>
      </c>
      <c r="CT40" s="158" t="b">
        <v>0</v>
      </c>
      <c r="CU40" s="158" t="b">
        <v>0</v>
      </c>
      <c r="CV40" s="158" t="b">
        <v>0</v>
      </c>
      <c r="CW40" s="158" t="b">
        <v>0</v>
      </c>
      <c r="CX40" s="93" t="b">
        <v>1</v>
      </c>
      <c r="CY40" s="158" t="b">
        <v>0</v>
      </c>
      <c r="CZ40" s="158" t="b">
        <v>0</v>
      </c>
      <c r="DA40" s="158" t="b">
        <v>0</v>
      </c>
      <c r="DB40" s="158" t="b">
        <v>0</v>
      </c>
      <c r="DC40" s="158" t="b">
        <v>0</v>
      </c>
      <c r="DD40" s="158" t="b">
        <v>0</v>
      </c>
      <c r="DE40" s="158" t="b">
        <v>0</v>
      </c>
      <c r="DF40" s="158" t="b">
        <v>0</v>
      </c>
      <c r="DG40" s="158" t="b">
        <v>0</v>
      </c>
      <c r="DH40" s="158" t="b">
        <v>0</v>
      </c>
      <c r="DI40" s="158" t="b">
        <v>0</v>
      </c>
      <c r="DJ40" s="158" t="b">
        <v>0</v>
      </c>
      <c r="DK40" s="158" t="b">
        <v>0</v>
      </c>
      <c r="DL40" s="158" t="b">
        <v>0</v>
      </c>
      <c r="DM40" s="158" t="b">
        <v>0</v>
      </c>
      <c r="DN40" s="158" t="b">
        <v>0</v>
      </c>
      <c r="DO40" s="158" t="b">
        <v>0</v>
      </c>
      <c r="DP40" s="158" t="b">
        <v>0</v>
      </c>
      <c r="DQ40" s="158" t="b">
        <v>0</v>
      </c>
      <c r="DR40" s="158" t="b">
        <v>0</v>
      </c>
      <c r="DS40" s="158" t="b">
        <v>0</v>
      </c>
      <c r="DT40" s="158" t="b">
        <v>0</v>
      </c>
      <c r="DU40" s="158" t="b">
        <v>0</v>
      </c>
      <c r="DV40" s="158" t="b">
        <v>0</v>
      </c>
      <c r="DW40" s="158" t="b">
        <v>0</v>
      </c>
      <c r="DX40" s="158" t="b">
        <v>0</v>
      </c>
      <c r="DY40" s="158" t="b">
        <v>0</v>
      </c>
      <c r="DZ40" s="158" t="b">
        <v>0</v>
      </c>
      <c r="EA40" s="158" t="b">
        <v>0</v>
      </c>
      <c r="EB40" s="158" t="b">
        <v>0</v>
      </c>
      <c r="EC40" s="158" t="b">
        <v>0</v>
      </c>
      <c r="ED40" s="158" t="b">
        <v>0</v>
      </c>
      <c r="EE40" s="158" t="b">
        <v>0</v>
      </c>
      <c r="EF40" s="158" t="b">
        <v>0</v>
      </c>
      <c r="EG40" s="158" t="b">
        <v>0</v>
      </c>
      <c r="EH40" s="158" t="b">
        <v>0</v>
      </c>
      <c r="EI40" s="158" t="b">
        <v>0</v>
      </c>
      <c r="EJ40" s="158" t="b">
        <v>0</v>
      </c>
      <c r="EK40" s="158" t="b">
        <v>0</v>
      </c>
      <c r="EL40" s="158" t="b">
        <v>0</v>
      </c>
      <c r="EM40" s="158" t="b">
        <v>0</v>
      </c>
      <c r="EN40" s="158" t="b">
        <v>0</v>
      </c>
      <c r="EO40" s="158" t="b">
        <v>0</v>
      </c>
      <c r="EP40" s="158" t="b">
        <v>0</v>
      </c>
      <c r="EQ40" s="158" t="b">
        <v>0</v>
      </c>
      <c r="ER40" s="158" t="b">
        <v>0</v>
      </c>
      <c r="ES40" s="158" t="b">
        <v>0</v>
      </c>
      <c r="ET40" s="158" t="b">
        <v>0</v>
      </c>
      <c r="EU40" s="158" t="b">
        <v>0</v>
      </c>
      <c r="EV40" s="158" t="b">
        <v>0</v>
      </c>
      <c r="EW40" s="158" t="b">
        <v>0</v>
      </c>
      <c r="EX40" s="158" t="b">
        <v>0</v>
      </c>
      <c r="EY40" s="158" t="b">
        <v>0</v>
      </c>
      <c r="EZ40" s="158" t="b">
        <v>0</v>
      </c>
      <c r="FA40" s="158" t="b">
        <v>0</v>
      </c>
      <c r="FB40" s="158" t="b">
        <v>0</v>
      </c>
      <c r="FC40" s="158" t="b">
        <v>0</v>
      </c>
      <c r="FD40" s="158" t="b">
        <v>0</v>
      </c>
      <c r="FE40" s="158" t="b">
        <v>0</v>
      </c>
      <c r="FF40" s="158" t="b">
        <v>0</v>
      </c>
      <c r="FG40" s="158" t="b">
        <v>0</v>
      </c>
      <c r="FH40" s="158" t="b">
        <v>0</v>
      </c>
      <c r="FI40" s="158" t="b">
        <v>0</v>
      </c>
      <c r="FJ40" s="158" t="b">
        <v>0</v>
      </c>
      <c r="FK40" s="158" t="b">
        <v>0</v>
      </c>
      <c r="FL40" s="158" t="b">
        <v>0</v>
      </c>
      <c r="FM40" s="158" t="b">
        <v>0</v>
      </c>
      <c r="FN40" s="158" t="b">
        <v>0</v>
      </c>
      <c r="FO40" s="158" t="b">
        <v>0</v>
      </c>
      <c r="FP40" s="158" t="b">
        <v>0</v>
      </c>
      <c r="FQ40" s="158" t="b">
        <v>0</v>
      </c>
      <c r="FR40" s="158" t="b">
        <v>0</v>
      </c>
      <c r="FS40" s="158" t="b">
        <v>0</v>
      </c>
      <c r="FT40" s="158" t="b">
        <v>0</v>
      </c>
      <c r="FU40" s="158" t="b">
        <v>0</v>
      </c>
      <c r="FV40" s="158" t="b">
        <v>0</v>
      </c>
      <c r="FW40" s="158" t="b">
        <v>0</v>
      </c>
      <c r="FX40" s="158" t="b">
        <v>0</v>
      </c>
      <c r="FY40" s="158" t="b">
        <v>0</v>
      </c>
      <c r="FZ40" s="158" t="b">
        <v>0</v>
      </c>
      <c r="GA40" s="158" t="b">
        <v>0</v>
      </c>
      <c r="GB40" s="158" t="b">
        <v>0</v>
      </c>
      <c r="GC40" s="158" t="b">
        <v>0</v>
      </c>
      <c r="GD40" s="158" t="b">
        <v>0</v>
      </c>
      <c r="GE40" s="158" t="b">
        <v>0</v>
      </c>
      <c r="GF40" s="158" t="b">
        <v>0</v>
      </c>
      <c r="GG40" s="158" t="b">
        <v>0</v>
      </c>
      <c r="GH40" s="158" t="b">
        <v>0</v>
      </c>
      <c r="GI40" s="158" t="b">
        <v>0</v>
      </c>
      <c r="GJ40" s="158" t="b">
        <v>0</v>
      </c>
      <c r="GK40" s="158" t="b">
        <v>0</v>
      </c>
      <c r="GL40" s="158" t="b">
        <v>0</v>
      </c>
      <c r="GM40" s="158" t="b">
        <v>0</v>
      </c>
      <c r="GN40" s="158" t="b">
        <v>0</v>
      </c>
      <c r="GO40" s="158" t="b">
        <v>0</v>
      </c>
      <c r="GP40" s="158" t="b">
        <v>0</v>
      </c>
      <c r="GQ40" s="158" t="b">
        <v>0</v>
      </c>
      <c r="GR40" s="158" t="b">
        <v>0</v>
      </c>
      <c r="GS40" s="158" t="b">
        <v>0</v>
      </c>
      <c r="GT40" s="158" t="b">
        <v>0</v>
      </c>
      <c r="GU40" s="158" t="b">
        <v>0</v>
      </c>
      <c r="GV40" s="158" t="b">
        <v>0</v>
      </c>
      <c r="GW40" s="158" t="b">
        <v>0</v>
      </c>
      <c r="GX40" s="158" t="b">
        <v>0</v>
      </c>
      <c r="GY40" s="158" t="b">
        <v>0</v>
      </c>
      <c r="GZ40" s="158" t="b">
        <v>0</v>
      </c>
      <c r="HA40" s="158" t="b">
        <v>0</v>
      </c>
      <c r="HB40" s="158" t="b">
        <v>0</v>
      </c>
      <c r="HC40" s="158" t="b">
        <v>0</v>
      </c>
      <c r="HD40" s="158" t="b">
        <v>0</v>
      </c>
      <c r="HE40" s="158" t="b">
        <v>0</v>
      </c>
      <c r="HF40" s="158" t="b">
        <v>0</v>
      </c>
      <c r="HG40" s="158" t="b">
        <v>0</v>
      </c>
      <c r="HH40" s="158" t="b">
        <v>0</v>
      </c>
      <c r="HI40" s="158" t="b">
        <v>0</v>
      </c>
      <c r="HJ40" s="158" t="b">
        <v>0</v>
      </c>
      <c r="HK40" s="158" t="b">
        <v>0</v>
      </c>
      <c r="HL40" s="158" t="b">
        <v>0</v>
      </c>
      <c r="HM40" s="158" t="b">
        <v>0</v>
      </c>
      <c r="HN40" s="158" t="b">
        <v>0</v>
      </c>
      <c r="HO40" s="158" t="b">
        <v>0</v>
      </c>
      <c r="HP40" s="158" t="b">
        <v>0</v>
      </c>
      <c r="HQ40" s="158" t="b">
        <v>0</v>
      </c>
      <c r="HR40" s="158" t="b">
        <v>0</v>
      </c>
      <c r="HS40" s="158" t="b">
        <v>0</v>
      </c>
      <c r="HT40" s="93" t="b">
        <v>1</v>
      </c>
      <c r="HU40" s="93" t="b">
        <v>1</v>
      </c>
      <c r="HV40" s="93" t="b">
        <v>1</v>
      </c>
      <c r="HW40" s="93" t="b">
        <v>1</v>
      </c>
      <c r="HX40" s="93" t="b">
        <v>1</v>
      </c>
      <c r="HY40" s="158" t="b">
        <v>0</v>
      </c>
      <c r="HZ40" s="158" t="b">
        <v>0</v>
      </c>
      <c r="IA40" s="158" t="b">
        <v>0</v>
      </c>
      <c r="IB40" s="158" t="b">
        <v>0</v>
      </c>
      <c r="IC40" s="158" t="b">
        <v>0</v>
      </c>
      <c r="ID40" s="158" t="b">
        <v>0</v>
      </c>
      <c r="IE40" s="158" t="b">
        <v>0</v>
      </c>
      <c r="IF40" s="158" t="b">
        <v>0</v>
      </c>
      <c r="IG40" s="158" t="b">
        <v>0</v>
      </c>
      <c r="IH40" s="158" t="b">
        <v>0</v>
      </c>
      <c r="II40" s="158" t="b">
        <v>0</v>
      </c>
      <c r="IJ40" s="158" t="b">
        <v>0</v>
      </c>
      <c r="IK40" s="158" t="b">
        <v>0</v>
      </c>
      <c r="IL40" s="158" t="b">
        <v>0</v>
      </c>
      <c r="IM40" s="158" t="b">
        <v>0</v>
      </c>
      <c r="IN40" s="158" t="b">
        <v>0</v>
      </c>
      <c r="IO40" s="158" t="b">
        <v>0</v>
      </c>
      <c r="IP40" s="158" t="b">
        <v>0</v>
      </c>
      <c r="IQ40" s="158" t="b">
        <v>0</v>
      </c>
      <c r="IR40" s="158" t="b">
        <v>0</v>
      </c>
      <c r="IS40" s="158" t="b">
        <v>0</v>
      </c>
      <c r="IT40" s="158" t="b">
        <v>0</v>
      </c>
      <c r="IU40" s="158" t="b">
        <v>0</v>
      </c>
      <c r="IV40" s="158" t="b">
        <v>0</v>
      </c>
      <c r="IW40" s="158" t="b">
        <v>0</v>
      </c>
      <c r="IX40" s="158" t="b">
        <v>0</v>
      </c>
      <c r="IY40" s="158" t="b">
        <v>0</v>
      </c>
      <c r="IZ40" s="158" t="b">
        <v>0</v>
      </c>
      <c r="JA40" s="158" t="b">
        <v>0</v>
      </c>
      <c r="JB40" s="158" t="b">
        <v>0</v>
      </c>
      <c r="JC40" s="158" t="b">
        <v>0</v>
      </c>
      <c r="JD40" s="158" t="b">
        <v>0</v>
      </c>
      <c r="JE40" s="158" t="b">
        <v>0</v>
      </c>
      <c r="JF40" s="158" t="b">
        <v>0</v>
      </c>
      <c r="JG40" s="158" t="b">
        <v>0</v>
      </c>
      <c r="JH40" s="158" t="b">
        <v>0</v>
      </c>
      <c r="JI40" s="158" t="b">
        <v>0</v>
      </c>
      <c r="JJ40" s="158" t="b">
        <v>0</v>
      </c>
      <c r="JK40" s="158" t="b">
        <v>0</v>
      </c>
      <c r="JL40" s="158" t="b">
        <v>0</v>
      </c>
      <c r="JM40" s="158" t="b">
        <v>0</v>
      </c>
      <c r="JN40" s="158" t="b">
        <v>0</v>
      </c>
      <c r="JO40" s="158" t="b">
        <v>0</v>
      </c>
      <c r="JP40" s="158" t="b">
        <v>0</v>
      </c>
      <c r="JQ40" s="158" t="b">
        <v>0</v>
      </c>
      <c r="JR40" s="158" t="b">
        <v>0</v>
      </c>
      <c r="JS40" s="158" t="b">
        <v>0</v>
      </c>
      <c r="JT40" s="158" t="b">
        <v>0</v>
      </c>
      <c r="JU40" s="158" t="b">
        <v>0</v>
      </c>
      <c r="JV40" s="158" t="b">
        <v>0</v>
      </c>
      <c r="JW40" s="158" t="b">
        <v>0</v>
      </c>
      <c r="JX40" s="158" t="b">
        <v>0</v>
      </c>
      <c r="JY40" s="158" t="b">
        <v>0</v>
      </c>
      <c r="JZ40" s="158" t="b">
        <v>0</v>
      </c>
      <c r="KA40" s="158" t="b">
        <v>0</v>
      </c>
      <c r="KB40" s="158" t="b">
        <v>0</v>
      </c>
      <c r="KC40" s="158" t="b">
        <v>0</v>
      </c>
      <c r="KD40" s="158" t="b">
        <v>0</v>
      </c>
      <c r="KE40" s="158" t="b">
        <v>0</v>
      </c>
      <c r="KF40" s="158" t="b">
        <v>0</v>
      </c>
      <c r="KG40" s="158" t="b">
        <v>0</v>
      </c>
      <c r="KH40" s="158" t="b">
        <v>0</v>
      </c>
      <c r="KI40" s="158" t="b">
        <v>0</v>
      </c>
      <c r="KJ40" s="158" t="b">
        <v>0</v>
      </c>
      <c r="KK40" s="158" t="b">
        <v>0</v>
      </c>
      <c r="KL40" s="158" t="b">
        <v>0</v>
      </c>
      <c r="KM40" s="158" t="b">
        <v>0</v>
      </c>
      <c r="KN40" s="158" t="b">
        <v>0</v>
      </c>
      <c r="KO40" s="158" t="b">
        <v>0</v>
      </c>
      <c r="KP40" s="158" t="b">
        <v>0</v>
      </c>
      <c r="KQ40" s="158" t="b">
        <v>0</v>
      </c>
      <c r="KR40" s="158" t="b">
        <v>0</v>
      </c>
      <c r="KS40" s="158" t="b">
        <v>0</v>
      </c>
      <c r="KT40" s="158" t="b">
        <v>0</v>
      </c>
      <c r="KU40" s="158" t="b">
        <v>0</v>
      </c>
      <c r="KV40" s="158" t="b">
        <v>0</v>
      </c>
      <c r="KW40" s="158" t="b">
        <v>0</v>
      </c>
      <c r="KX40" s="158" t="b">
        <v>0</v>
      </c>
      <c r="KY40" s="158" t="b">
        <v>0</v>
      </c>
      <c r="KZ40" s="158" t="b">
        <v>0</v>
      </c>
      <c r="LA40" s="158" t="b">
        <v>0</v>
      </c>
      <c r="LB40" s="158" t="b">
        <v>0</v>
      </c>
      <c r="LC40" s="158" t="b">
        <v>0</v>
      </c>
      <c r="LD40" s="158" t="b">
        <v>0</v>
      </c>
      <c r="LE40" s="158" t="b">
        <v>0</v>
      </c>
      <c r="LF40" s="158" t="b">
        <v>0</v>
      </c>
      <c r="LG40" s="158" t="b">
        <v>0</v>
      </c>
      <c r="LH40" s="158" t="b">
        <v>0</v>
      </c>
      <c r="LI40" s="158" t="b">
        <v>0</v>
      </c>
      <c r="LJ40" s="158" t="b">
        <v>0</v>
      </c>
      <c r="LK40" s="158" t="b">
        <v>0</v>
      </c>
      <c r="LL40" s="158" t="b">
        <v>0</v>
      </c>
      <c r="LM40" s="158" t="b">
        <v>0</v>
      </c>
      <c r="LN40" s="158" t="b">
        <v>0</v>
      </c>
      <c r="LO40" s="158" t="b">
        <v>0</v>
      </c>
      <c r="LP40" s="158" t="b">
        <v>0</v>
      </c>
      <c r="LQ40" s="158" t="b">
        <v>0</v>
      </c>
      <c r="LR40" s="158" t="b">
        <v>0</v>
      </c>
      <c r="LS40" s="158" t="b">
        <v>0</v>
      </c>
      <c r="LT40" s="158" t="b">
        <v>0</v>
      </c>
      <c r="LU40" s="158" t="b">
        <v>0</v>
      </c>
      <c r="LV40" s="158" t="b">
        <v>0</v>
      </c>
      <c r="LW40" s="158" t="b">
        <v>0</v>
      </c>
      <c r="LX40" s="158" t="b">
        <v>0</v>
      </c>
      <c r="LY40" s="158" t="b">
        <v>0</v>
      </c>
      <c r="LZ40" s="158" t="b">
        <v>0</v>
      </c>
      <c r="MA40" s="158" t="b">
        <v>0</v>
      </c>
      <c r="MB40" s="158" t="b">
        <v>0</v>
      </c>
      <c r="MC40" s="158" t="b">
        <v>0</v>
      </c>
      <c r="MD40" s="158" t="b">
        <v>0</v>
      </c>
      <c r="ME40" s="158" t="b">
        <v>0</v>
      </c>
      <c r="MF40" s="158" t="b">
        <v>0</v>
      </c>
      <c r="MG40" s="158" t="b">
        <v>0</v>
      </c>
      <c r="MH40" s="158" t="b">
        <v>0</v>
      </c>
      <c r="MI40" s="158" t="b">
        <v>0</v>
      </c>
      <c r="MJ40" s="158" t="b">
        <v>0</v>
      </c>
      <c r="MK40" s="158" t="b">
        <v>0</v>
      </c>
      <c r="ML40" s="158" t="b">
        <v>0</v>
      </c>
      <c r="MM40" s="158" t="b">
        <v>0</v>
      </c>
      <c r="MN40" s="158" t="b">
        <v>0</v>
      </c>
      <c r="MO40" s="158" t="b">
        <v>0</v>
      </c>
      <c r="MP40" s="158" t="b">
        <v>0</v>
      </c>
      <c r="MQ40" s="158" t="b">
        <v>0</v>
      </c>
      <c r="MR40" s="158" t="b">
        <v>0</v>
      </c>
      <c r="MS40" s="158" t="b">
        <v>0</v>
      </c>
      <c r="MT40" s="158" t="b">
        <v>0</v>
      </c>
      <c r="MU40" s="158" t="b">
        <v>0</v>
      </c>
      <c r="MV40" s="158" t="b">
        <v>0</v>
      </c>
      <c r="MW40" s="158" t="b">
        <v>0</v>
      </c>
      <c r="MX40" s="158" t="b">
        <v>0</v>
      </c>
      <c r="MY40" s="158" t="b">
        <v>0</v>
      </c>
      <c r="MZ40" s="158" t="b">
        <v>0</v>
      </c>
      <c r="NA40" s="158" t="b">
        <v>0</v>
      </c>
      <c r="NB40" s="158" t="b">
        <v>0</v>
      </c>
      <c r="NC40" s="158" t="b">
        <v>0</v>
      </c>
      <c r="ND40" s="158" t="b">
        <v>0</v>
      </c>
      <c r="NE40" s="158" t="b">
        <v>0</v>
      </c>
      <c r="NF40" s="158" t="b">
        <v>0</v>
      </c>
      <c r="NG40" s="158" t="b">
        <v>0</v>
      </c>
      <c r="NH40" s="158" t="b">
        <v>0</v>
      </c>
      <c r="NI40" s="158" t="b">
        <v>0</v>
      </c>
      <c r="NJ40" s="158" t="b">
        <v>0</v>
      </c>
      <c r="NK40" s="158" t="b">
        <v>0</v>
      </c>
      <c r="NL40" s="158" t="b">
        <v>0</v>
      </c>
      <c r="NM40" s="158" t="b">
        <v>0</v>
      </c>
      <c r="NN40" s="158" t="b">
        <v>0</v>
      </c>
      <c r="NO40" s="158" t="b">
        <v>0</v>
      </c>
    </row>
    <row r="41" spans="1:379" ht="29.25" x14ac:dyDescent="0.4">
      <c r="A41" s="511" t="str">
        <v>Sprinkles Desserts</v>
      </c>
      <c r="B41" s="158" t="b">
        <v>0</v>
      </c>
      <c r="C41" s="158" t="b">
        <v>0</v>
      </c>
      <c r="D41" s="158" t="b">
        <v>0</v>
      </c>
      <c r="E41" s="158" t="b">
        <v>0</v>
      </c>
      <c r="F41" s="158" t="b">
        <v>0</v>
      </c>
      <c r="G41" s="158" t="b">
        <v>0</v>
      </c>
      <c r="H41" s="158" t="b">
        <v>0</v>
      </c>
      <c r="I41" s="158" t="b">
        <v>0</v>
      </c>
      <c r="J41" s="158" t="b">
        <v>0</v>
      </c>
      <c r="K41" s="158" t="b">
        <v>0</v>
      </c>
      <c r="L41" s="158" t="b">
        <v>0</v>
      </c>
      <c r="M41" s="158" t="b">
        <v>0</v>
      </c>
      <c r="N41" s="158" t="b">
        <v>0</v>
      </c>
      <c r="O41" s="158" t="b">
        <v>0</v>
      </c>
      <c r="P41" s="158" t="b">
        <v>0</v>
      </c>
      <c r="Q41" s="158" t="b">
        <v>0</v>
      </c>
      <c r="R41" s="158" t="b">
        <v>0</v>
      </c>
      <c r="S41" s="158" t="b">
        <v>0</v>
      </c>
      <c r="T41" s="158" t="b">
        <v>0</v>
      </c>
      <c r="U41" s="158" t="b">
        <v>0</v>
      </c>
      <c r="V41" s="158" t="b">
        <v>0</v>
      </c>
      <c r="W41" s="158" t="b">
        <v>0</v>
      </c>
      <c r="X41" s="158" t="b">
        <v>0</v>
      </c>
      <c r="Y41" s="158" t="b">
        <v>0</v>
      </c>
      <c r="Z41" s="158" t="b">
        <v>0</v>
      </c>
      <c r="AA41" s="158" t="b">
        <v>0</v>
      </c>
      <c r="AB41" s="158" t="b">
        <v>0</v>
      </c>
      <c r="AC41" s="158" t="b">
        <v>0</v>
      </c>
      <c r="AD41" s="158" t="b">
        <v>0</v>
      </c>
      <c r="AE41" s="158" t="b">
        <v>0</v>
      </c>
      <c r="AF41" s="158" t="b">
        <v>0</v>
      </c>
      <c r="AG41" s="158" t="b">
        <v>0</v>
      </c>
      <c r="AH41" s="158" t="b">
        <v>0</v>
      </c>
      <c r="AI41" s="158" t="b">
        <v>0</v>
      </c>
      <c r="AJ41" s="158" t="b">
        <v>0</v>
      </c>
      <c r="AK41" s="158" t="b">
        <v>0</v>
      </c>
      <c r="AL41" s="158" t="b">
        <v>0</v>
      </c>
      <c r="AM41" s="158" t="b">
        <v>0</v>
      </c>
      <c r="AN41" s="158" t="b">
        <v>0</v>
      </c>
      <c r="AO41" s="158" t="b">
        <v>0</v>
      </c>
      <c r="AP41" s="158" t="b">
        <v>0</v>
      </c>
      <c r="AQ41" s="158" t="b">
        <v>0</v>
      </c>
      <c r="AR41" s="158" t="b">
        <v>0</v>
      </c>
      <c r="AS41" s="158" t="b">
        <v>0</v>
      </c>
      <c r="AT41" s="158" t="b">
        <v>0</v>
      </c>
      <c r="AU41" s="158" t="b">
        <v>0</v>
      </c>
      <c r="AV41" s="158" t="b">
        <v>0</v>
      </c>
      <c r="AW41" s="158" t="b">
        <v>0</v>
      </c>
      <c r="AX41" s="158" t="b">
        <v>0</v>
      </c>
      <c r="AY41" s="158" t="b">
        <v>0</v>
      </c>
      <c r="AZ41" s="158" t="b">
        <v>0</v>
      </c>
      <c r="BA41" s="158" t="b">
        <v>0</v>
      </c>
      <c r="BB41" s="158" t="b">
        <v>0</v>
      </c>
      <c r="BC41" s="158" t="b">
        <v>0</v>
      </c>
      <c r="BD41" s="158" t="b">
        <v>0</v>
      </c>
      <c r="BE41" s="158" t="b">
        <v>0</v>
      </c>
      <c r="BF41" s="158" t="b">
        <v>0</v>
      </c>
      <c r="BG41" s="158" t="b">
        <v>0</v>
      </c>
      <c r="BH41" s="158" t="b">
        <v>0</v>
      </c>
      <c r="BI41" s="158" t="b">
        <v>0</v>
      </c>
      <c r="BJ41" s="158" t="b">
        <v>0</v>
      </c>
      <c r="BK41" s="158" t="b">
        <v>0</v>
      </c>
      <c r="BL41" s="158" t="b">
        <v>0</v>
      </c>
      <c r="BM41" s="158" t="b">
        <v>0</v>
      </c>
      <c r="BN41" s="158" t="b">
        <v>0</v>
      </c>
      <c r="BO41" s="158" t="b">
        <v>0</v>
      </c>
      <c r="BP41" s="158" t="b">
        <v>0</v>
      </c>
      <c r="BQ41" s="158" t="b">
        <v>0</v>
      </c>
      <c r="BR41" s="158" t="b">
        <v>0</v>
      </c>
      <c r="BS41" s="158" t="b">
        <v>0</v>
      </c>
      <c r="BT41" s="158" t="b">
        <v>0</v>
      </c>
      <c r="BU41" s="158" t="b">
        <v>0</v>
      </c>
      <c r="BV41" s="158" t="b">
        <v>0</v>
      </c>
      <c r="BW41" s="158" t="b">
        <v>0</v>
      </c>
      <c r="BX41" s="158" t="b">
        <v>0</v>
      </c>
      <c r="BY41" s="158" t="b">
        <v>0</v>
      </c>
      <c r="BZ41" s="158" t="b">
        <v>0</v>
      </c>
      <c r="CA41" s="158" t="b">
        <v>0</v>
      </c>
      <c r="CB41" s="158" t="b">
        <v>0</v>
      </c>
      <c r="CC41" s="158" t="b">
        <v>0</v>
      </c>
      <c r="CD41" s="158" t="b">
        <v>0</v>
      </c>
      <c r="CE41" s="158" t="b">
        <v>0</v>
      </c>
      <c r="CF41" s="158" t="b">
        <v>0</v>
      </c>
      <c r="CG41" s="158" t="b">
        <v>0</v>
      </c>
      <c r="CH41" s="158" t="b">
        <v>0</v>
      </c>
      <c r="CI41" s="158" t="b">
        <v>0</v>
      </c>
      <c r="CJ41" s="158" t="b">
        <v>0</v>
      </c>
      <c r="CK41" s="158" t="b">
        <v>0</v>
      </c>
      <c r="CL41" s="158" t="b">
        <v>0</v>
      </c>
      <c r="CM41" s="158" t="b">
        <v>0</v>
      </c>
      <c r="CN41" s="158" t="b">
        <v>0</v>
      </c>
      <c r="CO41" s="158" t="b">
        <v>0</v>
      </c>
      <c r="CP41" s="158" t="b">
        <v>0</v>
      </c>
      <c r="CQ41" s="158" t="b">
        <v>0</v>
      </c>
      <c r="CR41" s="158" t="b">
        <v>0</v>
      </c>
      <c r="CS41" s="158" t="b">
        <v>0</v>
      </c>
      <c r="CT41" s="158" t="b">
        <v>0</v>
      </c>
      <c r="CU41" s="93" t="b">
        <v>1</v>
      </c>
      <c r="CV41" s="158" t="b">
        <v>0</v>
      </c>
      <c r="CW41" s="158" t="b">
        <v>0</v>
      </c>
      <c r="CX41" s="158" t="b">
        <v>0</v>
      </c>
      <c r="CY41" s="158" t="b">
        <v>0</v>
      </c>
      <c r="CZ41" s="158" t="b">
        <v>0</v>
      </c>
      <c r="DA41" s="158" t="b">
        <v>0</v>
      </c>
      <c r="DB41" s="158" t="b">
        <v>0</v>
      </c>
      <c r="DC41" s="158" t="b">
        <v>0</v>
      </c>
      <c r="DD41" s="158" t="b">
        <v>0</v>
      </c>
      <c r="DE41" s="158" t="b">
        <v>0</v>
      </c>
      <c r="DF41" s="158" t="b">
        <v>0</v>
      </c>
      <c r="DG41" s="158" t="b">
        <v>0</v>
      </c>
      <c r="DH41" s="158" t="b">
        <v>0</v>
      </c>
      <c r="DI41" s="158" t="b">
        <v>0</v>
      </c>
      <c r="DJ41" s="158" t="b">
        <v>0</v>
      </c>
      <c r="DK41" s="158" t="b">
        <v>0</v>
      </c>
      <c r="DL41" s="158" t="b">
        <v>0</v>
      </c>
      <c r="DM41" s="158" t="b">
        <v>0</v>
      </c>
      <c r="DN41" s="158" t="b">
        <v>0</v>
      </c>
      <c r="DO41" s="158" t="b">
        <v>0</v>
      </c>
      <c r="DP41" s="158" t="b">
        <v>0</v>
      </c>
      <c r="DQ41" s="158" t="b">
        <v>0</v>
      </c>
      <c r="DR41" s="158" t="b">
        <v>0</v>
      </c>
      <c r="DS41" s="158" t="b">
        <v>0</v>
      </c>
      <c r="DT41" s="158" t="b">
        <v>0</v>
      </c>
      <c r="DU41" s="158" t="b">
        <v>0</v>
      </c>
      <c r="DV41" s="158" t="b">
        <v>0</v>
      </c>
      <c r="DW41" s="158" t="b">
        <v>0</v>
      </c>
      <c r="DX41" s="158" t="b">
        <v>0</v>
      </c>
      <c r="DY41" s="158" t="b">
        <v>0</v>
      </c>
      <c r="DZ41" s="158" t="b">
        <v>0</v>
      </c>
      <c r="EA41" s="158" t="b">
        <v>0</v>
      </c>
      <c r="EB41" s="158" t="b">
        <v>0</v>
      </c>
      <c r="EC41" s="158" t="b">
        <v>0</v>
      </c>
      <c r="ED41" s="158" t="b">
        <v>0</v>
      </c>
      <c r="EE41" s="158" t="b">
        <v>0</v>
      </c>
      <c r="EF41" s="158" t="b">
        <v>0</v>
      </c>
      <c r="EG41" s="158" t="b">
        <v>0</v>
      </c>
      <c r="EH41" s="158" t="b">
        <v>0</v>
      </c>
      <c r="EI41" s="158" t="b">
        <v>0</v>
      </c>
      <c r="EJ41" s="158" t="b">
        <v>0</v>
      </c>
      <c r="EK41" s="158" t="b">
        <v>0</v>
      </c>
      <c r="EL41" s="158" t="b">
        <v>0</v>
      </c>
      <c r="EM41" s="158" t="b">
        <v>0</v>
      </c>
      <c r="EN41" s="158" t="b">
        <v>0</v>
      </c>
      <c r="EO41" s="158" t="b">
        <v>0</v>
      </c>
      <c r="EP41" s="158" t="b">
        <v>0</v>
      </c>
      <c r="EQ41" s="158" t="b">
        <v>0</v>
      </c>
      <c r="ER41" s="158" t="b">
        <v>0</v>
      </c>
      <c r="ES41" s="158" t="b">
        <v>0</v>
      </c>
      <c r="ET41" s="158" t="b">
        <v>0</v>
      </c>
      <c r="EU41" s="158" t="b">
        <v>0</v>
      </c>
      <c r="EV41" s="158" t="b">
        <v>0</v>
      </c>
      <c r="EW41" s="158" t="b">
        <v>0</v>
      </c>
      <c r="EX41" s="158" t="b">
        <v>0</v>
      </c>
      <c r="EY41" s="158" t="b">
        <v>0</v>
      </c>
      <c r="EZ41" s="158" t="b">
        <v>0</v>
      </c>
      <c r="FA41" s="158" t="b">
        <v>0</v>
      </c>
      <c r="FB41" s="158" t="b">
        <v>0</v>
      </c>
      <c r="FC41" s="158" t="b">
        <v>0</v>
      </c>
      <c r="FD41" s="158" t="b">
        <v>0</v>
      </c>
      <c r="FE41" s="158" t="b">
        <v>0</v>
      </c>
      <c r="FF41" s="158" t="b">
        <v>0</v>
      </c>
      <c r="FG41" s="158" t="b">
        <v>0</v>
      </c>
      <c r="FH41" s="158" t="b">
        <v>0</v>
      </c>
      <c r="FI41" s="158" t="b">
        <v>0</v>
      </c>
      <c r="FJ41" s="158" t="b">
        <v>0</v>
      </c>
      <c r="FK41" s="158" t="b">
        <v>0</v>
      </c>
      <c r="FL41" s="158" t="b">
        <v>0</v>
      </c>
      <c r="FM41" s="158" t="b">
        <v>0</v>
      </c>
      <c r="FN41" s="158" t="b">
        <v>0</v>
      </c>
      <c r="FO41" s="158" t="b">
        <v>0</v>
      </c>
      <c r="FP41" s="158" t="b">
        <v>0</v>
      </c>
      <c r="FQ41" s="158" t="b">
        <v>0</v>
      </c>
      <c r="FR41" s="158" t="b">
        <v>0</v>
      </c>
      <c r="FS41" s="158" t="b">
        <v>0</v>
      </c>
      <c r="FT41" s="158" t="b">
        <v>0</v>
      </c>
      <c r="FU41" s="158" t="b">
        <v>0</v>
      </c>
      <c r="FV41" s="158" t="b">
        <v>0</v>
      </c>
      <c r="FW41" s="158" t="b">
        <v>0</v>
      </c>
      <c r="FX41" s="158" t="b">
        <v>0</v>
      </c>
      <c r="FY41" s="158" t="b">
        <v>0</v>
      </c>
      <c r="FZ41" s="158" t="b">
        <v>0</v>
      </c>
      <c r="GA41" s="158" t="b">
        <v>0</v>
      </c>
      <c r="GB41" s="158" t="b">
        <v>0</v>
      </c>
      <c r="GC41" s="158" t="b">
        <v>0</v>
      </c>
      <c r="GD41" s="158" t="b">
        <v>0</v>
      </c>
      <c r="GE41" s="158" t="b">
        <v>0</v>
      </c>
      <c r="GF41" s="158" t="b">
        <v>0</v>
      </c>
      <c r="GG41" s="158" t="b">
        <v>0</v>
      </c>
      <c r="GH41" s="158" t="b">
        <v>0</v>
      </c>
      <c r="GI41" s="158" t="b">
        <v>0</v>
      </c>
      <c r="GJ41" s="158" t="b">
        <v>0</v>
      </c>
      <c r="GK41" s="158" t="b">
        <v>0</v>
      </c>
      <c r="GL41" s="158" t="b">
        <v>0</v>
      </c>
      <c r="GM41" s="158" t="b">
        <v>0</v>
      </c>
      <c r="GN41" s="158" t="b">
        <v>0</v>
      </c>
      <c r="GO41" s="158" t="b">
        <v>0</v>
      </c>
      <c r="GP41" s="158" t="b">
        <v>0</v>
      </c>
      <c r="GQ41" s="158" t="b">
        <v>0</v>
      </c>
      <c r="GR41" s="158" t="b">
        <v>0</v>
      </c>
      <c r="GS41" s="158" t="b">
        <v>0</v>
      </c>
      <c r="GT41" s="158" t="b">
        <v>0</v>
      </c>
      <c r="GU41" s="158" t="b">
        <v>0</v>
      </c>
      <c r="GV41" s="158" t="b">
        <v>0</v>
      </c>
      <c r="GW41" s="158" t="b">
        <v>0</v>
      </c>
      <c r="GX41" s="158" t="b">
        <v>0</v>
      </c>
      <c r="GY41" s="158" t="b">
        <v>0</v>
      </c>
      <c r="GZ41" s="158" t="b">
        <v>0</v>
      </c>
      <c r="HA41" s="158" t="b">
        <v>0</v>
      </c>
      <c r="HB41" s="158" t="b">
        <v>0</v>
      </c>
      <c r="HC41" s="158" t="b">
        <v>0</v>
      </c>
      <c r="HD41" s="158" t="b">
        <v>0</v>
      </c>
      <c r="HE41" s="158" t="b">
        <v>0</v>
      </c>
      <c r="HF41" s="158" t="b">
        <v>0</v>
      </c>
      <c r="HG41" s="158" t="b">
        <v>0</v>
      </c>
      <c r="HH41" s="158" t="b">
        <v>0</v>
      </c>
      <c r="HI41" s="158" t="b">
        <v>0</v>
      </c>
      <c r="HJ41" s="158" t="b">
        <v>0</v>
      </c>
      <c r="HK41" s="158" t="b">
        <v>0</v>
      </c>
      <c r="HL41" s="158" t="b">
        <v>0</v>
      </c>
      <c r="HM41" s="158" t="b">
        <v>0</v>
      </c>
      <c r="HN41" s="158" t="b">
        <v>0</v>
      </c>
      <c r="HO41" s="158" t="b">
        <v>0</v>
      </c>
      <c r="HP41" s="158" t="b">
        <v>0</v>
      </c>
      <c r="HQ41" s="158" t="b">
        <v>0</v>
      </c>
      <c r="HR41" s="158" t="b">
        <v>0</v>
      </c>
      <c r="HS41" s="158" t="b">
        <v>0</v>
      </c>
      <c r="HT41" s="158" t="b">
        <v>0</v>
      </c>
      <c r="HU41" s="158" t="b">
        <v>0</v>
      </c>
      <c r="HV41" s="158" t="b">
        <v>0</v>
      </c>
      <c r="HW41" s="158" t="b">
        <v>0</v>
      </c>
      <c r="HX41" s="158" t="b">
        <v>0</v>
      </c>
      <c r="HY41" s="158" t="b">
        <v>0</v>
      </c>
      <c r="HZ41" s="158" t="b">
        <v>0</v>
      </c>
      <c r="IA41" s="158" t="b">
        <v>0</v>
      </c>
      <c r="IB41" s="158" t="b">
        <v>0</v>
      </c>
      <c r="IC41" s="158" t="b">
        <v>0</v>
      </c>
      <c r="ID41" s="158" t="b">
        <v>0</v>
      </c>
      <c r="IE41" s="158" t="b">
        <v>0</v>
      </c>
      <c r="IF41" s="158" t="b">
        <v>0</v>
      </c>
      <c r="IG41" s="158" t="b">
        <v>0</v>
      </c>
      <c r="IH41" s="158" t="b">
        <v>0</v>
      </c>
      <c r="II41" s="158" t="b">
        <v>0</v>
      </c>
      <c r="IJ41" s="158" t="b">
        <v>0</v>
      </c>
      <c r="IK41" s="158" t="b">
        <v>0</v>
      </c>
      <c r="IL41" s="158" t="b">
        <v>0</v>
      </c>
      <c r="IM41" s="158" t="b">
        <v>0</v>
      </c>
      <c r="IN41" s="158" t="b">
        <v>0</v>
      </c>
      <c r="IO41" s="158" t="b">
        <v>0</v>
      </c>
      <c r="IP41" s="158" t="b">
        <v>0</v>
      </c>
      <c r="IQ41" s="158" t="b">
        <v>0</v>
      </c>
      <c r="IR41" s="158" t="b">
        <v>0</v>
      </c>
      <c r="IS41" s="158" t="b">
        <v>0</v>
      </c>
      <c r="IT41" s="158" t="b">
        <v>0</v>
      </c>
      <c r="IU41" s="158" t="b">
        <v>0</v>
      </c>
      <c r="IV41" s="158" t="b">
        <v>0</v>
      </c>
      <c r="IW41" s="158" t="b">
        <v>0</v>
      </c>
      <c r="IX41" s="158" t="b">
        <v>0</v>
      </c>
      <c r="IY41" s="158" t="b">
        <v>0</v>
      </c>
      <c r="IZ41" s="158" t="b">
        <v>0</v>
      </c>
      <c r="JA41" s="158" t="b">
        <v>0</v>
      </c>
      <c r="JB41" s="158" t="b">
        <v>0</v>
      </c>
      <c r="JC41" s="158" t="b">
        <v>0</v>
      </c>
      <c r="JD41" s="158" t="b">
        <v>0</v>
      </c>
      <c r="JE41" s="158" t="b">
        <v>0</v>
      </c>
      <c r="JF41" s="158" t="b">
        <v>0</v>
      </c>
      <c r="JG41" s="158" t="b">
        <v>0</v>
      </c>
      <c r="JH41" s="158" t="b">
        <v>0</v>
      </c>
      <c r="JI41" s="158" t="b">
        <v>0</v>
      </c>
      <c r="JJ41" s="158" t="b">
        <v>0</v>
      </c>
      <c r="JK41" s="158" t="b">
        <v>0</v>
      </c>
      <c r="JL41" s="158" t="b">
        <v>0</v>
      </c>
      <c r="JM41" s="158" t="b">
        <v>0</v>
      </c>
      <c r="JN41" s="158" t="b">
        <v>0</v>
      </c>
      <c r="JO41" s="158" t="b">
        <v>0</v>
      </c>
      <c r="JP41" s="158" t="b">
        <v>0</v>
      </c>
      <c r="JQ41" s="158" t="b">
        <v>0</v>
      </c>
      <c r="JR41" s="158" t="b">
        <v>0</v>
      </c>
      <c r="JS41" s="158" t="b">
        <v>0</v>
      </c>
      <c r="JT41" s="158" t="b">
        <v>0</v>
      </c>
      <c r="JU41" s="158" t="b">
        <v>0</v>
      </c>
      <c r="JV41" s="158" t="b">
        <v>0</v>
      </c>
      <c r="JW41" s="158" t="b">
        <v>0</v>
      </c>
      <c r="JX41" s="158" t="b">
        <v>0</v>
      </c>
      <c r="JY41" s="158" t="b">
        <v>0</v>
      </c>
      <c r="JZ41" s="158" t="b">
        <v>0</v>
      </c>
      <c r="KA41" s="158" t="b">
        <v>0</v>
      </c>
      <c r="KB41" s="158" t="b">
        <v>0</v>
      </c>
      <c r="KC41" s="158" t="b">
        <v>0</v>
      </c>
      <c r="KD41" s="158" t="b">
        <v>0</v>
      </c>
      <c r="KE41" s="158" t="b">
        <v>0</v>
      </c>
      <c r="KF41" s="158" t="b">
        <v>0</v>
      </c>
      <c r="KG41" s="158" t="b">
        <v>0</v>
      </c>
      <c r="KH41" s="158" t="b">
        <v>0</v>
      </c>
      <c r="KI41" s="158" t="b">
        <v>0</v>
      </c>
      <c r="KJ41" s="158" t="b">
        <v>0</v>
      </c>
      <c r="KK41" s="158" t="b">
        <v>0</v>
      </c>
      <c r="KL41" s="158" t="b">
        <v>0</v>
      </c>
      <c r="KM41" s="158" t="b">
        <v>0</v>
      </c>
      <c r="KN41" s="158" t="b">
        <v>0</v>
      </c>
      <c r="KO41" s="158" t="b">
        <v>0</v>
      </c>
      <c r="KP41" s="158" t="b">
        <v>0</v>
      </c>
      <c r="KQ41" s="158" t="b">
        <v>0</v>
      </c>
      <c r="KR41" s="158" t="b">
        <v>0</v>
      </c>
      <c r="KS41" s="158" t="b">
        <v>0</v>
      </c>
      <c r="KT41" s="158" t="b">
        <v>0</v>
      </c>
      <c r="KU41" s="158" t="b">
        <v>0</v>
      </c>
      <c r="KV41" s="158" t="b">
        <v>0</v>
      </c>
      <c r="KW41" s="158" t="b">
        <v>0</v>
      </c>
      <c r="KX41" s="158" t="b">
        <v>0</v>
      </c>
      <c r="KY41" s="158" t="b">
        <v>0</v>
      </c>
      <c r="KZ41" s="158" t="b">
        <v>0</v>
      </c>
      <c r="LA41" s="158" t="b">
        <v>0</v>
      </c>
      <c r="LB41" s="158" t="b">
        <v>0</v>
      </c>
      <c r="LC41" s="158" t="b">
        <v>0</v>
      </c>
      <c r="LD41" s="158" t="b">
        <v>0</v>
      </c>
      <c r="LE41" s="158" t="b">
        <v>0</v>
      </c>
      <c r="LF41" s="158" t="b">
        <v>0</v>
      </c>
      <c r="LG41" s="158" t="b">
        <v>0</v>
      </c>
      <c r="LH41" s="158" t="b">
        <v>0</v>
      </c>
      <c r="LI41" s="158" t="b">
        <v>0</v>
      </c>
      <c r="LJ41" s="158" t="b">
        <v>0</v>
      </c>
      <c r="LK41" s="158" t="b">
        <v>0</v>
      </c>
      <c r="LL41" s="158" t="b">
        <v>0</v>
      </c>
      <c r="LM41" s="158" t="b">
        <v>0</v>
      </c>
      <c r="LN41" s="158" t="b">
        <v>0</v>
      </c>
      <c r="LO41" s="158" t="b">
        <v>0</v>
      </c>
      <c r="LP41" s="158" t="b">
        <v>0</v>
      </c>
      <c r="LQ41" s="158" t="b">
        <v>0</v>
      </c>
      <c r="LR41" s="158" t="b">
        <v>0</v>
      </c>
      <c r="LS41" s="158" t="b">
        <v>0</v>
      </c>
      <c r="LT41" s="158" t="b">
        <v>0</v>
      </c>
      <c r="LU41" s="158" t="b">
        <v>0</v>
      </c>
      <c r="LV41" s="158" t="b">
        <v>0</v>
      </c>
      <c r="LW41" s="158" t="b">
        <v>0</v>
      </c>
      <c r="LX41" s="158" t="b">
        <v>0</v>
      </c>
      <c r="LY41" s="158" t="b">
        <v>0</v>
      </c>
      <c r="LZ41" s="158" t="b">
        <v>0</v>
      </c>
      <c r="MA41" s="158" t="b">
        <v>0</v>
      </c>
      <c r="MB41" s="158" t="b">
        <v>0</v>
      </c>
      <c r="MC41" s="158" t="b">
        <v>0</v>
      </c>
      <c r="MD41" s="158" t="b">
        <v>0</v>
      </c>
      <c r="ME41" s="158" t="b">
        <v>0</v>
      </c>
      <c r="MF41" s="158" t="b">
        <v>0</v>
      </c>
      <c r="MG41" s="158" t="b">
        <v>0</v>
      </c>
      <c r="MH41" s="158" t="b">
        <v>0</v>
      </c>
      <c r="MI41" s="158" t="b">
        <v>0</v>
      </c>
      <c r="MJ41" s="158" t="b">
        <v>0</v>
      </c>
      <c r="MK41" s="158" t="b">
        <v>0</v>
      </c>
      <c r="ML41" s="158" t="b">
        <v>0</v>
      </c>
      <c r="MM41" s="158" t="b">
        <v>0</v>
      </c>
      <c r="MN41" s="158" t="b">
        <v>0</v>
      </c>
      <c r="MO41" s="158" t="b">
        <v>0</v>
      </c>
      <c r="MP41" s="158" t="b">
        <v>0</v>
      </c>
      <c r="MQ41" s="158" t="b">
        <v>0</v>
      </c>
      <c r="MR41" s="158" t="b">
        <v>0</v>
      </c>
      <c r="MS41" s="158" t="b">
        <v>0</v>
      </c>
      <c r="MT41" s="158" t="b">
        <v>0</v>
      </c>
      <c r="MU41" s="158" t="b">
        <v>0</v>
      </c>
      <c r="MV41" s="158" t="b">
        <v>0</v>
      </c>
      <c r="MW41" s="158" t="b">
        <v>0</v>
      </c>
      <c r="MX41" s="158" t="b">
        <v>0</v>
      </c>
      <c r="MY41" s="158" t="b">
        <v>0</v>
      </c>
      <c r="MZ41" s="158" t="b">
        <v>0</v>
      </c>
      <c r="NA41" s="158" t="b">
        <v>0</v>
      </c>
      <c r="NB41" s="158" t="b">
        <v>0</v>
      </c>
      <c r="NC41" s="158" t="b">
        <v>0</v>
      </c>
      <c r="ND41" s="158" t="b">
        <v>0</v>
      </c>
      <c r="NE41" s="158" t="b">
        <v>0</v>
      </c>
      <c r="NF41" s="158" t="b">
        <v>0</v>
      </c>
      <c r="NG41" s="158" t="b">
        <v>0</v>
      </c>
      <c r="NH41" s="158" t="b">
        <v>0</v>
      </c>
      <c r="NI41" s="158" t="b">
        <v>0</v>
      </c>
      <c r="NJ41" s="158" t="b">
        <v>0</v>
      </c>
      <c r="NK41" s="158" t="b">
        <v>0</v>
      </c>
      <c r="NL41" s="158" t="b">
        <v>0</v>
      </c>
      <c r="NM41" s="158" t="b">
        <v>0</v>
      </c>
      <c r="NN41" s="158" t="b">
        <v>0</v>
      </c>
      <c r="NO41" s="158" t="b">
        <v>0</v>
      </c>
    </row>
    <row r="42" spans="1:379" ht="29.25" x14ac:dyDescent="0.4">
      <c r="A42" s="509" t="str">
        <v xml:space="preserve">Ice Cream Vans </v>
      </c>
      <c r="B42" s="158" t="b">
        <v>0</v>
      </c>
      <c r="C42" s="158" t="b">
        <v>0</v>
      </c>
      <c r="D42" s="158" t="b">
        <v>0</v>
      </c>
      <c r="E42" s="158" t="b">
        <v>0</v>
      </c>
      <c r="F42" s="158" t="b">
        <v>0</v>
      </c>
      <c r="G42" s="158" t="b">
        <v>0</v>
      </c>
      <c r="H42" s="158" t="b">
        <v>0</v>
      </c>
      <c r="I42" s="158" t="b">
        <v>0</v>
      </c>
      <c r="J42" s="158" t="b">
        <v>0</v>
      </c>
      <c r="K42" s="158" t="b">
        <v>0</v>
      </c>
      <c r="L42" s="158" t="b">
        <v>0</v>
      </c>
      <c r="M42" s="158" t="b">
        <v>0</v>
      </c>
      <c r="N42" s="158" t="b">
        <v>0</v>
      </c>
      <c r="O42" s="158" t="b">
        <v>0</v>
      </c>
      <c r="P42" s="158" t="b">
        <v>0</v>
      </c>
      <c r="Q42" s="158" t="b">
        <v>0</v>
      </c>
      <c r="R42" s="158" t="b">
        <v>0</v>
      </c>
      <c r="S42" s="158" t="b">
        <v>0</v>
      </c>
      <c r="T42" s="158" t="b">
        <v>0</v>
      </c>
      <c r="U42" s="158" t="b">
        <v>0</v>
      </c>
      <c r="V42" s="158" t="b">
        <v>0</v>
      </c>
      <c r="W42" s="158" t="b">
        <v>0</v>
      </c>
      <c r="X42" s="158" t="b">
        <v>0</v>
      </c>
      <c r="Y42" s="158" t="b">
        <v>0</v>
      </c>
      <c r="Z42" s="158" t="b">
        <v>0</v>
      </c>
      <c r="AA42" s="158" t="b">
        <v>0</v>
      </c>
      <c r="AB42" s="158" t="b">
        <v>0</v>
      </c>
      <c r="AC42" s="158" t="b">
        <v>0</v>
      </c>
      <c r="AD42" s="158" t="b">
        <v>0</v>
      </c>
      <c r="AE42" s="158" t="b">
        <v>0</v>
      </c>
      <c r="AF42" s="158" t="b">
        <v>0</v>
      </c>
      <c r="AG42" s="158" t="b">
        <v>0</v>
      </c>
      <c r="AH42" s="158" t="b">
        <v>0</v>
      </c>
      <c r="AI42" s="158" t="b">
        <v>0</v>
      </c>
      <c r="AJ42" s="158" t="b">
        <v>0</v>
      </c>
      <c r="AK42" s="158" t="b">
        <v>0</v>
      </c>
      <c r="AL42" s="158" t="b">
        <v>0</v>
      </c>
      <c r="AM42" s="158" t="b">
        <v>0</v>
      </c>
      <c r="AN42" s="158" t="b">
        <v>0</v>
      </c>
      <c r="AO42" s="158" t="b">
        <v>0</v>
      </c>
      <c r="AP42" s="158" t="b">
        <v>0</v>
      </c>
      <c r="AQ42" s="158" t="b">
        <v>0</v>
      </c>
      <c r="AR42" s="158" t="b">
        <v>0</v>
      </c>
      <c r="AS42" s="158" t="b">
        <v>0</v>
      </c>
      <c r="AT42" s="158" t="b">
        <v>0</v>
      </c>
      <c r="AU42" s="158" t="b">
        <v>0</v>
      </c>
      <c r="AV42" s="158" t="b">
        <v>0</v>
      </c>
      <c r="AW42" s="158" t="b">
        <v>0</v>
      </c>
      <c r="AX42" s="158" t="b">
        <v>0</v>
      </c>
      <c r="AY42" s="158" t="b">
        <v>0</v>
      </c>
      <c r="AZ42" s="158" t="b">
        <v>0</v>
      </c>
      <c r="BA42" s="158" t="b">
        <v>0</v>
      </c>
      <c r="BB42" s="158" t="b">
        <v>0</v>
      </c>
      <c r="BC42" s="158" t="b">
        <v>0</v>
      </c>
      <c r="BD42" s="158" t="b">
        <v>0</v>
      </c>
      <c r="BE42" s="158" t="b">
        <v>0</v>
      </c>
      <c r="BF42" s="158" t="b">
        <v>0</v>
      </c>
      <c r="BG42" s="158" t="b">
        <v>0</v>
      </c>
      <c r="BH42" s="158" t="b">
        <v>0</v>
      </c>
      <c r="BI42" s="158" t="b">
        <v>0</v>
      </c>
      <c r="BJ42" s="158" t="b">
        <v>0</v>
      </c>
      <c r="BK42" s="158" t="b">
        <v>0</v>
      </c>
      <c r="BL42" s="158" t="b">
        <v>0</v>
      </c>
      <c r="BM42" s="158" t="b">
        <v>0</v>
      </c>
      <c r="BN42" s="158" t="b">
        <v>0</v>
      </c>
      <c r="BO42" s="158" t="b">
        <v>0</v>
      </c>
      <c r="BP42" s="158" t="b">
        <v>0</v>
      </c>
      <c r="BQ42" s="158" t="b">
        <v>0</v>
      </c>
      <c r="BR42" s="158" t="b">
        <v>0</v>
      </c>
      <c r="BS42" s="158" t="b">
        <v>0</v>
      </c>
      <c r="BT42" s="158" t="b">
        <v>0</v>
      </c>
      <c r="BU42" s="158" t="b">
        <v>0</v>
      </c>
      <c r="BV42" s="158" t="b">
        <v>0</v>
      </c>
      <c r="BW42" s="158" t="b">
        <v>0</v>
      </c>
      <c r="BX42" s="158" t="b">
        <v>0</v>
      </c>
      <c r="BY42" s="158" t="b">
        <v>0</v>
      </c>
      <c r="BZ42" s="158" t="b">
        <v>0</v>
      </c>
      <c r="CA42" s="158" t="b">
        <v>0</v>
      </c>
      <c r="CB42" s="158" t="b">
        <v>0</v>
      </c>
      <c r="CC42" s="158" t="b">
        <v>0</v>
      </c>
      <c r="CD42" s="158" t="b">
        <v>0</v>
      </c>
      <c r="CE42" s="158" t="b">
        <v>0</v>
      </c>
      <c r="CF42" s="158" t="b">
        <v>0</v>
      </c>
      <c r="CG42" s="158" t="b">
        <v>0</v>
      </c>
      <c r="CH42" s="158" t="b">
        <v>0</v>
      </c>
      <c r="CI42" s="158" t="b">
        <v>0</v>
      </c>
      <c r="CJ42" s="158" t="b">
        <v>0</v>
      </c>
      <c r="CK42" s="158" t="b">
        <v>0</v>
      </c>
      <c r="CL42" s="158" t="b">
        <v>0</v>
      </c>
      <c r="CM42" s="158" t="b">
        <v>0</v>
      </c>
      <c r="CN42" s="158" t="b">
        <v>0</v>
      </c>
      <c r="CO42" s="158" t="b">
        <v>0</v>
      </c>
      <c r="CP42" s="158" t="b">
        <v>0</v>
      </c>
      <c r="CQ42" s="158" t="b">
        <v>0</v>
      </c>
      <c r="CR42" s="158" t="b">
        <v>0</v>
      </c>
      <c r="CS42" s="158" t="b">
        <v>0</v>
      </c>
      <c r="CT42" s="158" t="b">
        <v>0</v>
      </c>
      <c r="CU42" s="158" t="b">
        <v>0</v>
      </c>
      <c r="CV42" s="158" t="b">
        <v>0</v>
      </c>
      <c r="CW42" s="158" t="b">
        <v>0</v>
      </c>
      <c r="CX42" s="158" t="b">
        <v>0</v>
      </c>
      <c r="CY42" s="158" t="b">
        <v>0</v>
      </c>
      <c r="CZ42" s="158" t="b">
        <v>0</v>
      </c>
      <c r="DA42" s="158" t="b">
        <v>0</v>
      </c>
      <c r="DB42" s="158" t="b">
        <v>0</v>
      </c>
      <c r="DC42" s="158" t="b">
        <v>0</v>
      </c>
      <c r="DD42" s="158" t="b">
        <v>0</v>
      </c>
      <c r="DE42" s="158" t="b">
        <v>0</v>
      </c>
      <c r="DF42" s="158" t="b">
        <v>0</v>
      </c>
      <c r="DG42" s="158" t="b">
        <v>0</v>
      </c>
      <c r="DH42" s="158" t="b">
        <v>0</v>
      </c>
      <c r="DI42" s="158" t="b">
        <v>0</v>
      </c>
      <c r="DJ42" s="158" t="b">
        <v>0</v>
      </c>
      <c r="DK42" s="158" t="b">
        <v>0</v>
      </c>
      <c r="DL42" s="158" t="b">
        <v>0</v>
      </c>
      <c r="DM42" s="158" t="b">
        <v>0</v>
      </c>
      <c r="DN42" s="158" t="b">
        <v>0</v>
      </c>
      <c r="DO42" s="158" t="b">
        <v>0</v>
      </c>
      <c r="DP42" s="158" t="b">
        <v>0</v>
      </c>
      <c r="DQ42" s="158" t="b">
        <v>0</v>
      </c>
      <c r="DR42" s="158" t="b">
        <v>0</v>
      </c>
      <c r="DS42" s="158" t="b">
        <v>0</v>
      </c>
      <c r="DT42" s="158" t="b">
        <v>0</v>
      </c>
      <c r="DU42" s="158" t="b">
        <v>0</v>
      </c>
      <c r="DV42" s="158" t="b">
        <v>0</v>
      </c>
      <c r="DW42" s="158" t="b">
        <v>0</v>
      </c>
      <c r="DX42" s="158" t="b">
        <v>0</v>
      </c>
      <c r="DY42" s="158" t="b">
        <v>0</v>
      </c>
      <c r="DZ42" s="158" t="b">
        <v>0</v>
      </c>
      <c r="EA42" s="158" t="b">
        <v>0</v>
      </c>
      <c r="EB42" s="158" t="b">
        <v>0</v>
      </c>
      <c r="EC42" s="158" t="b">
        <v>0</v>
      </c>
      <c r="ED42" s="158" t="b">
        <v>0</v>
      </c>
      <c r="EE42" s="158" t="b">
        <v>0</v>
      </c>
      <c r="EF42" s="158" t="b">
        <v>0</v>
      </c>
      <c r="EG42" s="158" t="b">
        <v>0</v>
      </c>
      <c r="EH42" s="158" t="b">
        <v>0</v>
      </c>
      <c r="EI42" s="158" t="b">
        <v>0</v>
      </c>
      <c r="EJ42" s="158" t="b">
        <v>0</v>
      </c>
      <c r="EK42" s="158" t="b">
        <v>0</v>
      </c>
      <c r="EL42" s="158" t="b">
        <v>0</v>
      </c>
      <c r="EM42" s="158" t="b">
        <v>0</v>
      </c>
      <c r="EN42" s="158" t="b">
        <v>0</v>
      </c>
      <c r="EO42" s="158" t="b">
        <v>0</v>
      </c>
      <c r="EP42" s="158" t="b">
        <v>0</v>
      </c>
      <c r="EQ42" s="158" t="b">
        <v>0</v>
      </c>
      <c r="ER42" s="158" t="b">
        <v>0</v>
      </c>
      <c r="ES42" s="158" t="b">
        <v>0</v>
      </c>
      <c r="ET42" s="158" t="b">
        <v>0</v>
      </c>
      <c r="EU42" s="158" t="b">
        <v>0</v>
      </c>
      <c r="EV42" s="158" t="b">
        <v>0</v>
      </c>
      <c r="EW42" s="158" t="b">
        <v>0</v>
      </c>
      <c r="EX42" s="158" t="b">
        <v>0</v>
      </c>
      <c r="EY42" s="158" t="b">
        <v>0</v>
      </c>
      <c r="EZ42" s="158" t="b">
        <v>0</v>
      </c>
      <c r="FA42" s="158" t="b">
        <v>0</v>
      </c>
      <c r="FB42" s="158" t="b">
        <v>0</v>
      </c>
      <c r="FC42" s="158" t="b">
        <v>0</v>
      </c>
      <c r="FD42" s="158" t="b">
        <v>0</v>
      </c>
      <c r="FE42" s="158" t="b">
        <v>0</v>
      </c>
      <c r="FF42" s="158" t="b">
        <v>0</v>
      </c>
      <c r="FG42" s="158" t="b">
        <v>0</v>
      </c>
      <c r="FH42" s="158" t="b">
        <v>0</v>
      </c>
      <c r="FI42" s="158" t="b">
        <v>0</v>
      </c>
      <c r="FJ42" s="158" t="b">
        <v>0</v>
      </c>
      <c r="FK42" s="158" t="b">
        <v>0</v>
      </c>
      <c r="FL42" s="158" t="b">
        <v>0</v>
      </c>
      <c r="FM42" s="158" t="b">
        <v>0</v>
      </c>
      <c r="FN42" s="158" t="b">
        <v>0</v>
      </c>
      <c r="FO42" s="158" t="b">
        <v>0</v>
      </c>
      <c r="FP42" s="158" t="b">
        <v>0</v>
      </c>
      <c r="FQ42" s="158" t="b">
        <v>0</v>
      </c>
      <c r="FR42" s="158" t="b">
        <v>0</v>
      </c>
      <c r="FS42" s="158" t="b">
        <v>0</v>
      </c>
      <c r="FT42" s="158" t="b">
        <v>0</v>
      </c>
      <c r="FU42" s="158" t="b">
        <v>0</v>
      </c>
      <c r="FV42" s="158" t="b">
        <v>0</v>
      </c>
      <c r="FW42" s="158" t="b">
        <v>0</v>
      </c>
      <c r="FX42" s="158" t="b">
        <v>0</v>
      </c>
      <c r="FY42" s="158" t="b">
        <v>0</v>
      </c>
      <c r="FZ42" s="158" t="b">
        <v>0</v>
      </c>
      <c r="GA42" s="158" t="b">
        <v>0</v>
      </c>
      <c r="GB42" s="158" t="b">
        <v>0</v>
      </c>
      <c r="GC42" s="158" t="b">
        <v>0</v>
      </c>
      <c r="GD42" s="158" t="b">
        <v>0</v>
      </c>
      <c r="GE42" s="158" t="b">
        <v>0</v>
      </c>
      <c r="GF42" s="158" t="b">
        <v>0</v>
      </c>
      <c r="GG42" s="158" t="b">
        <v>0</v>
      </c>
      <c r="GH42" s="158" t="b">
        <v>0</v>
      </c>
      <c r="GI42" s="158" t="b">
        <v>0</v>
      </c>
      <c r="GJ42" s="158" t="b">
        <v>0</v>
      </c>
      <c r="GK42" s="158" t="b">
        <v>0</v>
      </c>
      <c r="GL42" s="158" t="b">
        <v>0</v>
      </c>
      <c r="GM42" s="158" t="b">
        <v>0</v>
      </c>
      <c r="GN42" s="158" t="b">
        <v>0</v>
      </c>
      <c r="GO42" s="158" t="b">
        <v>0</v>
      </c>
      <c r="GP42" s="158" t="b">
        <v>0</v>
      </c>
      <c r="GQ42" s="158" t="b">
        <v>0</v>
      </c>
      <c r="GR42" s="158" t="b">
        <v>0</v>
      </c>
      <c r="GS42" s="158" t="b">
        <v>0</v>
      </c>
      <c r="GT42" s="158" t="b">
        <v>0</v>
      </c>
      <c r="GU42" s="158" t="b">
        <v>0</v>
      </c>
      <c r="GV42" s="158" t="b">
        <v>0</v>
      </c>
      <c r="GW42" s="158" t="b">
        <v>0</v>
      </c>
      <c r="GX42" s="158" t="b">
        <v>0</v>
      </c>
      <c r="GY42" s="158" t="b">
        <v>0</v>
      </c>
      <c r="GZ42" s="158" t="b">
        <v>0</v>
      </c>
      <c r="HA42" s="158" t="b">
        <v>0</v>
      </c>
      <c r="HB42" s="158" t="b">
        <v>0</v>
      </c>
      <c r="HC42" s="158" t="b">
        <v>0</v>
      </c>
      <c r="HD42" s="158" t="b">
        <v>0</v>
      </c>
      <c r="HE42" s="158" t="b">
        <v>0</v>
      </c>
      <c r="HF42" s="158" t="b">
        <v>0</v>
      </c>
      <c r="HG42" s="158" t="b">
        <v>0</v>
      </c>
      <c r="HH42" s="158" t="b">
        <v>0</v>
      </c>
      <c r="HI42" s="158" t="b">
        <v>0</v>
      </c>
      <c r="HJ42" s="158" t="b">
        <v>0</v>
      </c>
      <c r="HK42" s="158" t="b">
        <v>0</v>
      </c>
      <c r="HL42" s="158" t="b">
        <v>0</v>
      </c>
      <c r="HM42" s="158" t="b">
        <v>0</v>
      </c>
      <c r="HN42" s="158" t="b">
        <v>0</v>
      </c>
      <c r="HO42" s="158" t="b">
        <v>0</v>
      </c>
      <c r="HP42" s="158" t="b">
        <v>0</v>
      </c>
      <c r="HQ42" s="158" t="b">
        <v>0</v>
      </c>
      <c r="HR42" s="158" t="b">
        <v>0</v>
      </c>
      <c r="HS42" s="158" t="b">
        <v>0</v>
      </c>
      <c r="HT42" s="158" t="b">
        <v>0</v>
      </c>
      <c r="HU42" s="158" t="b">
        <v>0</v>
      </c>
      <c r="HV42" s="158" t="b">
        <v>0</v>
      </c>
      <c r="HW42" s="158" t="b">
        <v>0</v>
      </c>
      <c r="HX42" s="158" t="b">
        <v>0</v>
      </c>
      <c r="HY42" s="158" t="b">
        <v>0</v>
      </c>
      <c r="HZ42" s="158" t="b">
        <v>0</v>
      </c>
      <c r="IA42" s="158" t="b">
        <v>0</v>
      </c>
      <c r="IB42" s="158" t="b">
        <v>0</v>
      </c>
      <c r="IC42" s="158" t="b">
        <v>0</v>
      </c>
      <c r="ID42" s="158" t="b">
        <v>0</v>
      </c>
      <c r="IE42" s="158" t="b">
        <v>0</v>
      </c>
      <c r="IF42" s="158" t="b">
        <v>0</v>
      </c>
      <c r="IG42" s="158" t="b">
        <v>0</v>
      </c>
      <c r="IH42" s="158" t="b">
        <v>0</v>
      </c>
      <c r="II42" s="158" t="b">
        <v>0</v>
      </c>
      <c r="IJ42" s="158" t="b">
        <v>0</v>
      </c>
      <c r="IK42" s="158" t="b">
        <v>0</v>
      </c>
      <c r="IL42" s="158" t="b">
        <v>0</v>
      </c>
      <c r="IM42" s="158" t="b">
        <v>0</v>
      </c>
      <c r="IN42" s="158" t="b">
        <v>0</v>
      </c>
      <c r="IO42" s="158" t="b">
        <v>0</v>
      </c>
      <c r="IP42" s="158" t="b">
        <v>0</v>
      </c>
      <c r="IQ42" s="158" t="b">
        <v>0</v>
      </c>
      <c r="IR42" s="158" t="b">
        <v>0</v>
      </c>
      <c r="IS42" s="158" t="b">
        <v>0</v>
      </c>
      <c r="IT42" s="158" t="b">
        <v>0</v>
      </c>
      <c r="IU42" s="158" t="b">
        <v>0</v>
      </c>
      <c r="IV42" s="158" t="b">
        <v>0</v>
      </c>
      <c r="IW42" s="158" t="b">
        <v>0</v>
      </c>
      <c r="IX42" s="158" t="b">
        <v>0</v>
      </c>
      <c r="IY42" s="158" t="b">
        <v>0</v>
      </c>
      <c r="IZ42" s="158" t="b">
        <v>0</v>
      </c>
      <c r="JA42" s="158" t="b">
        <v>0</v>
      </c>
      <c r="JB42" s="158" t="b">
        <v>0</v>
      </c>
      <c r="JC42" s="158" t="b">
        <v>0</v>
      </c>
      <c r="JD42" s="158" t="b">
        <v>0</v>
      </c>
      <c r="JE42" s="158" t="b">
        <v>0</v>
      </c>
      <c r="JF42" s="158" t="b">
        <v>0</v>
      </c>
      <c r="JG42" s="158" t="b">
        <v>0</v>
      </c>
      <c r="JH42" s="158" t="b">
        <v>0</v>
      </c>
      <c r="JI42" s="158" t="b">
        <v>0</v>
      </c>
      <c r="JJ42" s="158" t="b">
        <v>0</v>
      </c>
      <c r="JK42" s="158" t="b">
        <v>0</v>
      </c>
      <c r="JL42" s="158" t="b">
        <v>0</v>
      </c>
      <c r="JM42" s="158" t="b">
        <v>0</v>
      </c>
      <c r="JN42" s="158" t="b">
        <v>0</v>
      </c>
      <c r="JO42" s="158" t="b">
        <v>0</v>
      </c>
      <c r="JP42" s="158" t="b">
        <v>0</v>
      </c>
      <c r="JQ42" s="158" t="b">
        <v>0</v>
      </c>
      <c r="JR42" s="158" t="b">
        <v>0</v>
      </c>
      <c r="JS42" s="158" t="b">
        <v>0</v>
      </c>
      <c r="JT42" s="158" t="b">
        <v>0</v>
      </c>
      <c r="JU42" s="158" t="b">
        <v>0</v>
      </c>
      <c r="JV42" s="158" t="b">
        <v>0</v>
      </c>
      <c r="JW42" s="158" t="b">
        <v>0</v>
      </c>
      <c r="JX42" s="158" t="b">
        <v>0</v>
      </c>
      <c r="JY42" s="158" t="b">
        <v>0</v>
      </c>
      <c r="JZ42" s="158" t="b">
        <v>0</v>
      </c>
      <c r="KA42" s="158" t="b">
        <v>0</v>
      </c>
      <c r="KB42" s="158" t="b">
        <v>0</v>
      </c>
      <c r="KC42" s="158" t="b">
        <v>0</v>
      </c>
      <c r="KD42" s="158" t="b">
        <v>0</v>
      </c>
      <c r="KE42" s="158" t="b">
        <v>0</v>
      </c>
      <c r="KF42" s="158" t="b">
        <v>0</v>
      </c>
      <c r="KG42" s="158" t="b">
        <v>0</v>
      </c>
      <c r="KH42" s="158" t="b">
        <v>0</v>
      </c>
      <c r="KI42" s="158" t="b">
        <v>0</v>
      </c>
      <c r="KJ42" s="158" t="b">
        <v>0</v>
      </c>
      <c r="KK42" s="158" t="b">
        <v>0</v>
      </c>
      <c r="KL42" s="158" t="b">
        <v>0</v>
      </c>
      <c r="KM42" s="158" t="b">
        <v>0</v>
      </c>
      <c r="KN42" s="158" t="b">
        <v>0</v>
      </c>
      <c r="KO42" s="158" t="b">
        <v>0</v>
      </c>
      <c r="KP42" s="158" t="b">
        <v>0</v>
      </c>
      <c r="KQ42" s="158" t="b">
        <v>0</v>
      </c>
      <c r="KR42" s="158" t="b">
        <v>0</v>
      </c>
      <c r="KS42" s="158" t="b">
        <v>0</v>
      </c>
      <c r="KT42" s="158" t="b">
        <v>0</v>
      </c>
      <c r="KU42" s="158" t="b">
        <v>0</v>
      </c>
      <c r="KV42" s="158" t="b">
        <v>0</v>
      </c>
      <c r="KW42" s="158" t="b">
        <v>0</v>
      </c>
      <c r="KX42" s="158" t="b">
        <v>0</v>
      </c>
      <c r="KY42" s="158" t="b">
        <v>0</v>
      </c>
      <c r="KZ42" s="158" t="b">
        <v>0</v>
      </c>
      <c r="LA42" s="158" t="b">
        <v>0</v>
      </c>
      <c r="LB42" s="158" t="b">
        <v>0</v>
      </c>
      <c r="LC42" s="158" t="b">
        <v>0</v>
      </c>
      <c r="LD42" s="158" t="b">
        <v>0</v>
      </c>
      <c r="LE42" s="158" t="b">
        <v>0</v>
      </c>
      <c r="LF42" s="158" t="b">
        <v>0</v>
      </c>
      <c r="LG42" s="158" t="b">
        <v>0</v>
      </c>
      <c r="LH42" s="158" t="b">
        <v>0</v>
      </c>
      <c r="LI42" s="158" t="b">
        <v>0</v>
      </c>
      <c r="LJ42" s="158" t="b">
        <v>0</v>
      </c>
      <c r="LK42" s="158" t="b">
        <v>0</v>
      </c>
      <c r="LL42" s="158" t="b">
        <v>0</v>
      </c>
      <c r="LM42" s="158" t="b">
        <v>0</v>
      </c>
      <c r="LN42" s="158" t="b">
        <v>0</v>
      </c>
      <c r="LO42" s="158" t="b">
        <v>0</v>
      </c>
      <c r="LP42" s="158" t="b">
        <v>0</v>
      </c>
      <c r="LQ42" s="158" t="b">
        <v>0</v>
      </c>
      <c r="LR42" s="158" t="b">
        <v>0</v>
      </c>
      <c r="LS42" s="158" t="b">
        <v>0</v>
      </c>
      <c r="LT42" s="158" t="b">
        <v>0</v>
      </c>
      <c r="LU42" s="158" t="b">
        <v>0</v>
      </c>
      <c r="LV42" s="158" t="b">
        <v>0</v>
      </c>
      <c r="LW42" s="158" t="b">
        <v>0</v>
      </c>
      <c r="LX42" s="158" t="b">
        <v>0</v>
      </c>
      <c r="LY42" s="158" t="b">
        <v>0</v>
      </c>
      <c r="LZ42" s="158" t="b">
        <v>0</v>
      </c>
      <c r="MA42" s="158" t="b">
        <v>0</v>
      </c>
      <c r="MB42" s="158" t="b">
        <v>0</v>
      </c>
      <c r="MC42" s="158" t="b">
        <v>0</v>
      </c>
      <c r="MD42" s="158" t="b">
        <v>0</v>
      </c>
      <c r="ME42" s="158" t="b">
        <v>0</v>
      </c>
      <c r="MF42" s="158" t="b">
        <v>0</v>
      </c>
      <c r="MG42" s="158" t="b">
        <v>0</v>
      </c>
      <c r="MH42" s="158" t="b">
        <v>0</v>
      </c>
      <c r="MI42" s="158" t="b">
        <v>0</v>
      </c>
      <c r="MJ42" s="158" t="b">
        <v>0</v>
      </c>
      <c r="MK42" s="158" t="b">
        <v>0</v>
      </c>
      <c r="ML42" s="158" t="b">
        <v>0</v>
      </c>
      <c r="MM42" s="158" t="b">
        <v>0</v>
      </c>
      <c r="MN42" s="158" t="b">
        <v>0</v>
      </c>
      <c r="MO42" s="158" t="b">
        <v>0</v>
      </c>
      <c r="MP42" s="158" t="b">
        <v>0</v>
      </c>
      <c r="MQ42" s="158" t="b">
        <v>0</v>
      </c>
      <c r="MR42" s="158" t="b">
        <v>0</v>
      </c>
      <c r="MS42" s="158" t="b">
        <v>0</v>
      </c>
      <c r="MT42" s="158" t="b">
        <v>0</v>
      </c>
      <c r="MU42" s="158" t="b">
        <v>0</v>
      </c>
      <c r="MV42" s="158" t="b">
        <v>0</v>
      </c>
      <c r="MW42" s="158" t="b">
        <v>0</v>
      </c>
      <c r="MX42" s="158" t="b">
        <v>0</v>
      </c>
      <c r="MY42" s="158" t="b">
        <v>0</v>
      </c>
      <c r="MZ42" s="158" t="b">
        <v>0</v>
      </c>
      <c r="NA42" s="158" t="b">
        <v>0</v>
      </c>
      <c r="NB42" s="158" t="b">
        <v>0</v>
      </c>
      <c r="NC42" s="158" t="b">
        <v>0</v>
      </c>
      <c r="ND42" s="158" t="b">
        <v>0</v>
      </c>
      <c r="NE42" s="158" t="b">
        <v>0</v>
      </c>
      <c r="NF42" s="158" t="b">
        <v>0</v>
      </c>
      <c r="NG42" s="158" t="b">
        <v>0</v>
      </c>
      <c r="NH42" s="158" t="b">
        <v>0</v>
      </c>
      <c r="NI42" s="158" t="b">
        <v>0</v>
      </c>
      <c r="NJ42" s="158" t="b">
        <v>0</v>
      </c>
      <c r="NK42" s="158" t="b">
        <v>0</v>
      </c>
      <c r="NL42" s="158" t="b">
        <v>0</v>
      </c>
      <c r="NM42" s="158" t="b">
        <v>0</v>
      </c>
      <c r="NN42" s="158" t="b">
        <v>0</v>
      </c>
      <c r="NO42" s="158" t="b">
        <v>0</v>
      </c>
    </row>
    <row r="43" spans="1:379" ht="29.25" x14ac:dyDescent="0.4">
      <c r="A43" s="511" t="str">
        <v>231-D</v>
      </c>
      <c r="B43" s="158" t="b">
        <v>0</v>
      </c>
      <c r="C43" s="158" t="b">
        <v>0</v>
      </c>
      <c r="D43" s="158" t="b">
        <v>0</v>
      </c>
      <c r="E43" s="158" t="b">
        <v>0</v>
      </c>
      <c r="F43" s="158" t="b">
        <v>0</v>
      </c>
      <c r="G43" s="158" t="b">
        <v>0</v>
      </c>
      <c r="H43" s="158" t="b">
        <v>0</v>
      </c>
      <c r="I43" s="158" t="b">
        <v>0</v>
      </c>
      <c r="J43" s="158" t="b">
        <v>0</v>
      </c>
      <c r="K43" s="158" t="b">
        <v>0</v>
      </c>
      <c r="L43" s="158" t="b">
        <v>0</v>
      </c>
      <c r="M43" s="158" t="b">
        <v>0</v>
      </c>
      <c r="N43" s="158" t="b">
        <v>0</v>
      </c>
      <c r="O43" s="158" t="b">
        <v>0</v>
      </c>
      <c r="P43" s="158" t="b">
        <v>0</v>
      </c>
      <c r="Q43" s="158" t="b">
        <v>0</v>
      </c>
      <c r="R43" s="158" t="b">
        <v>0</v>
      </c>
      <c r="S43" s="158" t="b">
        <v>0</v>
      </c>
      <c r="T43" s="158" t="b">
        <v>0</v>
      </c>
      <c r="U43" s="158" t="b">
        <v>0</v>
      </c>
      <c r="V43" s="158" t="b">
        <v>0</v>
      </c>
      <c r="W43" s="158" t="b">
        <v>0</v>
      </c>
      <c r="X43" s="158" t="b">
        <v>0</v>
      </c>
      <c r="Y43" s="158" t="b">
        <v>0</v>
      </c>
      <c r="Z43" s="158" t="b">
        <v>0</v>
      </c>
      <c r="AA43" s="158" t="b">
        <v>0</v>
      </c>
      <c r="AB43" s="158" t="b">
        <v>0</v>
      </c>
      <c r="AC43" s="158" t="b">
        <v>0</v>
      </c>
      <c r="AD43" s="158" t="b">
        <v>0</v>
      </c>
      <c r="AE43" s="158" t="b">
        <v>0</v>
      </c>
      <c r="AF43" s="158" t="b">
        <v>0</v>
      </c>
      <c r="AG43" s="158" t="b">
        <v>0</v>
      </c>
      <c r="AH43" s="158" t="b">
        <v>0</v>
      </c>
      <c r="AI43" s="158" t="b">
        <v>0</v>
      </c>
      <c r="AJ43" s="158" t="b">
        <v>0</v>
      </c>
      <c r="AK43" s="158" t="b">
        <v>0</v>
      </c>
      <c r="AL43" s="158" t="b">
        <v>0</v>
      </c>
      <c r="AM43" s="158" t="b">
        <v>0</v>
      </c>
      <c r="AN43" s="158" t="b">
        <v>0</v>
      </c>
      <c r="AO43" s="158" t="b">
        <v>0</v>
      </c>
      <c r="AP43" s="158" t="b">
        <v>0</v>
      </c>
      <c r="AQ43" s="158" t="b">
        <v>0</v>
      </c>
      <c r="AR43" s="158" t="b">
        <v>0</v>
      </c>
      <c r="AS43" s="158" t="b">
        <v>0</v>
      </c>
      <c r="AT43" s="158" t="b">
        <v>0</v>
      </c>
      <c r="AU43" s="158" t="b">
        <v>0</v>
      </c>
      <c r="AV43" s="158" t="b">
        <v>0</v>
      </c>
      <c r="AW43" s="158" t="b">
        <v>0</v>
      </c>
      <c r="AX43" s="158" t="b">
        <v>0</v>
      </c>
      <c r="AY43" s="158" t="b">
        <v>0</v>
      </c>
      <c r="AZ43" s="158" t="b">
        <v>0</v>
      </c>
      <c r="BA43" s="158" t="b">
        <v>0</v>
      </c>
      <c r="BB43" s="158" t="b">
        <v>0</v>
      </c>
      <c r="BC43" s="158" t="b">
        <v>0</v>
      </c>
      <c r="BD43" s="158" t="b">
        <v>0</v>
      </c>
      <c r="BE43" s="158" t="b">
        <v>0</v>
      </c>
      <c r="BF43" s="158" t="b">
        <v>0</v>
      </c>
      <c r="BG43" s="158" t="b">
        <v>0</v>
      </c>
      <c r="BH43" s="158" t="b">
        <v>0</v>
      </c>
      <c r="BI43" s="158" t="b">
        <v>0</v>
      </c>
      <c r="BJ43" s="158" t="b">
        <v>0</v>
      </c>
      <c r="BK43" s="158" t="b">
        <v>0</v>
      </c>
      <c r="BL43" s="158" t="b">
        <v>0</v>
      </c>
      <c r="BM43" s="158" t="b">
        <v>0</v>
      </c>
      <c r="BN43" s="158" t="b">
        <v>0</v>
      </c>
      <c r="BO43" s="158" t="b">
        <v>0</v>
      </c>
      <c r="BP43" s="158" t="b">
        <v>0</v>
      </c>
      <c r="BQ43" s="158" t="b">
        <v>0</v>
      </c>
      <c r="BR43" s="158" t="b">
        <v>0</v>
      </c>
      <c r="BS43" s="158" t="b">
        <v>0</v>
      </c>
      <c r="BT43" s="158" t="b">
        <v>0</v>
      </c>
      <c r="BU43" s="158" t="b">
        <v>0</v>
      </c>
      <c r="BV43" s="158" t="b">
        <v>0</v>
      </c>
      <c r="BW43" s="158" t="b">
        <v>0</v>
      </c>
      <c r="BX43" s="158" t="b">
        <v>0</v>
      </c>
      <c r="BY43" s="158" t="b">
        <v>0</v>
      </c>
      <c r="BZ43" s="158" t="b">
        <v>0</v>
      </c>
      <c r="CA43" s="158" t="b">
        <v>0</v>
      </c>
      <c r="CB43" s="158" t="b">
        <v>0</v>
      </c>
      <c r="CC43" s="158" t="b">
        <v>0</v>
      </c>
      <c r="CD43" s="158" t="b">
        <v>0</v>
      </c>
      <c r="CE43" s="158" t="b">
        <v>0</v>
      </c>
      <c r="CF43" s="93" t="b">
        <v>1</v>
      </c>
      <c r="CG43" s="93" t="b">
        <v>1</v>
      </c>
      <c r="CH43" s="93" t="b">
        <v>0</v>
      </c>
      <c r="CI43" s="158" t="b">
        <v>0</v>
      </c>
      <c r="CJ43" s="158" t="b">
        <v>0</v>
      </c>
      <c r="CK43" s="158" t="b">
        <v>0</v>
      </c>
      <c r="CL43" s="158" t="b">
        <v>0</v>
      </c>
      <c r="CM43" s="158" t="b">
        <v>0</v>
      </c>
      <c r="CN43" s="158" t="b">
        <v>0</v>
      </c>
      <c r="CO43" s="158" t="b">
        <v>0</v>
      </c>
      <c r="CP43" s="158" t="b">
        <v>0</v>
      </c>
      <c r="CQ43" s="158" t="b">
        <v>0</v>
      </c>
      <c r="CR43" s="158" t="b">
        <v>0</v>
      </c>
      <c r="CS43" s="158" t="b">
        <v>0</v>
      </c>
      <c r="CT43" s="158" t="b">
        <v>0</v>
      </c>
      <c r="CU43" s="93" t="b">
        <v>1</v>
      </c>
      <c r="CV43" s="158" t="b">
        <v>0</v>
      </c>
      <c r="CW43" s="158" t="b">
        <v>0</v>
      </c>
      <c r="CX43" s="158" t="b">
        <v>0</v>
      </c>
      <c r="CY43" s="158" t="b">
        <v>0</v>
      </c>
      <c r="CZ43" s="158" t="b">
        <v>0</v>
      </c>
      <c r="DA43" s="158" t="b">
        <v>0</v>
      </c>
      <c r="DB43" s="158" t="b">
        <v>0</v>
      </c>
      <c r="DC43" s="158" t="b">
        <v>0</v>
      </c>
      <c r="DD43" s="158" t="b">
        <v>0</v>
      </c>
      <c r="DE43" s="158" t="b">
        <v>0</v>
      </c>
      <c r="DF43" s="158" t="b">
        <v>0</v>
      </c>
      <c r="DG43" s="158" t="b">
        <v>0</v>
      </c>
      <c r="DH43" s="158" t="b">
        <v>0</v>
      </c>
      <c r="DI43" s="158" t="b">
        <v>0</v>
      </c>
      <c r="DJ43" s="158" t="b">
        <v>0</v>
      </c>
      <c r="DK43" s="158" t="b">
        <v>0</v>
      </c>
      <c r="DL43" s="158" t="b">
        <v>0</v>
      </c>
      <c r="DM43" s="158" t="b">
        <v>0</v>
      </c>
      <c r="DN43" s="158" t="b">
        <v>0</v>
      </c>
      <c r="DO43" s="158" t="b">
        <v>0</v>
      </c>
      <c r="DP43" s="158" t="b">
        <v>0</v>
      </c>
      <c r="DQ43" s="158" t="b">
        <v>0</v>
      </c>
      <c r="DR43" s="93" t="b">
        <v>1</v>
      </c>
      <c r="DS43" s="93" t="b">
        <v>1</v>
      </c>
      <c r="DT43" s="93" t="b">
        <v>1</v>
      </c>
      <c r="DU43" s="93" t="b">
        <v>1</v>
      </c>
      <c r="DV43" s="93" t="b">
        <v>1</v>
      </c>
      <c r="DW43" s="158" t="b">
        <v>0</v>
      </c>
      <c r="DX43" s="158" t="b">
        <v>0</v>
      </c>
      <c r="DY43" s="158" t="b">
        <v>0</v>
      </c>
      <c r="DZ43" s="158" t="b">
        <v>0</v>
      </c>
      <c r="EA43" s="158" t="b">
        <v>0</v>
      </c>
      <c r="EB43" s="158" t="b">
        <v>0</v>
      </c>
      <c r="EC43" s="158" t="b">
        <v>0</v>
      </c>
      <c r="ED43" s="158" t="b">
        <v>0</v>
      </c>
      <c r="EE43" s="158" t="b">
        <v>0</v>
      </c>
      <c r="EF43" s="158" t="b">
        <v>0</v>
      </c>
      <c r="EG43" s="158" t="b">
        <v>0</v>
      </c>
      <c r="EH43" s="158" t="b">
        <v>0</v>
      </c>
      <c r="EI43" s="158" t="b">
        <v>0</v>
      </c>
      <c r="EJ43" s="158" t="b">
        <v>0</v>
      </c>
      <c r="EK43" s="158" t="b">
        <v>0</v>
      </c>
      <c r="EL43" s="158" t="b">
        <v>0</v>
      </c>
      <c r="EM43" s="158" t="b">
        <v>0</v>
      </c>
      <c r="EN43" s="158" t="b">
        <v>0</v>
      </c>
      <c r="EO43" s="158" t="b">
        <v>0</v>
      </c>
      <c r="EP43" s="158" t="b">
        <v>0</v>
      </c>
      <c r="EQ43" s="158" t="b">
        <v>0</v>
      </c>
      <c r="ER43" s="158" t="b">
        <v>0</v>
      </c>
      <c r="ES43" s="158" t="b">
        <v>0</v>
      </c>
      <c r="ET43" s="158" t="b">
        <v>0</v>
      </c>
      <c r="EU43" s="158" t="b">
        <v>0</v>
      </c>
      <c r="EV43" s="158" t="b">
        <v>0</v>
      </c>
      <c r="EW43" s="158" t="b">
        <v>0</v>
      </c>
      <c r="EX43" s="158" t="b">
        <v>0</v>
      </c>
      <c r="EY43" s="158" t="b">
        <v>0</v>
      </c>
      <c r="EZ43" s="158" t="b">
        <v>0</v>
      </c>
      <c r="FA43" s="158" t="b">
        <v>0</v>
      </c>
      <c r="FB43" s="158" t="b">
        <v>0</v>
      </c>
      <c r="FC43" s="158" t="b">
        <v>0</v>
      </c>
      <c r="FD43" s="158" t="b">
        <v>0</v>
      </c>
      <c r="FE43" s="158" t="b">
        <v>0</v>
      </c>
      <c r="FF43" s="158" t="b">
        <v>0</v>
      </c>
      <c r="FG43" s="158" t="b">
        <v>0</v>
      </c>
      <c r="FH43" s="158" t="b">
        <v>0</v>
      </c>
      <c r="FI43" s="158" t="b">
        <v>0</v>
      </c>
      <c r="FJ43" s="158" t="b">
        <v>0</v>
      </c>
      <c r="FK43" s="158" t="b">
        <v>0</v>
      </c>
      <c r="FL43" s="158" t="b">
        <v>0</v>
      </c>
      <c r="FM43" s="158" t="b">
        <v>0</v>
      </c>
      <c r="FN43" s="158" t="b">
        <v>0</v>
      </c>
      <c r="FO43" s="158" t="b">
        <v>0</v>
      </c>
      <c r="FP43" s="158" t="b">
        <v>0</v>
      </c>
      <c r="FQ43" s="158" t="b">
        <v>0</v>
      </c>
      <c r="FR43" s="158" t="b">
        <v>0</v>
      </c>
      <c r="FS43" s="158" t="b">
        <v>0</v>
      </c>
      <c r="FT43" s="93" t="b">
        <v>1</v>
      </c>
      <c r="FU43" s="158" t="b">
        <v>0</v>
      </c>
      <c r="FV43" s="158" t="b">
        <v>0</v>
      </c>
      <c r="FW43" s="158" t="b">
        <v>0</v>
      </c>
      <c r="FX43" s="158" t="b">
        <v>0</v>
      </c>
      <c r="FY43" s="158" t="b">
        <v>0</v>
      </c>
      <c r="FZ43" s="158" t="b">
        <v>0</v>
      </c>
      <c r="GA43" s="158" t="b">
        <v>0</v>
      </c>
      <c r="GB43" s="158" t="b">
        <v>0</v>
      </c>
      <c r="GC43" s="158" t="b">
        <v>0</v>
      </c>
      <c r="GD43" s="158" t="b">
        <v>0</v>
      </c>
      <c r="GE43" s="158" t="b">
        <v>0</v>
      </c>
      <c r="GF43" s="158" t="b">
        <v>0</v>
      </c>
      <c r="GG43" s="158" t="b">
        <v>0</v>
      </c>
      <c r="GH43" s="158" t="b">
        <v>0</v>
      </c>
      <c r="GI43" s="158" t="b">
        <v>0</v>
      </c>
      <c r="GJ43" s="158" t="b">
        <v>0</v>
      </c>
      <c r="GK43" s="158" t="b">
        <v>0</v>
      </c>
      <c r="GL43" s="158" t="b">
        <v>0</v>
      </c>
      <c r="GM43" s="158" t="b">
        <v>0</v>
      </c>
      <c r="GN43" s="158" t="b">
        <v>0</v>
      </c>
      <c r="GO43" s="158" t="b">
        <v>0</v>
      </c>
      <c r="GP43" s="158" t="b">
        <v>0</v>
      </c>
      <c r="GQ43" s="158" t="b">
        <v>0</v>
      </c>
      <c r="GR43" s="158" t="b">
        <v>0</v>
      </c>
      <c r="GS43" s="158" t="b">
        <v>0</v>
      </c>
      <c r="GT43" s="158" t="b">
        <v>0</v>
      </c>
      <c r="GU43" s="158" t="b">
        <v>0</v>
      </c>
      <c r="GV43" s="158" t="b">
        <v>0</v>
      </c>
      <c r="GW43" s="158" t="b">
        <v>0</v>
      </c>
      <c r="GX43" s="158" t="b">
        <v>0</v>
      </c>
      <c r="GY43" s="158" t="b">
        <v>0</v>
      </c>
      <c r="GZ43" s="158" t="b">
        <v>0</v>
      </c>
      <c r="HA43" s="158" t="b">
        <v>0</v>
      </c>
      <c r="HB43" s="158" t="b">
        <v>0</v>
      </c>
      <c r="HC43" s="158" t="b">
        <v>0</v>
      </c>
      <c r="HD43" s="158" t="b">
        <v>0</v>
      </c>
      <c r="HE43" s="158" t="b">
        <v>0</v>
      </c>
      <c r="HF43" s="158" t="b">
        <v>0</v>
      </c>
      <c r="HG43" s="158" t="b">
        <v>0</v>
      </c>
      <c r="HH43" s="158" t="b">
        <v>0</v>
      </c>
      <c r="HI43" s="158" t="b">
        <v>0</v>
      </c>
      <c r="HJ43" s="93" t="b">
        <v>1</v>
      </c>
      <c r="HK43" s="93" t="b">
        <v>1</v>
      </c>
      <c r="HL43" s="93" t="b">
        <v>1</v>
      </c>
      <c r="HM43" s="158" t="b">
        <v>0</v>
      </c>
      <c r="HN43" s="158" t="b">
        <v>0</v>
      </c>
      <c r="HO43" s="158" t="b">
        <v>0</v>
      </c>
      <c r="HP43" s="158" t="b">
        <v>0</v>
      </c>
      <c r="HQ43" s="158" t="b">
        <v>0</v>
      </c>
      <c r="HR43" s="158" t="b">
        <v>0</v>
      </c>
      <c r="HS43" s="158" t="b">
        <v>0</v>
      </c>
      <c r="HT43" s="93" t="b">
        <v>1</v>
      </c>
      <c r="HU43" s="93" t="b">
        <v>1</v>
      </c>
      <c r="HV43" s="93" t="b">
        <v>1</v>
      </c>
      <c r="HW43" s="93" t="b">
        <v>1</v>
      </c>
      <c r="HX43" s="93" t="b">
        <v>1</v>
      </c>
      <c r="HY43" s="158" t="b">
        <v>0</v>
      </c>
      <c r="HZ43" s="158" t="b">
        <v>0</v>
      </c>
      <c r="IA43" s="158" t="b">
        <v>0</v>
      </c>
      <c r="IB43" s="158" t="b">
        <v>0</v>
      </c>
      <c r="IC43" s="158" t="b">
        <v>0</v>
      </c>
      <c r="ID43" s="158" t="b">
        <v>0</v>
      </c>
      <c r="IE43" s="158" t="b">
        <v>0</v>
      </c>
      <c r="IF43" s="158" t="b">
        <v>0</v>
      </c>
      <c r="IG43" s="158" t="b">
        <v>0</v>
      </c>
      <c r="IH43" s="158" t="b">
        <v>0</v>
      </c>
      <c r="II43" s="158" t="b">
        <v>0</v>
      </c>
      <c r="IJ43" s="158" t="b">
        <v>0</v>
      </c>
      <c r="IK43" s="158" t="b">
        <v>0</v>
      </c>
      <c r="IL43" s="158" t="b">
        <v>0</v>
      </c>
      <c r="IM43" s="158" t="b">
        <v>0</v>
      </c>
      <c r="IN43" s="158" t="b">
        <v>0</v>
      </c>
      <c r="IO43" s="158" t="b">
        <v>0</v>
      </c>
      <c r="IP43" s="158" t="b">
        <v>0</v>
      </c>
      <c r="IQ43" s="158" t="b">
        <v>0</v>
      </c>
      <c r="IR43" s="158" t="b">
        <v>0</v>
      </c>
      <c r="IS43" s="158" t="b">
        <v>0</v>
      </c>
      <c r="IT43" s="158" t="b">
        <v>0</v>
      </c>
      <c r="IU43" s="158" t="b">
        <v>0</v>
      </c>
      <c r="IV43" s="158" t="b">
        <v>0</v>
      </c>
      <c r="IW43" s="158" t="b">
        <v>0</v>
      </c>
      <c r="IX43" s="158" t="b">
        <v>0</v>
      </c>
      <c r="IY43" s="158" t="b">
        <v>0</v>
      </c>
      <c r="IZ43" s="158" t="b">
        <v>0</v>
      </c>
      <c r="JA43" s="158" t="b">
        <v>0</v>
      </c>
      <c r="JB43" s="158" t="b">
        <v>0</v>
      </c>
      <c r="JC43" s="158" t="b">
        <v>0</v>
      </c>
      <c r="JD43" s="158" t="b">
        <v>0</v>
      </c>
      <c r="JE43" s="158" t="b">
        <v>0</v>
      </c>
      <c r="JF43" s="158" t="b">
        <v>0</v>
      </c>
      <c r="JG43" s="158" t="b">
        <v>0</v>
      </c>
      <c r="JH43" s="158" t="b">
        <v>0</v>
      </c>
      <c r="JI43" s="158" t="b">
        <v>0</v>
      </c>
      <c r="JJ43" s="158" t="b">
        <v>0</v>
      </c>
      <c r="JK43" s="158" t="b">
        <v>0</v>
      </c>
      <c r="JL43" s="158" t="b">
        <v>0</v>
      </c>
      <c r="JM43" s="158" t="b">
        <v>0</v>
      </c>
      <c r="JN43" s="158" t="b">
        <v>0</v>
      </c>
      <c r="JO43" s="158" t="b">
        <v>0</v>
      </c>
      <c r="JP43" s="158" t="b">
        <v>0</v>
      </c>
      <c r="JQ43" s="158" t="b">
        <v>0</v>
      </c>
      <c r="JR43" s="158" t="b">
        <v>0</v>
      </c>
      <c r="JS43" s="158" t="b">
        <v>0</v>
      </c>
      <c r="JT43" s="158" t="b">
        <v>0</v>
      </c>
      <c r="JU43" s="158" t="b">
        <v>0</v>
      </c>
      <c r="JV43" s="158" t="b">
        <v>0</v>
      </c>
      <c r="JW43" s="158" t="b">
        <v>0</v>
      </c>
      <c r="JX43" s="158" t="b">
        <v>0</v>
      </c>
      <c r="JY43" s="158" t="b">
        <v>0</v>
      </c>
      <c r="JZ43" s="158" t="b">
        <v>0</v>
      </c>
      <c r="KA43" s="158" t="b">
        <v>0</v>
      </c>
      <c r="KB43" s="158" t="b">
        <v>0</v>
      </c>
      <c r="KC43" s="158" t="b">
        <v>0</v>
      </c>
      <c r="KD43" s="158" t="b">
        <v>0</v>
      </c>
      <c r="KE43" s="158" t="b">
        <v>0</v>
      </c>
      <c r="KF43" s="158" t="b">
        <v>0</v>
      </c>
      <c r="KG43" s="158" t="b">
        <v>0</v>
      </c>
      <c r="KH43" s="158" t="b">
        <v>0</v>
      </c>
      <c r="KI43" s="158" t="b">
        <v>0</v>
      </c>
      <c r="KJ43" s="158" t="b">
        <v>0</v>
      </c>
      <c r="KK43" s="158" t="b">
        <v>0</v>
      </c>
      <c r="KL43" s="158" t="b">
        <v>0</v>
      </c>
      <c r="KM43" s="158" t="b">
        <v>0</v>
      </c>
      <c r="KN43" s="158" t="b">
        <v>0</v>
      </c>
      <c r="KO43" s="158" t="b">
        <v>0</v>
      </c>
      <c r="KP43" s="158" t="b">
        <v>0</v>
      </c>
      <c r="KQ43" s="158" t="b">
        <v>0</v>
      </c>
      <c r="KR43" s="158" t="b">
        <v>0</v>
      </c>
      <c r="KS43" s="158" t="b">
        <v>0</v>
      </c>
      <c r="KT43" s="158" t="b">
        <v>0</v>
      </c>
      <c r="KU43" s="158" t="b">
        <v>0</v>
      </c>
      <c r="KV43" s="158" t="b">
        <v>0</v>
      </c>
      <c r="KW43" s="158" t="b">
        <v>0</v>
      </c>
      <c r="KX43" s="158" t="b">
        <v>0</v>
      </c>
      <c r="KY43" s="158" t="b">
        <v>0</v>
      </c>
      <c r="KZ43" s="158" t="b">
        <v>0</v>
      </c>
      <c r="LA43" s="158" t="b">
        <v>0</v>
      </c>
      <c r="LB43" s="158" t="b">
        <v>0</v>
      </c>
      <c r="LC43" s="158" t="b">
        <v>0</v>
      </c>
      <c r="LD43" s="158" t="b">
        <v>0</v>
      </c>
      <c r="LE43" s="158" t="b">
        <v>0</v>
      </c>
      <c r="LF43" s="158" t="b">
        <v>0</v>
      </c>
      <c r="LG43" s="158" t="b">
        <v>0</v>
      </c>
      <c r="LH43" s="158" t="b">
        <v>0</v>
      </c>
      <c r="LI43" s="158" t="b">
        <v>0</v>
      </c>
      <c r="LJ43" s="158" t="b">
        <v>0</v>
      </c>
      <c r="LK43" s="158" t="b">
        <v>0</v>
      </c>
      <c r="LL43" s="158" t="b">
        <v>0</v>
      </c>
      <c r="LM43" s="158" t="b">
        <v>0</v>
      </c>
      <c r="LN43" s="158" t="b">
        <v>0</v>
      </c>
      <c r="LO43" s="158" t="b">
        <v>0</v>
      </c>
      <c r="LP43" s="158" t="b">
        <v>0</v>
      </c>
      <c r="LQ43" s="158" t="b">
        <v>0</v>
      </c>
      <c r="LR43" s="158" t="b">
        <v>0</v>
      </c>
      <c r="LS43" s="158" t="b">
        <v>0</v>
      </c>
      <c r="LT43" s="158" t="b">
        <v>0</v>
      </c>
      <c r="LU43" s="158" t="b">
        <v>0</v>
      </c>
      <c r="LV43" s="158" t="b">
        <v>0</v>
      </c>
      <c r="LW43" s="158" t="b">
        <v>0</v>
      </c>
      <c r="LX43" s="158" t="b">
        <v>0</v>
      </c>
      <c r="LY43" s="158" t="b">
        <v>0</v>
      </c>
      <c r="LZ43" s="158" t="b">
        <v>0</v>
      </c>
      <c r="MA43" s="158" t="b">
        <v>0</v>
      </c>
      <c r="MB43" s="158" t="b">
        <v>0</v>
      </c>
      <c r="MC43" s="158" t="b">
        <v>0</v>
      </c>
      <c r="MD43" s="158" t="b">
        <v>0</v>
      </c>
      <c r="ME43" s="158" t="b">
        <v>0</v>
      </c>
      <c r="MF43" s="158" t="b">
        <v>0</v>
      </c>
      <c r="MG43" s="158" t="b">
        <v>0</v>
      </c>
      <c r="MH43" s="158" t="b">
        <v>0</v>
      </c>
      <c r="MI43" s="158" t="b">
        <v>0</v>
      </c>
      <c r="MJ43" s="158" t="b">
        <v>0</v>
      </c>
      <c r="MK43" s="158" t="b">
        <v>0</v>
      </c>
      <c r="ML43" s="158" t="b">
        <v>0</v>
      </c>
      <c r="MM43" s="158" t="b">
        <v>0</v>
      </c>
      <c r="MN43" s="158" t="b">
        <v>0</v>
      </c>
      <c r="MO43" s="158" t="b">
        <v>0</v>
      </c>
      <c r="MP43" s="158" t="b">
        <v>0</v>
      </c>
      <c r="MQ43" s="158" t="b">
        <v>0</v>
      </c>
      <c r="MR43" s="158" t="b">
        <v>0</v>
      </c>
      <c r="MS43" s="158" t="b">
        <v>0</v>
      </c>
      <c r="MT43" s="158" t="b">
        <v>0</v>
      </c>
      <c r="MU43" s="158" t="b">
        <v>0</v>
      </c>
      <c r="MV43" s="158" t="b">
        <v>0</v>
      </c>
      <c r="MW43" s="158" t="b">
        <v>0</v>
      </c>
      <c r="MX43" s="158" t="b">
        <v>0</v>
      </c>
      <c r="MY43" s="158" t="b">
        <v>0</v>
      </c>
      <c r="MZ43" s="158" t="b">
        <v>0</v>
      </c>
      <c r="NA43" s="158" t="b">
        <v>0</v>
      </c>
      <c r="NB43" s="158" t="b">
        <v>0</v>
      </c>
      <c r="NC43" s="158" t="b">
        <v>0</v>
      </c>
      <c r="ND43" s="158" t="b">
        <v>0</v>
      </c>
      <c r="NE43" s="158" t="b">
        <v>0</v>
      </c>
      <c r="NF43" s="158" t="b">
        <v>0</v>
      </c>
      <c r="NG43" s="158" t="b">
        <v>0</v>
      </c>
      <c r="NH43" s="158" t="b">
        <v>0</v>
      </c>
      <c r="NI43" s="158" t="b">
        <v>0</v>
      </c>
      <c r="NJ43" s="158" t="b">
        <v>0</v>
      </c>
      <c r="NK43" s="158" t="b">
        <v>0</v>
      </c>
      <c r="NL43" s="158" t="b">
        <v>0</v>
      </c>
      <c r="NM43" s="158" t="b">
        <v>0</v>
      </c>
      <c r="NN43" s="158" t="b">
        <v>0</v>
      </c>
      <c r="NO43" s="158" t="b">
        <v>0</v>
      </c>
    </row>
    <row r="44" spans="1:379" ht="29.25" x14ac:dyDescent="0.4">
      <c r="A44" s="511" t="str">
        <v>201-D</v>
      </c>
      <c r="B44" s="158" t="b">
        <v>0</v>
      </c>
      <c r="C44" s="158" t="b">
        <v>0</v>
      </c>
      <c r="D44" s="158" t="b">
        <v>0</v>
      </c>
      <c r="E44" s="158" t="b">
        <v>0</v>
      </c>
      <c r="F44" s="158" t="b">
        <v>0</v>
      </c>
      <c r="G44" s="158" t="b">
        <v>0</v>
      </c>
      <c r="H44" s="158" t="b">
        <v>0</v>
      </c>
      <c r="I44" s="158" t="b">
        <v>0</v>
      </c>
      <c r="J44" s="158" t="b">
        <v>0</v>
      </c>
      <c r="K44" s="158" t="b">
        <v>0</v>
      </c>
      <c r="L44" s="158" t="b">
        <v>0</v>
      </c>
      <c r="M44" s="158" t="b">
        <v>0</v>
      </c>
      <c r="N44" s="158" t="b">
        <v>0</v>
      </c>
      <c r="O44" s="158" t="b">
        <v>0</v>
      </c>
      <c r="P44" s="158" t="b">
        <v>0</v>
      </c>
      <c r="Q44" s="158" t="b">
        <v>0</v>
      </c>
      <c r="R44" s="158" t="b">
        <v>0</v>
      </c>
      <c r="S44" s="158" t="b">
        <v>0</v>
      </c>
      <c r="T44" s="158" t="b">
        <v>0</v>
      </c>
      <c r="U44" s="158" t="b">
        <v>0</v>
      </c>
      <c r="V44" s="158" t="b">
        <v>0</v>
      </c>
      <c r="W44" s="158" t="b">
        <v>0</v>
      </c>
      <c r="X44" s="158" t="b">
        <v>0</v>
      </c>
      <c r="Y44" s="158" t="b">
        <v>0</v>
      </c>
      <c r="Z44" s="158" t="b">
        <v>0</v>
      </c>
      <c r="AA44" s="158" t="b">
        <v>0</v>
      </c>
      <c r="AB44" s="158" t="b">
        <v>0</v>
      </c>
      <c r="AC44" s="158" t="b">
        <v>0</v>
      </c>
      <c r="AD44" s="158" t="b">
        <v>0</v>
      </c>
      <c r="AE44" s="158" t="b">
        <v>0</v>
      </c>
      <c r="AF44" s="158" t="b">
        <v>0</v>
      </c>
      <c r="AG44" s="158" t="b">
        <v>0</v>
      </c>
      <c r="AH44" s="158" t="b">
        <v>0</v>
      </c>
      <c r="AI44" s="158" t="b">
        <v>0</v>
      </c>
      <c r="AJ44" s="158" t="b">
        <v>0</v>
      </c>
      <c r="AK44" s="158" t="b">
        <v>0</v>
      </c>
      <c r="AL44" s="158" t="b">
        <v>0</v>
      </c>
      <c r="AM44" s="158" t="b">
        <v>0</v>
      </c>
      <c r="AN44" s="158" t="b">
        <v>0</v>
      </c>
      <c r="AO44" s="158" t="b">
        <v>0</v>
      </c>
      <c r="AP44" s="158" t="b">
        <v>0</v>
      </c>
      <c r="AQ44" s="158" t="b">
        <v>0</v>
      </c>
      <c r="AR44" s="158" t="b">
        <v>0</v>
      </c>
      <c r="AS44" s="158" t="b">
        <v>0</v>
      </c>
      <c r="AT44" s="158" t="b">
        <v>0</v>
      </c>
      <c r="AU44" s="158" t="b">
        <v>0</v>
      </c>
      <c r="AV44" s="158" t="b">
        <v>0</v>
      </c>
      <c r="AW44" s="158" t="b">
        <v>0</v>
      </c>
      <c r="AX44" s="158" t="b">
        <v>0</v>
      </c>
      <c r="AY44" s="158" t="b">
        <v>0</v>
      </c>
      <c r="AZ44" s="158" t="b">
        <v>0</v>
      </c>
      <c r="BA44" s="158" t="b">
        <v>0</v>
      </c>
      <c r="BB44" s="158" t="b">
        <v>0</v>
      </c>
      <c r="BC44" s="158" t="b">
        <v>0</v>
      </c>
      <c r="BD44" s="158" t="b">
        <v>0</v>
      </c>
      <c r="BE44" s="158" t="b">
        <v>0</v>
      </c>
      <c r="BF44" s="158" t="b">
        <v>0</v>
      </c>
      <c r="BG44" s="158" t="b">
        <v>0</v>
      </c>
      <c r="BH44" s="158" t="b">
        <v>0</v>
      </c>
      <c r="BI44" s="158" t="b">
        <v>0</v>
      </c>
      <c r="BJ44" s="158" t="b">
        <v>0</v>
      </c>
      <c r="BK44" s="158" t="b">
        <v>0</v>
      </c>
      <c r="BL44" s="158" t="b">
        <v>0</v>
      </c>
      <c r="BM44" s="158" t="b">
        <v>0</v>
      </c>
      <c r="BN44" s="158" t="b">
        <v>0</v>
      </c>
      <c r="BO44" s="158" t="b">
        <v>0</v>
      </c>
      <c r="BP44" s="158" t="b">
        <v>0</v>
      </c>
      <c r="BQ44" s="158" t="b">
        <v>0</v>
      </c>
      <c r="BR44" s="158" t="b">
        <v>0</v>
      </c>
      <c r="BS44" s="158" t="b">
        <v>0</v>
      </c>
      <c r="BT44" s="158" t="b">
        <v>0</v>
      </c>
      <c r="BU44" s="158" t="b">
        <v>0</v>
      </c>
      <c r="BV44" s="158" t="b">
        <v>0</v>
      </c>
      <c r="BW44" s="158" t="b">
        <v>0</v>
      </c>
      <c r="BX44" s="158" t="b">
        <v>0</v>
      </c>
      <c r="BY44" s="158" t="b">
        <v>0</v>
      </c>
      <c r="BZ44" s="158" t="b">
        <v>0</v>
      </c>
      <c r="CA44" s="158" t="b">
        <v>0</v>
      </c>
      <c r="CB44" s="158" t="b">
        <v>0</v>
      </c>
      <c r="CC44" s="158" t="b">
        <v>0</v>
      </c>
      <c r="CD44" s="158" t="b">
        <v>0</v>
      </c>
      <c r="CE44" s="158" t="b">
        <v>0</v>
      </c>
      <c r="CF44" s="158" t="b">
        <v>0</v>
      </c>
      <c r="CG44" s="158" t="b">
        <v>0</v>
      </c>
      <c r="CH44" s="158" t="b">
        <v>0</v>
      </c>
      <c r="CI44" s="158" t="b">
        <v>0</v>
      </c>
      <c r="CJ44" s="158" t="b">
        <v>0</v>
      </c>
      <c r="CK44" s="158" t="b">
        <v>0</v>
      </c>
      <c r="CL44" s="158" t="b">
        <v>0</v>
      </c>
      <c r="CM44" s="158" t="b">
        <v>0</v>
      </c>
      <c r="CN44" s="158" t="b">
        <v>0</v>
      </c>
      <c r="CO44" s="158" t="b">
        <v>0</v>
      </c>
      <c r="CP44" s="158" t="b">
        <v>0</v>
      </c>
      <c r="CQ44" s="158" t="b">
        <v>0</v>
      </c>
      <c r="CR44" s="158" t="b">
        <v>0</v>
      </c>
      <c r="CS44" s="158" t="b">
        <v>0</v>
      </c>
      <c r="CT44" s="158" t="b">
        <v>0</v>
      </c>
      <c r="CU44" s="158" t="b">
        <v>0</v>
      </c>
      <c r="CV44" s="158" t="b">
        <v>0</v>
      </c>
      <c r="CW44" s="158" t="b">
        <v>0</v>
      </c>
      <c r="CX44" s="158" t="b">
        <v>0</v>
      </c>
      <c r="CY44" s="158" t="b">
        <v>0</v>
      </c>
      <c r="CZ44" s="158" t="b">
        <v>0</v>
      </c>
      <c r="DA44" s="158" t="b">
        <v>0</v>
      </c>
      <c r="DB44" s="158" t="b">
        <v>0</v>
      </c>
      <c r="DC44" s="158" t="b">
        <v>0</v>
      </c>
      <c r="DD44" s="158" t="b">
        <v>0</v>
      </c>
      <c r="DE44" s="158" t="b">
        <v>0</v>
      </c>
      <c r="DF44" s="158" t="b">
        <v>0</v>
      </c>
      <c r="DG44" s="158" t="b">
        <v>0</v>
      </c>
      <c r="DH44" s="158" t="b">
        <v>0</v>
      </c>
      <c r="DI44" s="158" t="b">
        <v>0</v>
      </c>
      <c r="DJ44" s="158" t="b">
        <v>0</v>
      </c>
      <c r="DK44" s="158" t="b">
        <v>0</v>
      </c>
      <c r="DL44" s="158" t="b">
        <v>0</v>
      </c>
      <c r="DM44" s="158" t="b">
        <v>0</v>
      </c>
      <c r="DN44" s="158" t="b">
        <v>0</v>
      </c>
      <c r="DO44" s="158" t="b">
        <v>0</v>
      </c>
      <c r="DP44" s="158" t="b">
        <v>0</v>
      </c>
      <c r="DQ44" s="158" t="b">
        <v>0</v>
      </c>
      <c r="DR44" s="93" t="b">
        <v>1</v>
      </c>
      <c r="DS44" s="93" t="b">
        <v>1</v>
      </c>
      <c r="DT44" s="93" t="b">
        <v>1</v>
      </c>
      <c r="DU44" s="93" t="b">
        <v>1</v>
      </c>
      <c r="DV44" s="93" t="b">
        <v>1</v>
      </c>
      <c r="DW44" s="158" t="b">
        <v>0</v>
      </c>
      <c r="DX44" s="158" t="b">
        <v>0</v>
      </c>
      <c r="DY44" s="158" t="b">
        <v>0</v>
      </c>
      <c r="DZ44" s="158" t="b">
        <v>0</v>
      </c>
      <c r="EA44" s="158" t="b">
        <v>0</v>
      </c>
      <c r="EB44" s="158" t="b">
        <v>0</v>
      </c>
      <c r="EC44" s="158" t="b">
        <v>0</v>
      </c>
      <c r="ED44" s="158" t="b">
        <v>0</v>
      </c>
      <c r="EE44" s="158" t="b">
        <v>0</v>
      </c>
      <c r="EF44" s="158" t="b">
        <v>0</v>
      </c>
      <c r="EG44" s="158" t="b">
        <v>0</v>
      </c>
      <c r="EH44" s="158" t="b">
        <v>0</v>
      </c>
      <c r="EI44" s="158" t="b">
        <v>0</v>
      </c>
      <c r="EJ44" s="158" t="b">
        <v>0</v>
      </c>
      <c r="EK44" s="158" t="b">
        <v>0</v>
      </c>
      <c r="EL44" s="158" t="b">
        <v>0</v>
      </c>
      <c r="EM44" s="158" t="b">
        <v>0</v>
      </c>
      <c r="EN44" s="158" t="b">
        <v>0</v>
      </c>
      <c r="EO44" s="158" t="b">
        <v>0</v>
      </c>
      <c r="EP44" s="158" t="b">
        <v>0</v>
      </c>
      <c r="EQ44" s="158" t="b">
        <v>0</v>
      </c>
      <c r="ER44" s="158" t="b">
        <v>0</v>
      </c>
      <c r="ES44" s="158" t="b">
        <v>0</v>
      </c>
      <c r="ET44" s="158" t="b">
        <v>0</v>
      </c>
      <c r="EU44" s="158" t="b">
        <v>0</v>
      </c>
      <c r="EV44" s="158" t="b">
        <v>0</v>
      </c>
      <c r="EW44" s="158" t="b">
        <v>0</v>
      </c>
      <c r="EX44" s="158" t="b">
        <v>0</v>
      </c>
      <c r="EY44" s="158" t="b">
        <v>0</v>
      </c>
      <c r="EZ44" s="158" t="b">
        <v>0</v>
      </c>
      <c r="FA44" s="158" t="b">
        <v>0</v>
      </c>
      <c r="FB44" s="158" t="b">
        <v>0</v>
      </c>
      <c r="FC44" s="158" t="b">
        <v>0</v>
      </c>
      <c r="FD44" s="158" t="b">
        <v>0</v>
      </c>
      <c r="FE44" s="158" t="b">
        <v>0</v>
      </c>
      <c r="FF44" s="158" t="b">
        <v>0</v>
      </c>
      <c r="FG44" s="158" t="b">
        <v>0</v>
      </c>
      <c r="FH44" s="158" t="b">
        <v>0</v>
      </c>
      <c r="FI44" s="158" t="b">
        <v>0</v>
      </c>
      <c r="FJ44" s="158" t="b">
        <v>0</v>
      </c>
      <c r="FK44" s="158" t="b">
        <v>0</v>
      </c>
      <c r="FL44" s="158" t="b">
        <v>0</v>
      </c>
      <c r="FM44" s="158" t="b">
        <v>0</v>
      </c>
      <c r="FN44" s="158" t="b">
        <v>0</v>
      </c>
      <c r="FO44" s="158" t="b">
        <v>0</v>
      </c>
      <c r="FP44" s="158" t="b">
        <v>0</v>
      </c>
      <c r="FQ44" s="158" t="b">
        <v>0</v>
      </c>
      <c r="FR44" s="158" t="b">
        <v>0</v>
      </c>
      <c r="FS44" s="158" t="b">
        <v>0</v>
      </c>
      <c r="FT44" s="93" t="b">
        <v>1</v>
      </c>
      <c r="FU44" s="158" t="b">
        <v>0</v>
      </c>
      <c r="FV44" s="158" t="b">
        <v>0</v>
      </c>
      <c r="FW44" s="158" t="b">
        <v>0</v>
      </c>
      <c r="FX44" s="158" t="b">
        <v>0</v>
      </c>
      <c r="FY44" s="158" t="b">
        <v>0</v>
      </c>
      <c r="FZ44" s="158" t="b">
        <v>0</v>
      </c>
      <c r="GA44" s="158" t="b">
        <v>0</v>
      </c>
      <c r="GB44" s="158" t="b">
        <v>0</v>
      </c>
      <c r="GC44" s="158" t="b">
        <v>0</v>
      </c>
      <c r="GD44" s="158" t="b">
        <v>0</v>
      </c>
      <c r="GE44" s="158" t="b">
        <v>0</v>
      </c>
      <c r="GF44" s="158" t="b">
        <v>0</v>
      </c>
      <c r="GG44" s="158" t="b">
        <v>0</v>
      </c>
      <c r="GH44" s="158" t="b">
        <v>0</v>
      </c>
      <c r="GI44" s="158" t="b">
        <v>0</v>
      </c>
      <c r="GJ44" s="158" t="b">
        <v>0</v>
      </c>
      <c r="GK44" s="158" t="b">
        <v>0</v>
      </c>
      <c r="GL44" s="158" t="b">
        <v>0</v>
      </c>
      <c r="GM44" s="158" t="b">
        <v>0</v>
      </c>
      <c r="GN44" s="158" t="b">
        <v>0</v>
      </c>
      <c r="GO44" s="158" t="b">
        <v>0</v>
      </c>
      <c r="GP44" s="158" t="b">
        <v>0</v>
      </c>
      <c r="GQ44" s="158" t="b">
        <v>0</v>
      </c>
      <c r="GR44" s="158" t="b">
        <v>0</v>
      </c>
      <c r="GS44" s="158" t="b">
        <v>0</v>
      </c>
      <c r="GT44" s="158" t="b">
        <v>0</v>
      </c>
      <c r="GU44" s="158" t="b">
        <v>0</v>
      </c>
      <c r="GV44" s="158" t="b">
        <v>0</v>
      </c>
      <c r="GW44" s="158" t="b">
        <v>0</v>
      </c>
      <c r="GX44" s="158" t="b">
        <v>0</v>
      </c>
      <c r="GY44" s="158" t="b">
        <v>0</v>
      </c>
      <c r="GZ44" s="158" t="b">
        <v>0</v>
      </c>
      <c r="HA44" s="158" t="b">
        <v>0</v>
      </c>
      <c r="HB44" s="158" t="b">
        <v>0</v>
      </c>
      <c r="HC44" s="158" t="b">
        <v>0</v>
      </c>
      <c r="HD44" s="158" t="b">
        <v>0</v>
      </c>
      <c r="HE44" s="158" t="b">
        <v>0</v>
      </c>
      <c r="HF44" s="158" t="b">
        <v>0</v>
      </c>
      <c r="HG44" s="158" t="b">
        <v>0</v>
      </c>
      <c r="HH44" s="158" t="b">
        <v>0</v>
      </c>
      <c r="HI44" s="158" t="b">
        <v>0</v>
      </c>
      <c r="HJ44" s="93" t="b">
        <v>1</v>
      </c>
      <c r="HK44" s="93" t="b">
        <v>1</v>
      </c>
      <c r="HL44" s="93" t="b">
        <v>1</v>
      </c>
      <c r="HM44" s="158" t="b">
        <v>0</v>
      </c>
      <c r="HN44" s="158" t="b">
        <v>0</v>
      </c>
      <c r="HO44" s="158" t="b">
        <v>0</v>
      </c>
      <c r="HP44" s="158" t="b">
        <v>0</v>
      </c>
      <c r="HQ44" s="158" t="b">
        <v>0</v>
      </c>
      <c r="HR44" s="158" t="b">
        <v>0</v>
      </c>
      <c r="HS44" s="158" t="b">
        <v>0</v>
      </c>
      <c r="HT44" s="93" t="b">
        <v>1</v>
      </c>
      <c r="HU44" s="93" t="b">
        <v>1</v>
      </c>
      <c r="HV44" s="93" t="b">
        <v>1</v>
      </c>
      <c r="HW44" s="93" t="b">
        <v>1</v>
      </c>
      <c r="HX44" s="93" t="b">
        <v>1</v>
      </c>
      <c r="HY44" s="158" t="b">
        <v>0</v>
      </c>
      <c r="HZ44" s="158" t="b">
        <v>0</v>
      </c>
      <c r="IA44" s="158" t="b">
        <v>0</v>
      </c>
      <c r="IB44" s="158" t="b">
        <v>0</v>
      </c>
      <c r="IC44" s="158" t="b">
        <v>0</v>
      </c>
      <c r="ID44" s="158" t="b">
        <v>0</v>
      </c>
      <c r="IE44" s="158" t="b">
        <v>0</v>
      </c>
      <c r="IF44" s="158" t="b">
        <v>0</v>
      </c>
      <c r="IG44" s="158" t="b">
        <v>0</v>
      </c>
      <c r="IH44" s="158" t="b">
        <v>0</v>
      </c>
      <c r="II44" s="158" t="b">
        <v>0</v>
      </c>
      <c r="IJ44" s="158" t="b">
        <v>0</v>
      </c>
      <c r="IK44" s="158" t="b">
        <v>0</v>
      </c>
      <c r="IL44" s="158" t="b">
        <v>0</v>
      </c>
      <c r="IM44" s="158" t="b">
        <v>0</v>
      </c>
      <c r="IN44" s="158" t="b">
        <v>0</v>
      </c>
      <c r="IO44" s="158" t="b">
        <v>0</v>
      </c>
      <c r="IP44" s="158" t="b">
        <v>0</v>
      </c>
      <c r="IQ44" s="158" t="b">
        <v>0</v>
      </c>
      <c r="IR44" s="158" t="b">
        <v>0</v>
      </c>
      <c r="IS44" s="158" t="b">
        <v>0</v>
      </c>
      <c r="IT44" s="158" t="b">
        <v>0</v>
      </c>
      <c r="IU44" s="158" t="b">
        <v>0</v>
      </c>
      <c r="IV44" s="158" t="b">
        <v>0</v>
      </c>
      <c r="IW44" s="158" t="b">
        <v>0</v>
      </c>
      <c r="IX44" s="158" t="b">
        <v>0</v>
      </c>
      <c r="IY44" s="158" t="b">
        <v>0</v>
      </c>
      <c r="IZ44" s="158" t="b">
        <v>0</v>
      </c>
      <c r="JA44" s="158" t="b">
        <v>0</v>
      </c>
      <c r="JB44" s="158" t="b">
        <v>0</v>
      </c>
      <c r="JC44" s="158" t="b">
        <v>0</v>
      </c>
      <c r="JD44" s="158" t="b">
        <v>0</v>
      </c>
      <c r="JE44" s="158" t="b">
        <v>0</v>
      </c>
      <c r="JF44" s="158" t="b">
        <v>0</v>
      </c>
      <c r="JG44" s="158" t="b">
        <v>0</v>
      </c>
      <c r="JH44" s="158" t="b">
        <v>0</v>
      </c>
      <c r="JI44" s="158" t="b">
        <v>0</v>
      </c>
      <c r="JJ44" s="158" t="b">
        <v>0</v>
      </c>
      <c r="JK44" s="158" t="b">
        <v>0</v>
      </c>
      <c r="JL44" s="158" t="b">
        <v>0</v>
      </c>
      <c r="JM44" s="158" t="b">
        <v>0</v>
      </c>
      <c r="JN44" s="158" t="b">
        <v>0</v>
      </c>
      <c r="JO44" s="158" t="b">
        <v>0</v>
      </c>
      <c r="JP44" s="158" t="b">
        <v>0</v>
      </c>
      <c r="JQ44" s="158" t="b">
        <v>0</v>
      </c>
      <c r="JR44" s="158" t="b">
        <v>0</v>
      </c>
      <c r="JS44" s="158" t="b">
        <v>0</v>
      </c>
      <c r="JT44" s="158" t="b">
        <v>0</v>
      </c>
      <c r="JU44" s="158" t="b">
        <v>0</v>
      </c>
      <c r="JV44" s="158" t="b">
        <v>0</v>
      </c>
      <c r="JW44" s="158" t="b">
        <v>0</v>
      </c>
      <c r="JX44" s="158" t="b">
        <v>0</v>
      </c>
      <c r="JY44" s="158" t="b">
        <v>0</v>
      </c>
      <c r="JZ44" s="158" t="b">
        <v>0</v>
      </c>
      <c r="KA44" s="158" t="b">
        <v>0</v>
      </c>
      <c r="KB44" s="158" t="b">
        <v>0</v>
      </c>
      <c r="KC44" s="158" t="b">
        <v>0</v>
      </c>
      <c r="KD44" s="158" t="b">
        <v>0</v>
      </c>
      <c r="KE44" s="158" t="b">
        <v>0</v>
      </c>
      <c r="KF44" s="158" t="b">
        <v>0</v>
      </c>
      <c r="KG44" s="158" t="b">
        <v>0</v>
      </c>
      <c r="KH44" s="158" t="b">
        <v>0</v>
      </c>
      <c r="KI44" s="158" t="b">
        <v>0</v>
      </c>
      <c r="KJ44" s="158" t="b">
        <v>0</v>
      </c>
      <c r="KK44" s="158" t="b">
        <v>0</v>
      </c>
      <c r="KL44" s="158" t="b">
        <v>0</v>
      </c>
      <c r="KM44" s="158" t="b">
        <v>0</v>
      </c>
      <c r="KN44" s="158" t="b">
        <v>0</v>
      </c>
      <c r="KO44" s="158" t="b">
        <v>0</v>
      </c>
      <c r="KP44" s="158" t="b">
        <v>0</v>
      </c>
      <c r="KQ44" s="158" t="b">
        <v>0</v>
      </c>
      <c r="KR44" s="158" t="b">
        <v>0</v>
      </c>
      <c r="KS44" s="158" t="b">
        <v>0</v>
      </c>
      <c r="KT44" s="158" t="b">
        <v>0</v>
      </c>
      <c r="KU44" s="158" t="b">
        <v>0</v>
      </c>
      <c r="KV44" s="158" t="b">
        <v>0</v>
      </c>
      <c r="KW44" s="158" t="b">
        <v>0</v>
      </c>
      <c r="KX44" s="158" t="b">
        <v>0</v>
      </c>
      <c r="KY44" s="158" t="b">
        <v>0</v>
      </c>
      <c r="KZ44" s="158" t="b">
        <v>0</v>
      </c>
      <c r="LA44" s="158" t="b">
        <v>0</v>
      </c>
      <c r="LB44" s="158" t="b">
        <v>0</v>
      </c>
      <c r="LC44" s="158" t="b">
        <v>0</v>
      </c>
      <c r="LD44" s="158" t="b">
        <v>0</v>
      </c>
      <c r="LE44" s="158" t="b">
        <v>0</v>
      </c>
      <c r="LF44" s="158" t="b">
        <v>0</v>
      </c>
      <c r="LG44" s="158" t="b">
        <v>0</v>
      </c>
      <c r="LH44" s="158" t="b">
        <v>0</v>
      </c>
      <c r="LI44" s="158" t="b">
        <v>0</v>
      </c>
      <c r="LJ44" s="158" t="b">
        <v>0</v>
      </c>
      <c r="LK44" s="158" t="b">
        <v>0</v>
      </c>
      <c r="LL44" s="158" t="b">
        <v>0</v>
      </c>
      <c r="LM44" s="158" t="b">
        <v>0</v>
      </c>
      <c r="LN44" s="158" t="b">
        <v>0</v>
      </c>
      <c r="LO44" s="158" t="b">
        <v>0</v>
      </c>
      <c r="LP44" s="158" t="b">
        <v>0</v>
      </c>
      <c r="LQ44" s="158" t="b">
        <v>0</v>
      </c>
      <c r="LR44" s="158" t="b">
        <v>0</v>
      </c>
      <c r="LS44" s="158" t="b">
        <v>0</v>
      </c>
      <c r="LT44" s="158" t="b">
        <v>0</v>
      </c>
      <c r="LU44" s="158" t="b">
        <v>0</v>
      </c>
      <c r="LV44" s="158" t="b">
        <v>0</v>
      </c>
      <c r="LW44" s="158" t="b">
        <v>0</v>
      </c>
      <c r="LX44" s="158" t="b">
        <v>0</v>
      </c>
      <c r="LY44" s="158" t="b">
        <v>0</v>
      </c>
      <c r="LZ44" s="158" t="b">
        <v>0</v>
      </c>
      <c r="MA44" s="158" t="b">
        <v>0</v>
      </c>
      <c r="MB44" s="158" t="b">
        <v>0</v>
      </c>
      <c r="MC44" s="158" t="b">
        <v>0</v>
      </c>
      <c r="MD44" s="158" t="b">
        <v>0</v>
      </c>
      <c r="ME44" s="158" t="b">
        <v>0</v>
      </c>
      <c r="MF44" s="158" t="b">
        <v>0</v>
      </c>
      <c r="MG44" s="158" t="b">
        <v>0</v>
      </c>
      <c r="MH44" s="158" t="b">
        <v>0</v>
      </c>
      <c r="MI44" s="158" t="b">
        <v>0</v>
      </c>
      <c r="MJ44" s="158" t="b">
        <v>0</v>
      </c>
      <c r="MK44" s="158" t="b">
        <v>0</v>
      </c>
      <c r="ML44" s="158" t="b">
        <v>0</v>
      </c>
      <c r="MM44" s="158" t="b">
        <v>0</v>
      </c>
      <c r="MN44" s="158" t="b">
        <v>0</v>
      </c>
      <c r="MO44" s="158" t="b">
        <v>0</v>
      </c>
      <c r="MP44" s="158" t="b">
        <v>0</v>
      </c>
      <c r="MQ44" s="158" t="b">
        <v>0</v>
      </c>
      <c r="MR44" s="158" t="b">
        <v>0</v>
      </c>
      <c r="MS44" s="158" t="b">
        <v>0</v>
      </c>
      <c r="MT44" s="158" t="b">
        <v>0</v>
      </c>
      <c r="MU44" s="158" t="b">
        <v>0</v>
      </c>
      <c r="MV44" s="158" t="b">
        <v>0</v>
      </c>
      <c r="MW44" s="158" t="b">
        <v>0</v>
      </c>
      <c r="MX44" s="158" t="b">
        <v>0</v>
      </c>
      <c r="MY44" s="158" t="b">
        <v>0</v>
      </c>
      <c r="MZ44" s="158" t="b">
        <v>0</v>
      </c>
      <c r="NA44" s="158" t="b">
        <v>0</v>
      </c>
      <c r="NB44" s="158" t="b">
        <v>0</v>
      </c>
      <c r="NC44" s="158" t="b">
        <v>0</v>
      </c>
      <c r="ND44" s="158" t="b">
        <v>0</v>
      </c>
      <c r="NE44" s="158" t="b">
        <v>0</v>
      </c>
      <c r="NF44" s="158" t="b">
        <v>0</v>
      </c>
      <c r="NG44" s="158" t="b">
        <v>0</v>
      </c>
      <c r="NH44" s="158" t="b">
        <v>0</v>
      </c>
      <c r="NI44" s="158" t="b">
        <v>0</v>
      </c>
      <c r="NJ44" s="158" t="b">
        <v>0</v>
      </c>
      <c r="NK44" s="158" t="b">
        <v>0</v>
      </c>
      <c r="NL44" s="158" t="b">
        <v>0</v>
      </c>
      <c r="NM44" s="158" t="b">
        <v>0</v>
      </c>
      <c r="NN44" s="158" t="b">
        <v>0</v>
      </c>
      <c r="NO44" s="158" t="b">
        <v>0</v>
      </c>
    </row>
    <row r="45" spans="1:379" ht="29.25" x14ac:dyDescent="0.4">
      <c r="A45" s="511" t="str">
        <v xml:space="preserve">152-D </v>
      </c>
      <c r="B45" s="158" t="b">
        <v>0</v>
      </c>
      <c r="C45" s="158" t="b">
        <v>0</v>
      </c>
      <c r="D45" s="158" t="b">
        <v>0</v>
      </c>
      <c r="E45" s="158" t="b">
        <v>0</v>
      </c>
      <c r="F45" s="158" t="b">
        <v>0</v>
      </c>
      <c r="G45" s="158" t="b">
        <v>0</v>
      </c>
      <c r="H45" s="158" t="b">
        <v>0</v>
      </c>
      <c r="I45" s="158" t="b">
        <v>0</v>
      </c>
      <c r="J45" s="158" t="b">
        <v>0</v>
      </c>
      <c r="K45" s="158" t="b">
        <v>0</v>
      </c>
      <c r="L45" s="158" t="b">
        <v>0</v>
      </c>
      <c r="M45" s="158" t="b">
        <v>0</v>
      </c>
      <c r="N45" s="158" t="b">
        <v>0</v>
      </c>
      <c r="O45" s="158" t="b">
        <v>0</v>
      </c>
      <c r="P45" s="158" t="b">
        <v>0</v>
      </c>
      <c r="Q45" s="158" t="b">
        <v>0</v>
      </c>
      <c r="R45" s="158" t="b">
        <v>0</v>
      </c>
      <c r="S45" s="158" t="b">
        <v>0</v>
      </c>
      <c r="T45" s="158" t="b">
        <v>0</v>
      </c>
      <c r="U45" s="158" t="b">
        <v>0</v>
      </c>
      <c r="V45" s="158" t="b">
        <v>0</v>
      </c>
      <c r="W45" s="158" t="b">
        <v>0</v>
      </c>
      <c r="X45" s="158" t="b">
        <v>0</v>
      </c>
      <c r="Y45" s="158" t="b">
        <v>0</v>
      </c>
      <c r="Z45" s="158" t="b">
        <v>0</v>
      </c>
      <c r="AA45" s="158" t="b">
        <v>0</v>
      </c>
      <c r="AB45" s="158" t="b">
        <v>0</v>
      </c>
      <c r="AC45" s="158" t="b">
        <v>0</v>
      </c>
      <c r="AD45" s="158" t="b">
        <v>0</v>
      </c>
      <c r="AE45" s="158" t="b">
        <v>0</v>
      </c>
      <c r="AF45" s="158" t="b">
        <v>0</v>
      </c>
      <c r="AG45" s="158" t="b">
        <v>0</v>
      </c>
      <c r="AH45" s="158" t="b">
        <v>0</v>
      </c>
      <c r="AI45" s="158" t="b">
        <v>0</v>
      </c>
      <c r="AJ45" s="158" t="b">
        <v>0</v>
      </c>
      <c r="AK45" s="158" t="b">
        <v>0</v>
      </c>
      <c r="AL45" s="158" t="b">
        <v>0</v>
      </c>
      <c r="AM45" s="158" t="b">
        <v>0</v>
      </c>
      <c r="AN45" s="158" t="b">
        <v>0</v>
      </c>
      <c r="AO45" s="158" t="b">
        <v>0</v>
      </c>
      <c r="AP45" s="158" t="b">
        <v>0</v>
      </c>
      <c r="AQ45" s="158" t="b">
        <v>0</v>
      </c>
      <c r="AR45" s="158" t="b">
        <v>0</v>
      </c>
      <c r="AS45" s="158" t="b">
        <v>0</v>
      </c>
      <c r="AT45" s="158" t="b">
        <v>0</v>
      </c>
      <c r="AU45" s="158" t="b">
        <v>0</v>
      </c>
      <c r="AV45" s="158" t="b">
        <v>0</v>
      </c>
      <c r="AW45" s="158" t="b">
        <v>0</v>
      </c>
      <c r="AX45" s="158" t="b">
        <v>0</v>
      </c>
      <c r="AY45" s="158" t="b">
        <v>0</v>
      </c>
      <c r="AZ45" s="158" t="b">
        <v>0</v>
      </c>
      <c r="BA45" s="158" t="b">
        <v>0</v>
      </c>
      <c r="BB45" s="158" t="b">
        <v>0</v>
      </c>
      <c r="BC45" s="158" t="b">
        <v>0</v>
      </c>
      <c r="BD45" s="158" t="b">
        <v>0</v>
      </c>
      <c r="BE45" s="158" t="b">
        <v>0</v>
      </c>
      <c r="BF45" s="158" t="b">
        <v>0</v>
      </c>
      <c r="BG45" s="158" t="b">
        <v>0</v>
      </c>
      <c r="BH45" s="158" t="b">
        <v>0</v>
      </c>
      <c r="BI45" s="158" t="b">
        <v>0</v>
      </c>
      <c r="BJ45" s="158" t="b">
        <v>0</v>
      </c>
      <c r="BK45" s="158" t="b">
        <v>0</v>
      </c>
      <c r="BL45" s="158" t="b">
        <v>0</v>
      </c>
      <c r="BM45" s="158" t="b">
        <v>0</v>
      </c>
      <c r="BN45" s="158" t="b">
        <v>0</v>
      </c>
      <c r="BO45" s="158" t="b">
        <v>0</v>
      </c>
      <c r="BP45" s="158" t="b">
        <v>0</v>
      </c>
      <c r="BQ45" s="158" t="b">
        <v>0</v>
      </c>
      <c r="BR45" s="158" t="b">
        <v>0</v>
      </c>
      <c r="BS45" s="158" t="b">
        <v>0</v>
      </c>
      <c r="BT45" s="158" t="b">
        <v>0</v>
      </c>
      <c r="BU45" s="158" t="b">
        <v>0</v>
      </c>
      <c r="BV45" s="158" t="b">
        <v>0</v>
      </c>
      <c r="BW45" s="158" t="b">
        <v>0</v>
      </c>
      <c r="BX45" s="158" t="b">
        <v>0</v>
      </c>
      <c r="BY45" s="158" t="b">
        <v>0</v>
      </c>
      <c r="BZ45" s="158" t="b">
        <v>0</v>
      </c>
      <c r="CA45" s="158" t="b">
        <v>0</v>
      </c>
      <c r="CB45" s="158" t="b">
        <v>0</v>
      </c>
      <c r="CC45" s="158" t="b">
        <v>0</v>
      </c>
      <c r="CD45" s="158" t="b">
        <v>0</v>
      </c>
      <c r="CE45" s="158" t="b">
        <v>0</v>
      </c>
      <c r="CF45" s="158" t="b">
        <v>0</v>
      </c>
      <c r="CG45" s="158" t="b">
        <v>0</v>
      </c>
      <c r="CH45" s="158" t="b">
        <v>0</v>
      </c>
      <c r="CI45" s="158" t="b">
        <v>0</v>
      </c>
      <c r="CJ45" s="158" t="b">
        <v>0</v>
      </c>
      <c r="CK45" s="158" t="b">
        <v>0</v>
      </c>
      <c r="CL45" s="158" t="b">
        <v>0</v>
      </c>
      <c r="CM45" s="158" t="b">
        <v>0</v>
      </c>
      <c r="CN45" s="158" t="b">
        <v>0</v>
      </c>
      <c r="CO45" s="158" t="b">
        <v>0</v>
      </c>
      <c r="CP45" s="158" t="b">
        <v>0</v>
      </c>
      <c r="CQ45" s="158" t="b">
        <v>0</v>
      </c>
      <c r="CR45" s="158" t="b">
        <v>0</v>
      </c>
      <c r="CS45" s="158" t="b">
        <v>0</v>
      </c>
      <c r="CT45" s="158" t="b">
        <v>0</v>
      </c>
      <c r="CU45" s="158" t="b">
        <v>0</v>
      </c>
      <c r="CV45" s="158" t="b">
        <v>0</v>
      </c>
      <c r="CW45" s="158" t="b">
        <v>0</v>
      </c>
      <c r="CX45" s="158" t="b">
        <v>0</v>
      </c>
      <c r="CY45" s="158" t="b">
        <v>0</v>
      </c>
      <c r="CZ45" s="158" t="b">
        <v>0</v>
      </c>
      <c r="DA45" s="158" t="b">
        <v>0</v>
      </c>
      <c r="DB45" s="158" t="b">
        <v>0</v>
      </c>
      <c r="DC45" s="158" t="b">
        <v>0</v>
      </c>
      <c r="DD45" s="158" t="b">
        <v>0</v>
      </c>
      <c r="DE45" s="158" t="b">
        <v>0</v>
      </c>
      <c r="DF45" s="158" t="b">
        <v>0</v>
      </c>
      <c r="DG45" s="158" t="b">
        <v>0</v>
      </c>
      <c r="DH45" s="158" t="b">
        <v>0</v>
      </c>
      <c r="DI45" s="158" t="b">
        <v>0</v>
      </c>
      <c r="DJ45" s="158" t="b">
        <v>0</v>
      </c>
      <c r="DK45" s="158" t="b">
        <v>0</v>
      </c>
      <c r="DL45" s="158" t="b">
        <v>0</v>
      </c>
      <c r="DM45" s="158" t="b">
        <v>0</v>
      </c>
      <c r="DN45" s="158" t="b">
        <v>0</v>
      </c>
      <c r="DO45" s="158" t="b">
        <v>0</v>
      </c>
      <c r="DP45" s="158" t="b">
        <v>0</v>
      </c>
      <c r="DQ45" s="158" t="b">
        <v>0</v>
      </c>
      <c r="DR45" s="158" t="b">
        <v>0</v>
      </c>
      <c r="DS45" s="158" t="b">
        <v>0</v>
      </c>
      <c r="DT45" s="158" t="b">
        <v>0</v>
      </c>
      <c r="DU45" s="158" t="b">
        <v>0</v>
      </c>
      <c r="DV45" s="158" t="b">
        <v>0</v>
      </c>
      <c r="DW45" s="158" t="b">
        <v>0</v>
      </c>
      <c r="DX45" s="158" t="b">
        <v>0</v>
      </c>
      <c r="DY45" s="158" t="b">
        <v>0</v>
      </c>
      <c r="DZ45" s="158" t="b">
        <v>0</v>
      </c>
      <c r="EA45" s="158" t="b">
        <v>0</v>
      </c>
      <c r="EB45" s="158" t="b">
        <v>0</v>
      </c>
      <c r="EC45" s="158" t="b">
        <v>0</v>
      </c>
      <c r="ED45" s="158" t="b">
        <v>0</v>
      </c>
      <c r="EE45" s="158" t="b">
        <v>0</v>
      </c>
      <c r="EF45" s="158" t="b">
        <v>0</v>
      </c>
      <c r="EG45" s="158" t="b">
        <v>0</v>
      </c>
      <c r="EH45" s="158" t="b">
        <v>0</v>
      </c>
      <c r="EI45" s="158" t="b">
        <v>0</v>
      </c>
      <c r="EJ45" s="158" t="b">
        <v>0</v>
      </c>
      <c r="EK45" s="158" t="b">
        <v>0</v>
      </c>
      <c r="EL45" s="158" t="b">
        <v>0</v>
      </c>
      <c r="EM45" s="158" t="b">
        <v>0</v>
      </c>
      <c r="EN45" s="158" t="b">
        <v>0</v>
      </c>
      <c r="EO45" s="158" t="b">
        <v>0</v>
      </c>
      <c r="EP45" s="158" t="b">
        <v>0</v>
      </c>
      <c r="EQ45" s="158" t="b">
        <v>0</v>
      </c>
      <c r="ER45" s="158" t="b">
        <v>0</v>
      </c>
      <c r="ES45" s="158" t="b">
        <v>0</v>
      </c>
      <c r="ET45" s="158" t="b">
        <v>0</v>
      </c>
      <c r="EU45" s="158" t="b">
        <v>0</v>
      </c>
      <c r="EV45" s="158" t="b">
        <v>0</v>
      </c>
      <c r="EW45" s="158" t="b">
        <v>0</v>
      </c>
      <c r="EX45" s="158" t="b">
        <v>0</v>
      </c>
      <c r="EY45" s="158" t="b">
        <v>0</v>
      </c>
      <c r="EZ45" s="158" t="b">
        <v>0</v>
      </c>
      <c r="FA45" s="158" t="b">
        <v>0</v>
      </c>
      <c r="FB45" s="158" t="b">
        <v>0</v>
      </c>
      <c r="FC45" s="158" t="b">
        <v>0</v>
      </c>
      <c r="FD45" s="158" t="b">
        <v>0</v>
      </c>
      <c r="FE45" s="158" t="b">
        <v>0</v>
      </c>
      <c r="FF45" s="158" t="b">
        <v>0</v>
      </c>
      <c r="FG45" s="158" t="b">
        <v>0</v>
      </c>
      <c r="FH45" s="158" t="b">
        <v>0</v>
      </c>
      <c r="FI45" s="158" t="b">
        <v>0</v>
      </c>
      <c r="FJ45" s="158" t="b">
        <v>0</v>
      </c>
      <c r="FK45" s="158" t="b">
        <v>0</v>
      </c>
      <c r="FL45" s="158" t="b">
        <v>0</v>
      </c>
      <c r="FM45" s="158" t="b">
        <v>0</v>
      </c>
      <c r="FN45" s="158" t="b">
        <v>0</v>
      </c>
      <c r="FO45" s="158" t="b">
        <v>0</v>
      </c>
      <c r="FP45" s="158" t="b">
        <v>0</v>
      </c>
      <c r="FQ45" s="158" t="b">
        <v>0</v>
      </c>
      <c r="FR45" s="158" t="b">
        <v>0</v>
      </c>
      <c r="FS45" s="158" t="b">
        <v>0</v>
      </c>
      <c r="FT45" s="158" t="b">
        <v>0</v>
      </c>
      <c r="FU45" s="158" t="b">
        <v>0</v>
      </c>
      <c r="FV45" s="158" t="b">
        <v>0</v>
      </c>
      <c r="FW45" s="158" t="b">
        <v>0</v>
      </c>
      <c r="FX45" s="158" t="b">
        <v>0</v>
      </c>
      <c r="FY45" s="158" t="b">
        <v>0</v>
      </c>
      <c r="FZ45" s="158" t="b">
        <v>0</v>
      </c>
      <c r="GA45" s="158" t="b">
        <v>0</v>
      </c>
      <c r="GB45" s="158" t="b">
        <v>0</v>
      </c>
      <c r="GC45" s="158" t="b">
        <v>0</v>
      </c>
      <c r="GD45" s="158" t="b">
        <v>0</v>
      </c>
      <c r="GE45" s="158" t="b">
        <v>0</v>
      </c>
      <c r="GF45" s="158" t="b">
        <v>0</v>
      </c>
      <c r="GG45" s="158" t="b">
        <v>0</v>
      </c>
      <c r="GH45" s="158" t="b">
        <v>0</v>
      </c>
      <c r="GI45" s="158" t="b">
        <v>0</v>
      </c>
      <c r="GJ45" s="158" t="b">
        <v>0</v>
      </c>
      <c r="GK45" s="158" t="b">
        <v>0</v>
      </c>
      <c r="GL45" s="158" t="b">
        <v>0</v>
      </c>
      <c r="GM45" s="158" t="b">
        <v>0</v>
      </c>
      <c r="GN45" s="158" t="b">
        <v>0</v>
      </c>
      <c r="GO45" s="158" t="b">
        <v>0</v>
      </c>
      <c r="GP45" s="158" t="b">
        <v>0</v>
      </c>
      <c r="GQ45" s="158" t="b">
        <v>0</v>
      </c>
      <c r="GR45" s="158" t="b">
        <v>0</v>
      </c>
      <c r="GS45" s="158" t="b">
        <v>0</v>
      </c>
      <c r="GT45" s="158" t="b">
        <v>0</v>
      </c>
      <c r="GU45" s="158" t="b">
        <v>0</v>
      </c>
      <c r="GV45" s="158" t="b">
        <v>0</v>
      </c>
      <c r="GW45" s="158" t="b">
        <v>0</v>
      </c>
      <c r="GX45" s="158" t="b">
        <v>0</v>
      </c>
      <c r="GY45" s="158" t="b">
        <v>0</v>
      </c>
      <c r="GZ45" s="158" t="b">
        <v>0</v>
      </c>
      <c r="HA45" s="158" t="b">
        <v>0</v>
      </c>
      <c r="HB45" s="158" t="b">
        <v>0</v>
      </c>
      <c r="HC45" s="158" t="b">
        <v>0</v>
      </c>
      <c r="HD45" s="158" t="b">
        <v>0</v>
      </c>
      <c r="HE45" s="158" t="b">
        <v>0</v>
      </c>
      <c r="HF45" s="158" t="b">
        <v>0</v>
      </c>
      <c r="HG45" s="158" t="b">
        <v>0</v>
      </c>
      <c r="HH45" s="158" t="b">
        <v>0</v>
      </c>
      <c r="HI45" s="158" t="b">
        <v>0</v>
      </c>
      <c r="HJ45" s="158" t="b">
        <v>0</v>
      </c>
      <c r="HK45" s="158" t="b">
        <v>0</v>
      </c>
      <c r="HL45" s="158" t="b">
        <v>0</v>
      </c>
      <c r="HM45" s="158" t="b">
        <v>0</v>
      </c>
      <c r="HN45" s="158" t="b">
        <v>0</v>
      </c>
      <c r="HO45" s="158" t="b">
        <v>0</v>
      </c>
      <c r="HP45" s="158" t="b">
        <v>0</v>
      </c>
      <c r="HQ45" s="158" t="b">
        <v>0</v>
      </c>
      <c r="HR45" s="158" t="b">
        <v>0</v>
      </c>
      <c r="HS45" s="158" t="b">
        <v>0</v>
      </c>
      <c r="HT45" s="158" t="b">
        <v>0</v>
      </c>
      <c r="HU45" s="158" t="b">
        <v>0</v>
      </c>
      <c r="HV45" s="158" t="b">
        <v>0</v>
      </c>
      <c r="HW45" s="158" t="b">
        <v>0</v>
      </c>
      <c r="HX45" s="158" t="b">
        <v>0</v>
      </c>
      <c r="HY45" s="158" t="b">
        <v>0</v>
      </c>
      <c r="HZ45" s="158" t="b">
        <v>0</v>
      </c>
      <c r="IA45" s="158" t="b">
        <v>0</v>
      </c>
      <c r="IB45" s="158" t="b">
        <v>0</v>
      </c>
      <c r="IC45" s="158" t="b">
        <v>0</v>
      </c>
      <c r="ID45" s="158" t="b">
        <v>0</v>
      </c>
      <c r="IE45" s="158" t="b">
        <v>0</v>
      </c>
      <c r="IF45" s="158" t="b">
        <v>0</v>
      </c>
      <c r="IG45" s="158" t="b">
        <v>0</v>
      </c>
      <c r="IH45" s="158" t="b">
        <v>0</v>
      </c>
      <c r="II45" s="158" t="b">
        <v>0</v>
      </c>
      <c r="IJ45" s="158" t="b">
        <v>0</v>
      </c>
      <c r="IK45" s="158" t="b">
        <v>0</v>
      </c>
      <c r="IL45" s="158" t="b">
        <v>0</v>
      </c>
      <c r="IM45" s="158" t="b">
        <v>0</v>
      </c>
      <c r="IN45" s="158" t="b">
        <v>0</v>
      </c>
      <c r="IO45" s="158" t="b">
        <v>0</v>
      </c>
      <c r="IP45" s="158" t="b">
        <v>0</v>
      </c>
      <c r="IQ45" s="158" t="b">
        <v>0</v>
      </c>
      <c r="IR45" s="158" t="b">
        <v>0</v>
      </c>
      <c r="IS45" s="158" t="b">
        <v>0</v>
      </c>
      <c r="IT45" s="158" t="b">
        <v>0</v>
      </c>
      <c r="IU45" s="158" t="b">
        <v>0</v>
      </c>
      <c r="IV45" s="158" t="b">
        <v>0</v>
      </c>
      <c r="IW45" s="158" t="b">
        <v>0</v>
      </c>
      <c r="IX45" s="158" t="b">
        <v>0</v>
      </c>
      <c r="IY45" s="158" t="b">
        <v>0</v>
      </c>
      <c r="IZ45" s="158" t="b">
        <v>0</v>
      </c>
      <c r="JA45" s="158" t="b">
        <v>0</v>
      </c>
      <c r="JB45" s="158" t="b">
        <v>0</v>
      </c>
      <c r="JC45" s="158" t="b">
        <v>0</v>
      </c>
      <c r="JD45" s="158" t="b">
        <v>0</v>
      </c>
      <c r="JE45" s="158" t="b">
        <v>0</v>
      </c>
      <c r="JF45" s="158" t="b">
        <v>0</v>
      </c>
      <c r="JG45" s="158" t="b">
        <v>0</v>
      </c>
      <c r="JH45" s="158" t="b">
        <v>0</v>
      </c>
      <c r="JI45" s="158" t="b">
        <v>0</v>
      </c>
      <c r="JJ45" s="158" t="b">
        <v>0</v>
      </c>
      <c r="JK45" s="158" t="b">
        <v>0</v>
      </c>
      <c r="JL45" s="158" t="b">
        <v>0</v>
      </c>
      <c r="JM45" s="158" t="b">
        <v>0</v>
      </c>
      <c r="JN45" s="158" t="b">
        <v>0</v>
      </c>
      <c r="JO45" s="158" t="b">
        <v>0</v>
      </c>
      <c r="JP45" s="158" t="b">
        <v>0</v>
      </c>
      <c r="JQ45" s="158" t="b">
        <v>0</v>
      </c>
      <c r="JR45" s="158" t="b">
        <v>0</v>
      </c>
      <c r="JS45" s="158" t="b">
        <v>0</v>
      </c>
      <c r="JT45" s="158" t="b">
        <v>0</v>
      </c>
      <c r="JU45" s="158" t="b">
        <v>0</v>
      </c>
      <c r="JV45" s="158" t="b">
        <v>0</v>
      </c>
      <c r="JW45" s="158" t="b">
        <v>0</v>
      </c>
      <c r="JX45" s="158" t="b">
        <v>0</v>
      </c>
      <c r="JY45" s="158" t="b">
        <v>0</v>
      </c>
      <c r="JZ45" s="158" t="b">
        <v>0</v>
      </c>
      <c r="KA45" s="158" t="b">
        <v>0</v>
      </c>
      <c r="KB45" s="158" t="b">
        <v>0</v>
      </c>
      <c r="KC45" s="158" t="b">
        <v>0</v>
      </c>
      <c r="KD45" s="158" t="b">
        <v>0</v>
      </c>
      <c r="KE45" s="158" t="b">
        <v>0</v>
      </c>
      <c r="KF45" s="158" t="b">
        <v>0</v>
      </c>
      <c r="KG45" s="158" t="b">
        <v>0</v>
      </c>
      <c r="KH45" s="158" t="b">
        <v>0</v>
      </c>
      <c r="KI45" s="158" t="b">
        <v>0</v>
      </c>
      <c r="KJ45" s="158" t="b">
        <v>0</v>
      </c>
      <c r="KK45" s="158" t="b">
        <v>0</v>
      </c>
      <c r="KL45" s="158" t="b">
        <v>0</v>
      </c>
      <c r="KM45" s="158" t="b">
        <v>0</v>
      </c>
      <c r="KN45" s="158" t="b">
        <v>0</v>
      </c>
      <c r="KO45" s="158" t="b">
        <v>0</v>
      </c>
      <c r="KP45" s="158" t="b">
        <v>0</v>
      </c>
      <c r="KQ45" s="158" t="b">
        <v>0</v>
      </c>
      <c r="KR45" s="158" t="b">
        <v>0</v>
      </c>
      <c r="KS45" s="158" t="b">
        <v>0</v>
      </c>
      <c r="KT45" s="158" t="b">
        <v>0</v>
      </c>
      <c r="KU45" s="158" t="b">
        <v>0</v>
      </c>
      <c r="KV45" s="158" t="b">
        <v>0</v>
      </c>
      <c r="KW45" s="158" t="b">
        <v>0</v>
      </c>
      <c r="KX45" s="158" t="b">
        <v>0</v>
      </c>
      <c r="KY45" s="158" t="b">
        <v>0</v>
      </c>
      <c r="KZ45" s="158" t="b">
        <v>0</v>
      </c>
      <c r="LA45" s="158" t="b">
        <v>0</v>
      </c>
      <c r="LB45" s="158" t="b">
        <v>0</v>
      </c>
      <c r="LC45" s="158" t="b">
        <v>0</v>
      </c>
      <c r="LD45" s="158" t="b">
        <v>0</v>
      </c>
      <c r="LE45" s="158" t="b">
        <v>0</v>
      </c>
      <c r="LF45" s="158" t="b">
        <v>0</v>
      </c>
      <c r="LG45" s="158" t="b">
        <v>0</v>
      </c>
      <c r="LH45" s="158" t="b">
        <v>0</v>
      </c>
      <c r="LI45" s="158" t="b">
        <v>0</v>
      </c>
      <c r="LJ45" s="158" t="b">
        <v>0</v>
      </c>
      <c r="LK45" s="158" t="b">
        <v>0</v>
      </c>
      <c r="LL45" s="158" t="b">
        <v>0</v>
      </c>
      <c r="LM45" s="158" t="b">
        <v>0</v>
      </c>
      <c r="LN45" s="158" t="b">
        <v>0</v>
      </c>
      <c r="LO45" s="158" t="b">
        <v>0</v>
      </c>
      <c r="LP45" s="158" t="b">
        <v>0</v>
      </c>
      <c r="LQ45" s="158" t="b">
        <v>0</v>
      </c>
      <c r="LR45" s="158" t="b">
        <v>0</v>
      </c>
      <c r="LS45" s="158" t="b">
        <v>0</v>
      </c>
      <c r="LT45" s="158" t="b">
        <v>0</v>
      </c>
      <c r="LU45" s="158" t="b">
        <v>0</v>
      </c>
      <c r="LV45" s="158" t="b">
        <v>0</v>
      </c>
      <c r="LW45" s="158" t="b">
        <v>0</v>
      </c>
      <c r="LX45" s="158" t="b">
        <v>0</v>
      </c>
      <c r="LY45" s="158" t="b">
        <v>0</v>
      </c>
      <c r="LZ45" s="158" t="b">
        <v>0</v>
      </c>
      <c r="MA45" s="158" t="b">
        <v>0</v>
      </c>
      <c r="MB45" s="158" t="b">
        <v>0</v>
      </c>
      <c r="MC45" s="158" t="b">
        <v>0</v>
      </c>
      <c r="MD45" s="158" t="b">
        <v>0</v>
      </c>
      <c r="ME45" s="158" t="b">
        <v>0</v>
      </c>
      <c r="MF45" s="158" t="b">
        <v>0</v>
      </c>
      <c r="MG45" s="158" t="b">
        <v>0</v>
      </c>
      <c r="MH45" s="158" t="b">
        <v>0</v>
      </c>
      <c r="MI45" s="158" t="b">
        <v>0</v>
      </c>
      <c r="MJ45" s="158" t="b">
        <v>0</v>
      </c>
      <c r="MK45" s="158" t="b">
        <v>0</v>
      </c>
      <c r="ML45" s="158" t="b">
        <v>0</v>
      </c>
      <c r="MM45" s="158" t="b">
        <v>0</v>
      </c>
      <c r="MN45" s="158" t="b">
        <v>0</v>
      </c>
      <c r="MO45" s="158" t="b">
        <v>0</v>
      </c>
      <c r="MP45" s="158" t="b">
        <v>0</v>
      </c>
      <c r="MQ45" s="158" t="b">
        <v>0</v>
      </c>
      <c r="MR45" s="158" t="b">
        <v>0</v>
      </c>
      <c r="MS45" s="158" t="b">
        <v>0</v>
      </c>
      <c r="MT45" s="158" t="b">
        <v>0</v>
      </c>
      <c r="MU45" s="158" t="b">
        <v>0</v>
      </c>
      <c r="MV45" s="158" t="b">
        <v>0</v>
      </c>
      <c r="MW45" s="158" t="b">
        <v>0</v>
      </c>
      <c r="MX45" s="158" t="b">
        <v>0</v>
      </c>
      <c r="MY45" s="158" t="b">
        <v>0</v>
      </c>
      <c r="MZ45" s="158" t="b">
        <v>0</v>
      </c>
      <c r="NA45" s="158" t="b">
        <v>0</v>
      </c>
      <c r="NB45" s="158" t="b">
        <v>0</v>
      </c>
      <c r="NC45" s="158" t="b">
        <v>0</v>
      </c>
      <c r="ND45" s="158" t="b">
        <v>0</v>
      </c>
      <c r="NE45" s="158" t="b">
        <v>0</v>
      </c>
      <c r="NF45" s="158" t="b">
        <v>0</v>
      </c>
      <c r="NG45" s="158" t="b">
        <v>0</v>
      </c>
      <c r="NH45" s="158" t="b">
        <v>0</v>
      </c>
      <c r="NI45" s="158" t="b">
        <v>0</v>
      </c>
      <c r="NJ45" s="158" t="b">
        <v>0</v>
      </c>
      <c r="NK45" s="158" t="b">
        <v>0</v>
      </c>
      <c r="NL45" s="158" t="b">
        <v>0</v>
      </c>
      <c r="NM45" s="158" t="b">
        <v>0</v>
      </c>
      <c r="NN45" s="158" t="b">
        <v>0</v>
      </c>
      <c r="NO45" s="158" t="b">
        <v>0</v>
      </c>
    </row>
    <row r="46" spans="1:379" ht="29.25" x14ac:dyDescent="0.4">
      <c r="A46" s="511" t="str">
        <v>142-D</v>
      </c>
      <c r="B46" s="158" t="b">
        <v>0</v>
      </c>
      <c r="C46" s="158" t="b">
        <v>0</v>
      </c>
      <c r="D46" s="158" t="b">
        <v>0</v>
      </c>
      <c r="E46" s="158" t="b">
        <v>0</v>
      </c>
      <c r="F46" s="158" t="b">
        <v>0</v>
      </c>
      <c r="G46" s="158" t="b">
        <v>0</v>
      </c>
      <c r="H46" s="158" t="b">
        <v>0</v>
      </c>
      <c r="I46" s="158" t="b">
        <v>0</v>
      </c>
      <c r="J46" s="158" t="b">
        <v>0</v>
      </c>
      <c r="K46" s="158" t="b">
        <v>0</v>
      </c>
      <c r="L46" s="158" t="b">
        <v>0</v>
      </c>
      <c r="M46" s="158" t="b">
        <v>0</v>
      </c>
      <c r="N46" s="158" t="b">
        <v>0</v>
      </c>
      <c r="O46" s="158" t="b">
        <v>0</v>
      </c>
      <c r="P46" s="158" t="b">
        <v>0</v>
      </c>
      <c r="Q46" s="158" t="b">
        <v>0</v>
      </c>
      <c r="R46" s="158" t="b">
        <v>0</v>
      </c>
      <c r="S46" s="158" t="b">
        <v>0</v>
      </c>
      <c r="T46" s="158" t="b">
        <v>0</v>
      </c>
      <c r="U46" s="158" t="b">
        <v>0</v>
      </c>
      <c r="V46" s="158" t="b">
        <v>0</v>
      </c>
      <c r="W46" s="158" t="b">
        <v>0</v>
      </c>
      <c r="X46" s="158" t="b">
        <v>0</v>
      </c>
      <c r="Y46" s="158" t="b">
        <v>0</v>
      </c>
      <c r="Z46" s="158" t="b">
        <v>0</v>
      </c>
      <c r="AA46" s="158" t="b">
        <v>0</v>
      </c>
      <c r="AB46" s="158" t="b">
        <v>0</v>
      </c>
      <c r="AC46" s="158" t="b">
        <v>0</v>
      </c>
      <c r="AD46" s="158" t="b">
        <v>0</v>
      </c>
      <c r="AE46" s="158" t="b">
        <v>0</v>
      </c>
      <c r="AF46" s="158" t="b">
        <v>0</v>
      </c>
      <c r="AG46" s="158" t="b">
        <v>0</v>
      </c>
      <c r="AH46" s="158" t="b">
        <v>0</v>
      </c>
      <c r="AI46" s="158" t="b">
        <v>0</v>
      </c>
      <c r="AJ46" s="158" t="b">
        <v>0</v>
      </c>
      <c r="AK46" s="158" t="b">
        <v>0</v>
      </c>
      <c r="AL46" s="158" t="b">
        <v>0</v>
      </c>
      <c r="AM46" s="158" t="b">
        <v>0</v>
      </c>
      <c r="AN46" s="158" t="b">
        <v>0</v>
      </c>
      <c r="AO46" s="158" t="b">
        <v>0</v>
      </c>
      <c r="AP46" s="158" t="b">
        <v>0</v>
      </c>
      <c r="AQ46" s="158" t="b">
        <v>0</v>
      </c>
      <c r="AR46" s="158" t="b">
        <v>0</v>
      </c>
      <c r="AS46" s="158" t="b">
        <v>0</v>
      </c>
      <c r="AT46" s="158" t="b">
        <v>0</v>
      </c>
      <c r="AU46" s="158" t="b">
        <v>0</v>
      </c>
      <c r="AV46" s="158" t="b">
        <v>0</v>
      </c>
      <c r="AW46" s="158" t="b">
        <v>0</v>
      </c>
      <c r="AX46" s="158" t="b">
        <v>0</v>
      </c>
      <c r="AY46" s="158" t="b">
        <v>0</v>
      </c>
      <c r="AZ46" s="158" t="b">
        <v>0</v>
      </c>
      <c r="BA46" s="158" t="b">
        <v>0</v>
      </c>
      <c r="BB46" s="158" t="b">
        <v>0</v>
      </c>
      <c r="BC46" s="158" t="b">
        <v>0</v>
      </c>
      <c r="BD46" s="158" t="b">
        <v>0</v>
      </c>
      <c r="BE46" s="158" t="b">
        <v>0</v>
      </c>
      <c r="BF46" s="158" t="b">
        <v>0</v>
      </c>
      <c r="BG46" s="158" t="b">
        <v>0</v>
      </c>
      <c r="BH46" s="158" t="b">
        <v>0</v>
      </c>
      <c r="BI46" s="158" t="b">
        <v>0</v>
      </c>
      <c r="BJ46" s="158" t="b">
        <v>0</v>
      </c>
      <c r="BK46" s="158" t="b">
        <v>0</v>
      </c>
      <c r="BL46" s="158" t="b">
        <v>0</v>
      </c>
      <c r="BM46" s="158" t="b">
        <v>0</v>
      </c>
      <c r="BN46" s="158" t="b">
        <v>0</v>
      </c>
      <c r="BO46" s="158" t="b">
        <v>0</v>
      </c>
      <c r="BP46" s="158" t="b">
        <v>0</v>
      </c>
      <c r="BQ46" s="158" t="b">
        <v>0</v>
      </c>
      <c r="BR46" s="158" t="b">
        <v>0</v>
      </c>
      <c r="BS46" s="158" t="b">
        <v>0</v>
      </c>
      <c r="BT46" s="158" t="b">
        <v>0</v>
      </c>
      <c r="BU46" s="158" t="b">
        <v>0</v>
      </c>
      <c r="BV46" s="158" t="b">
        <v>0</v>
      </c>
      <c r="BW46" s="158" t="b">
        <v>0</v>
      </c>
      <c r="BX46" s="158" t="b">
        <v>0</v>
      </c>
      <c r="BY46" s="158" t="b">
        <v>0</v>
      </c>
      <c r="BZ46" s="158" t="b">
        <v>0</v>
      </c>
      <c r="CA46" s="158" t="b">
        <v>0</v>
      </c>
      <c r="CB46" s="158" t="b">
        <v>0</v>
      </c>
      <c r="CC46" s="158" t="b">
        <v>0</v>
      </c>
      <c r="CD46" s="158" t="b">
        <v>0</v>
      </c>
      <c r="CE46" s="158" t="b">
        <v>0</v>
      </c>
      <c r="CF46" s="158" t="b">
        <v>0</v>
      </c>
      <c r="CG46" s="158" t="b">
        <v>0</v>
      </c>
      <c r="CH46" s="158" t="b">
        <v>0</v>
      </c>
      <c r="CI46" s="158" t="b">
        <v>0</v>
      </c>
      <c r="CJ46" s="158" t="b">
        <v>0</v>
      </c>
      <c r="CK46" s="158" t="b">
        <v>0</v>
      </c>
      <c r="CL46" s="158" t="b">
        <v>0</v>
      </c>
      <c r="CM46" s="158" t="b">
        <v>0</v>
      </c>
      <c r="CN46" s="158" t="b">
        <v>0</v>
      </c>
      <c r="CO46" s="158" t="b">
        <v>0</v>
      </c>
      <c r="CP46" s="158" t="b">
        <v>0</v>
      </c>
      <c r="CQ46" s="158" t="b">
        <v>0</v>
      </c>
      <c r="CR46" s="158" t="b">
        <v>0</v>
      </c>
      <c r="CS46" s="158" t="b">
        <v>0</v>
      </c>
      <c r="CT46" s="158" t="b">
        <v>0</v>
      </c>
      <c r="CU46" s="158" t="b">
        <v>0</v>
      </c>
      <c r="CV46" s="158" t="b">
        <v>0</v>
      </c>
      <c r="CW46" s="158" t="b">
        <v>0</v>
      </c>
      <c r="CX46" s="158" t="b">
        <v>0</v>
      </c>
      <c r="CY46" s="158" t="b">
        <v>0</v>
      </c>
      <c r="CZ46" s="158" t="b">
        <v>0</v>
      </c>
      <c r="DA46" s="158" t="b">
        <v>0</v>
      </c>
      <c r="DB46" s="158" t="b">
        <v>0</v>
      </c>
      <c r="DC46" s="158" t="b">
        <v>0</v>
      </c>
      <c r="DD46" s="158" t="b">
        <v>0</v>
      </c>
      <c r="DE46" s="158" t="b">
        <v>0</v>
      </c>
      <c r="DF46" s="158" t="b">
        <v>0</v>
      </c>
      <c r="DG46" s="158" t="b">
        <v>0</v>
      </c>
      <c r="DH46" s="158" t="b">
        <v>0</v>
      </c>
      <c r="DI46" s="158" t="b">
        <v>0</v>
      </c>
      <c r="DJ46" s="158" t="b">
        <v>0</v>
      </c>
      <c r="DK46" s="158" t="b">
        <v>0</v>
      </c>
      <c r="DL46" s="158" t="b">
        <v>0</v>
      </c>
      <c r="DM46" s="158" t="b">
        <v>0</v>
      </c>
      <c r="DN46" s="158" t="b">
        <v>0</v>
      </c>
      <c r="DO46" s="158" t="b">
        <v>0</v>
      </c>
      <c r="DP46" s="158" t="b">
        <v>0</v>
      </c>
      <c r="DQ46" s="158" t="b">
        <v>0</v>
      </c>
      <c r="DR46" s="158" t="b">
        <v>0</v>
      </c>
      <c r="DS46" s="158" t="b">
        <v>0</v>
      </c>
      <c r="DT46" s="158" t="b">
        <v>0</v>
      </c>
      <c r="DU46" s="158" t="b">
        <v>0</v>
      </c>
      <c r="DV46" s="158" t="b">
        <v>0</v>
      </c>
      <c r="DW46" s="158" t="b">
        <v>0</v>
      </c>
      <c r="DX46" s="158" t="b">
        <v>0</v>
      </c>
      <c r="DY46" s="158" t="b">
        <v>0</v>
      </c>
      <c r="DZ46" s="158" t="b">
        <v>0</v>
      </c>
      <c r="EA46" s="158" t="b">
        <v>0</v>
      </c>
      <c r="EB46" s="158" t="b">
        <v>0</v>
      </c>
      <c r="EC46" s="158" t="b">
        <v>0</v>
      </c>
      <c r="ED46" s="158" t="b">
        <v>0</v>
      </c>
      <c r="EE46" s="158" t="b">
        <v>0</v>
      </c>
      <c r="EF46" s="158" t="b">
        <v>0</v>
      </c>
      <c r="EG46" s="158" t="b">
        <v>0</v>
      </c>
      <c r="EH46" s="158" t="b">
        <v>0</v>
      </c>
      <c r="EI46" s="158" t="b">
        <v>0</v>
      </c>
      <c r="EJ46" s="158" t="b">
        <v>0</v>
      </c>
      <c r="EK46" s="158" t="b">
        <v>0</v>
      </c>
      <c r="EL46" s="158" t="b">
        <v>0</v>
      </c>
      <c r="EM46" s="158" t="b">
        <v>0</v>
      </c>
      <c r="EN46" s="158" t="b">
        <v>0</v>
      </c>
      <c r="EO46" s="158" t="b">
        <v>0</v>
      </c>
      <c r="EP46" s="158" t="b">
        <v>0</v>
      </c>
      <c r="EQ46" s="158" t="b">
        <v>0</v>
      </c>
      <c r="ER46" s="158" t="b">
        <v>0</v>
      </c>
      <c r="ES46" s="158" t="b">
        <v>0</v>
      </c>
      <c r="ET46" s="158" t="b">
        <v>0</v>
      </c>
      <c r="EU46" s="158" t="b">
        <v>0</v>
      </c>
      <c r="EV46" s="158" t="b">
        <v>0</v>
      </c>
      <c r="EW46" s="158" t="b">
        <v>0</v>
      </c>
      <c r="EX46" s="158" t="b">
        <v>0</v>
      </c>
      <c r="EY46" s="158" t="b">
        <v>0</v>
      </c>
      <c r="EZ46" s="158" t="b">
        <v>0</v>
      </c>
      <c r="FA46" s="158" t="b">
        <v>0</v>
      </c>
      <c r="FB46" s="158" t="b">
        <v>0</v>
      </c>
      <c r="FC46" s="158" t="b">
        <v>0</v>
      </c>
      <c r="FD46" s="158" t="b">
        <v>0</v>
      </c>
      <c r="FE46" s="158" t="b">
        <v>0</v>
      </c>
      <c r="FF46" s="158" t="b">
        <v>0</v>
      </c>
      <c r="FG46" s="158" t="b">
        <v>0</v>
      </c>
      <c r="FH46" s="158" t="b">
        <v>0</v>
      </c>
      <c r="FI46" s="158" t="b">
        <v>0</v>
      </c>
      <c r="FJ46" s="158" t="b">
        <v>0</v>
      </c>
      <c r="FK46" s="158" t="b">
        <v>0</v>
      </c>
      <c r="FL46" s="158" t="b">
        <v>0</v>
      </c>
      <c r="FM46" s="158" t="b">
        <v>0</v>
      </c>
      <c r="FN46" s="158" t="b">
        <v>0</v>
      </c>
      <c r="FO46" s="158" t="b">
        <v>0</v>
      </c>
      <c r="FP46" s="158" t="b">
        <v>0</v>
      </c>
      <c r="FQ46" s="158" t="b">
        <v>0</v>
      </c>
      <c r="FR46" s="158" t="b">
        <v>0</v>
      </c>
      <c r="FS46" s="158" t="b">
        <v>0</v>
      </c>
      <c r="FT46" s="158" t="b">
        <v>0</v>
      </c>
      <c r="FU46" s="158" t="b">
        <v>0</v>
      </c>
      <c r="FV46" s="158" t="b">
        <v>0</v>
      </c>
      <c r="FW46" s="158" t="b">
        <v>0</v>
      </c>
      <c r="FX46" s="158" t="b">
        <v>0</v>
      </c>
      <c r="FY46" s="158" t="b">
        <v>0</v>
      </c>
      <c r="FZ46" s="158" t="b">
        <v>0</v>
      </c>
      <c r="GA46" s="158" t="b">
        <v>0</v>
      </c>
      <c r="GB46" s="158" t="b">
        <v>0</v>
      </c>
      <c r="GC46" s="158" t="b">
        <v>0</v>
      </c>
      <c r="GD46" s="158" t="b">
        <v>0</v>
      </c>
      <c r="GE46" s="158" t="b">
        <v>0</v>
      </c>
      <c r="GF46" s="158" t="b">
        <v>0</v>
      </c>
      <c r="GG46" s="158" t="b">
        <v>0</v>
      </c>
      <c r="GH46" s="158" t="b">
        <v>0</v>
      </c>
      <c r="GI46" s="158" t="b">
        <v>0</v>
      </c>
      <c r="GJ46" s="158" t="b">
        <v>0</v>
      </c>
      <c r="GK46" s="158" t="b">
        <v>0</v>
      </c>
      <c r="GL46" s="158" t="b">
        <v>0</v>
      </c>
      <c r="GM46" s="158" t="b">
        <v>0</v>
      </c>
      <c r="GN46" s="158" t="b">
        <v>0</v>
      </c>
      <c r="GO46" s="158" t="b">
        <v>0</v>
      </c>
      <c r="GP46" s="158" t="b">
        <v>0</v>
      </c>
      <c r="GQ46" s="158" t="b">
        <v>0</v>
      </c>
      <c r="GR46" s="158" t="b">
        <v>0</v>
      </c>
      <c r="GS46" s="158" t="b">
        <v>0</v>
      </c>
      <c r="GT46" s="158" t="b">
        <v>0</v>
      </c>
      <c r="GU46" s="158" t="b">
        <v>0</v>
      </c>
      <c r="GV46" s="158" t="b">
        <v>0</v>
      </c>
      <c r="GW46" s="158" t="b">
        <v>0</v>
      </c>
      <c r="GX46" s="158" t="b">
        <v>0</v>
      </c>
      <c r="GY46" s="158" t="b">
        <v>0</v>
      </c>
      <c r="GZ46" s="158" t="b">
        <v>0</v>
      </c>
      <c r="HA46" s="158" t="b">
        <v>0</v>
      </c>
      <c r="HB46" s="158" t="b">
        <v>0</v>
      </c>
      <c r="HC46" s="158" t="b">
        <v>0</v>
      </c>
      <c r="HD46" s="158" t="b">
        <v>0</v>
      </c>
      <c r="HE46" s="158" t="b">
        <v>0</v>
      </c>
      <c r="HF46" s="158" t="b">
        <v>0</v>
      </c>
      <c r="HG46" s="158" t="b">
        <v>0</v>
      </c>
      <c r="HH46" s="158" t="b">
        <v>0</v>
      </c>
      <c r="HI46" s="158" t="b">
        <v>0</v>
      </c>
      <c r="HJ46" s="158" t="b">
        <v>0</v>
      </c>
      <c r="HK46" s="158" t="b">
        <v>0</v>
      </c>
      <c r="HL46" s="158" t="b">
        <v>0</v>
      </c>
      <c r="HM46" s="158" t="b">
        <v>0</v>
      </c>
      <c r="HN46" s="158" t="b">
        <v>0</v>
      </c>
      <c r="HO46" s="158" t="b">
        <v>0</v>
      </c>
      <c r="HP46" s="158" t="b">
        <v>0</v>
      </c>
      <c r="HQ46" s="158" t="b">
        <v>0</v>
      </c>
      <c r="HR46" s="158" t="b">
        <v>0</v>
      </c>
      <c r="HS46" s="158" t="b">
        <v>0</v>
      </c>
      <c r="HT46" s="158" t="b">
        <v>0</v>
      </c>
      <c r="HU46" s="158" t="b">
        <v>0</v>
      </c>
      <c r="HV46" s="158" t="b">
        <v>0</v>
      </c>
      <c r="HW46" s="158" t="b">
        <v>0</v>
      </c>
      <c r="HX46" s="158" t="b">
        <v>0</v>
      </c>
      <c r="HY46" s="158" t="b">
        <v>0</v>
      </c>
      <c r="HZ46" s="158" t="b">
        <v>0</v>
      </c>
      <c r="IA46" s="158" t="b">
        <v>0</v>
      </c>
      <c r="IB46" s="158" t="b">
        <v>0</v>
      </c>
      <c r="IC46" s="158" t="b">
        <v>0</v>
      </c>
      <c r="ID46" s="158" t="b">
        <v>0</v>
      </c>
      <c r="IE46" s="158" t="b">
        <v>0</v>
      </c>
      <c r="IF46" s="158" t="b">
        <v>0</v>
      </c>
      <c r="IG46" s="158" t="b">
        <v>0</v>
      </c>
      <c r="IH46" s="158" t="b">
        <v>0</v>
      </c>
      <c r="II46" s="158" t="b">
        <v>0</v>
      </c>
      <c r="IJ46" s="158" t="b">
        <v>0</v>
      </c>
      <c r="IK46" s="158" t="b">
        <v>0</v>
      </c>
      <c r="IL46" s="158" t="b">
        <v>0</v>
      </c>
      <c r="IM46" s="158" t="b">
        <v>0</v>
      </c>
      <c r="IN46" s="158" t="b">
        <v>0</v>
      </c>
      <c r="IO46" s="158" t="b">
        <v>0</v>
      </c>
      <c r="IP46" s="158" t="b">
        <v>0</v>
      </c>
      <c r="IQ46" s="158" t="b">
        <v>0</v>
      </c>
      <c r="IR46" s="158" t="b">
        <v>0</v>
      </c>
      <c r="IS46" s="158" t="b">
        <v>0</v>
      </c>
      <c r="IT46" s="158" t="b">
        <v>0</v>
      </c>
      <c r="IU46" s="158" t="b">
        <v>0</v>
      </c>
      <c r="IV46" s="158" t="b">
        <v>0</v>
      </c>
      <c r="IW46" s="158" t="b">
        <v>0</v>
      </c>
      <c r="IX46" s="158" t="b">
        <v>0</v>
      </c>
      <c r="IY46" s="158" t="b">
        <v>0</v>
      </c>
      <c r="IZ46" s="158" t="b">
        <v>0</v>
      </c>
      <c r="JA46" s="158" t="b">
        <v>0</v>
      </c>
      <c r="JB46" s="158" t="b">
        <v>0</v>
      </c>
      <c r="JC46" s="158" t="b">
        <v>0</v>
      </c>
      <c r="JD46" s="158" t="b">
        <v>0</v>
      </c>
      <c r="JE46" s="158" t="b">
        <v>0</v>
      </c>
      <c r="JF46" s="158" t="b">
        <v>0</v>
      </c>
      <c r="JG46" s="158" t="b">
        <v>0</v>
      </c>
      <c r="JH46" s="158" t="b">
        <v>0</v>
      </c>
      <c r="JI46" s="158" t="b">
        <v>0</v>
      </c>
      <c r="JJ46" s="158" t="b">
        <v>0</v>
      </c>
      <c r="JK46" s="158" t="b">
        <v>0</v>
      </c>
      <c r="JL46" s="158" t="b">
        <v>0</v>
      </c>
      <c r="JM46" s="158" t="b">
        <v>0</v>
      </c>
      <c r="JN46" s="158" t="b">
        <v>0</v>
      </c>
      <c r="JO46" s="158" t="b">
        <v>0</v>
      </c>
      <c r="JP46" s="158" t="b">
        <v>0</v>
      </c>
      <c r="JQ46" s="158" t="b">
        <v>0</v>
      </c>
      <c r="JR46" s="158" t="b">
        <v>0</v>
      </c>
      <c r="JS46" s="158" t="b">
        <v>0</v>
      </c>
      <c r="JT46" s="158" t="b">
        <v>0</v>
      </c>
      <c r="JU46" s="158" t="b">
        <v>0</v>
      </c>
      <c r="JV46" s="158" t="b">
        <v>0</v>
      </c>
      <c r="JW46" s="158" t="b">
        <v>0</v>
      </c>
      <c r="JX46" s="158" t="b">
        <v>0</v>
      </c>
      <c r="JY46" s="158" t="b">
        <v>0</v>
      </c>
      <c r="JZ46" s="158" t="b">
        <v>0</v>
      </c>
      <c r="KA46" s="158" t="b">
        <v>0</v>
      </c>
      <c r="KB46" s="158" t="b">
        <v>0</v>
      </c>
      <c r="KC46" s="158" t="b">
        <v>0</v>
      </c>
      <c r="KD46" s="158" t="b">
        <v>0</v>
      </c>
      <c r="KE46" s="158" t="b">
        <v>0</v>
      </c>
      <c r="KF46" s="158" t="b">
        <v>0</v>
      </c>
      <c r="KG46" s="158" t="b">
        <v>0</v>
      </c>
      <c r="KH46" s="158" t="b">
        <v>0</v>
      </c>
      <c r="KI46" s="158" t="b">
        <v>0</v>
      </c>
      <c r="KJ46" s="158" t="b">
        <v>0</v>
      </c>
      <c r="KK46" s="158" t="b">
        <v>0</v>
      </c>
      <c r="KL46" s="158" t="b">
        <v>0</v>
      </c>
      <c r="KM46" s="158" t="b">
        <v>0</v>
      </c>
      <c r="KN46" s="158" t="b">
        <v>0</v>
      </c>
      <c r="KO46" s="158" t="b">
        <v>0</v>
      </c>
      <c r="KP46" s="158" t="b">
        <v>0</v>
      </c>
      <c r="KQ46" s="158" t="b">
        <v>0</v>
      </c>
      <c r="KR46" s="158" t="b">
        <v>0</v>
      </c>
      <c r="KS46" s="158" t="b">
        <v>0</v>
      </c>
      <c r="KT46" s="158" t="b">
        <v>0</v>
      </c>
      <c r="KU46" s="158" t="b">
        <v>0</v>
      </c>
      <c r="KV46" s="158" t="b">
        <v>0</v>
      </c>
      <c r="KW46" s="158" t="b">
        <v>0</v>
      </c>
      <c r="KX46" s="158" t="b">
        <v>0</v>
      </c>
      <c r="KY46" s="158" t="b">
        <v>0</v>
      </c>
      <c r="KZ46" s="158" t="b">
        <v>0</v>
      </c>
      <c r="LA46" s="158" t="b">
        <v>0</v>
      </c>
      <c r="LB46" s="158" t="b">
        <v>0</v>
      </c>
      <c r="LC46" s="158" t="b">
        <v>0</v>
      </c>
      <c r="LD46" s="158" t="b">
        <v>0</v>
      </c>
      <c r="LE46" s="158" t="b">
        <v>0</v>
      </c>
      <c r="LF46" s="158" t="b">
        <v>0</v>
      </c>
      <c r="LG46" s="158" t="b">
        <v>0</v>
      </c>
      <c r="LH46" s="158" t="b">
        <v>0</v>
      </c>
      <c r="LI46" s="158" t="b">
        <v>0</v>
      </c>
      <c r="LJ46" s="158" t="b">
        <v>0</v>
      </c>
      <c r="LK46" s="158" t="b">
        <v>0</v>
      </c>
      <c r="LL46" s="158" t="b">
        <v>0</v>
      </c>
      <c r="LM46" s="158" t="b">
        <v>0</v>
      </c>
      <c r="LN46" s="158" t="b">
        <v>0</v>
      </c>
      <c r="LO46" s="158" t="b">
        <v>0</v>
      </c>
      <c r="LP46" s="158" t="b">
        <v>0</v>
      </c>
      <c r="LQ46" s="158" t="b">
        <v>0</v>
      </c>
      <c r="LR46" s="158" t="b">
        <v>0</v>
      </c>
      <c r="LS46" s="158" t="b">
        <v>0</v>
      </c>
      <c r="LT46" s="158" t="b">
        <v>0</v>
      </c>
      <c r="LU46" s="158" t="b">
        <v>0</v>
      </c>
      <c r="LV46" s="158" t="b">
        <v>0</v>
      </c>
      <c r="LW46" s="158" t="b">
        <v>0</v>
      </c>
      <c r="LX46" s="158" t="b">
        <v>0</v>
      </c>
      <c r="LY46" s="158" t="b">
        <v>0</v>
      </c>
      <c r="LZ46" s="158" t="b">
        <v>0</v>
      </c>
      <c r="MA46" s="158" t="b">
        <v>0</v>
      </c>
      <c r="MB46" s="158" t="b">
        <v>0</v>
      </c>
      <c r="MC46" s="158" t="b">
        <v>0</v>
      </c>
      <c r="MD46" s="158" t="b">
        <v>0</v>
      </c>
      <c r="ME46" s="158" t="b">
        <v>0</v>
      </c>
      <c r="MF46" s="158" t="b">
        <v>0</v>
      </c>
      <c r="MG46" s="158" t="b">
        <v>0</v>
      </c>
      <c r="MH46" s="158" t="b">
        <v>0</v>
      </c>
      <c r="MI46" s="158" t="b">
        <v>0</v>
      </c>
      <c r="MJ46" s="158" t="b">
        <v>0</v>
      </c>
      <c r="MK46" s="158" t="b">
        <v>0</v>
      </c>
      <c r="ML46" s="158" t="b">
        <v>0</v>
      </c>
      <c r="MM46" s="158" t="b">
        <v>0</v>
      </c>
      <c r="MN46" s="158" t="b">
        <v>0</v>
      </c>
      <c r="MO46" s="158" t="b">
        <v>0</v>
      </c>
      <c r="MP46" s="158" t="b">
        <v>0</v>
      </c>
      <c r="MQ46" s="158" t="b">
        <v>0</v>
      </c>
      <c r="MR46" s="158" t="b">
        <v>0</v>
      </c>
      <c r="MS46" s="158" t="b">
        <v>0</v>
      </c>
      <c r="MT46" s="158" t="b">
        <v>0</v>
      </c>
      <c r="MU46" s="158" t="b">
        <v>0</v>
      </c>
      <c r="MV46" s="158" t="b">
        <v>0</v>
      </c>
      <c r="MW46" s="158" t="b">
        <v>0</v>
      </c>
      <c r="MX46" s="158" t="b">
        <v>0</v>
      </c>
      <c r="MY46" s="158" t="b">
        <v>0</v>
      </c>
      <c r="MZ46" s="158" t="b">
        <v>0</v>
      </c>
      <c r="NA46" s="158" t="b">
        <v>0</v>
      </c>
      <c r="NB46" s="158" t="b">
        <v>0</v>
      </c>
      <c r="NC46" s="158" t="b">
        <v>0</v>
      </c>
      <c r="ND46" s="158" t="b">
        <v>0</v>
      </c>
      <c r="NE46" s="158" t="b">
        <v>0</v>
      </c>
      <c r="NF46" s="158" t="b">
        <v>0</v>
      </c>
      <c r="NG46" s="158" t="b">
        <v>0</v>
      </c>
      <c r="NH46" s="158" t="b">
        <v>0</v>
      </c>
      <c r="NI46" s="158" t="b">
        <v>0</v>
      </c>
      <c r="NJ46" s="158" t="b">
        <v>0</v>
      </c>
      <c r="NK46" s="158" t="b">
        <v>0</v>
      </c>
      <c r="NL46" s="158" t="b">
        <v>0</v>
      </c>
      <c r="NM46" s="158" t="b">
        <v>0</v>
      </c>
      <c r="NN46" s="158" t="b">
        <v>0</v>
      </c>
      <c r="NO46" s="158" t="b">
        <v>0</v>
      </c>
    </row>
    <row r="47" spans="1:379" ht="29.25" x14ac:dyDescent="0.4">
      <c r="A47" s="511" t="str">
        <v>09-D</v>
      </c>
      <c r="B47" s="158" t="b">
        <v>0</v>
      </c>
      <c r="C47" s="158" t="b">
        <v>0</v>
      </c>
      <c r="D47" s="158" t="b">
        <v>0</v>
      </c>
      <c r="E47" s="158" t="b">
        <v>0</v>
      </c>
      <c r="F47" s="158" t="b">
        <v>0</v>
      </c>
      <c r="G47" s="158" t="b">
        <v>0</v>
      </c>
      <c r="H47" s="158" t="b">
        <v>0</v>
      </c>
      <c r="I47" s="158" t="b">
        <v>0</v>
      </c>
      <c r="J47" s="158" t="b">
        <v>0</v>
      </c>
      <c r="K47" s="158" t="b">
        <v>0</v>
      </c>
      <c r="L47" s="158" t="b">
        <v>0</v>
      </c>
      <c r="M47" s="158" t="b">
        <v>0</v>
      </c>
      <c r="N47" s="158" t="b">
        <v>0</v>
      </c>
      <c r="O47" s="158" t="b">
        <v>0</v>
      </c>
      <c r="P47" s="158" t="b">
        <v>0</v>
      </c>
      <c r="Q47" s="158" t="b">
        <v>0</v>
      </c>
      <c r="R47" s="158" t="b">
        <v>0</v>
      </c>
      <c r="S47" s="158" t="b">
        <v>0</v>
      </c>
      <c r="T47" s="158" t="b">
        <v>0</v>
      </c>
      <c r="U47" s="158" t="b">
        <v>0</v>
      </c>
      <c r="V47" s="158" t="b">
        <v>0</v>
      </c>
      <c r="W47" s="158" t="b">
        <v>0</v>
      </c>
      <c r="X47" s="158" t="b">
        <v>0</v>
      </c>
      <c r="Y47" s="158" t="b">
        <v>0</v>
      </c>
      <c r="Z47" s="158" t="b">
        <v>0</v>
      </c>
      <c r="AA47" s="158" t="b">
        <v>0</v>
      </c>
      <c r="AB47" s="158" t="b">
        <v>0</v>
      </c>
      <c r="AC47" s="158" t="b">
        <v>0</v>
      </c>
      <c r="AD47" s="158" t="b">
        <v>0</v>
      </c>
      <c r="AE47" s="158" t="b">
        <v>0</v>
      </c>
      <c r="AF47" s="158" t="b">
        <v>0</v>
      </c>
      <c r="AG47" s="158" t="b">
        <v>0</v>
      </c>
      <c r="AH47" s="158" t="b">
        <v>0</v>
      </c>
      <c r="AI47" s="158" t="b">
        <v>0</v>
      </c>
      <c r="AJ47" s="158" t="b">
        <v>0</v>
      </c>
      <c r="AK47" s="158" t="b">
        <v>0</v>
      </c>
      <c r="AL47" s="158" t="b">
        <v>0</v>
      </c>
      <c r="AM47" s="158" t="b">
        <v>0</v>
      </c>
      <c r="AN47" s="158" t="b">
        <v>0</v>
      </c>
      <c r="AO47" s="158" t="b">
        <v>0</v>
      </c>
      <c r="AP47" s="158" t="b">
        <v>0</v>
      </c>
      <c r="AQ47" s="158" t="b">
        <v>0</v>
      </c>
      <c r="AR47" s="158" t="b">
        <v>0</v>
      </c>
      <c r="AS47" s="158" t="b">
        <v>0</v>
      </c>
      <c r="AT47" s="158" t="b">
        <v>0</v>
      </c>
      <c r="AU47" s="158" t="b">
        <v>0</v>
      </c>
      <c r="AV47" s="158" t="b">
        <v>0</v>
      </c>
      <c r="AW47" s="158" t="b">
        <v>0</v>
      </c>
      <c r="AX47" s="158" t="b">
        <v>0</v>
      </c>
      <c r="AY47" s="158" t="b">
        <v>0</v>
      </c>
      <c r="AZ47" s="158" t="b">
        <v>0</v>
      </c>
      <c r="BA47" s="158" t="b">
        <v>0</v>
      </c>
      <c r="BB47" s="158" t="b">
        <v>0</v>
      </c>
      <c r="BC47" s="158" t="b">
        <v>0</v>
      </c>
      <c r="BD47" s="158" t="b">
        <v>0</v>
      </c>
      <c r="BE47" s="158" t="b">
        <v>0</v>
      </c>
      <c r="BF47" s="158" t="b">
        <v>0</v>
      </c>
      <c r="BG47" s="158" t="b">
        <v>0</v>
      </c>
      <c r="BH47" s="158" t="b">
        <v>0</v>
      </c>
      <c r="BI47" s="158" t="b">
        <v>0</v>
      </c>
      <c r="BJ47" s="158" t="b">
        <v>0</v>
      </c>
      <c r="BK47" s="158" t="b">
        <v>0</v>
      </c>
      <c r="BL47" s="158" t="b">
        <v>0</v>
      </c>
      <c r="BM47" s="158" t="b">
        <v>0</v>
      </c>
      <c r="BN47" s="158" t="b">
        <v>0</v>
      </c>
      <c r="BO47" s="158" t="b">
        <v>0</v>
      </c>
      <c r="BP47" s="158" t="b">
        <v>0</v>
      </c>
      <c r="BQ47" s="158" t="b">
        <v>0</v>
      </c>
      <c r="BR47" s="158" t="b">
        <v>0</v>
      </c>
      <c r="BS47" s="158" t="b">
        <v>0</v>
      </c>
      <c r="BT47" s="158" t="b">
        <v>0</v>
      </c>
      <c r="BU47" s="158" t="b">
        <v>0</v>
      </c>
      <c r="BV47" s="158" t="b">
        <v>0</v>
      </c>
      <c r="BW47" s="158" t="b">
        <v>0</v>
      </c>
      <c r="BX47" s="158" t="b">
        <v>0</v>
      </c>
      <c r="BY47" s="158" t="b">
        <v>0</v>
      </c>
      <c r="BZ47" s="158" t="b">
        <v>0</v>
      </c>
      <c r="CA47" s="158" t="b">
        <v>0</v>
      </c>
      <c r="CB47" s="158" t="b">
        <v>0</v>
      </c>
      <c r="CC47" s="158" t="b">
        <v>0</v>
      </c>
      <c r="CD47" s="158" t="b">
        <v>0</v>
      </c>
      <c r="CE47" s="158" t="b">
        <v>0</v>
      </c>
      <c r="CF47" s="158" t="b">
        <v>0</v>
      </c>
      <c r="CG47" s="158" t="b">
        <v>0</v>
      </c>
      <c r="CH47" s="158" t="b">
        <v>0</v>
      </c>
      <c r="CI47" s="158" t="b">
        <v>0</v>
      </c>
      <c r="CJ47" s="158" t="b">
        <v>0</v>
      </c>
      <c r="CK47" s="158" t="b">
        <v>0</v>
      </c>
      <c r="CL47" s="158" t="b">
        <v>0</v>
      </c>
      <c r="CM47" s="158" t="b">
        <v>0</v>
      </c>
      <c r="CN47" s="158" t="b">
        <v>0</v>
      </c>
      <c r="CO47" s="158" t="b">
        <v>0</v>
      </c>
      <c r="CP47" s="158" t="b">
        <v>0</v>
      </c>
      <c r="CQ47" s="158" t="b">
        <v>0</v>
      </c>
      <c r="CR47" s="158" t="b">
        <v>0</v>
      </c>
      <c r="CS47" s="158" t="b">
        <v>0</v>
      </c>
      <c r="CT47" s="158" t="b">
        <v>0</v>
      </c>
      <c r="CU47" s="158" t="b">
        <v>0</v>
      </c>
      <c r="CV47" s="158" t="b">
        <v>0</v>
      </c>
      <c r="CW47" s="158" t="b">
        <v>0</v>
      </c>
      <c r="CX47" s="158" t="b">
        <v>0</v>
      </c>
      <c r="CY47" s="158" t="b">
        <v>0</v>
      </c>
      <c r="CZ47" s="158" t="b">
        <v>0</v>
      </c>
      <c r="DA47" s="158" t="b">
        <v>0</v>
      </c>
      <c r="DB47" s="158" t="b">
        <v>0</v>
      </c>
      <c r="DC47" s="158" t="b">
        <v>0</v>
      </c>
      <c r="DD47" s="158" t="b">
        <v>0</v>
      </c>
      <c r="DE47" s="158" t="b">
        <v>0</v>
      </c>
      <c r="DF47" s="158" t="b">
        <v>0</v>
      </c>
      <c r="DG47" s="158" t="b">
        <v>0</v>
      </c>
      <c r="DH47" s="158" t="b">
        <v>0</v>
      </c>
      <c r="DI47" s="158" t="b">
        <v>0</v>
      </c>
      <c r="DJ47" s="158" t="b">
        <v>0</v>
      </c>
      <c r="DK47" s="158" t="b">
        <v>0</v>
      </c>
      <c r="DL47" s="158" t="b">
        <v>0</v>
      </c>
      <c r="DM47" s="158" t="b">
        <v>0</v>
      </c>
      <c r="DN47" s="158" t="b">
        <v>0</v>
      </c>
      <c r="DO47" s="158" t="b">
        <v>0</v>
      </c>
      <c r="DP47" s="158" t="b">
        <v>0</v>
      </c>
      <c r="DQ47" s="158" t="b">
        <v>0</v>
      </c>
      <c r="DR47" s="158" t="b">
        <v>0</v>
      </c>
      <c r="DS47" s="158" t="b">
        <v>0</v>
      </c>
      <c r="DT47" s="158" t="b">
        <v>0</v>
      </c>
      <c r="DU47" s="158" t="b">
        <v>0</v>
      </c>
      <c r="DV47" s="158" t="b">
        <v>0</v>
      </c>
      <c r="DW47" s="158" t="b">
        <v>0</v>
      </c>
      <c r="DX47" s="158" t="b">
        <v>0</v>
      </c>
      <c r="DY47" s="158" t="b">
        <v>0</v>
      </c>
      <c r="DZ47" s="158" t="b">
        <v>0</v>
      </c>
      <c r="EA47" s="158" t="b">
        <v>0</v>
      </c>
      <c r="EB47" s="158" t="b">
        <v>0</v>
      </c>
      <c r="EC47" s="158" t="b">
        <v>0</v>
      </c>
      <c r="ED47" s="158" t="b">
        <v>0</v>
      </c>
      <c r="EE47" s="158" t="b">
        <v>0</v>
      </c>
      <c r="EF47" s="158" t="b">
        <v>0</v>
      </c>
      <c r="EG47" s="158" t="b">
        <v>0</v>
      </c>
      <c r="EH47" s="158" t="b">
        <v>0</v>
      </c>
      <c r="EI47" s="158" t="b">
        <v>0</v>
      </c>
      <c r="EJ47" s="158" t="b">
        <v>0</v>
      </c>
      <c r="EK47" s="158" t="b">
        <v>0</v>
      </c>
      <c r="EL47" s="158" t="b">
        <v>0</v>
      </c>
      <c r="EM47" s="158" t="b">
        <v>0</v>
      </c>
      <c r="EN47" s="158" t="b">
        <v>0</v>
      </c>
      <c r="EO47" s="158" t="b">
        <v>0</v>
      </c>
      <c r="EP47" s="158" t="b">
        <v>0</v>
      </c>
      <c r="EQ47" s="158" t="b">
        <v>0</v>
      </c>
      <c r="ER47" s="158" t="b">
        <v>0</v>
      </c>
      <c r="ES47" s="158" t="b">
        <v>0</v>
      </c>
      <c r="ET47" s="158" t="b">
        <v>0</v>
      </c>
      <c r="EU47" s="158" t="b">
        <v>0</v>
      </c>
      <c r="EV47" s="158" t="b">
        <v>0</v>
      </c>
      <c r="EW47" s="158" t="b">
        <v>0</v>
      </c>
      <c r="EX47" s="158" t="b">
        <v>0</v>
      </c>
      <c r="EY47" s="158" t="b">
        <v>0</v>
      </c>
      <c r="EZ47" s="158" t="b">
        <v>0</v>
      </c>
      <c r="FA47" s="158" t="b">
        <v>0</v>
      </c>
      <c r="FB47" s="158" t="b">
        <v>0</v>
      </c>
      <c r="FC47" s="158" t="b">
        <v>0</v>
      </c>
      <c r="FD47" s="158" t="b">
        <v>0</v>
      </c>
      <c r="FE47" s="158" t="b">
        <v>0</v>
      </c>
      <c r="FF47" s="158" t="b">
        <v>0</v>
      </c>
      <c r="FG47" s="158" t="b">
        <v>0</v>
      </c>
      <c r="FH47" s="158" t="b">
        <v>0</v>
      </c>
      <c r="FI47" s="158" t="b">
        <v>0</v>
      </c>
      <c r="FJ47" s="158" t="b">
        <v>0</v>
      </c>
      <c r="FK47" s="158" t="b">
        <v>0</v>
      </c>
      <c r="FL47" s="158" t="b">
        <v>0</v>
      </c>
      <c r="FM47" s="158" t="b">
        <v>0</v>
      </c>
      <c r="FN47" s="158" t="b">
        <v>0</v>
      </c>
      <c r="FO47" s="158" t="b">
        <v>0</v>
      </c>
      <c r="FP47" s="158" t="b">
        <v>0</v>
      </c>
      <c r="FQ47" s="158" t="b">
        <v>0</v>
      </c>
      <c r="FR47" s="158" t="b">
        <v>0</v>
      </c>
      <c r="FS47" s="158" t="b">
        <v>0</v>
      </c>
      <c r="FT47" s="158" t="b">
        <v>0</v>
      </c>
      <c r="FU47" s="158" t="b">
        <v>0</v>
      </c>
      <c r="FV47" s="158" t="b">
        <v>0</v>
      </c>
      <c r="FW47" s="158" t="b">
        <v>0</v>
      </c>
      <c r="FX47" s="158" t="b">
        <v>0</v>
      </c>
      <c r="FY47" s="158" t="b">
        <v>0</v>
      </c>
      <c r="FZ47" s="158" t="b">
        <v>0</v>
      </c>
      <c r="GA47" s="158" t="b">
        <v>0</v>
      </c>
      <c r="GB47" s="158" t="b">
        <v>0</v>
      </c>
      <c r="GC47" s="158" t="b">
        <v>0</v>
      </c>
      <c r="GD47" s="158" t="b">
        <v>0</v>
      </c>
      <c r="GE47" s="158" t="b">
        <v>0</v>
      </c>
      <c r="GF47" s="158" t="b">
        <v>0</v>
      </c>
      <c r="GG47" s="158" t="b">
        <v>0</v>
      </c>
      <c r="GH47" s="158" t="b">
        <v>0</v>
      </c>
      <c r="GI47" s="158" t="b">
        <v>0</v>
      </c>
      <c r="GJ47" s="158" t="b">
        <v>0</v>
      </c>
      <c r="GK47" s="158" t="b">
        <v>0</v>
      </c>
      <c r="GL47" s="158" t="b">
        <v>0</v>
      </c>
      <c r="GM47" s="158" t="b">
        <v>0</v>
      </c>
      <c r="GN47" s="158" t="b">
        <v>0</v>
      </c>
      <c r="GO47" s="158" t="b">
        <v>0</v>
      </c>
      <c r="GP47" s="158" t="b">
        <v>0</v>
      </c>
      <c r="GQ47" s="158" t="b">
        <v>0</v>
      </c>
      <c r="GR47" s="158" t="b">
        <v>0</v>
      </c>
      <c r="GS47" s="158" t="b">
        <v>0</v>
      </c>
      <c r="GT47" s="158" t="b">
        <v>0</v>
      </c>
      <c r="GU47" s="158" t="b">
        <v>0</v>
      </c>
      <c r="GV47" s="158" t="b">
        <v>0</v>
      </c>
      <c r="GW47" s="158" t="b">
        <v>0</v>
      </c>
      <c r="GX47" s="158" t="b">
        <v>0</v>
      </c>
      <c r="GY47" s="158" t="b">
        <v>0</v>
      </c>
      <c r="GZ47" s="158" t="b">
        <v>0</v>
      </c>
      <c r="HA47" s="158" t="b">
        <v>0</v>
      </c>
      <c r="HB47" s="158" t="b">
        <v>0</v>
      </c>
      <c r="HC47" s="158" t="b">
        <v>0</v>
      </c>
      <c r="HD47" s="158" t="b">
        <v>0</v>
      </c>
      <c r="HE47" s="158" t="b">
        <v>0</v>
      </c>
      <c r="HF47" s="158" t="b">
        <v>0</v>
      </c>
      <c r="HG47" s="158" t="b">
        <v>0</v>
      </c>
      <c r="HH47" s="158" t="b">
        <v>0</v>
      </c>
      <c r="HI47" s="158" t="b">
        <v>0</v>
      </c>
      <c r="HJ47" s="158" t="b">
        <v>0</v>
      </c>
      <c r="HK47" s="158" t="b">
        <v>0</v>
      </c>
      <c r="HL47" s="158" t="b">
        <v>0</v>
      </c>
      <c r="HM47" s="158" t="b">
        <v>0</v>
      </c>
      <c r="HN47" s="158" t="b">
        <v>0</v>
      </c>
      <c r="HO47" s="158" t="b">
        <v>0</v>
      </c>
      <c r="HP47" s="158" t="b">
        <v>0</v>
      </c>
      <c r="HQ47" s="158" t="b">
        <v>0</v>
      </c>
      <c r="HR47" s="158" t="b">
        <v>0</v>
      </c>
      <c r="HS47" s="158" t="b">
        <v>0</v>
      </c>
      <c r="HT47" s="158" t="b">
        <v>0</v>
      </c>
      <c r="HU47" s="158" t="b">
        <v>0</v>
      </c>
      <c r="HV47" s="158" t="b">
        <v>0</v>
      </c>
      <c r="HW47" s="158" t="b">
        <v>0</v>
      </c>
      <c r="HX47" s="158" t="b">
        <v>0</v>
      </c>
      <c r="HY47" s="158" t="b">
        <v>0</v>
      </c>
      <c r="HZ47" s="158" t="b">
        <v>0</v>
      </c>
      <c r="IA47" s="158" t="b">
        <v>0</v>
      </c>
      <c r="IB47" s="158" t="b">
        <v>0</v>
      </c>
      <c r="IC47" s="158" t="b">
        <v>0</v>
      </c>
      <c r="ID47" s="158" t="b">
        <v>0</v>
      </c>
      <c r="IE47" s="158" t="b">
        <v>0</v>
      </c>
      <c r="IF47" s="158" t="b">
        <v>0</v>
      </c>
      <c r="IG47" s="158" t="b">
        <v>0</v>
      </c>
      <c r="IH47" s="158" t="b">
        <v>0</v>
      </c>
      <c r="II47" s="158" t="b">
        <v>0</v>
      </c>
      <c r="IJ47" s="158" t="b">
        <v>0</v>
      </c>
      <c r="IK47" s="158" t="b">
        <v>0</v>
      </c>
      <c r="IL47" s="158" t="b">
        <v>0</v>
      </c>
      <c r="IM47" s="158" t="b">
        <v>0</v>
      </c>
      <c r="IN47" s="158" t="b">
        <v>0</v>
      </c>
      <c r="IO47" s="158" t="b">
        <v>0</v>
      </c>
      <c r="IP47" s="158" t="b">
        <v>0</v>
      </c>
      <c r="IQ47" s="158" t="b">
        <v>0</v>
      </c>
      <c r="IR47" s="158" t="b">
        <v>0</v>
      </c>
      <c r="IS47" s="158" t="b">
        <v>0</v>
      </c>
      <c r="IT47" s="158" t="b">
        <v>0</v>
      </c>
      <c r="IU47" s="158" t="b">
        <v>0</v>
      </c>
      <c r="IV47" s="158" t="b">
        <v>0</v>
      </c>
      <c r="IW47" s="158" t="b">
        <v>0</v>
      </c>
      <c r="IX47" s="158" t="b">
        <v>0</v>
      </c>
      <c r="IY47" s="158" t="b">
        <v>0</v>
      </c>
      <c r="IZ47" s="158" t="b">
        <v>0</v>
      </c>
      <c r="JA47" s="158" t="b">
        <v>0</v>
      </c>
      <c r="JB47" s="158" t="b">
        <v>0</v>
      </c>
      <c r="JC47" s="158" t="b">
        <v>0</v>
      </c>
      <c r="JD47" s="158" t="b">
        <v>0</v>
      </c>
      <c r="JE47" s="158" t="b">
        <v>0</v>
      </c>
      <c r="JF47" s="158" t="b">
        <v>0</v>
      </c>
      <c r="JG47" s="158" t="b">
        <v>0</v>
      </c>
      <c r="JH47" s="158" t="b">
        <v>0</v>
      </c>
      <c r="JI47" s="158" t="b">
        <v>0</v>
      </c>
      <c r="JJ47" s="158" t="b">
        <v>0</v>
      </c>
      <c r="JK47" s="158" t="b">
        <v>0</v>
      </c>
      <c r="JL47" s="158" t="b">
        <v>0</v>
      </c>
      <c r="JM47" s="158" t="b">
        <v>0</v>
      </c>
      <c r="JN47" s="158" t="b">
        <v>0</v>
      </c>
      <c r="JO47" s="158" t="b">
        <v>0</v>
      </c>
      <c r="JP47" s="158" t="b">
        <v>0</v>
      </c>
      <c r="JQ47" s="158" t="b">
        <v>0</v>
      </c>
      <c r="JR47" s="158" t="b">
        <v>0</v>
      </c>
      <c r="JS47" s="158" t="b">
        <v>0</v>
      </c>
      <c r="JT47" s="158" t="b">
        <v>0</v>
      </c>
      <c r="JU47" s="158" t="b">
        <v>0</v>
      </c>
      <c r="JV47" s="158" t="b">
        <v>0</v>
      </c>
      <c r="JW47" s="158" t="b">
        <v>0</v>
      </c>
      <c r="JX47" s="158" t="b">
        <v>0</v>
      </c>
      <c r="JY47" s="158" t="b">
        <v>0</v>
      </c>
      <c r="JZ47" s="158" t="b">
        <v>0</v>
      </c>
      <c r="KA47" s="158" t="b">
        <v>0</v>
      </c>
      <c r="KB47" s="158" t="b">
        <v>0</v>
      </c>
      <c r="KC47" s="158" t="b">
        <v>0</v>
      </c>
      <c r="KD47" s="158" t="b">
        <v>0</v>
      </c>
      <c r="KE47" s="158" t="b">
        <v>0</v>
      </c>
      <c r="KF47" s="158" t="b">
        <v>0</v>
      </c>
      <c r="KG47" s="158" t="b">
        <v>0</v>
      </c>
      <c r="KH47" s="158" t="b">
        <v>0</v>
      </c>
      <c r="KI47" s="158" t="b">
        <v>0</v>
      </c>
      <c r="KJ47" s="158" t="b">
        <v>0</v>
      </c>
      <c r="KK47" s="158" t="b">
        <v>0</v>
      </c>
      <c r="KL47" s="158" t="b">
        <v>0</v>
      </c>
      <c r="KM47" s="158" t="b">
        <v>0</v>
      </c>
      <c r="KN47" s="158" t="b">
        <v>0</v>
      </c>
      <c r="KO47" s="158" t="b">
        <v>0</v>
      </c>
      <c r="KP47" s="158" t="b">
        <v>0</v>
      </c>
      <c r="KQ47" s="158" t="b">
        <v>0</v>
      </c>
      <c r="KR47" s="158" t="b">
        <v>0</v>
      </c>
      <c r="KS47" s="158" t="b">
        <v>0</v>
      </c>
      <c r="KT47" s="158" t="b">
        <v>0</v>
      </c>
      <c r="KU47" s="158" t="b">
        <v>0</v>
      </c>
      <c r="KV47" s="158" t="b">
        <v>0</v>
      </c>
      <c r="KW47" s="158" t="b">
        <v>0</v>
      </c>
      <c r="KX47" s="158" t="b">
        <v>0</v>
      </c>
      <c r="KY47" s="158" t="b">
        <v>0</v>
      </c>
      <c r="KZ47" s="158" t="b">
        <v>0</v>
      </c>
      <c r="LA47" s="158" t="b">
        <v>0</v>
      </c>
      <c r="LB47" s="158" t="b">
        <v>0</v>
      </c>
      <c r="LC47" s="158" t="b">
        <v>0</v>
      </c>
      <c r="LD47" s="158" t="b">
        <v>0</v>
      </c>
      <c r="LE47" s="158" t="b">
        <v>0</v>
      </c>
      <c r="LF47" s="158" t="b">
        <v>0</v>
      </c>
      <c r="LG47" s="158" t="b">
        <v>0</v>
      </c>
      <c r="LH47" s="158" t="b">
        <v>0</v>
      </c>
      <c r="LI47" s="158" t="b">
        <v>0</v>
      </c>
      <c r="LJ47" s="158" t="b">
        <v>0</v>
      </c>
      <c r="LK47" s="158" t="b">
        <v>0</v>
      </c>
      <c r="LL47" s="158" t="b">
        <v>0</v>
      </c>
      <c r="LM47" s="158" t="b">
        <v>0</v>
      </c>
      <c r="LN47" s="158" t="b">
        <v>0</v>
      </c>
      <c r="LO47" s="158" t="b">
        <v>0</v>
      </c>
      <c r="LP47" s="158" t="b">
        <v>0</v>
      </c>
      <c r="LQ47" s="158" t="b">
        <v>0</v>
      </c>
      <c r="LR47" s="158" t="b">
        <v>0</v>
      </c>
      <c r="LS47" s="158" t="b">
        <v>0</v>
      </c>
      <c r="LT47" s="158" t="b">
        <v>0</v>
      </c>
      <c r="LU47" s="158" t="b">
        <v>0</v>
      </c>
      <c r="LV47" s="158" t="b">
        <v>0</v>
      </c>
      <c r="LW47" s="158" t="b">
        <v>0</v>
      </c>
      <c r="LX47" s="158" t="b">
        <v>0</v>
      </c>
      <c r="LY47" s="158" t="b">
        <v>0</v>
      </c>
      <c r="LZ47" s="158" t="b">
        <v>0</v>
      </c>
      <c r="MA47" s="158" t="b">
        <v>0</v>
      </c>
      <c r="MB47" s="158" t="b">
        <v>0</v>
      </c>
      <c r="MC47" s="158" t="b">
        <v>0</v>
      </c>
      <c r="MD47" s="158" t="b">
        <v>0</v>
      </c>
      <c r="ME47" s="158" t="b">
        <v>0</v>
      </c>
      <c r="MF47" s="158" t="b">
        <v>0</v>
      </c>
      <c r="MG47" s="158" t="b">
        <v>0</v>
      </c>
      <c r="MH47" s="158" t="b">
        <v>0</v>
      </c>
      <c r="MI47" s="158" t="b">
        <v>0</v>
      </c>
      <c r="MJ47" s="158" t="b">
        <v>0</v>
      </c>
      <c r="MK47" s="158" t="b">
        <v>0</v>
      </c>
      <c r="ML47" s="158" t="b">
        <v>0</v>
      </c>
      <c r="MM47" s="158" t="b">
        <v>0</v>
      </c>
      <c r="MN47" s="158" t="b">
        <v>0</v>
      </c>
      <c r="MO47" s="158" t="b">
        <v>0</v>
      </c>
      <c r="MP47" s="158" t="b">
        <v>0</v>
      </c>
      <c r="MQ47" s="158" t="b">
        <v>0</v>
      </c>
      <c r="MR47" s="158" t="b">
        <v>0</v>
      </c>
      <c r="MS47" s="158" t="b">
        <v>0</v>
      </c>
      <c r="MT47" s="158" t="b">
        <v>0</v>
      </c>
      <c r="MU47" s="158" t="b">
        <v>0</v>
      </c>
      <c r="MV47" s="158" t="b">
        <v>0</v>
      </c>
      <c r="MW47" s="158" t="b">
        <v>0</v>
      </c>
      <c r="MX47" s="158" t="b">
        <v>0</v>
      </c>
      <c r="MY47" s="158" t="b">
        <v>0</v>
      </c>
      <c r="MZ47" s="158" t="b">
        <v>0</v>
      </c>
      <c r="NA47" s="158" t="b">
        <v>0</v>
      </c>
      <c r="NB47" s="158" t="b">
        <v>0</v>
      </c>
      <c r="NC47" s="158" t="b">
        <v>0</v>
      </c>
      <c r="ND47" s="158" t="b">
        <v>0</v>
      </c>
      <c r="NE47" s="158" t="b">
        <v>0</v>
      </c>
      <c r="NF47" s="158" t="b">
        <v>0</v>
      </c>
      <c r="NG47" s="158" t="b">
        <v>0</v>
      </c>
      <c r="NH47" s="158" t="b">
        <v>0</v>
      </c>
      <c r="NI47" s="158" t="b">
        <v>0</v>
      </c>
      <c r="NJ47" s="158" t="b">
        <v>0</v>
      </c>
      <c r="NK47" s="158" t="b">
        <v>0</v>
      </c>
      <c r="NL47" s="158" t="b">
        <v>0</v>
      </c>
      <c r="NM47" s="158" t="b">
        <v>0</v>
      </c>
      <c r="NN47" s="158" t="b">
        <v>0</v>
      </c>
      <c r="NO47" s="158" t="b">
        <v>0</v>
      </c>
    </row>
    <row r="48" spans="1:379" ht="29.25" x14ac:dyDescent="0.4">
      <c r="A48" s="511" t="str">
        <v>07-D</v>
      </c>
      <c r="B48" s="158" t="b">
        <v>0</v>
      </c>
      <c r="C48" s="158" t="b">
        <v>0</v>
      </c>
      <c r="D48" s="158" t="b">
        <v>0</v>
      </c>
      <c r="E48" s="158" t="b">
        <v>0</v>
      </c>
      <c r="F48" s="158" t="b">
        <v>0</v>
      </c>
      <c r="G48" s="158" t="b">
        <v>0</v>
      </c>
      <c r="H48" s="158" t="b">
        <v>0</v>
      </c>
      <c r="I48" s="158" t="b">
        <v>0</v>
      </c>
      <c r="J48" s="158" t="b">
        <v>0</v>
      </c>
      <c r="K48" s="158" t="b">
        <v>0</v>
      </c>
      <c r="L48" s="158" t="b">
        <v>0</v>
      </c>
      <c r="M48" s="158" t="b">
        <v>0</v>
      </c>
      <c r="N48" s="158" t="b">
        <v>0</v>
      </c>
      <c r="O48" s="158" t="b">
        <v>0</v>
      </c>
      <c r="P48" s="158" t="b">
        <v>0</v>
      </c>
      <c r="Q48" s="158" t="b">
        <v>0</v>
      </c>
      <c r="R48" s="158" t="b">
        <v>0</v>
      </c>
      <c r="S48" s="158" t="b">
        <v>0</v>
      </c>
      <c r="T48" s="158" t="b">
        <v>0</v>
      </c>
      <c r="U48" s="158" t="b">
        <v>0</v>
      </c>
      <c r="V48" s="158" t="b">
        <v>0</v>
      </c>
      <c r="W48" s="158" t="b">
        <v>0</v>
      </c>
      <c r="X48" s="158" t="b">
        <v>0</v>
      </c>
      <c r="Y48" s="158" t="b">
        <v>0</v>
      </c>
      <c r="Z48" s="158" t="b">
        <v>0</v>
      </c>
      <c r="AA48" s="158" t="b">
        <v>0</v>
      </c>
      <c r="AB48" s="158" t="b">
        <v>0</v>
      </c>
      <c r="AC48" s="158" t="b">
        <v>0</v>
      </c>
      <c r="AD48" s="158" t="b">
        <v>0</v>
      </c>
      <c r="AE48" s="158" t="b">
        <v>0</v>
      </c>
      <c r="AF48" s="158" t="b">
        <v>0</v>
      </c>
      <c r="AG48" s="158" t="b">
        <v>0</v>
      </c>
      <c r="AH48" s="158" t="b">
        <v>0</v>
      </c>
      <c r="AI48" s="158" t="b">
        <v>0</v>
      </c>
      <c r="AJ48" s="158" t="b">
        <v>0</v>
      </c>
      <c r="AK48" s="158" t="b">
        <v>0</v>
      </c>
      <c r="AL48" s="158" t="b">
        <v>0</v>
      </c>
      <c r="AM48" s="158" t="b">
        <v>0</v>
      </c>
      <c r="AN48" s="158" t="b">
        <v>0</v>
      </c>
      <c r="AO48" s="158" t="b">
        <v>0</v>
      </c>
      <c r="AP48" s="158" t="b">
        <v>0</v>
      </c>
      <c r="AQ48" s="158" t="b">
        <v>0</v>
      </c>
      <c r="AR48" s="158" t="b">
        <v>0</v>
      </c>
      <c r="AS48" s="158" t="b">
        <v>0</v>
      </c>
      <c r="AT48" s="158" t="b">
        <v>0</v>
      </c>
      <c r="AU48" s="158" t="b">
        <v>0</v>
      </c>
      <c r="AV48" s="158" t="b">
        <v>0</v>
      </c>
      <c r="AW48" s="158" t="b">
        <v>0</v>
      </c>
      <c r="AX48" s="158" t="b">
        <v>0</v>
      </c>
      <c r="AY48" s="158" t="b">
        <v>0</v>
      </c>
      <c r="AZ48" s="158" t="b">
        <v>0</v>
      </c>
      <c r="BA48" s="158" t="b">
        <v>0</v>
      </c>
      <c r="BB48" s="158" t="b">
        <v>0</v>
      </c>
      <c r="BC48" s="158" t="b">
        <v>0</v>
      </c>
      <c r="BD48" s="158" t="b">
        <v>0</v>
      </c>
      <c r="BE48" s="158" t="b">
        <v>0</v>
      </c>
      <c r="BF48" s="158" t="b">
        <v>0</v>
      </c>
      <c r="BG48" s="158" t="b">
        <v>0</v>
      </c>
      <c r="BH48" s="158" t="b">
        <v>0</v>
      </c>
      <c r="BI48" s="158" t="b">
        <v>0</v>
      </c>
      <c r="BJ48" s="158" t="b">
        <v>0</v>
      </c>
      <c r="BK48" s="158" t="b">
        <v>0</v>
      </c>
      <c r="BL48" s="158" t="b">
        <v>0</v>
      </c>
      <c r="BM48" s="158" t="b">
        <v>0</v>
      </c>
      <c r="BN48" s="158" t="b">
        <v>0</v>
      </c>
      <c r="BO48" s="158" t="b">
        <v>0</v>
      </c>
      <c r="BP48" s="158" t="b">
        <v>0</v>
      </c>
      <c r="BQ48" s="158" t="b">
        <v>0</v>
      </c>
      <c r="BR48" s="158" t="b">
        <v>0</v>
      </c>
      <c r="BS48" s="158" t="b">
        <v>0</v>
      </c>
      <c r="BT48" s="158" t="b">
        <v>0</v>
      </c>
      <c r="BU48" s="158" t="b">
        <v>0</v>
      </c>
      <c r="BV48" s="158" t="b">
        <v>0</v>
      </c>
      <c r="BW48" s="158" t="b">
        <v>0</v>
      </c>
      <c r="BX48" s="158" t="b">
        <v>0</v>
      </c>
      <c r="BY48" s="158" t="b">
        <v>0</v>
      </c>
      <c r="BZ48" s="158" t="b">
        <v>0</v>
      </c>
      <c r="CA48" s="158" t="b">
        <v>0</v>
      </c>
      <c r="CB48" s="158" t="b">
        <v>0</v>
      </c>
      <c r="CC48" s="158" t="b">
        <v>0</v>
      </c>
      <c r="CD48" s="158" t="b">
        <v>0</v>
      </c>
      <c r="CE48" s="158" t="b">
        <v>0</v>
      </c>
      <c r="CF48" s="158" t="b">
        <v>0</v>
      </c>
      <c r="CG48" s="158" t="b">
        <v>0</v>
      </c>
      <c r="CH48" s="158" t="b">
        <v>0</v>
      </c>
      <c r="CI48" s="158" t="b">
        <v>0</v>
      </c>
      <c r="CJ48" s="158" t="b">
        <v>0</v>
      </c>
      <c r="CK48" s="158" t="b">
        <v>0</v>
      </c>
      <c r="CL48" s="158" t="b">
        <v>0</v>
      </c>
      <c r="CM48" s="158" t="b">
        <v>0</v>
      </c>
      <c r="CN48" s="158" t="b">
        <v>0</v>
      </c>
      <c r="CO48" s="158" t="b">
        <v>0</v>
      </c>
      <c r="CP48" s="158" t="b">
        <v>0</v>
      </c>
      <c r="CQ48" s="158" t="b">
        <v>0</v>
      </c>
      <c r="CR48" s="158" t="b">
        <v>0</v>
      </c>
      <c r="CS48" s="158" t="b">
        <v>0</v>
      </c>
      <c r="CT48" s="158" t="b">
        <v>0</v>
      </c>
      <c r="CU48" s="158" t="b">
        <v>0</v>
      </c>
      <c r="CV48" s="158" t="b">
        <v>0</v>
      </c>
      <c r="CW48" s="158" t="b">
        <v>0</v>
      </c>
      <c r="CX48" s="158" t="b">
        <v>0</v>
      </c>
      <c r="CY48" s="158" t="b">
        <v>0</v>
      </c>
      <c r="CZ48" s="158" t="b">
        <v>0</v>
      </c>
      <c r="DA48" s="158" t="b">
        <v>0</v>
      </c>
      <c r="DB48" s="158" t="b">
        <v>0</v>
      </c>
      <c r="DC48" s="158" t="b">
        <v>0</v>
      </c>
      <c r="DD48" s="158" t="b">
        <v>0</v>
      </c>
      <c r="DE48" s="158" t="b">
        <v>0</v>
      </c>
      <c r="DF48" s="158" t="b">
        <v>0</v>
      </c>
      <c r="DG48" s="158" t="b">
        <v>0</v>
      </c>
      <c r="DH48" s="158" t="b">
        <v>0</v>
      </c>
      <c r="DI48" s="158" t="b">
        <v>0</v>
      </c>
      <c r="DJ48" s="158" t="b">
        <v>0</v>
      </c>
      <c r="DK48" s="158" t="b">
        <v>0</v>
      </c>
      <c r="DL48" s="158" t="b">
        <v>0</v>
      </c>
      <c r="DM48" s="158" t="b">
        <v>0</v>
      </c>
      <c r="DN48" s="158" t="b">
        <v>0</v>
      </c>
      <c r="DO48" s="158" t="b">
        <v>0</v>
      </c>
      <c r="DP48" s="158" t="b">
        <v>0</v>
      </c>
      <c r="DQ48" s="158" t="b">
        <v>0</v>
      </c>
      <c r="DR48" s="158" t="b">
        <v>0</v>
      </c>
      <c r="DS48" s="158" t="b">
        <v>0</v>
      </c>
      <c r="DT48" s="158" t="b">
        <v>0</v>
      </c>
      <c r="DU48" s="158" t="b">
        <v>0</v>
      </c>
      <c r="DV48" s="158" t="b">
        <v>0</v>
      </c>
      <c r="DW48" s="158" t="b">
        <v>0</v>
      </c>
      <c r="DX48" s="158" t="b">
        <v>0</v>
      </c>
      <c r="DY48" s="158" t="b">
        <v>0</v>
      </c>
      <c r="DZ48" s="158" t="b">
        <v>0</v>
      </c>
      <c r="EA48" s="158" t="b">
        <v>0</v>
      </c>
      <c r="EB48" s="158" t="b">
        <v>0</v>
      </c>
      <c r="EC48" s="158" t="b">
        <v>0</v>
      </c>
      <c r="ED48" s="158" t="b">
        <v>0</v>
      </c>
      <c r="EE48" s="158" t="b">
        <v>0</v>
      </c>
      <c r="EF48" s="158" t="b">
        <v>0</v>
      </c>
      <c r="EG48" s="158" t="b">
        <v>0</v>
      </c>
      <c r="EH48" s="158" t="b">
        <v>0</v>
      </c>
      <c r="EI48" s="158" t="b">
        <v>0</v>
      </c>
      <c r="EJ48" s="158" t="b">
        <v>0</v>
      </c>
      <c r="EK48" s="158" t="b">
        <v>0</v>
      </c>
      <c r="EL48" s="158" t="b">
        <v>0</v>
      </c>
      <c r="EM48" s="158" t="b">
        <v>0</v>
      </c>
      <c r="EN48" s="158" t="b">
        <v>0</v>
      </c>
      <c r="EO48" s="158" t="b">
        <v>0</v>
      </c>
      <c r="EP48" s="158" t="b">
        <v>0</v>
      </c>
      <c r="EQ48" s="158" t="b">
        <v>0</v>
      </c>
      <c r="ER48" s="158" t="b">
        <v>0</v>
      </c>
      <c r="ES48" s="158" t="b">
        <v>0</v>
      </c>
      <c r="ET48" s="158" t="b">
        <v>0</v>
      </c>
      <c r="EU48" s="158" t="b">
        <v>0</v>
      </c>
      <c r="EV48" s="158" t="b">
        <v>0</v>
      </c>
      <c r="EW48" s="158" t="b">
        <v>0</v>
      </c>
      <c r="EX48" s="158" t="b">
        <v>0</v>
      </c>
      <c r="EY48" s="158" t="b">
        <v>0</v>
      </c>
      <c r="EZ48" s="158" t="b">
        <v>0</v>
      </c>
      <c r="FA48" s="158" t="b">
        <v>0</v>
      </c>
      <c r="FB48" s="158" t="b">
        <v>0</v>
      </c>
      <c r="FC48" s="158" t="b">
        <v>0</v>
      </c>
      <c r="FD48" s="158" t="b">
        <v>0</v>
      </c>
      <c r="FE48" s="158" t="b">
        <v>0</v>
      </c>
      <c r="FF48" s="158" t="b">
        <v>0</v>
      </c>
      <c r="FG48" s="158" t="b">
        <v>0</v>
      </c>
      <c r="FH48" s="158" t="b">
        <v>0</v>
      </c>
      <c r="FI48" s="158" t="b">
        <v>0</v>
      </c>
      <c r="FJ48" s="158" t="b">
        <v>0</v>
      </c>
      <c r="FK48" s="158" t="b">
        <v>0</v>
      </c>
      <c r="FL48" s="158" t="b">
        <v>0</v>
      </c>
      <c r="FM48" s="158" t="b">
        <v>0</v>
      </c>
      <c r="FN48" s="158" t="b">
        <v>0</v>
      </c>
      <c r="FO48" s="158" t="b">
        <v>0</v>
      </c>
      <c r="FP48" s="158" t="b">
        <v>0</v>
      </c>
      <c r="FQ48" s="158" t="b">
        <v>0</v>
      </c>
      <c r="FR48" s="158" t="b">
        <v>0</v>
      </c>
      <c r="FS48" s="158" t="b">
        <v>0</v>
      </c>
      <c r="FT48" s="158" t="b">
        <v>0</v>
      </c>
      <c r="FU48" s="158" t="b">
        <v>0</v>
      </c>
      <c r="FV48" s="158" t="b">
        <v>0</v>
      </c>
      <c r="FW48" s="158" t="b">
        <v>0</v>
      </c>
      <c r="FX48" s="158" t="b">
        <v>0</v>
      </c>
      <c r="FY48" s="158" t="b">
        <v>0</v>
      </c>
      <c r="FZ48" s="158" t="b">
        <v>0</v>
      </c>
      <c r="GA48" s="158" t="b">
        <v>0</v>
      </c>
      <c r="GB48" s="158" t="b">
        <v>0</v>
      </c>
      <c r="GC48" s="158" t="b">
        <v>0</v>
      </c>
      <c r="GD48" s="158" t="b">
        <v>0</v>
      </c>
      <c r="GE48" s="158" t="b">
        <v>0</v>
      </c>
      <c r="GF48" s="158" t="b">
        <v>0</v>
      </c>
      <c r="GG48" s="158" t="b">
        <v>0</v>
      </c>
      <c r="GH48" s="158" t="b">
        <v>0</v>
      </c>
      <c r="GI48" s="158" t="b">
        <v>0</v>
      </c>
      <c r="GJ48" s="158" t="b">
        <v>0</v>
      </c>
      <c r="GK48" s="158" t="b">
        <v>0</v>
      </c>
      <c r="GL48" s="158" t="b">
        <v>0</v>
      </c>
      <c r="GM48" s="158" t="b">
        <v>0</v>
      </c>
      <c r="GN48" s="158" t="b">
        <v>0</v>
      </c>
      <c r="GO48" s="158" t="b">
        <v>0</v>
      </c>
      <c r="GP48" s="158" t="b">
        <v>0</v>
      </c>
      <c r="GQ48" s="158" t="b">
        <v>0</v>
      </c>
      <c r="GR48" s="158" t="b">
        <v>0</v>
      </c>
      <c r="GS48" s="158" t="b">
        <v>0</v>
      </c>
      <c r="GT48" s="158" t="b">
        <v>0</v>
      </c>
      <c r="GU48" s="158" t="b">
        <v>0</v>
      </c>
      <c r="GV48" s="158" t="b">
        <v>0</v>
      </c>
      <c r="GW48" s="158" t="b">
        <v>0</v>
      </c>
      <c r="GX48" s="158" t="b">
        <v>0</v>
      </c>
      <c r="GY48" s="158" t="b">
        <v>0</v>
      </c>
      <c r="GZ48" s="158" t="b">
        <v>0</v>
      </c>
      <c r="HA48" s="158" t="b">
        <v>0</v>
      </c>
      <c r="HB48" s="158" t="b">
        <v>0</v>
      </c>
      <c r="HC48" s="158" t="b">
        <v>0</v>
      </c>
      <c r="HD48" s="158" t="b">
        <v>0</v>
      </c>
      <c r="HE48" s="158" t="b">
        <v>0</v>
      </c>
      <c r="HF48" s="158" t="b">
        <v>0</v>
      </c>
      <c r="HG48" s="158" t="b">
        <v>0</v>
      </c>
      <c r="HH48" s="158" t="b">
        <v>0</v>
      </c>
      <c r="HI48" s="158" t="b">
        <v>0</v>
      </c>
      <c r="HJ48" s="158" t="b">
        <v>0</v>
      </c>
      <c r="HK48" s="158" t="b">
        <v>0</v>
      </c>
      <c r="HL48" s="158" t="b">
        <v>0</v>
      </c>
      <c r="HM48" s="158" t="b">
        <v>0</v>
      </c>
      <c r="HN48" s="158" t="b">
        <v>0</v>
      </c>
      <c r="HO48" s="158" t="b">
        <v>0</v>
      </c>
      <c r="HP48" s="158" t="b">
        <v>0</v>
      </c>
      <c r="HQ48" s="158" t="b">
        <v>0</v>
      </c>
      <c r="HR48" s="158" t="b">
        <v>0</v>
      </c>
      <c r="HS48" s="158" t="b">
        <v>0</v>
      </c>
      <c r="HT48" s="158" t="b">
        <v>0</v>
      </c>
      <c r="HU48" s="158" t="b">
        <v>0</v>
      </c>
      <c r="HV48" s="158" t="b">
        <v>0</v>
      </c>
      <c r="HW48" s="158" t="b">
        <v>0</v>
      </c>
      <c r="HX48" s="158" t="b">
        <v>0</v>
      </c>
      <c r="HY48" s="158" t="b">
        <v>0</v>
      </c>
      <c r="HZ48" s="158" t="b">
        <v>0</v>
      </c>
      <c r="IA48" s="158" t="b">
        <v>0</v>
      </c>
      <c r="IB48" s="158" t="b">
        <v>0</v>
      </c>
      <c r="IC48" s="158" t="b">
        <v>0</v>
      </c>
      <c r="ID48" s="158" t="b">
        <v>0</v>
      </c>
      <c r="IE48" s="158" t="b">
        <v>0</v>
      </c>
      <c r="IF48" s="158" t="b">
        <v>0</v>
      </c>
      <c r="IG48" s="158" t="b">
        <v>0</v>
      </c>
      <c r="IH48" s="158" t="b">
        <v>0</v>
      </c>
      <c r="II48" s="158" t="b">
        <v>0</v>
      </c>
      <c r="IJ48" s="158" t="b">
        <v>0</v>
      </c>
      <c r="IK48" s="158" t="b">
        <v>0</v>
      </c>
      <c r="IL48" s="158" t="b">
        <v>0</v>
      </c>
      <c r="IM48" s="158" t="b">
        <v>0</v>
      </c>
      <c r="IN48" s="158" t="b">
        <v>0</v>
      </c>
      <c r="IO48" s="158" t="b">
        <v>0</v>
      </c>
      <c r="IP48" s="158" t="b">
        <v>0</v>
      </c>
      <c r="IQ48" s="158" t="b">
        <v>0</v>
      </c>
      <c r="IR48" s="158" t="b">
        <v>0</v>
      </c>
      <c r="IS48" s="158" t="b">
        <v>0</v>
      </c>
      <c r="IT48" s="158" t="b">
        <v>0</v>
      </c>
      <c r="IU48" s="158" t="b">
        <v>0</v>
      </c>
      <c r="IV48" s="158" t="b">
        <v>0</v>
      </c>
      <c r="IW48" s="158" t="b">
        <v>0</v>
      </c>
      <c r="IX48" s="158" t="b">
        <v>0</v>
      </c>
      <c r="IY48" s="158" t="b">
        <v>0</v>
      </c>
      <c r="IZ48" s="158" t="b">
        <v>0</v>
      </c>
      <c r="JA48" s="158" t="b">
        <v>0</v>
      </c>
      <c r="JB48" s="158" t="b">
        <v>0</v>
      </c>
      <c r="JC48" s="158" t="b">
        <v>0</v>
      </c>
      <c r="JD48" s="158" t="b">
        <v>0</v>
      </c>
      <c r="JE48" s="158" t="b">
        <v>0</v>
      </c>
      <c r="JF48" s="158" t="b">
        <v>0</v>
      </c>
      <c r="JG48" s="158" t="b">
        <v>0</v>
      </c>
      <c r="JH48" s="158" t="b">
        <v>0</v>
      </c>
      <c r="JI48" s="158" t="b">
        <v>0</v>
      </c>
      <c r="JJ48" s="158" t="b">
        <v>0</v>
      </c>
      <c r="JK48" s="158" t="b">
        <v>0</v>
      </c>
      <c r="JL48" s="158" t="b">
        <v>0</v>
      </c>
      <c r="JM48" s="158" t="b">
        <v>0</v>
      </c>
      <c r="JN48" s="158" t="b">
        <v>0</v>
      </c>
      <c r="JO48" s="158" t="b">
        <v>0</v>
      </c>
      <c r="JP48" s="158" t="b">
        <v>0</v>
      </c>
      <c r="JQ48" s="158" t="b">
        <v>0</v>
      </c>
      <c r="JR48" s="158" t="b">
        <v>0</v>
      </c>
      <c r="JS48" s="158" t="b">
        <v>0</v>
      </c>
      <c r="JT48" s="158" t="b">
        <v>0</v>
      </c>
      <c r="JU48" s="158" t="b">
        <v>0</v>
      </c>
      <c r="JV48" s="158" t="b">
        <v>0</v>
      </c>
      <c r="JW48" s="158" t="b">
        <v>0</v>
      </c>
      <c r="JX48" s="158" t="b">
        <v>0</v>
      </c>
      <c r="JY48" s="158" t="b">
        <v>0</v>
      </c>
      <c r="JZ48" s="158" t="b">
        <v>0</v>
      </c>
      <c r="KA48" s="158" t="b">
        <v>0</v>
      </c>
      <c r="KB48" s="158" t="b">
        <v>0</v>
      </c>
      <c r="KC48" s="158" t="b">
        <v>0</v>
      </c>
      <c r="KD48" s="158" t="b">
        <v>0</v>
      </c>
      <c r="KE48" s="158" t="b">
        <v>0</v>
      </c>
      <c r="KF48" s="158" t="b">
        <v>0</v>
      </c>
      <c r="KG48" s="158" t="b">
        <v>0</v>
      </c>
      <c r="KH48" s="158" t="b">
        <v>0</v>
      </c>
      <c r="KI48" s="158" t="b">
        <v>0</v>
      </c>
      <c r="KJ48" s="158" t="b">
        <v>0</v>
      </c>
      <c r="KK48" s="158" t="b">
        <v>0</v>
      </c>
      <c r="KL48" s="158" t="b">
        <v>0</v>
      </c>
      <c r="KM48" s="158" t="b">
        <v>0</v>
      </c>
      <c r="KN48" s="158" t="b">
        <v>0</v>
      </c>
      <c r="KO48" s="158" t="b">
        <v>0</v>
      </c>
      <c r="KP48" s="158" t="b">
        <v>0</v>
      </c>
      <c r="KQ48" s="158" t="b">
        <v>0</v>
      </c>
      <c r="KR48" s="158" t="b">
        <v>0</v>
      </c>
      <c r="KS48" s="158" t="b">
        <v>0</v>
      </c>
      <c r="KT48" s="158" t="b">
        <v>0</v>
      </c>
      <c r="KU48" s="158" t="b">
        <v>0</v>
      </c>
      <c r="KV48" s="158" t="b">
        <v>0</v>
      </c>
      <c r="KW48" s="158" t="b">
        <v>0</v>
      </c>
      <c r="KX48" s="158" t="b">
        <v>0</v>
      </c>
      <c r="KY48" s="158" t="b">
        <v>0</v>
      </c>
      <c r="KZ48" s="158" t="b">
        <v>0</v>
      </c>
      <c r="LA48" s="158" t="b">
        <v>0</v>
      </c>
      <c r="LB48" s="158" t="b">
        <v>0</v>
      </c>
      <c r="LC48" s="158" t="b">
        <v>0</v>
      </c>
      <c r="LD48" s="158" t="b">
        <v>0</v>
      </c>
      <c r="LE48" s="158" t="b">
        <v>0</v>
      </c>
      <c r="LF48" s="158" t="b">
        <v>0</v>
      </c>
      <c r="LG48" s="158" t="b">
        <v>0</v>
      </c>
      <c r="LH48" s="158" t="b">
        <v>0</v>
      </c>
      <c r="LI48" s="158" t="b">
        <v>0</v>
      </c>
      <c r="LJ48" s="158" t="b">
        <v>0</v>
      </c>
      <c r="LK48" s="158" t="b">
        <v>0</v>
      </c>
      <c r="LL48" s="158" t="b">
        <v>0</v>
      </c>
      <c r="LM48" s="158" t="b">
        <v>0</v>
      </c>
      <c r="LN48" s="158" t="b">
        <v>0</v>
      </c>
      <c r="LO48" s="158" t="b">
        <v>0</v>
      </c>
      <c r="LP48" s="158" t="b">
        <v>0</v>
      </c>
      <c r="LQ48" s="158" t="b">
        <v>0</v>
      </c>
      <c r="LR48" s="158" t="b">
        <v>0</v>
      </c>
      <c r="LS48" s="158" t="b">
        <v>0</v>
      </c>
      <c r="LT48" s="158" t="b">
        <v>0</v>
      </c>
      <c r="LU48" s="158" t="b">
        <v>0</v>
      </c>
      <c r="LV48" s="158" t="b">
        <v>0</v>
      </c>
      <c r="LW48" s="158" t="b">
        <v>0</v>
      </c>
      <c r="LX48" s="158" t="b">
        <v>0</v>
      </c>
      <c r="LY48" s="158" t="b">
        <v>0</v>
      </c>
      <c r="LZ48" s="158" t="b">
        <v>0</v>
      </c>
      <c r="MA48" s="158" t="b">
        <v>0</v>
      </c>
      <c r="MB48" s="158" t="b">
        <v>0</v>
      </c>
      <c r="MC48" s="158" t="b">
        <v>0</v>
      </c>
      <c r="MD48" s="158" t="b">
        <v>0</v>
      </c>
      <c r="ME48" s="158" t="b">
        <v>0</v>
      </c>
      <c r="MF48" s="158" t="b">
        <v>0</v>
      </c>
      <c r="MG48" s="158" t="b">
        <v>0</v>
      </c>
      <c r="MH48" s="158" t="b">
        <v>0</v>
      </c>
      <c r="MI48" s="158" t="b">
        <v>0</v>
      </c>
      <c r="MJ48" s="158" t="b">
        <v>0</v>
      </c>
      <c r="MK48" s="158" t="b">
        <v>0</v>
      </c>
      <c r="ML48" s="158" t="b">
        <v>0</v>
      </c>
      <c r="MM48" s="158" t="b">
        <v>0</v>
      </c>
      <c r="MN48" s="158" t="b">
        <v>0</v>
      </c>
      <c r="MO48" s="158" t="b">
        <v>0</v>
      </c>
      <c r="MP48" s="158" t="b">
        <v>0</v>
      </c>
      <c r="MQ48" s="158" t="b">
        <v>0</v>
      </c>
      <c r="MR48" s="158" t="b">
        <v>0</v>
      </c>
      <c r="MS48" s="158" t="b">
        <v>0</v>
      </c>
      <c r="MT48" s="158" t="b">
        <v>0</v>
      </c>
      <c r="MU48" s="158" t="b">
        <v>0</v>
      </c>
      <c r="MV48" s="158" t="b">
        <v>0</v>
      </c>
      <c r="MW48" s="158" t="b">
        <v>0</v>
      </c>
      <c r="MX48" s="158" t="b">
        <v>0</v>
      </c>
      <c r="MY48" s="158" t="b">
        <v>0</v>
      </c>
      <c r="MZ48" s="158" t="b">
        <v>0</v>
      </c>
      <c r="NA48" s="158" t="b">
        <v>0</v>
      </c>
      <c r="NB48" s="158" t="b">
        <v>0</v>
      </c>
      <c r="NC48" s="158" t="b">
        <v>0</v>
      </c>
      <c r="ND48" s="158" t="b">
        <v>0</v>
      </c>
      <c r="NE48" s="158" t="b">
        <v>0</v>
      </c>
      <c r="NF48" s="158" t="b">
        <v>0</v>
      </c>
      <c r="NG48" s="158" t="b">
        <v>0</v>
      </c>
      <c r="NH48" s="158" t="b">
        <v>0</v>
      </c>
      <c r="NI48" s="158" t="b">
        <v>0</v>
      </c>
      <c r="NJ48" s="158" t="b">
        <v>0</v>
      </c>
      <c r="NK48" s="158" t="b">
        <v>0</v>
      </c>
      <c r="NL48" s="158" t="b">
        <v>0</v>
      </c>
      <c r="NM48" s="158" t="b">
        <v>0</v>
      </c>
      <c r="NN48" s="158" t="b">
        <v>0</v>
      </c>
      <c r="NO48" s="158" t="b">
        <v>0</v>
      </c>
    </row>
    <row r="49" spans="1:379" ht="29.25" x14ac:dyDescent="0.4">
      <c r="A49" s="511" t="str">
        <v>07-RN</v>
      </c>
      <c r="B49" s="158" t="b">
        <v>0</v>
      </c>
      <c r="C49" s="158" t="b">
        <v>0</v>
      </c>
      <c r="D49" s="158" t="b">
        <v>0</v>
      </c>
      <c r="E49" s="158" t="b">
        <v>0</v>
      </c>
      <c r="F49" s="158" t="b">
        <v>0</v>
      </c>
      <c r="G49" s="158" t="b">
        <v>0</v>
      </c>
      <c r="H49" s="158" t="b">
        <v>0</v>
      </c>
      <c r="I49" s="158" t="b">
        <v>0</v>
      </c>
      <c r="J49" s="158" t="b">
        <v>0</v>
      </c>
      <c r="K49" s="158" t="b">
        <v>0</v>
      </c>
      <c r="L49" s="158" t="b">
        <v>0</v>
      </c>
      <c r="M49" s="158" t="b">
        <v>0</v>
      </c>
      <c r="N49" s="158" t="b">
        <v>0</v>
      </c>
      <c r="O49" s="158" t="b">
        <v>0</v>
      </c>
      <c r="P49" s="158" t="b">
        <v>0</v>
      </c>
      <c r="Q49" s="158" t="b">
        <v>0</v>
      </c>
      <c r="R49" s="158" t="b">
        <v>0</v>
      </c>
      <c r="S49" s="158" t="b">
        <v>0</v>
      </c>
      <c r="T49" s="158" t="b">
        <v>0</v>
      </c>
      <c r="U49" s="158" t="b">
        <v>0</v>
      </c>
      <c r="V49" s="158" t="b">
        <v>0</v>
      </c>
      <c r="W49" s="158" t="b">
        <v>0</v>
      </c>
      <c r="X49" s="158" t="b">
        <v>0</v>
      </c>
      <c r="Y49" s="158" t="b">
        <v>0</v>
      </c>
      <c r="Z49" s="158" t="b">
        <v>0</v>
      </c>
      <c r="AA49" s="158" t="b">
        <v>0</v>
      </c>
      <c r="AB49" s="158" t="b">
        <v>0</v>
      </c>
      <c r="AC49" s="158" t="b">
        <v>0</v>
      </c>
      <c r="AD49" s="158" t="b">
        <v>0</v>
      </c>
      <c r="AE49" s="158" t="b">
        <v>0</v>
      </c>
      <c r="AF49" s="158" t="b">
        <v>0</v>
      </c>
      <c r="AG49" s="158" t="b">
        <v>0</v>
      </c>
      <c r="AH49" s="158" t="b">
        <v>0</v>
      </c>
      <c r="AI49" s="158" t="b">
        <v>0</v>
      </c>
      <c r="AJ49" s="158" t="b">
        <v>0</v>
      </c>
      <c r="AK49" s="158" t="b">
        <v>0</v>
      </c>
      <c r="AL49" s="158" t="b">
        <v>0</v>
      </c>
      <c r="AM49" s="158" t="b">
        <v>0</v>
      </c>
      <c r="AN49" s="158" t="b">
        <v>0</v>
      </c>
      <c r="AO49" s="158" t="b">
        <v>0</v>
      </c>
      <c r="AP49" s="158" t="b">
        <v>0</v>
      </c>
      <c r="AQ49" s="158" t="b">
        <v>0</v>
      </c>
      <c r="AR49" s="158" t="b">
        <v>0</v>
      </c>
      <c r="AS49" s="158" t="b">
        <v>0</v>
      </c>
      <c r="AT49" s="158" t="b">
        <v>0</v>
      </c>
      <c r="AU49" s="158" t="b">
        <v>0</v>
      </c>
      <c r="AV49" s="158" t="b">
        <v>0</v>
      </c>
      <c r="AW49" s="158" t="b">
        <v>0</v>
      </c>
      <c r="AX49" s="158" t="b">
        <v>0</v>
      </c>
      <c r="AY49" s="158" t="b">
        <v>0</v>
      </c>
      <c r="AZ49" s="158" t="b">
        <v>0</v>
      </c>
      <c r="BA49" s="158" t="b">
        <v>0</v>
      </c>
      <c r="BB49" s="158" t="b">
        <v>0</v>
      </c>
      <c r="BC49" s="158" t="b">
        <v>0</v>
      </c>
      <c r="BD49" s="158" t="b">
        <v>0</v>
      </c>
      <c r="BE49" s="158" t="b">
        <v>0</v>
      </c>
      <c r="BF49" s="158" t="b">
        <v>0</v>
      </c>
      <c r="BG49" s="158" t="b">
        <v>0</v>
      </c>
      <c r="BH49" s="158" t="b">
        <v>0</v>
      </c>
      <c r="BI49" s="158" t="b">
        <v>0</v>
      </c>
      <c r="BJ49" s="158" t="b">
        <v>0</v>
      </c>
      <c r="BK49" s="158" t="b">
        <v>0</v>
      </c>
      <c r="BL49" s="158" t="b">
        <v>0</v>
      </c>
      <c r="BM49" s="158" t="b">
        <v>0</v>
      </c>
      <c r="BN49" s="158" t="b">
        <v>0</v>
      </c>
      <c r="BO49" s="158" t="b">
        <v>0</v>
      </c>
      <c r="BP49" s="158" t="b">
        <v>0</v>
      </c>
      <c r="BQ49" s="158" t="b">
        <v>0</v>
      </c>
      <c r="BR49" s="158" t="b">
        <v>0</v>
      </c>
      <c r="BS49" s="158" t="b">
        <v>0</v>
      </c>
      <c r="BT49" s="158" t="b">
        <v>0</v>
      </c>
      <c r="BU49" s="158" t="b">
        <v>0</v>
      </c>
      <c r="BV49" s="158" t="b">
        <v>0</v>
      </c>
      <c r="BW49" s="158" t="b">
        <v>0</v>
      </c>
      <c r="BX49" s="158" t="b">
        <v>0</v>
      </c>
      <c r="BY49" s="158" t="b">
        <v>0</v>
      </c>
      <c r="BZ49" s="158" t="b">
        <v>0</v>
      </c>
      <c r="CA49" s="158" t="b">
        <v>0</v>
      </c>
      <c r="CB49" s="158" t="b">
        <v>0</v>
      </c>
      <c r="CC49" s="158" t="b">
        <v>0</v>
      </c>
      <c r="CD49" s="158" t="b">
        <v>0</v>
      </c>
      <c r="CE49" s="158" t="b">
        <v>0</v>
      </c>
      <c r="CF49" s="158" t="b">
        <v>0</v>
      </c>
      <c r="CG49" s="158" t="b">
        <v>0</v>
      </c>
      <c r="CH49" s="158" t="b">
        <v>0</v>
      </c>
      <c r="CI49" s="158" t="b">
        <v>0</v>
      </c>
      <c r="CJ49" s="158" t="b">
        <v>0</v>
      </c>
      <c r="CK49" s="158" t="b">
        <v>0</v>
      </c>
      <c r="CL49" s="158" t="b">
        <v>0</v>
      </c>
      <c r="CM49" s="158" t="b">
        <v>0</v>
      </c>
      <c r="CN49" s="158" t="b">
        <v>0</v>
      </c>
      <c r="CO49" s="158" t="b">
        <v>0</v>
      </c>
      <c r="CP49" s="158" t="b">
        <v>0</v>
      </c>
      <c r="CQ49" s="158" t="b">
        <v>0</v>
      </c>
      <c r="CR49" s="158" t="b">
        <v>0</v>
      </c>
      <c r="CS49" s="158" t="b">
        <v>0</v>
      </c>
      <c r="CT49" s="158" t="b">
        <v>0</v>
      </c>
      <c r="CU49" s="158" t="b">
        <v>0</v>
      </c>
      <c r="CV49" s="158" t="b">
        <v>0</v>
      </c>
      <c r="CW49" s="158" t="b">
        <v>0</v>
      </c>
      <c r="CX49" s="158" t="b">
        <v>0</v>
      </c>
      <c r="CY49" s="158" t="b">
        <v>0</v>
      </c>
      <c r="CZ49" s="158" t="b">
        <v>0</v>
      </c>
      <c r="DA49" s="158" t="b">
        <v>0</v>
      </c>
      <c r="DB49" s="158" t="b">
        <v>0</v>
      </c>
      <c r="DC49" s="158" t="b">
        <v>0</v>
      </c>
      <c r="DD49" s="158" t="b">
        <v>0</v>
      </c>
      <c r="DE49" s="158" t="b">
        <v>0</v>
      </c>
      <c r="DF49" s="158" t="b">
        <v>0</v>
      </c>
      <c r="DG49" s="158" t="b">
        <v>0</v>
      </c>
      <c r="DH49" s="158" t="b">
        <v>0</v>
      </c>
      <c r="DI49" s="158" t="b">
        <v>0</v>
      </c>
      <c r="DJ49" s="158" t="b">
        <v>0</v>
      </c>
      <c r="DK49" s="158" t="b">
        <v>0</v>
      </c>
      <c r="DL49" s="158" t="b">
        <v>0</v>
      </c>
      <c r="DM49" s="158" t="b">
        <v>0</v>
      </c>
      <c r="DN49" s="158" t="b">
        <v>0</v>
      </c>
      <c r="DO49" s="158" t="b">
        <v>0</v>
      </c>
      <c r="DP49" s="158" t="b">
        <v>0</v>
      </c>
      <c r="DQ49" s="158" t="b">
        <v>0</v>
      </c>
      <c r="DR49" s="158" t="b">
        <v>0</v>
      </c>
      <c r="DS49" s="158" t="b">
        <v>0</v>
      </c>
      <c r="DT49" s="158" t="b">
        <v>0</v>
      </c>
      <c r="DU49" s="158" t="b">
        <v>0</v>
      </c>
      <c r="DV49" s="158" t="b">
        <v>0</v>
      </c>
      <c r="DW49" s="158" t="b">
        <v>0</v>
      </c>
      <c r="DX49" s="158" t="b">
        <v>0</v>
      </c>
      <c r="DY49" s="158" t="b">
        <v>0</v>
      </c>
      <c r="DZ49" s="158" t="b">
        <v>0</v>
      </c>
      <c r="EA49" s="158" t="b">
        <v>0</v>
      </c>
      <c r="EB49" s="158" t="b">
        <v>0</v>
      </c>
      <c r="EC49" s="158" t="b">
        <v>0</v>
      </c>
      <c r="ED49" s="158" t="b">
        <v>0</v>
      </c>
      <c r="EE49" s="158" t="b">
        <v>0</v>
      </c>
      <c r="EF49" s="158" t="b">
        <v>0</v>
      </c>
      <c r="EG49" s="158" t="b">
        <v>0</v>
      </c>
      <c r="EH49" s="158" t="b">
        <v>0</v>
      </c>
      <c r="EI49" s="158" t="b">
        <v>0</v>
      </c>
      <c r="EJ49" s="158" t="b">
        <v>0</v>
      </c>
      <c r="EK49" s="158" t="b">
        <v>0</v>
      </c>
      <c r="EL49" s="158" t="b">
        <v>0</v>
      </c>
      <c r="EM49" s="158" t="b">
        <v>0</v>
      </c>
      <c r="EN49" s="158" t="b">
        <v>0</v>
      </c>
      <c r="EO49" s="158" t="b">
        <v>0</v>
      </c>
      <c r="EP49" s="158" t="b">
        <v>0</v>
      </c>
      <c r="EQ49" s="158" t="b">
        <v>0</v>
      </c>
      <c r="ER49" s="158" t="b">
        <v>0</v>
      </c>
      <c r="ES49" s="158" t="b">
        <v>0</v>
      </c>
      <c r="ET49" s="158" t="b">
        <v>0</v>
      </c>
      <c r="EU49" s="158" t="b">
        <v>0</v>
      </c>
      <c r="EV49" s="158" t="b">
        <v>0</v>
      </c>
      <c r="EW49" s="158" t="b">
        <v>0</v>
      </c>
      <c r="EX49" s="158" t="b">
        <v>0</v>
      </c>
      <c r="EY49" s="158" t="b">
        <v>0</v>
      </c>
      <c r="EZ49" s="158" t="b">
        <v>0</v>
      </c>
      <c r="FA49" s="158" t="b">
        <v>0</v>
      </c>
      <c r="FB49" s="158" t="b">
        <v>0</v>
      </c>
      <c r="FC49" s="158" t="b">
        <v>0</v>
      </c>
      <c r="FD49" s="158" t="b">
        <v>0</v>
      </c>
      <c r="FE49" s="158" t="b">
        <v>0</v>
      </c>
      <c r="FF49" s="158" t="b">
        <v>0</v>
      </c>
      <c r="FG49" s="158" t="b">
        <v>0</v>
      </c>
      <c r="FH49" s="158" t="b">
        <v>0</v>
      </c>
      <c r="FI49" s="158" t="b">
        <v>0</v>
      </c>
      <c r="FJ49" s="158" t="b">
        <v>0</v>
      </c>
      <c r="FK49" s="158" t="b">
        <v>0</v>
      </c>
      <c r="FL49" s="158" t="b">
        <v>0</v>
      </c>
      <c r="FM49" s="158" t="b">
        <v>0</v>
      </c>
      <c r="FN49" s="158" t="b">
        <v>0</v>
      </c>
      <c r="FO49" s="158" t="b">
        <v>0</v>
      </c>
      <c r="FP49" s="158" t="b">
        <v>0</v>
      </c>
      <c r="FQ49" s="158" t="b">
        <v>0</v>
      </c>
      <c r="FR49" s="158" t="b">
        <v>0</v>
      </c>
      <c r="FS49" s="158" t="b">
        <v>0</v>
      </c>
      <c r="FT49" s="158" t="b">
        <v>0</v>
      </c>
      <c r="FU49" s="158" t="b">
        <v>0</v>
      </c>
      <c r="FV49" s="158" t="b">
        <v>0</v>
      </c>
      <c r="FW49" s="158" t="b">
        <v>0</v>
      </c>
      <c r="FX49" s="158" t="b">
        <v>0</v>
      </c>
      <c r="FY49" s="158" t="b">
        <v>0</v>
      </c>
      <c r="FZ49" s="158" t="b">
        <v>0</v>
      </c>
      <c r="GA49" s="158" t="b">
        <v>0</v>
      </c>
      <c r="GB49" s="158" t="b">
        <v>0</v>
      </c>
      <c r="GC49" s="158" t="b">
        <v>0</v>
      </c>
      <c r="GD49" s="158" t="b">
        <v>0</v>
      </c>
      <c r="GE49" s="158" t="b">
        <v>0</v>
      </c>
      <c r="GF49" s="158" t="b">
        <v>0</v>
      </c>
      <c r="GG49" s="158" t="b">
        <v>0</v>
      </c>
      <c r="GH49" s="158" t="b">
        <v>0</v>
      </c>
      <c r="GI49" s="158" t="b">
        <v>0</v>
      </c>
      <c r="GJ49" s="158" t="b">
        <v>0</v>
      </c>
      <c r="GK49" s="158" t="b">
        <v>0</v>
      </c>
      <c r="GL49" s="158" t="b">
        <v>0</v>
      </c>
      <c r="GM49" s="158" t="b">
        <v>0</v>
      </c>
      <c r="GN49" s="158" t="b">
        <v>0</v>
      </c>
      <c r="GO49" s="158" t="b">
        <v>0</v>
      </c>
      <c r="GP49" s="158" t="b">
        <v>0</v>
      </c>
      <c r="GQ49" s="158" t="b">
        <v>0</v>
      </c>
      <c r="GR49" s="158" t="b">
        <v>0</v>
      </c>
      <c r="GS49" s="158" t="b">
        <v>0</v>
      </c>
      <c r="GT49" s="158" t="b">
        <v>0</v>
      </c>
      <c r="GU49" s="158" t="b">
        <v>0</v>
      </c>
      <c r="GV49" s="158" t="b">
        <v>0</v>
      </c>
      <c r="GW49" s="158" t="b">
        <v>0</v>
      </c>
      <c r="GX49" s="158" t="b">
        <v>0</v>
      </c>
      <c r="GY49" s="158" t="b">
        <v>0</v>
      </c>
      <c r="GZ49" s="158" t="b">
        <v>0</v>
      </c>
      <c r="HA49" s="158" t="b">
        <v>0</v>
      </c>
      <c r="HB49" s="158" t="b">
        <v>0</v>
      </c>
      <c r="HC49" s="158" t="b">
        <v>0</v>
      </c>
      <c r="HD49" s="158" t="b">
        <v>0</v>
      </c>
      <c r="HE49" s="158" t="b">
        <v>0</v>
      </c>
      <c r="HF49" s="158" t="b">
        <v>0</v>
      </c>
      <c r="HG49" s="158" t="b">
        <v>0</v>
      </c>
      <c r="HH49" s="158" t="b">
        <v>0</v>
      </c>
      <c r="HI49" s="158" t="b">
        <v>0</v>
      </c>
      <c r="HJ49" s="158" t="b">
        <v>0</v>
      </c>
      <c r="HK49" s="158" t="b">
        <v>0</v>
      </c>
      <c r="HL49" s="158" t="b">
        <v>0</v>
      </c>
      <c r="HM49" s="158" t="b">
        <v>0</v>
      </c>
      <c r="HN49" s="158" t="b">
        <v>0</v>
      </c>
      <c r="HO49" s="158" t="b">
        <v>0</v>
      </c>
      <c r="HP49" s="158" t="b">
        <v>0</v>
      </c>
      <c r="HQ49" s="158" t="b">
        <v>0</v>
      </c>
      <c r="HR49" s="158" t="b">
        <v>0</v>
      </c>
      <c r="HS49" s="158" t="b">
        <v>0</v>
      </c>
      <c r="HT49" s="158" t="b">
        <v>0</v>
      </c>
      <c r="HU49" s="158" t="b">
        <v>0</v>
      </c>
      <c r="HV49" s="158" t="b">
        <v>0</v>
      </c>
      <c r="HW49" s="158" t="b">
        <v>0</v>
      </c>
      <c r="HX49" s="158" t="b">
        <v>0</v>
      </c>
      <c r="HY49" s="158" t="b">
        <v>0</v>
      </c>
      <c r="HZ49" s="158" t="b">
        <v>0</v>
      </c>
      <c r="IA49" s="158" t="b">
        <v>0</v>
      </c>
      <c r="IB49" s="158" t="b">
        <v>0</v>
      </c>
      <c r="IC49" s="158" t="b">
        <v>0</v>
      </c>
      <c r="ID49" s="158" t="b">
        <v>0</v>
      </c>
      <c r="IE49" s="158" t="b">
        <v>0</v>
      </c>
      <c r="IF49" s="158" t="b">
        <v>0</v>
      </c>
      <c r="IG49" s="158" t="b">
        <v>0</v>
      </c>
      <c r="IH49" s="158" t="b">
        <v>0</v>
      </c>
      <c r="II49" s="158" t="b">
        <v>0</v>
      </c>
      <c r="IJ49" s="158" t="b">
        <v>0</v>
      </c>
      <c r="IK49" s="158" t="b">
        <v>0</v>
      </c>
      <c r="IL49" s="158" t="b">
        <v>0</v>
      </c>
      <c r="IM49" s="158" t="b">
        <v>0</v>
      </c>
      <c r="IN49" s="158" t="b">
        <v>0</v>
      </c>
      <c r="IO49" s="158" t="b">
        <v>0</v>
      </c>
      <c r="IP49" s="158" t="b">
        <v>0</v>
      </c>
      <c r="IQ49" s="158" t="b">
        <v>0</v>
      </c>
      <c r="IR49" s="158" t="b">
        <v>0</v>
      </c>
      <c r="IS49" s="158" t="b">
        <v>0</v>
      </c>
      <c r="IT49" s="158" t="b">
        <v>0</v>
      </c>
      <c r="IU49" s="158" t="b">
        <v>0</v>
      </c>
      <c r="IV49" s="158" t="b">
        <v>0</v>
      </c>
      <c r="IW49" s="158" t="b">
        <v>0</v>
      </c>
      <c r="IX49" s="158" t="b">
        <v>0</v>
      </c>
      <c r="IY49" s="158" t="b">
        <v>0</v>
      </c>
      <c r="IZ49" s="158" t="b">
        <v>0</v>
      </c>
      <c r="JA49" s="158" t="b">
        <v>0</v>
      </c>
      <c r="JB49" s="158" t="b">
        <v>0</v>
      </c>
      <c r="JC49" s="158" t="b">
        <v>0</v>
      </c>
      <c r="JD49" s="158" t="b">
        <v>0</v>
      </c>
      <c r="JE49" s="158" t="b">
        <v>0</v>
      </c>
      <c r="JF49" s="158" t="b">
        <v>0</v>
      </c>
      <c r="JG49" s="158" t="b">
        <v>0</v>
      </c>
      <c r="JH49" s="158" t="b">
        <v>0</v>
      </c>
      <c r="JI49" s="158" t="b">
        <v>0</v>
      </c>
      <c r="JJ49" s="158" t="b">
        <v>0</v>
      </c>
      <c r="JK49" s="158" t="b">
        <v>0</v>
      </c>
      <c r="JL49" s="158" t="b">
        <v>0</v>
      </c>
      <c r="JM49" s="158" t="b">
        <v>0</v>
      </c>
      <c r="JN49" s="158" t="b">
        <v>0</v>
      </c>
      <c r="JO49" s="158" t="b">
        <v>0</v>
      </c>
      <c r="JP49" s="158" t="b">
        <v>0</v>
      </c>
      <c r="JQ49" s="158" t="b">
        <v>0</v>
      </c>
      <c r="JR49" s="158" t="b">
        <v>0</v>
      </c>
      <c r="JS49" s="158" t="b">
        <v>0</v>
      </c>
      <c r="JT49" s="158" t="b">
        <v>0</v>
      </c>
      <c r="JU49" s="158" t="b">
        <v>0</v>
      </c>
      <c r="JV49" s="158" t="b">
        <v>0</v>
      </c>
      <c r="JW49" s="158" t="b">
        <v>0</v>
      </c>
      <c r="JX49" s="158" t="b">
        <v>0</v>
      </c>
      <c r="JY49" s="158" t="b">
        <v>0</v>
      </c>
      <c r="JZ49" s="158" t="b">
        <v>0</v>
      </c>
      <c r="KA49" s="158" t="b">
        <v>0</v>
      </c>
      <c r="KB49" s="158" t="b">
        <v>0</v>
      </c>
      <c r="KC49" s="158" t="b">
        <v>0</v>
      </c>
      <c r="KD49" s="158" t="b">
        <v>0</v>
      </c>
      <c r="KE49" s="158" t="b">
        <v>0</v>
      </c>
      <c r="KF49" s="158" t="b">
        <v>0</v>
      </c>
      <c r="KG49" s="158" t="b">
        <v>0</v>
      </c>
      <c r="KH49" s="158" t="b">
        <v>0</v>
      </c>
      <c r="KI49" s="158" t="b">
        <v>0</v>
      </c>
      <c r="KJ49" s="158" t="b">
        <v>0</v>
      </c>
      <c r="KK49" s="158" t="b">
        <v>0</v>
      </c>
      <c r="KL49" s="158" t="b">
        <v>0</v>
      </c>
      <c r="KM49" s="158" t="b">
        <v>0</v>
      </c>
      <c r="KN49" s="158" t="b">
        <v>0</v>
      </c>
      <c r="KO49" s="158" t="b">
        <v>0</v>
      </c>
      <c r="KP49" s="158" t="b">
        <v>0</v>
      </c>
      <c r="KQ49" s="158" t="b">
        <v>0</v>
      </c>
      <c r="KR49" s="158" t="b">
        <v>0</v>
      </c>
      <c r="KS49" s="158" t="b">
        <v>0</v>
      </c>
      <c r="KT49" s="158" t="b">
        <v>0</v>
      </c>
      <c r="KU49" s="158" t="b">
        <v>0</v>
      </c>
      <c r="KV49" s="158" t="b">
        <v>0</v>
      </c>
      <c r="KW49" s="158" t="b">
        <v>0</v>
      </c>
      <c r="KX49" s="158" t="b">
        <v>0</v>
      </c>
      <c r="KY49" s="158" t="b">
        <v>0</v>
      </c>
      <c r="KZ49" s="158" t="b">
        <v>0</v>
      </c>
      <c r="LA49" s="158" t="b">
        <v>0</v>
      </c>
      <c r="LB49" s="158" t="b">
        <v>0</v>
      </c>
      <c r="LC49" s="158" t="b">
        <v>0</v>
      </c>
      <c r="LD49" s="158" t="b">
        <v>0</v>
      </c>
      <c r="LE49" s="158" t="b">
        <v>0</v>
      </c>
      <c r="LF49" s="158" t="b">
        <v>0</v>
      </c>
      <c r="LG49" s="158" t="b">
        <v>0</v>
      </c>
      <c r="LH49" s="158" t="b">
        <v>0</v>
      </c>
      <c r="LI49" s="158" t="b">
        <v>0</v>
      </c>
      <c r="LJ49" s="158" t="b">
        <v>0</v>
      </c>
      <c r="LK49" s="158" t="b">
        <v>0</v>
      </c>
      <c r="LL49" s="158" t="b">
        <v>0</v>
      </c>
      <c r="LM49" s="158" t="b">
        <v>0</v>
      </c>
      <c r="LN49" s="158" t="b">
        <v>0</v>
      </c>
      <c r="LO49" s="158" t="b">
        <v>0</v>
      </c>
      <c r="LP49" s="158" t="b">
        <v>0</v>
      </c>
      <c r="LQ49" s="158" t="b">
        <v>0</v>
      </c>
      <c r="LR49" s="158" t="b">
        <v>0</v>
      </c>
      <c r="LS49" s="158" t="b">
        <v>0</v>
      </c>
      <c r="LT49" s="158" t="b">
        <v>0</v>
      </c>
      <c r="LU49" s="158" t="b">
        <v>0</v>
      </c>
      <c r="LV49" s="158" t="b">
        <v>0</v>
      </c>
      <c r="LW49" s="158" t="b">
        <v>0</v>
      </c>
      <c r="LX49" s="158" t="b">
        <v>0</v>
      </c>
      <c r="LY49" s="158" t="b">
        <v>0</v>
      </c>
      <c r="LZ49" s="158" t="b">
        <v>0</v>
      </c>
      <c r="MA49" s="158" t="b">
        <v>0</v>
      </c>
      <c r="MB49" s="158" t="b">
        <v>0</v>
      </c>
      <c r="MC49" s="158" t="b">
        <v>0</v>
      </c>
      <c r="MD49" s="158" t="b">
        <v>0</v>
      </c>
      <c r="ME49" s="158" t="b">
        <v>0</v>
      </c>
      <c r="MF49" s="158" t="b">
        <v>0</v>
      </c>
      <c r="MG49" s="158" t="b">
        <v>0</v>
      </c>
      <c r="MH49" s="158" t="b">
        <v>0</v>
      </c>
      <c r="MI49" s="158" t="b">
        <v>0</v>
      </c>
      <c r="MJ49" s="158" t="b">
        <v>0</v>
      </c>
      <c r="MK49" s="158" t="b">
        <v>0</v>
      </c>
      <c r="ML49" s="158" t="b">
        <v>0</v>
      </c>
      <c r="MM49" s="158" t="b">
        <v>0</v>
      </c>
      <c r="MN49" s="158" t="b">
        <v>0</v>
      </c>
      <c r="MO49" s="158" t="b">
        <v>0</v>
      </c>
      <c r="MP49" s="158" t="b">
        <v>0</v>
      </c>
      <c r="MQ49" s="158" t="b">
        <v>0</v>
      </c>
      <c r="MR49" s="158" t="b">
        <v>0</v>
      </c>
      <c r="MS49" s="158" t="b">
        <v>0</v>
      </c>
      <c r="MT49" s="158" t="b">
        <v>0</v>
      </c>
      <c r="MU49" s="158" t="b">
        <v>0</v>
      </c>
      <c r="MV49" s="158" t="b">
        <v>0</v>
      </c>
      <c r="MW49" s="158" t="b">
        <v>0</v>
      </c>
      <c r="MX49" s="158" t="b">
        <v>0</v>
      </c>
      <c r="MY49" s="158" t="b">
        <v>0</v>
      </c>
      <c r="MZ49" s="158" t="b">
        <v>0</v>
      </c>
      <c r="NA49" s="158" t="b">
        <v>0</v>
      </c>
      <c r="NB49" s="158" t="b">
        <v>0</v>
      </c>
      <c r="NC49" s="158" t="b">
        <v>0</v>
      </c>
      <c r="ND49" s="158" t="b">
        <v>0</v>
      </c>
      <c r="NE49" s="158" t="b">
        <v>0</v>
      </c>
      <c r="NF49" s="158" t="b">
        <v>0</v>
      </c>
      <c r="NG49" s="158" t="b">
        <v>0</v>
      </c>
      <c r="NH49" s="158" t="b">
        <v>0</v>
      </c>
      <c r="NI49" s="158" t="b">
        <v>0</v>
      </c>
      <c r="NJ49" s="158" t="b">
        <v>0</v>
      </c>
      <c r="NK49" s="158" t="b">
        <v>0</v>
      </c>
      <c r="NL49" s="158" t="b">
        <v>0</v>
      </c>
      <c r="NM49" s="158" t="b">
        <v>0</v>
      </c>
      <c r="NN49" s="158" t="b">
        <v>0</v>
      </c>
      <c r="NO49" s="158" t="b">
        <v>0</v>
      </c>
    </row>
    <row r="50" spans="1:379" ht="29.25" x14ac:dyDescent="0.4">
      <c r="A50" s="511" t="str">
        <v>05-D</v>
      </c>
      <c r="B50" s="158" t="b">
        <v>0</v>
      </c>
      <c r="C50" s="158" t="b">
        <v>0</v>
      </c>
      <c r="D50" s="158" t="b">
        <v>0</v>
      </c>
      <c r="E50" s="158" t="b">
        <v>0</v>
      </c>
      <c r="F50" s="158" t="b">
        <v>0</v>
      </c>
      <c r="G50" s="158" t="b">
        <v>0</v>
      </c>
      <c r="H50" s="158" t="b">
        <v>0</v>
      </c>
      <c r="I50" s="158" t="b">
        <v>0</v>
      </c>
      <c r="J50" s="158" t="b">
        <v>0</v>
      </c>
      <c r="K50" s="158" t="b">
        <v>0</v>
      </c>
      <c r="L50" s="158" t="b">
        <v>0</v>
      </c>
      <c r="M50" s="158" t="b">
        <v>0</v>
      </c>
      <c r="N50" s="158" t="b">
        <v>0</v>
      </c>
      <c r="O50" s="158" t="b">
        <v>0</v>
      </c>
      <c r="P50" s="158" t="b">
        <v>0</v>
      </c>
      <c r="Q50" s="158" t="b">
        <v>0</v>
      </c>
      <c r="R50" s="158" t="b">
        <v>0</v>
      </c>
      <c r="S50" s="158" t="b">
        <v>0</v>
      </c>
      <c r="T50" s="158" t="b">
        <v>0</v>
      </c>
      <c r="U50" s="158" t="b">
        <v>0</v>
      </c>
      <c r="V50" s="158" t="b">
        <v>0</v>
      </c>
      <c r="W50" s="158" t="b">
        <v>0</v>
      </c>
      <c r="X50" s="158" t="b">
        <v>0</v>
      </c>
      <c r="Y50" s="158" t="b">
        <v>0</v>
      </c>
      <c r="Z50" s="158" t="b">
        <v>0</v>
      </c>
      <c r="AA50" s="158" t="b">
        <v>0</v>
      </c>
      <c r="AB50" s="158" t="b">
        <v>0</v>
      </c>
      <c r="AC50" s="158" t="b">
        <v>0</v>
      </c>
      <c r="AD50" s="158" t="b">
        <v>0</v>
      </c>
      <c r="AE50" s="158" t="b">
        <v>0</v>
      </c>
      <c r="AF50" s="158" t="b">
        <v>0</v>
      </c>
      <c r="AG50" s="158" t="b">
        <v>0</v>
      </c>
      <c r="AH50" s="158" t="b">
        <v>0</v>
      </c>
      <c r="AI50" s="158" t="b">
        <v>0</v>
      </c>
      <c r="AJ50" s="158" t="b">
        <v>0</v>
      </c>
      <c r="AK50" s="158" t="b">
        <v>0</v>
      </c>
      <c r="AL50" s="158" t="b">
        <v>0</v>
      </c>
      <c r="AM50" s="158" t="b">
        <v>0</v>
      </c>
      <c r="AN50" s="158" t="b">
        <v>0</v>
      </c>
      <c r="AO50" s="158" t="b">
        <v>0</v>
      </c>
      <c r="AP50" s="158" t="b">
        <v>0</v>
      </c>
      <c r="AQ50" s="158" t="b">
        <v>0</v>
      </c>
      <c r="AR50" s="158" t="b">
        <v>0</v>
      </c>
      <c r="AS50" s="158" t="b">
        <v>0</v>
      </c>
      <c r="AT50" s="158" t="b">
        <v>0</v>
      </c>
      <c r="AU50" s="158" t="b">
        <v>0</v>
      </c>
      <c r="AV50" s="158" t="b">
        <v>0</v>
      </c>
      <c r="AW50" s="158" t="b">
        <v>0</v>
      </c>
      <c r="AX50" s="158" t="b">
        <v>0</v>
      </c>
      <c r="AY50" s="158" t="b">
        <v>0</v>
      </c>
      <c r="AZ50" s="158" t="b">
        <v>0</v>
      </c>
      <c r="BA50" s="158" t="b">
        <v>0</v>
      </c>
      <c r="BB50" s="158" t="b">
        <v>0</v>
      </c>
      <c r="BC50" s="158" t="b">
        <v>0</v>
      </c>
      <c r="BD50" s="158" t="b">
        <v>0</v>
      </c>
      <c r="BE50" s="158" t="b">
        <v>0</v>
      </c>
      <c r="BF50" s="158" t="b">
        <v>0</v>
      </c>
      <c r="BG50" s="158" t="b">
        <v>0</v>
      </c>
      <c r="BH50" s="158" t="b">
        <v>0</v>
      </c>
      <c r="BI50" s="158" t="b">
        <v>0</v>
      </c>
      <c r="BJ50" s="158" t="b">
        <v>0</v>
      </c>
      <c r="BK50" s="158" t="b">
        <v>0</v>
      </c>
      <c r="BL50" s="158" t="b">
        <v>0</v>
      </c>
      <c r="BM50" s="158" t="b">
        <v>0</v>
      </c>
      <c r="BN50" s="158" t="b">
        <v>0</v>
      </c>
      <c r="BO50" s="158" t="b">
        <v>0</v>
      </c>
      <c r="BP50" s="158" t="b">
        <v>0</v>
      </c>
      <c r="BQ50" s="158" t="b">
        <v>0</v>
      </c>
      <c r="BR50" s="158" t="b">
        <v>0</v>
      </c>
      <c r="BS50" s="158" t="b">
        <v>0</v>
      </c>
      <c r="BT50" s="158" t="b">
        <v>0</v>
      </c>
      <c r="BU50" s="158" t="b">
        <v>0</v>
      </c>
      <c r="BV50" s="158" t="b">
        <v>0</v>
      </c>
      <c r="BW50" s="158" t="b">
        <v>0</v>
      </c>
      <c r="BX50" s="158" t="b">
        <v>0</v>
      </c>
      <c r="BY50" s="158" t="b">
        <v>0</v>
      </c>
      <c r="BZ50" s="158" t="b">
        <v>0</v>
      </c>
      <c r="CA50" s="158" t="b">
        <v>0</v>
      </c>
      <c r="CB50" s="158" t="b">
        <v>0</v>
      </c>
      <c r="CC50" s="158" t="b">
        <v>0</v>
      </c>
      <c r="CD50" s="158" t="b">
        <v>0</v>
      </c>
      <c r="CE50" s="158" t="b">
        <v>0</v>
      </c>
      <c r="CF50" s="158" t="b">
        <v>0</v>
      </c>
      <c r="CG50" s="158" t="b">
        <v>0</v>
      </c>
      <c r="CH50" s="158" t="b">
        <v>0</v>
      </c>
      <c r="CI50" s="158" t="b">
        <v>0</v>
      </c>
      <c r="CJ50" s="158" t="b">
        <v>0</v>
      </c>
      <c r="CK50" s="158" t="b">
        <v>0</v>
      </c>
      <c r="CL50" s="158" t="b">
        <v>0</v>
      </c>
      <c r="CM50" s="158" t="b">
        <v>0</v>
      </c>
      <c r="CN50" s="158" t="b">
        <v>0</v>
      </c>
      <c r="CO50" s="158" t="b">
        <v>0</v>
      </c>
      <c r="CP50" s="158" t="b">
        <v>0</v>
      </c>
      <c r="CQ50" s="158" t="b">
        <v>0</v>
      </c>
      <c r="CR50" s="158" t="b">
        <v>0</v>
      </c>
      <c r="CS50" s="158" t="b">
        <v>0</v>
      </c>
      <c r="CT50" s="158" t="b">
        <v>0</v>
      </c>
      <c r="CU50" s="158" t="b">
        <v>0</v>
      </c>
      <c r="CV50" s="158" t="b">
        <v>0</v>
      </c>
      <c r="CW50" s="158" t="b">
        <v>0</v>
      </c>
      <c r="CX50" s="158" t="b">
        <v>0</v>
      </c>
      <c r="CY50" s="158" t="b">
        <v>0</v>
      </c>
      <c r="CZ50" s="158" t="b">
        <v>0</v>
      </c>
      <c r="DA50" s="158" t="b">
        <v>0</v>
      </c>
      <c r="DB50" s="158" t="b">
        <v>0</v>
      </c>
      <c r="DC50" s="158" t="b">
        <v>0</v>
      </c>
      <c r="DD50" s="158" t="b">
        <v>0</v>
      </c>
      <c r="DE50" s="158" t="b">
        <v>0</v>
      </c>
      <c r="DF50" s="158" t="b">
        <v>0</v>
      </c>
      <c r="DG50" s="158" t="b">
        <v>0</v>
      </c>
      <c r="DH50" s="158" t="b">
        <v>0</v>
      </c>
      <c r="DI50" s="158" t="b">
        <v>0</v>
      </c>
      <c r="DJ50" s="158" t="b">
        <v>0</v>
      </c>
      <c r="DK50" s="158" t="b">
        <v>0</v>
      </c>
      <c r="DL50" s="158" t="b">
        <v>0</v>
      </c>
      <c r="DM50" s="158" t="b">
        <v>0</v>
      </c>
      <c r="DN50" s="158" t="b">
        <v>0</v>
      </c>
      <c r="DO50" s="158" t="b">
        <v>0</v>
      </c>
      <c r="DP50" s="158" t="b">
        <v>0</v>
      </c>
      <c r="DQ50" s="158" t="b">
        <v>0</v>
      </c>
      <c r="DR50" s="158" t="b">
        <v>0</v>
      </c>
      <c r="DS50" s="158" t="b">
        <v>0</v>
      </c>
      <c r="DT50" s="158" t="b">
        <v>0</v>
      </c>
      <c r="DU50" s="158" t="b">
        <v>0</v>
      </c>
      <c r="DV50" s="158" t="b">
        <v>0</v>
      </c>
      <c r="DW50" s="158" t="b">
        <v>0</v>
      </c>
      <c r="DX50" s="158" t="b">
        <v>0</v>
      </c>
      <c r="DY50" s="158" t="b">
        <v>0</v>
      </c>
      <c r="DZ50" s="158" t="b">
        <v>0</v>
      </c>
      <c r="EA50" s="158" t="b">
        <v>0</v>
      </c>
      <c r="EB50" s="158" t="b">
        <v>0</v>
      </c>
      <c r="EC50" s="158" t="b">
        <v>0</v>
      </c>
      <c r="ED50" s="158" t="b">
        <v>0</v>
      </c>
      <c r="EE50" s="158" t="b">
        <v>0</v>
      </c>
      <c r="EF50" s="158" t="b">
        <v>0</v>
      </c>
      <c r="EG50" s="158" t="b">
        <v>0</v>
      </c>
      <c r="EH50" s="158" t="b">
        <v>0</v>
      </c>
      <c r="EI50" s="158" t="b">
        <v>0</v>
      </c>
      <c r="EJ50" s="158" t="b">
        <v>0</v>
      </c>
      <c r="EK50" s="158" t="b">
        <v>0</v>
      </c>
      <c r="EL50" s="158" t="b">
        <v>0</v>
      </c>
      <c r="EM50" s="158" t="b">
        <v>0</v>
      </c>
      <c r="EN50" s="158" t="b">
        <v>0</v>
      </c>
      <c r="EO50" s="158" t="b">
        <v>0</v>
      </c>
      <c r="EP50" s="158" t="b">
        <v>0</v>
      </c>
      <c r="EQ50" s="158" t="b">
        <v>0</v>
      </c>
      <c r="ER50" s="158" t="b">
        <v>0</v>
      </c>
      <c r="ES50" s="158" t="b">
        <v>0</v>
      </c>
      <c r="ET50" s="158" t="b">
        <v>0</v>
      </c>
      <c r="EU50" s="158" t="b">
        <v>0</v>
      </c>
      <c r="EV50" s="158" t="b">
        <v>0</v>
      </c>
      <c r="EW50" s="158" t="b">
        <v>0</v>
      </c>
      <c r="EX50" s="158" t="b">
        <v>0</v>
      </c>
      <c r="EY50" s="158" t="b">
        <v>0</v>
      </c>
      <c r="EZ50" s="158" t="b">
        <v>0</v>
      </c>
      <c r="FA50" s="158" t="b">
        <v>0</v>
      </c>
      <c r="FB50" s="158" t="b">
        <v>0</v>
      </c>
      <c r="FC50" s="158" t="b">
        <v>0</v>
      </c>
      <c r="FD50" s="158" t="b">
        <v>0</v>
      </c>
      <c r="FE50" s="158" t="b">
        <v>0</v>
      </c>
      <c r="FF50" s="158" t="b">
        <v>0</v>
      </c>
      <c r="FG50" s="158" t="b">
        <v>0</v>
      </c>
      <c r="FH50" s="158" t="b">
        <v>0</v>
      </c>
      <c r="FI50" s="158" t="b">
        <v>0</v>
      </c>
      <c r="FJ50" s="158" t="b">
        <v>0</v>
      </c>
      <c r="FK50" s="158" t="b">
        <v>0</v>
      </c>
      <c r="FL50" s="158" t="b">
        <v>0</v>
      </c>
      <c r="FM50" s="158" t="b">
        <v>0</v>
      </c>
      <c r="FN50" s="158" t="b">
        <v>0</v>
      </c>
      <c r="FO50" s="158" t="b">
        <v>0</v>
      </c>
      <c r="FP50" s="158" t="b">
        <v>0</v>
      </c>
      <c r="FQ50" s="158" t="b">
        <v>0</v>
      </c>
      <c r="FR50" s="158" t="b">
        <v>0</v>
      </c>
      <c r="FS50" s="158" t="b">
        <v>0</v>
      </c>
      <c r="FT50" s="158" t="b">
        <v>0</v>
      </c>
      <c r="FU50" s="158" t="b">
        <v>0</v>
      </c>
      <c r="FV50" s="158" t="b">
        <v>0</v>
      </c>
      <c r="FW50" s="158" t="b">
        <v>0</v>
      </c>
      <c r="FX50" s="158" t="b">
        <v>0</v>
      </c>
      <c r="FY50" s="158" t="b">
        <v>0</v>
      </c>
      <c r="FZ50" s="158" t="b">
        <v>0</v>
      </c>
      <c r="GA50" s="158" t="b">
        <v>0</v>
      </c>
      <c r="GB50" s="158" t="b">
        <v>0</v>
      </c>
      <c r="GC50" s="158" t="b">
        <v>0</v>
      </c>
      <c r="GD50" s="158" t="b">
        <v>0</v>
      </c>
      <c r="GE50" s="158" t="b">
        <v>0</v>
      </c>
      <c r="GF50" s="158" t="b">
        <v>0</v>
      </c>
      <c r="GG50" s="158" t="b">
        <v>0</v>
      </c>
      <c r="GH50" s="158" t="b">
        <v>0</v>
      </c>
      <c r="GI50" s="158" t="b">
        <v>0</v>
      </c>
      <c r="GJ50" s="158" t="b">
        <v>0</v>
      </c>
      <c r="GK50" s="158" t="b">
        <v>0</v>
      </c>
      <c r="GL50" s="158" t="b">
        <v>0</v>
      </c>
      <c r="GM50" s="158" t="b">
        <v>0</v>
      </c>
      <c r="GN50" s="158" t="b">
        <v>0</v>
      </c>
      <c r="GO50" s="158" t="b">
        <v>0</v>
      </c>
      <c r="GP50" s="158" t="b">
        <v>0</v>
      </c>
      <c r="GQ50" s="158" t="b">
        <v>0</v>
      </c>
      <c r="GR50" s="158" t="b">
        <v>0</v>
      </c>
      <c r="GS50" s="158" t="b">
        <v>0</v>
      </c>
      <c r="GT50" s="158" t="b">
        <v>0</v>
      </c>
      <c r="GU50" s="158" t="b">
        <v>0</v>
      </c>
      <c r="GV50" s="158" t="b">
        <v>0</v>
      </c>
      <c r="GW50" s="158" t="b">
        <v>0</v>
      </c>
      <c r="GX50" s="158" t="b">
        <v>0</v>
      </c>
      <c r="GY50" s="158" t="b">
        <v>0</v>
      </c>
      <c r="GZ50" s="158" t="b">
        <v>0</v>
      </c>
      <c r="HA50" s="158" t="b">
        <v>0</v>
      </c>
      <c r="HB50" s="158" t="b">
        <v>0</v>
      </c>
      <c r="HC50" s="158" t="b">
        <v>0</v>
      </c>
      <c r="HD50" s="158" t="b">
        <v>0</v>
      </c>
      <c r="HE50" s="158" t="b">
        <v>0</v>
      </c>
      <c r="HF50" s="158" t="b">
        <v>0</v>
      </c>
      <c r="HG50" s="158" t="b">
        <v>0</v>
      </c>
      <c r="HH50" s="158" t="b">
        <v>0</v>
      </c>
      <c r="HI50" s="158" t="b">
        <v>0</v>
      </c>
      <c r="HJ50" s="158" t="b">
        <v>0</v>
      </c>
      <c r="HK50" s="158" t="b">
        <v>0</v>
      </c>
      <c r="HL50" s="158" t="b">
        <v>0</v>
      </c>
      <c r="HM50" s="158" t="b">
        <v>0</v>
      </c>
      <c r="HN50" s="158" t="b">
        <v>0</v>
      </c>
      <c r="HO50" s="158" t="b">
        <v>0</v>
      </c>
      <c r="HP50" s="158" t="b">
        <v>0</v>
      </c>
      <c r="HQ50" s="158" t="b">
        <v>0</v>
      </c>
      <c r="HR50" s="158" t="b">
        <v>0</v>
      </c>
      <c r="HS50" s="158" t="b">
        <v>0</v>
      </c>
      <c r="HT50" s="158" t="b">
        <v>0</v>
      </c>
      <c r="HU50" s="158" t="b">
        <v>0</v>
      </c>
      <c r="HV50" s="158" t="b">
        <v>0</v>
      </c>
      <c r="HW50" s="158" t="b">
        <v>0</v>
      </c>
      <c r="HX50" s="158" t="b">
        <v>0</v>
      </c>
      <c r="HY50" s="158" t="b">
        <v>0</v>
      </c>
      <c r="HZ50" s="158" t="b">
        <v>0</v>
      </c>
      <c r="IA50" s="158" t="b">
        <v>0</v>
      </c>
      <c r="IB50" s="158" t="b">
        <v>0</v>
      </c>
      <c r="IC50" s="158" t="b">
        <v>0</v>
      </c>
      <c r="ID50" s="158" t="b">
        <v>0</v>
      </c>
      <c r="IE50" s="158" t="b">
        <v>0</v>
      </c>
      <c r="IF50" s="158" t="b">
        <v>0</v>
      </c>
      <c r="IG50" s="158" t="b">
        <v>0</v>
      </c>
      <c r="IH50" s="158" t="b">
        <v>0</v>
      </c>
      <c r="II50" s="158" t="b">
        <v>0</v>
      </c>
      <c r="IJ50" s="158" t="b">
        <v>0</v>
      </c>
      <c r="IK50" s="158" t="b">
        <v>0</v>
      </c>
      <c r="IL50" s="158" t="b">
        <v>0</v>
      </c>
      <c r="IM50" s="158" t="b">
        <v>0</v>
      </c>
      <c r="IN50" s="158" t="b">
        <v>0</v>
      </c>
      <c r="IO50" s="158" t="b">
        <v>0</v>
      </c>
      <c r="IP50" s="158" t="b">
        <v>0</v>
      </c>
      <c r="IQ50" s="158" t="b">
        <v>0</v>
      </c>
      <c r="IR50" s="158" t="b">
        <v>0</v>
      </c>
      <c r="IS50" s="158" t="b">
        <v>0</v>
      </c>
      <c r="IT50" s="158" t="b">
        <v>0</v>
      </c>
      <c r="IU50" s="158" t="b">
        <v>0</v>
      </c>
      <c r="IV50" s="158" t="b">
        <v>0</v>
      </c>
      <c r="IW50" s="158" t="b">
        <v>0</v>
      </c>
      <c r="IX50" s="158" t="b">
        <v>0</v>
      </c>
      <c r="IY50" s="158" t="b">
        <v>0</v>
      </c>
      <c r="IZ50" s="158" t="b">
        <v>0</v>
      </c>
      <c r="JA50" s="158" t="b">
        <v>0</v>
      </c>
      <c r="JB50" s="158" t="b">
        <v>0</v>
      </c>
      <c r="JC50" s="158" t="b">
        <v>0</v>
      </c>
      <c r="JD50" s="158" t="b">
        <v>0</v>
      </c>
      <c r="JE50" s="158" t="b">
        <v>0</v>
      </c>
      <c r="JF50" s="158" t="b">
        <v>0</v>
      </c>
      <c r="JG50" s="158" t="b">
        <v>0</v>
      </c>
      <c r="JH50" s="158" t="b">
        <v>0</v>
      </c>
      <c r="JI50" s="158" t="b">
        <v>0</v>
      </c>
      <c r="JJ50" s="158" t="b">
        <v>0</v>
      </c>
      <c r="JK50" s="158" t="b">
        <v>0</v>
      </c>
      <c r="JL50" s="158" t="b">
        <v>0</v>
      </c>
      <c r="JM50" s="158" t="b">
        <v>0</v>
      </c>
      <c r="JN50" s="158" t="b">
        <v>0</v>
      </c>
      <c r="JO50" s="158" t="b">
        <v>0</v>
      </c>
      <c r="JP50" s="158" t="b">
        <v>0</v>
      </c>
      <c r="JQ50" s="158" t="b">
        <v>0</v>
      </c>
      <c r="JR50" s="158" t="b">
        <v>0</v>
      </c>
      <c r="JS50" s="158" t="b">
        <v>0</v>
      </c>
      <c r="JT50" s="158" t="b">
        <v>0</v>
      </c>
      <c r="JU50" s="158" t="b">
        <v>0</v>
      </c>
      <c r="JV50" s="158" t="b">
        <v>0</v>
      </c>
      <c r="JW50" s="158" t="b">
        <v>0</v>
      </c>
      <c r="JX50" s="158" t="b">
        <v>0</v>
      </c>
      <c r="JY50" s="158" t="b">
        <v>0</v>
      </c>
      <c r="JZ50" s="158" t="b">
        <v>0</v>
      </c>
      <c r="KA50" s="158" t="b">
        <v>0</v>
      </c>
      <c r="KB50" s="158" t="b">
        <v>0</v>
      </c>
      <c r="KC50" s="158" t="b">
        <v>0</v>
      </c>
      <c r="KD50" s="158" t="b">
        <v>0</v>
      </c>
      <c r="KE50" s="158" t="b">
        <v>0</v>
      </c>
      <c r="KF50" s="158" t="b">
        <v>0</v>
      </c>
      <c r="KG50" s="158" t="b">
        <v>0</v>
      </c>
      <c r="KH50" s="158" t="b">
        <v>0</v>
      </c>
      <c r="KI50" s="158" t="b">
        <v>0</v>
      </c>
      <c r="KJ50" s="158" t="b">
        <v>0</v>
      </c>
      <c r="KK50" s="158" t="b">
        <v>0</v>
      </c>
      <c r="KL50" s="158" t="b">
        <v>0</v>
      </c>
      <c r="KM50" s="158" t="b">
        <v>0</v>
      </c>
      <c r="KN50" s="158" t="b">
        <v>0</v>
      </c>
      <c r="KO50" s="158" t="b">
        <v>0</v>
      </c>
      <c r="KP50" s="158" t="b">
        <v>0</v>
      </c>
      <c r="KQ50" s="158" t="b">
        <v>0</v>
      </c>
      <c r="KR50" s="158" t="b">
        <v>0</v>
      </c>
      <c r="KS50" s="158" t="b">
        <v>0</v>
      </c>
      <c r="KT50" s="158" t="b">
        <v>0</v>
      </c>
      <c r="KU50" s="158" t="b">
        <v>0</v>
      </c>
      <c r="KV50" s="158" t="b">
        <v>0</v>
      </c>
      <c r="KW50" s="158" t="b">
        <v>0</v>
      </c>
      <c r="KX50" s="158" t="b">
        <v>0</v>
      </c>
      <c r="KY50" s="158" t="b">
        <v>0</v>
      </c>
      <c r="KZ50" s="158" t="b">
        <v>0</v>
      </c>
      <c r="LA50" s="158" t="b">
        <v>0</v>
      </c>
      <c r="LB50" s="158" t="b">
        <v>0</v>
      </c>
      <c r="LC50" s="158" t="b">
        <v>0</v>
      </c>
      <c r="LD50" s="158" t="b">
        <v>0</v>
      </c>
      <c r="LE50" s="158" t="b">
        <v>0</v>
      </c>
      <c r="LF50" s="158" t="b">
        <v>0</v>
      </c>
      <c r="LG50" s="158" t="b">
        <v>0</v>
      </c>
      <c r="LH50" s="158" t="b">
        <v>0</v>
      </c>
      <c r="LI50" s="158" t="b">
        <v>0</v>
      </c>
      <c r="LJ50" s="158" t="b">
        <v>0</v>
      </c>
      <c r="LK50" s="158" t="b">
        <v>0</v>
      </c>
      <c r="LL50" s="158" t="b">
        <v>0</v>
      </c>
      <c r="LM50" s="158" t="b">
        <v>0</v>
      </c>
      <c r="LN50" s="158" t="b">
        <v>0</v>
      </c>
      <c r="LO50" s="158" t="b">
        <v>0</v>
      </c>
      <c r="LP50" s="158" t="b">
        <v>0</v>
      </c>
      <c r="LQ50" s="158" t="b">
        <v>0</v>
      </c>
      <c r="LR50" s="158" t="b">
        <v>0</v>
      </c>
      <c r="LS50" s="158" t="b">
        <v>0</v>
      </c>
      <c r="LT50" s="158" t="b">
        <v>0</v>
      </c>
      <c r="LU50" s="158" t="b">
        <v>0</v>
      </c>
      <c r="LV50" s="158" t="b">
        <v>0</v>
      </c>
      <c r="LW50" s="158" t="b">
        <v>0</v>
      </c>
      <c r="LX50" s="158" t="b">
        <v>0</v>
      </c>
      <c r="LY50" s="158" t="b">
        <v>0</v>
      </c>
      <c r="LZ50" s="158" t="b">
        <v>0</v>
      </c>
      <c r="MA50" s="158" t="b">
        <v>0</v>
      </c>
      <c r="MB50" s="158" t="b">
        <v>0</v>
      </c>
      <c r="MC50" s="158" t="b">
        <v>0</v>
      </c>
      <c r="MD50" s="158" t="b">
        <v>0</v>
      </c>
      <c r="ME50" s="158" t="b">
        <v>0</v>
      </c>
      <c r="MF50" s="158" t="b">
        <v>0</v>
      </c>
      <c r="MG50" s="158" t="b">
        <v>0</v>
      </c>
      <c r="MH50" s="158" t="b">
        <v>0</v>
      </c>
      <c r="MI50" s="158" t="b">
        <v>0</v>
      </c>
      <c r="MJ50" s="158" t="b">
        <v>0</v>
      </c>
      <c r="MK50" s="158" t="b">
        <v>0</v>
      </c>
      <c r="ML50" s="158" t="b">
        <v>0</v>
      </c>
      <c r="MM50" s="158" t="b">
        <v>0</v>
      </c>
      <c r="MN50" s="158" t="b">
        <v>0</v>
      </c>
      <c r="MO50" s="158" t="b">
        <v>0</v>
      </c>
      <c r="MP50" s="158" t="b">
        <v>0</v>
      </c>
      <c r="MQ50" s="158" t="b">
        <v>0</v>
      </c>
      <c r="MR50" s="158" t="b">
        <v>0</v>
      </c>
      <c r="MS50" s="158" t="b">
        <v>0</v>
      </c>
      <c r="MT50" s="158" t="b">
        <v>0</v>
      </c>
      <c r="MU50" s="158" t="b">
        <v>0</v>
      </c>
      <c r="MV50" s="158" t="b">
        <v>0</v>
      </c>
      <c r="MW50" s="158" t="b">
        <v>0</v>
      </c>
      <c r="MX50" s="158" t="b">
        <v>0</v>
      </c>
      <c r="MY50" s="158" t="b">
        <v>0</v>
      </c>
      <c r="MZ50" s="158" t="b">
        <v>0</v>
      </c>
      <c r="NA50" s="158" t="b">
        <v>0</v>
      </c>
      <c r="NB50" s="158" t="b">
        <v>0</v>
      </c>
      <c r="NC50" s="158" t="b">
        <v>0</v>
      </c>
      <c r="ND50" s="158" t="b">
        <v>0</v>
      </c>
      <c r="NE50" s="158" t="b">
        <v>0</v>
      </c>
      <c r="NF50" s="158" t="b">
        <v>0</v>
      </c>
      <c r="NG50" s="158" t="b">
        <v>0</v>
      </c>
      <c r="NH50" s="158" t="b">
        <v>0</v>
      </c>
      <c r="NI50" s="158" t="b">
        <v>0</v>
      </c>
      <c r="NJ50" s="158" t="b">
        <v>0</v>
      </c>
      <c r="NK50" s="158" t="b">
        <v>0</v>
      </c>
      <c r="NL50" s="158" t="b">
        <v>0</v>
      </c>
      <c r="NM50" s="158" t="b">
        <v>0</v>
      </c>
      <c r="NN50" s="158" t="b">
        <v>0</v>
      </c>
      <c r="NO50" s="158" t="b">
        <v>0</v>
      </c>
    </row>
    <row r="51" spans="1:379" ht="29.25" x14ac:dyDescent="0.4">
      <c r="A51" s="511" t="str">
        <v>05-WH</v>
      </c>
      <c r="B51" s="158" t="b">
        <v>0</v>
      </c>
      <c r="C51" s="158" t="b">
        <v>0</v>
      </c>
      <c r="D51" s="158" t="b">
        <v>0</v>
      </c>
      <c r="E51" s="158" t="b">
        <v>0</v>
      </c>
      <c r="F51" s="158" t="b">
        <v>0</v>
      </c>
      <c r="G51" s="158" t="b">
        <v>0</v>
      </c>
      <c r="H51" s="158" t="b">
        <v>0</v>
      </c>
      <c r="I51" s="158" t="b">
        <v>0</v>
      </c>
      <c r="J51" s="158" t="b">
        <v>0</v>
      </c>
      <c r="K51" s="158" t="b">
        <v>0</v>
      </c>
      <c r="L51" s="158" t="b">
        <v>0</v>
      </c>
      <c r="M51" s="158" t="b">
        <v>0</v>
      </c>
      <c r="N51" s="158" t="b">
        <v>0</v>
      </c>
      <c r="O51" s="158" t="b">
        <v>0</v>
      </c>
      <c r="P51" s="158" t="b">
        <v>0</v>
      </c>
      <c r="Q51" s="158" t="b">
        <v>0</v>
      </c>
      <c r="R51" s="158" t="b">
        <v>0</v>
      </c>
      <c r="S51" s="158" t="b">
        <v>0</v>
      </c>
      <c r="T51" s="158" t="b">
        <v>0</v>
      </c>
      <c r="U51" s="158" t="b">
        <v>0</v>
      </c>
      <c r="V51" s="158" t="b">
        <v>0</v>
      </c>
      <c r="W51" s="158" t="b">
        <v>0</v>
      </c>
      <c r="X51" s="158" t="b">
        <v>0</v>
      </c>
      <c r="Y51" s="158" t="b">
        <v>0</v>
      </c>
      <c r="Z51" s="158" t="b">
        <v>0</v>
      </c>
      <c r="AA51" s="158" t="b">
        <v>0</v>
      </c>
      <c r="AB51" s="158" t="b">
        <v>0</v>
      </c>
      <c r="AC51" s="158" t="b">
        <v>0</v>
      </c>
      <c r="AD51" s="158" t="b">
        <v>0</v>
      </c>
      <c r="AE51" s="158" t="b">
        <v>0</v>
      </c>
      <c r="AF51" s="158" t="b">
        <v>0</v>
      </c>
      <c r="AG51" s="158" t="b">
        <v>0</v>
      </c>
      <c r="AH51" s="158" t="b">
        <v>0</v>
      </c>
      <c r="AI51" s="158" t="b">
        <v>0</v>
      </c>
      <c r="AJ51" s="158" t="b">
        <v>0</v>
      </c>
      <c r="AK51" s="158" t="b">
        <v>0</v>
      </c>
      <c r="AL51" s="158" t="b">
        <v>0</v>
      </c>
      <c r="AM51" s="158" t="b">
        <v>0</v>
      </c>
      <c r="AN51" s="158" t="b">
        <v>0</v>
      </c>
      <c r="AO51" s="158" t="b">
        <v>0</v>
      </c>
      <c r="AP51" s="158" t="b">
        <v>0</v>
      </c>
      <c r="AQ51" s="158" t="b">
        <v>0</v>
      </c>
      <c r="AR51" s="158" t="b">
        <v>0</v>
      </c>
      <c r="AS51" s="158" t="b">
        <v>0</v>
      </c>
      <c r="AT51" s="158" t="b">
        <v>0</v>
      </c>
      <c r="AU51" s="158" t="b">
        <v>0</v>
      </c>
      <c r="AV51" s="158" t="b">
        <v>0</v>
      </c>
      <c r="AW51" s="158" t="b">
        <v>0</v>
      </c>
      <c r="AX51" s="158" t="b">
        <v>0</v>
      </c>
      <c r="AY51" s="158" t="b">
        <v>0</v>
      </c>
      <c r="AZ51" s="158" t="b">
        <v>0</v>
      </c>
      <c r="BA51" s="158" t="b">
        <v>0</v>
      </c>
      <c r="BB51" s="158" t="b">
        <v>0</v>
      </c>
      <c r="BC51" s="158" t="b">
        <v>0</v>
      </c>
      <c r="BD51" s="158" t="b">
        <v>0</v>
      </c>
      <c r="BE51" s="158" t="b">
        <v>0</v>
      </c>
      <c r="BF51" s="158" t="b">
        <v>0</v>
      </c>
      <c r="BG51" s="158" t="b">
        <v>0</v>
      </c>
      <c r="BH51" s="158" t="b">
        <v>0</v>
      </c>
      <c r="BI51" s="158" t="b">
        <v>0</v>
      </c>
      <c r="BJ51" s="158" t="b">
        <v>0</v>
      </c>
      <c r="BK51" s="158" t="b">
        <v>0</v>
      </c>
      <c r="BL51" s="158" t="b">
        <v>0</v>
      </c>
      <c r="BM51" s="158" t="b">
        <v>0</v>
      </c>
      <c r="BN51" s="158" t="b">
        <v>0</v>
      </c>
      <c r="BO51" s="158" t="b">
        <v>0</v>
      </c>
      <c r="BP51" s="158" t="b">
        <v>0</v>
      </c>
      <c r="BQ51" s="158" t="b">
        <v>0</v>
      </c>
      <c r="BR51" s="158" t="b">
        <v>0</v>
      </c>
      <c r="BS51" s="158" t="b">
        <v>0</v>
      </c>
      <c r="BT51" s="158" t="b">
        <v>0</v>
      </c>
      <c r="BU51" s="158" t="b">
        <v>0</v>
      </c>
      <c r="BV51" s="158" t="b">
        <v>0</v>
      </c>
      <c r="BW51" s="158" t="b">
        <v>0</v>
      </c>
      <c r="BX51" s="158" t="b">
        <v>0</v>
      </c>
      <c r="BY51" s="158" t="b">
        <v>0</v>
      </c>
      <c r="BZ51" s="158" t="b">
        <v>0</v>
      </c>
      <c r="CA51" s="158" t="b">
        <v>0</v>
      </c>
      <c r="CB51" s="158" t="b">
        <v>0</v>
      </c>
      <c r="CC51" s="158" t="b">
        <v>0</v>
      </c>
      <c r="CD51" s="158" t="b">
        <v>0</v>
      </c>
      <c r="CE51" s="158" t="b">
        <v>0</v>
      </c>
      <c r="CF51" s="158" t="b">
        <v>0</v>
      </c>
      <c r="CG51" s="158" t="b">
        <v>0</v>
      </c>
      <c r="CH51" s="158" t="b">
        <v>0</v>
      </c>
      <c r="CI51" s="158" t="b">
        <v>0</v>
      </c>
      <c r="CJ51" s="158" t="b">
        <v>0</v>
      </c>
      <c r="CK51" s="158" t="b">
        <v>0</v>
      </c>
      <c r="CL51" s="158" t="b">
        <v>0</v>
      </c>
      <c r="CM51" s="158" t="b">
        <v>0</v>
      </c>
      <c r="CN51" s="158" t="b">
        <v>0</v>
      </c>
      <c r="CO51" s="158" t="b">
        <v>0</v>
      </c>
      <c r="CP51" s="158" t="b">
        <v>0</v>
      </c>
      <c r="CQ51" s="158" t="b">
        <v>0</v>
      </c>
      <c r="CR51" s="158" t="b">
        <v>0</v>
      </c>
      <c r="CS51" s="158" t="b">
        <v>0</v>
      </c>
      <c r="CT51" s="158" t="b">
        <v>0</v>
      </c>
      <c r="CU51" s="158" t="b">
        <v>0</v>
      </c>
      <c r="CV51" s="158" t="b">
        <v>0</v>
      </c>
      <c r="CW51" s="158" t="b">
        <v>0</v>
      </c>
      <c r="CX51" s="158" t="b">
        <v>0</v>
      </c>
      <c r="CY51" s="158" t="b">
        <v>0</v>
      </c>
      <c r="CZ51" s="158" t="b">
        <v>0</v>
      </c>
      <c r="DA51" s="158" t="b">
        <v>0</v>
      </c>
      <c r="DB51" s="158" t="b">
        <v>0</v>
      </c>
      <c r="DC51" s="158" t="b">
        <v>0</v>
      </c>
      <c r="DD51" s="158" t="b">
        <v>0</v>
      </c>
      <c r="DE51" s="158" t="b">
        <v>0</v>
      </c>
      <c r="DF51" s="158" t="b">
        <v>0</v>
      </c>
      <c r="DG51" s="158" t="b">
        <v>0</v>
      </c>
      <c r="DH51" s="158" t="b">
        <v>0</v>
      </c>
      <c r="DI51" s="158" t="b">
        <v>0</v>
      </c>
      <c r="DJ51" s="158" t="b">
        <v>0</v>
      </c>
      <c r="DK51" s="158" t="b">
        <v>0</v>
      </c>
      <c r="DL51" s="158" t="b">
        <v>0</v>
      </c>
      <c r="DM51" s="158" t="b">
        <v>0</v>
      </c>
      <c r="DN51" s="158" t="b">
        <v>0</v>
      </c>
      <c r="DO51" s="158" t="b">
        <v>0</v>
      </c>
      <c r="DP51" s="158" t="b">
        <v>0</v>
      </c>
      <c r="DQ51" s="158" t="b">
        <v>0</v>
      </c>
      <c r="DR51" s="158" t="b">
        <v>0</v>
      </c>
      <c r="DS51" s="158" t="b">
        <v>0</v>
      </c>
      <c r="DT51" s="158" t="b">
        <v>0</v>
      </c>
      <c r="DU51" s="158" t="b">
        <v>0</v>
      </c>
      <c r="DV51" s="158" t="b">
        <v>0</v>
      </c>
      <c r="DW51" s="158" t="b">
        <v>0</v>
      </c>
      <c r="DX51" s="158" t="b">
        <v>0</v>
      </c>
      <c r="DY51" s="158" t="b">
        <v>0</v>
      </c>
      <c r="DZ51" s="158" t="b">
        <v>0</v>
      </c>
      <c r="EA51" s="158" t="b">
        <v>0</v>
      </c>
      <c r="EB51" s="158" t="b">
        <v>0</v>
      </c>
      <c r="EC51" s="158" t="b">
        <v>0</v>
      </c>
      <c r="ED51" s="158" t="b">
        <v>0</v>
      </c>
      <c r="EE51" s="158" t="b">
        <v>0</v>
      </c>
      <c r="EF51" s="158" t="b">
        <v>0</v>
      </c>
      <c r="EG51" s="158" t="b">
        <v>0</v>
      </c>
      <c r="EH51" s="158" t="b">
        <v>0</v>
      </c>
      <c r="EI51" s="158" t="b">
        <v>0</v>
      </c>
      <c r="EJ51" s="158" t="b">
        <v>0</v>
      </c>
      <c r="EK51" s="158" t="b">
        <v>0</v>
      </c>
      <c r="EL51" s="158" t="b">
        <v>0</v>
      </c>
      <c r="EM51" s="158" t="b">
        <v>0</v>
      </c>
      <c r="EN51" s="158" t="b">
        <v>0</v>
      </c>
      <c r="EO51" s="158" t="b">
        <v>0</v>
      </c>
      <c r="EP51" s="158" t="b">
        <v>0</v>
      </c>
      <c r="EQ51" s="158" t="b">
        <v>0</v>
      </c>
      <c r="ER51" s="158" t="b">
        <v>0</v>
      </c>
      <c r="ES51" s="158" t="b">
        <v>0</v>
      </c>
      <c r="ET51" s="158" t="b">
        <v>0</v>
      </c>
      <c r="EU51" s="158" t="b">
        <v>0</v>
      </c>
      <c r="EV51" s="158" t="b">
        <v>0</v>
      </c>
      <c r="EW51" s="158" t="b">
        <v>0</v>
      </c>
      <c r="EX51" s="158" t="b">
        <v>0</v>
      </c>
      <c r="EY51" s="158" t="b">
        <v>0</v>
      </c>
      <c r="EZ51" s="158" t="b">
        <v>0</v>
      </c>
      <c r="FA51" s="158" t="b">
        <v>0</v>
      </c>
      <c r="FB51" s="158" t="b">
        <v>0</v>
      </c>
      <c r="FC51" s="158" t="b">
        <v>0</v>
      </c>
      <c r="FD51" s="158" t="b">
        <v>0</v>
      </c>
      <c r="FE51" s="158" t="b">
        <v>0</v>
      </c>
      <c r="FF51" s="158" t="b">
        <v>0</v>
      </c>
      <c r="FG51" s="158" t="b">
        <v>0</v>
      </c>
      <c r="FH51" s="158" t="b">
        <v>0</v>
      </c>
      <c r="FI51" s="158" t="b">
        <v>0</v>
      </c>
      <c r="FJ51" s="158" t="b">
        <v>0</v>
      </c>
      <c r="FK51" s="158" t="b">
        <v>0</v>
      </c>
      <c r="FL51" s="158" t="b">
        <v>0</v>
      </c>
      <c r="FM51" s="158" t="b">
        <v>0</v>
      </c>
      <c r="FN51" s="158" t="b">
        <v>0</v>
      </c>
      <c r="FO51" s="158" t="b">
        <v>0</v>
      </c>
      <c r="FP51" s="158" t="b">
        <v>0</v>
      </c>
      <c r="FQ51" s="158" t="b">
        <v>0</v>
      </c>
      <c r="FR51" s="158" t="b">
        <v>0</v>
      </c>
      <c r="FS51" s="158" t="b">
        <v>0</v>
      </c>
      <c r="FT51" s="158" t="b">
        <v>0</v>
      </c>
      <c r="FU51" s="158" t="b">
        <v>0</v>
      </c>
      <c r="FV51" s="158" t="b">
        <v>0</v>
      </c>
      <c r="FW51" s="158" t="b">
        <v>0</v>
      </c>
      <c r="FX51" s="158" t="b">
        <v>0</v>
      </c>
      <c r="FY51" s="158" t="b">
        <v>0</v>
      </c>
      <c r="FZ51" s="158" t="b">
        <v>0</v>
      </c>
      <c r="GA51" s="158" t="b">
        <v>0</v>
      </c>
      <c r="GB51" s="158" t="b">
        <v>0</v>
      </c>
      <c r="GC51" s="158" t="b">
        <v>0</v>
      </c>
      <c r="GD51" s="158" t="b">
        <v>0</v>
      </c>
      <c r="GE51" s="158" t="b">
        <v>0</v>
      </c>
      <c r="GF51" s="158" t="b">
        <v>0</v>
      </c>
      <c r="GG51" s="158" t="b">
        <v>0</v>
      </c>
      <c r="GH51" s="158" t="b">
        <v>0</v>
      </c>
      <c r="GI51" s="158" t="b">
        <v>0</v>
      </c>
      <c r="GJ51" s="158" t="b">
        <v>0</v>
      </c>
      <c r="GK51" s="158" t="b">
        <v>0</v>
      </c>
      <c r="GL51" s="158" t="b">
        <v>0</v>
      </c>
      <c r="GM51" s="158" t="b">
        <v>0</v>
      </c>
      <c r="GN51" s="158" t="b">
        <v>0</v>
      </c>
      <c r="GO51" s="158" t="b">
        <v>0</v>
      </c>
      <c r="GP51" s="158" t="b">
        <v>0</v>
      </c>
      <c r="GQ51" s="158" t="b">
        <v>0</v>
      </c>
      <c r="GR51" s="158" t="b">
        <v>0</v>
      </c>
      <c r="GS51" s="158" t="b">
        <v>0</v>
      </c>
      <c r="GT51" s="158" t="b">
        <v>0</v>
      </c>
      <c r="GU51" s="158" t="b">
        <v>0</v>
      </c>
      <c r="GV51" s="158" t="b">
        <v>0</v>
      </c>
      <c r="GW51" s="158" t="b">
        <v>0</v>
      </c>
      <c r="GX51" s="158" t="b">
        <v>0</v>
      </c>
      <c r="GY51" s="158" t="b">
        <v>0</v>
      </c>
      <c r="GZ51" s="158" t="b">
        <v>0</v>
      </c>
      <c r="HA51" s="158" t="b">
        <v>0</v>
      </c>
      <c r="HB51" s="158" t="b">
        <v>0</v>
      </c>
      <c r="HC51" s="158" t="b">
        <v>0</v>
      </c>
      <c r="HD51" s="158" t="b">
        <v>0</v>
      </c>
      <c r="HE51" s="158" t="b">
        <v>0</v>
      </c>
      <c r="HF51" s="158" t="b">
        <v>0</v>
      </c>
      <c r="HG51" s="158" t="b">
        <v>0</v>
      </c>
      <c r="HH51" s="158" t="b">
        <v>0</v>
      </c>
      <c r="HI51" s="158" t="b">
        <v>0</v>
      </c>
      <c r="HJ51" s="158" t="b">
        <v>0</v>
      </c>
      <c r="HK51" s="158" t="b">
        <v>0</v>
      </c>
      <c r="HL51" s="158" t="b">
        <v>0</v>
      </c>
      <c r="HM51" s="158" t="b">
        <v>0</v>
      </c>
      <c r="HN51" s="158" t="b">
        <v>0</v>
      </c>
      <c r="HO51" s="158" t="b">
        <v>0</v>
      </c>
      <c r="HP51" s="158" t="b">
        <v>0</v>
      </c>
      <c r="HQ51" s="158" t="b">
        <v>0</v>
      </c>
      <c r="HR51" s="158" t="b">
        <v>0</v>
      </c>
      <c r="HS51" s="158" t="b">
        <v>0</v>
      </c>
      <c r="HT51" s="158" t="b">
        <v>0</v>
      </c>
      <c r="HU51" s="158" t="b">
        <v>0</v>
      </c>
      <c r="HV51" s="158" t="b">
        <v>0</v>
      </c>
      <c r="HW51" s="158" t="b">
        <v>0</v>
      </c>
      <c r="HX51" s="158" t="b">
        <v>0</v>
      </c>
      <c r="HY51" s="158" t="b">
        <v>0</v>
      </c>
      <c r="HZ51" s="158" t="b">
        <v>0</v>
      </c>
      <c r="IA51" s="158" t="b">
        <v>0</v>
      </c>
      <c r="IB51" s="158" t="b">
        <v>0</v>
      </c>
      <c r="IC51" s="158" t="b">
        <v>0</v>
      </c>
      <c r="ID51" s="158" t="b">
        <v>0</v>
      </c>
      <c r="IE51" s="158" t="b">
        <v>0</v>
      </c>
      <c r="IF51" s="158" t="b">
        <v>0</v>
      </c>
      <c r="IG51" s="158" t="b">
        <v>0</v>
      </c>
      <c r="IH51" s="158" t="b">
        <v>0</v>
      </c>
      <c r="II51" s="158" t="b">
        <v>0</v>
      </c>
      <c r="IJ51" s="158" t="b">
        <v>0</v>
      </c>
      <c r="IK51" s="158" t="b">
        <v>0</v>
      </c>
      <c r="IL51" s="158" t="b">
        <v>0</v>
      </c>
      <c r="IM51" s="158" t="b">
        <v>0</v>
      </c>
      <c r="IN51" s="158" t="b">
        <v>0</v>
      </c>
      <c r="IO51" s="158" t="b">
        <v>0</v>
      </c>
      <c r="IP51" s="158" t="b">
        <v>0</v>
      </c>
      <c r="IQ51" s="158" t="b">
        <v>0</v>
      </c>
      <c r="IR51" s="158" t="b">
        <v>0</v>
      </c>
      <c r="IS51" s="158" t="b">
        <v>0</v>
      </c>
      <c r="IT51" s="158" t="b">
        <v>0</v>
      </c>
      <c r="IU51" s="158" t="b">
        <v>0</v>
      </c>
      <c r="IV51" s="158" t="b">
        <v>0</v>
      </c>
      <c r="IW51" s="158" t="b">
        <v>0</v>
      </c>
      <c r="IX51" s="158" t="b">
        <v>0</v>
      </c>
      <c r="IY51" s="158" t="b">
        <v>0</v>
      </c>
      <c r="IZ51" s="158" t="b">
        <v>0</v>
      </c>
      <c r="JA51" s="158" t="b">
        <v>0</v>
      </c>
      <c r="JB51" s="158" t="b">
        <v>0</v>
      </c>
      <c r="JC51" s="158" t="b">
        <v>0</v>
      </c>
      <c r="JD51" s="158" t="b">
        <v>0</v>
      </c>
      <c r="JE51" s="158" t="b">
        <v>0</v>
      </c>
      <c r="JF51" s="158" t="b">
        <v>0</v>
      </c>
      <c r="JG51" s="158" t="b">
        <v>0</v>
      </c>
      <c r="JH51" s="158" t="b">
        <v>0</v>
      </c>
      <c r="JI51" s="158" t="b">
        <v>0</v>
      </c>
      <c r="JJ51" s="158" t="b">
        <v>0</v>
      </c>
      <c r="JK51" s="158" t="b">
        <v>0</v>
      </c>
      <c r="JL51" s="158" t="b">
        <v>0</v>
      </c>
      <c r="JM51" s="158" t="b">
        <v>0</v>
      </c>
      <c r="JN51" s="158" t="b">
        <v>0</v>
      </c>
      <c r="JO51" s="158" t="b">
        <v>0</v>
      </c>
      <c r="JP51" s="158" t="b">
        <v>0</v>
      </c>
      <c r="JQ51" s="158" t="b">
        <v>0</v>
      </c>
      <c r="JR51" s="158" t="b">
        <v>0</v>
      </c>
      <c r="JS51" s="158" t="b">
        <v>0</v>
      </c>
      <c r="JT51" s="158" t="b">
        <v>0</v>
      </c>
      <c r="JU51" s="158" t="b">
        <v>0</v>
      </c>
      <c r="JV51" s="158" t="b">
        <v>0</v>
      </c>
      <c r="JW51" s="158" t="b">
        <v>0</v>
      </c>
      <c r="JX51" s="158" t="b">
        <v>0</v>
      </c>
      <c r="JY51" s="158" t="b">
        <v>0</v>
      </c>
      <c r="JZ51" s="158" t="b">
        <v>0</v>
      </c>
      <c r="KA51" s="158" t="b">
        <v>0</v>
      </c>
      <c r="KB51" s="158" t="b">
        <v>0</v>
      </c>
      <c r="KC51" s="158" t="b">
        <v>0</v>
      </c>
      <c r="KD51" s="158" t="b">
        <v>0</v>
      </c>
      <c r="KE51" s="158" t="b">
        <v>0</v>
      </c>
      <c r="KF51" s="158" t="b">
        <v>0</v>
      </c>
      <c r="KG51" s="158" t="b">
        <v>0</v>
      </c>
      <c r="KH51" s="158" t="b">
        <v>0</v>
      </c>
      <c r="KI51" s="158" t="b">
        <v>0</v>
      </c>
      <c r="KJ51" s="158" t="b">
        <v>0</v>
      </c>
      <c r="KK51" s="158" t="b">
        <v>0</v>
      </c>
      <c r="KL51" s="158" t="b">
        <v>0</v>
      </c>
      <c r="KM51" s="158" t="b">
        <v>0</v>
      </c>
      <c r="KN51" s="158" t="b">
        <v>0</v>
      </c>
      <c r="KO51" s="158" t="b">
        <v>0</v>
      </c>
      <c r="KP51" s="158" t="b">
        <v>0</v>
      </c>
      <c r="KQ51" s="158" t="b">
        <v>0</v>
      </c>
      <c r="KR51" s="158" t="b">
        <v>0</v>
      </c>
      <c r="KS51" s="158" t="b">
        <v>0</v>
      </c>
      <c r="KT51" s="158" t="b">
        <v>0</v>
      </c>
      <c r="KU51" s="158" t="b">
        <v>0</v>
      </c>
      <c r="KV51" s="158" t="b">
        <v>0</v>
      </c>
      <c r="KW51" s="158" t="b">
        <v>0</v>
      </c>
      <c r="KX51" s="158" t="b">
        <v>0</v>
      </c>
      <c r="KY51" s="158" t="b">
        <v>0</v>
      </c>
      <c r="KZ51" s="158" t="b">
        <v>0</v>
      </c>
      <c r="LA51" s="158" t="b">
        <v>0</v>
      </c>
      <c r="LB51" s="158" t="b">
        <v>0</v>
      </c>
      <c r="LC51" s="158" t="b">
        <v>0</v>
      </c>
      <c r="LD51" s="158" t="b">
        <v>0</v>
      </c>
      <c r="LE51" s="158" t="b">
        <v>0</v>
      </c>
      <c r="LF51" s="158" t="b">
        <v>0</v>
      </c>
      <c r="LG51" s="158" t="b">
        <v>0</v>
      </c>
      <c r="LH51" s="158" t="b">
        <v>0</v>
      </c>
      <c r="LI51" s="158" t="b">
        <v>0</v>
      </c>
      <c r="LJ51" s="158" t="b">
        <v>0</v>
      </c>
      <c r="LK51" s="158" t="b">
        <v>0</v>
      </c>
      <c r="LL51" s="158" t="b">
        <v>0</v>
      </c>
      <c r="LM51" s="158" t="b">
        <v>0</v>
      </c>
      <c r="LN51" s="158" t="b">
        <v>0</v>
      </c>
      <c r="LO51" s="158" t="b">
        <v>0</v>
      </c>
      <c r="LP51" s="158" t="b">
        <v>0</v>
      </c>
      <c r="LQ51" s="158" t="b">
        <v>0</v>
      </c>
      <c r="LR51" s="158" t="b">
        <v>0</v>
      </c>
      <c r="LS51" s="158" t="b">
        <v>0</v>
      </c>
      <c r="LT51" s="158" t="b">
        <v>0</v>
      </c>
      <c r="LU51" s="158" t="b">
        <v>0</v>
      </c>
      <c r="LV51" s="158" t="b">
        <v>0</v>
      </c>
      <c r="LW51" s="158" t="b">
        <v>0</v>
      </c>
      <c r="LX51" s="158" t="b">
        <v>0</v>
      </c>
      <c r="LY51" s="158" t="b">
        <v>0</v>
      </c>
      <c r="LZ51" s="158" t="b">
        <v>0</v>
      </c>
      <c r="MA51" s="158" t="b">
        <v>0</v>
      </c>
      <c r="MB51" s="158" t="b">
        <v>0</v>
      </c>
      <c r="MC51" s="158" t="b">
        <v>0</v>
      </c>
      <c r="MD51" s="158" t="b">
        <v>0</v>
      </c>
      <c r="ME51" s="158" t="b">
        <v>0</v>
      </c>
      <c r="MF51" s="158" t="b">
        <v>0</v>
      </c>
      <c r="MG51" s="158" t="b">
        <v>0</v>
      </c>
      <c r="MH51" s="158" t="b">
        <v>0</v>
      </c>
      <c r="MI51" s="158" t="b">
        <v>0</v>
      </c>
      <c r="MJ51" s="158" t="b">
        <v>0</v>
      </c>
      <c r="MK51" s="158" t="b">
        <v>0</v>
      </c>
      <c r="ML51" s="158" t="b">
        <v>0</v>
      </c>
      <c r="MM51" s="158" t="b">
        <v>0</v>
      </c>
      <c r="MN51" s="158" t="b">
        <v>0</v>
      </c>
      <c r="MO51" s="158" t="b">
        <v>0</v>
      </c>
      <c r="MP51" s="158" t="b">
        <v>0</v>
      </c>
      <c r="MQ51" s="158" t="b">
        <v>0</v>
      </c>
      <c r="MR51" s="158" t="b">
        <v>0</v>
      </c>
      <c r="MS51" s="158" t="b">
        <v>0</v>
      </c>
      <c r="MT51" s="158" t="b">
        <v>0</v>
      </c>
      <c r="MU51" s="158" t="b">
        <v>0</v>
      </c>
      <c r="MV51" s="158" t="b">
        <v>0</v>
      </c>
      <c r="MW51" s="158" t="b">
        <v>0</v>
      </c>
      <c r="MX51" s="158" t="b">
        <v>0</v>
      </c>
      <c r="MY51" s="158" t="b">
        <v>0</v>
      </c>
      <c r="MZ51" s="158" t="b">
        <v>0</v>
      </c>
      <c r="NA51" s="158" t="b">
        <v>0</v>
      </c>
      <c r="NB51" s="158" t="b">
        <v>0</v>
      </c>
      <c r="NC51" s="158" t="b">
        <v>0</v>
      </c>
      <c r="ND51" s="158" t="b">
        <v>0</v>
      </c>
      <c r="NE51" s="158" t="b">
        <v>0</v>
      </c>
      <c r="NF51" s="158" t="b">
        <v>0</v>
      </c>
      <c r="NG51" s="158" t="b">
        <v>0</v>
      </c>
      <c r="NH51" s="158" t="b">
        <v>0</v>
      </c>
      <c r="NI51" s="158" t="b">
        <v>0</v>
      </c>
      <c r="NJ51" s="158" t="b">
        <v>0</v>
      </c>
      <c r="NK51" s="158" t="b">
        <v>0</v>
      </c>
      <c r="NL51" s="158" t="b">
        <v>0</v>
      </c>
      <c r="NM51" s="158" t="b">
        <v>0</v>
      </c>
      <c r="NN51" s="158" t="b">
        <v>0</v>
      </c>
      <c r="NO51" s="158" t="b">
        <v>0</v>
      </c>
    </row>
    <row r="52" spans="1:379" ht="29.25" x14ac:dyDescent="0.4">
      <c r="A52" s="511" t="str">
        <v>04-D</v>
      </c>
      <c r="B52" s="158" t="b">
        <v>0</v>
      </c>
      <c r="C52" s="158" t="b">
        <v>0</v>
      </c>
      <c r="D52" s="158" t="b">
        <v>0</v>
      </c>
      <c r="E52" s="158" t="b">
        <v>0</v>
      </c>
      <c r="F52" s="158" t="b">
        <v>0</v>
      </c>
      <c r="G52" s="158" t="b">
        <v>0</v>
      </c>
      <c r="H52" s="158" t="b">
        <v>0</v>
      </c>
      <c r="I52" s="158" t="b">
        <v>0</v>
      </c>
      <c r="J52" s="158" t="b">
        <v>0</v>
      </c>
      <c r="K52" s="158" t="b">
        <v>0</v>
      </c>
      <c r="L52" s="158" t="b">
        <v>0</v>
      </c>
      <c r="M52" s="158" t="b">
        <v>0</v>
      </c>
      <c r="N52" s="158" t="b">
        <v>0</v>
      </c>
      <c r="O52" s="158" t="b">
        <v>0</v>
      </c>
      <c r="P52" s="158" t="b">
        <v>0</v>
      </c>
      <c r="Q52" s="158" t="b">
        <v>0</v>
      </c>
      <c r="R52" s="158" t="b">
        <v>0</v>
      </c>
      <c r="S52" s="158" t="b">
        <v>0</v>
      </c>
      <c r="T52" s="158" t="b">
        <v>0</v>
      </c>
      <c r="U52" s="158" t="b">
        <v>0</v>
      </c>
      <c r="V52" s="158" t="b">
        <v>0</v>
      </c>
      <c r="W52" s="158" t="b">
        <v>0</v>
      </c>
      <c r="X52" s="158" t="b">
        <v>0</v>
      </c>
      <c r="Y52" s="158" t="b">
        <v>0</v>
      </c>
      <c r="Z52" s="158" t="b">
        <v>0</v>
      </c>
      <c r="AA52" s="158" t="b">
        <v>0</v>
      </c>
      <c r="AB52" s="158" t="b">
        <v>0</v>
      </c>
      <c r="AC52" s="158" t="b">
        <v>0</v>
      </c>
      <c r="AD52" s="158" t="b">
        <v>0</v>
      </c>
      <c r="AE52" s="158" t="b">
        <v>0</v>
      </c>
      <c r="AF52" s="158" t="b">
        <v>0</v>
      </c>
      <c r="AG52" s="158" t="b">
        <v>0</v>
      </c>
      <c r="AH52" s="158" t="b">
        <v>0</v>
      </c>
      <c r="AI52" s="158" t="b">
        <v>0</v>
      </c>
      <c r="AJ52" s="158" t="b">
        <v>0</v>
      </c>
      <c r="AK52" s="158" t="b">
        <v>0</v>
      </c>
      <c r="AL52" s="158" t="b">
        <v>0</v>
      </c>
      <c r="AM52" s="158" t="b">
        <v>0</v>
      </c>
      <c r="AN52" s="158" t="b">
        <v>0</v>
      </c>
      <c r="AO52" s="158" t="b">
        <v>0</v>
      </c>
      <c r="AP52" s="158" t="b">
        <v>0</v>
      </c>
      <c r="AQ52" s="158" t="b">
        <v>0</v>
      </c>
      <c r="AR52" s="158" t="b">
        <v>0</v>
      </c>
      <c r="AS52" s="158" t="b">
        <v>0</v>
      </c>
      <c r="AT52" s="158" t="b">
        <v>0</v>
      </c>
      <c r="AU52" s="158" t="b">
        <v>0</v>
      </c>
      <c r="AV52" s="158" t="b">
        <v>0</v>
      </c>
      <c r="AW52" s="158" t="b">
        <v>0</v>
      </c>
      <c r="AX52" s="158" t="b">
        <v>0</v>
      </c>
      <c r="AY52" s="158" t="b">
        <v>0</v>
      </c>
      <c r="AZ52" s="158" t="b">
        <v>0</v>
      </c>
      <c r="BA52" s="158" t="b">
        <v>0</v>
      </c>
      <c r="BB52" s="158" t="b">
        <v>0</v>
      </c>
      <c r="BC52" s="158" t="b">
        <v>0</v>
      </c>
      <c r="BD52" s="158" t="b">
        <v>0</v>
      </c>
      <c r="BE52" s="158" t="b">
        <v>0</v>
      </c>
      <c r="BF52" s="158" t="b">
        <v>0</v>
      </c>
      <c r="BG52" s="158" t="b">
        <v>0</v>
      </c>
      <c r="BH52" s="158" t="b">
        <v>0</v>
      </c>
      <c r="BI52" s="158" t="b">
        <v>0</v>
      </c>
      <c r="BJ52" s="158" t="b">
        <v>0</v>
      </c>
      <c r="BK52" s="158" t="b">
        <v>0</v>
      </c>
      <c r="BL52" s="158" t="b">
        <v>0</v>
      </c>
      <c r="BM52" s="158" t="b">
        <v>0</v>
      </c>
      <c r="BN52" s="158" t="b">
        <v>0</v>
      </c>
      <c r="BO52" s="158" t="b">
        <v>0</v>
      </c>
      <c r="BP52" s="158" t="b">
        <v>0</v>
      </c>
      <c r="BQ52" s="158" t="b">
        <v>0</v>
      </c>
      <c r="BR52" s="158" t="b">
        <v>0</v>
      </c>
      <c r="BS52" s="158" t="b">
        <v>0</v>
      </c>
      <c r="BT52" s="158" t="b">
        <v>0</v>
      </c>
      <c r="BU52" s="158" t="b">
        <v>0</v>
      </c>
      <c r="BV52" s="158" t="b">
        <v>0</v>
      </c>
      <c r="BW52" s="158" t="b">
        <v>0</v>
      </c>
      <c r="BX52" s="158" t="b">
        <v>0</v>
      </c>
      <c r="BY52" s="158" t="b">
        <v>0</v>
      </c>
      <c r="BZ52" s="158" t="b">
        <v>0</v>
      </c>
      <c r="CA52" s="158" t="b">
        <v>0</v>
      </c>
      <c r="CB52" s="158" t="b">
        <v>0</v>
      </c>
      <c r="CC52" s="158" t="b">
        <v>0</v>
      </c>
      <c r="CD52" s="158" t="b">
        <v>0</v>
      </c>
      <c r="CE52" s="158" t="b">
        <v>0</v>
      </c>
      <c r="CF52" s="158" t="b">
        <v>0</v>
      </c>
      <c r="CG52" s="158" t="b">
        <v>0</v>
      </c>
      <c r="CH52" s="158" t="b">
        <v>0</v>
      </c>
      <c r="CI52" s="158" t="b">
        <v>0</v>
      </c>
      <c r="CJ52" s="158" t="b">
        <v>0</v>
      </c>
      <c r="CK52" s="158" t="b">
        <v>0</v>
      </c>
      <c r="CL52" s="158" t="b">
        <v>0</v>
      </c>
      <c r="CM52" s="158" t="b">
        <v>0</v>
      </c>
      <c r="CN52" s="158" t="b">
        <v>0</v>
      </c>
      <c r="CO52" s="158" t="b">
        <v>0</v>
      </c>
      <c r="CP52" s="158" t="b">
        <v>0</v>
      </c>
      <c r="CQ52" s="158" t="b">
        <v>0</v>
      </c>
      <c r="CR52" s="158" t="b">
        <v>0</v>
      </c>
      <c r="CS52" s="158" t="b">
        <v>0</v>
      </c>
      <c r="CT52" s="158" t="b">
        <v>0</v>
      </c>
      <c r="CU52" s="158" t="b">
        <v>0</v>
      </c>
      <c r="CV52" s="158" t="b">
        <v>0</v>
      </c>
      <c r="CW52" s="158" t="b">
        <v>0</v>
      </c>
      <c r="CX52" s="158" t="b">
        <v>0</v>
      </c>
      <c r="CY52" s="158" t="b">
        <v>0</v>
      </c>
      <c r="CZ52" s="158" t="b">
        <v>0</v>
      </c>
      <c r="DA52" s="158" t="b">
        <v>0</v>
      </c>
      <c r="DB52" s="158" t="b">
        <v>0</v>
      </c>
      <c r="DC52" s="158" t="b">
        <v>0</v>
      </c>
      <c r="DD52" s="158" t="b">
        <v>0</v>
      </c>
      <c r="DE52" s="158" t="b">
        <v>0</v>
      </c>
      <c r="DF52" s="158" t="b">
        <v>0</v>
      </c>
      <c r="DG52" s="158" t="b">
        <v>0</v>
      </c>
      <c r="DH52" s="158" t="b">
        <v>0</v>
      </c>
      <c r="DI52" s="158" t="b">
        <v>0</v>
      </c>
      <c r="DJ52" s="158" t="b">
        <v>0</v>
      </c>
      <c r="DK52" s="158" t="b">
        <v>0</v>
      </c>
      <c r="DL52" s="158" t="b">
        <v>0</v>
      </c>
      <c r="DM52" s="158" t="b">
        <v>0</v>
      </c>
      <c r="DN52" s="158" t="b">
        <v>0</v>
      </c>
      <c r="DO52" s="158" t="b">
        <v>0</v>
      </c>
      <c r="DP52" s="158" t="b">
        <v>0</v>
      </c>
      <c r="DQ52" s="158" t="b">
        <v>0</v>
      </c>
      <c r="DR52" s="158" t="b">
        <v>0</v>
      </c>
      <c r="DS52" s="158" t="b">
        <v>0</v>
      </c>
      <c r="DT52" s="158" t="b">
        <v>0</v>
      </c>
      <c r="DU52" s="158" t="b">
        <v>0</v>
      </c>
      <c r="DV52" s="158" t="b">
        <v>0</v>
      </c>
      <c r="DW52" s="158" t="b">
        <v>0</v>
      </c>
      <c r="DX52" s="158" t="b">
        <v>0</v>
      </c>
      <c r="DY52" s="158" t="b">
        <v>0</v>
      </c>
      <c r="DZ52" s="158" t="b">
        <v>0</v>
      </c>
      <c r="EA52" s="158" t="b">
        <v>0</v>
      </c>
      <c r="EB52" s="158" t="b">
        <v>0</v>
      </c>
      <c r="EC52" s="158" t="b">
        <v>0</v>
      </c>
      <c r="ED52" s="158" t="b">
        <v>0</v>
      </c>
      <c r="EE52" s="158" t="b">
        <v>0</v>
      </c>
      <c r="EF52" s="158" t="b">
        <v>0</v>
      </c>
      <c r="EG52" s="158" t="b">
        <v>0</v>
      </c>
      <c r="EH52" s="158" t="b">
        <v>0</v>
      </c>
      <c r="EI52" s="158" t="b">
        <v>0</v>
      </c>
      <c r="EJ52" s="158" t="b">
        <v>0</v>
      </c>
      <c r="EK52" s="158" t="b">
        <v>0</v>
      </c>
      <c r="EL52" s="158" t="b">
        <v>0</v>
      </c>
      <c r="EM52" s="158" t="b">
        <v>0</v>
      </c>
      <c r="EN52" s="158" t="b">
        <v>0</v>
      </c>
      <c r="EO52" s="158" t="b">
        <v>0</v>
      </c>
      <c r="EP52" s="158" t="b">
        <v>0</v>
      </c>
      <c r="EQ52" s="158" t="b">
        <v>0</v>
      </c>
      <c r="ER52" s="158" t="b">
        <v>0</v>
      </c>
      <c r="ES52" s="158" t="b">
        <v>0</v>
      </c>
      <c r="ET52" s="158" t="b">
        <v>0</v>
      </c>
      <c r="EU52" s="158" t="b">
        <v>0</v>
      </c>
      <c r="EV52" s="158" t="b">
        <v>0</v>
      </c>
      <c r="EW52" s="158" t="b">
        <v>0</v>
      </c>
      <c r="EX52" s="158" t="b">
        <v>0</v>
      </c>
      <c r="EY52" s="158" t="b">
        <v>0</v>
      </c>
      <c r="EZ52" s="158" t="b">
        <v>0</v>
      </c>
      <c r="FA52" s="158" t="b">
        <v>0</v>
      </c>
      <c r="FB52" s="158" t="b">
        <v>0</v>
      </c>
      <c r="FC52" s="158" t="b">
        <v>0</v>
      </c>
      <c r="FD52" s="158" t="b">
        <v>0</v>
      </c>
      <c r="FE52" s="158" t="b">
        <v>0</v>
      </c>
      <c r="FF52" s="158" t="b">
        <v>0</v>
      </c>
      <c r="FG52" s="158" t="b">
        <v>0</v>
      </c>
      <c r="FH52" s="158" t="b">
        <v>0</v>
      </c>
      <c r="FI52" s="158" t="b">
        <v>0</v>
      </c>
      <c r="FJ52" s="158" t="b">
        <v>0</v>
      </c>
      <c r="FK52" s="158" t="b">
        <v>0</v>
      </c>
      <c r="FL52" s="158" t="b">
        <v>0</v>
      </c>
      <c r="FM52" s="158" t="b">
        <v>0</v>
      </c>
      <c r="FN52" s="158" t="b">
        <v>0</v>
      </c>
      <c r="FO52" s="158" t="b">
        <v>0</v>
      </c>
      <c r="FP52" s="158" t="b">
        <v>0</v>
      </c>
      <c r="FQ52" s="158" t="b">
        <v>0</v>
      </c>
      <c r="FR52" s="158" t="b">
        <v>0</v>
      </c>
      <c r="FS52" s="158" t="b">
        <v>0</v>
      </c>
      <c r="FT52" s="158" t="b">
        <v>0</v>
      </c>
      <c r="FU52" s="158" t="b">
        <v>0</v>
      </c>
      <c r="FV52" s="158" t="b">
        <v>0</v>
      </c>
      <c r="FW52" s="158" t="b">
        <v>0</v>
      </c>
      <c r="FX52" s="158" t="b">
        <v>0</v>
      </c>
      <c r="FY52" s="158" t="b">
        <v>0</v>
      </c>
      <c r="FZ52" s="158" t="b">
        <v>0</v>
      </c>
      <c r="GA52" s="158" t="b">
        <v>0</v>
      </c>
      <c r="GB52" s="158" t="b">
        <v>0</v>
      </c>
      <c r="GC52" s="158" t="b">
        <v>0</v>
      </c>
      <c r="GD52" s="158" t="b">
        <v>0</v>
      </c>
      <c r="GE52" s="158" t="b">
        <v>0</v>
      </c>
      <c r="GF52" s="158" t="b">
        <v>0</v>
      </c>
      <c r="GG52" s="158" t="b">
        <v>0</v>
      </c>
      <c r="GH52" s="158" t="b">
        <v>0</v>
      </c>
      <c r="GI52" s="158" t="b">
        <v>0</v>
      </c>
      <c r="GJ52" s="158" t="b">
        <v>0</v>
      </c>
      <c r="GK52" s="158" t="b">
        <v>0</v>
      </c>
      <c r="GL52" s="158" t="b">
        <v>0</v>
      </c>
      <c r="GM52" s="158" t="b">
        <v>0</v>
      </c>
      <c r="GN52" s="158" t="b">
        <v>0</v>
      </c>
      <c r="GO52" s="158" t="b">
        <v>0</v>
      </c>
      <c r="GP52" s="158" t="b">
        <v>0</v>
      </c>
      <c r="GQ52" s="158" t="b">
        <v>0</v>
      </c>
      <c r="GR52" s="158" t="b">
        <v>0</v>
      </c>
      <c r="GS52" s="158" t="b">
        <v>0</v>
      </c>
      <c r="GT52" s="158" t="b">
        <v>0</v>
      </c>
      <c r="GU52" s="158" t="b">
        <v>0</v>
      </c>
      <c r="GV52" s="158" t="b">
        <v>0</v>
      </c>
      <c r="GW52" s="158" t="b">
        <v>0</v>
      </c>
      <c r="GX52" s="158" t="b">
        <v>0</v>
      </c>
      <c r="GY52" s="158" t="b">
        <v>0</v>
      </c>
      <c r="GZ52" s="158" t="b">
        <v>0</v>
      </c>
      <c r="HA52" s="158" t="b">
        <v>0</v>
      </c>
      <c r="HB52" s="158" t="b">
        <v>0</v>
      </c>
      <c r="HC52" s="158" t="b">
        <v>0</v>
      </c>
      <c r="HD52" s="158" t="b">
        <v>0</v>
      </c>
      <c r="HE52" s="158" t="b">
        <v>0</v>
      </c>
      <c r="HF52" s="158" t="b">
        <v>0</v>
      </c>
      <c r="HG52" s="158" t="b">
        <v>0</v>
      </c>
      <c r="HH52" s="158" t="b">
        <v>0</v>
      </c>
      <c r="HI52" s="158" t="b">
        <v>0</v>
      </c>
      <c r="HJ52" s="158" t="b">
        <v>0</v>
      </c>
      <c r="HK52" s="158" t="b">
        <v>0</v>
      </c>
      <c r="HL52" s="158" t="b">
        <v>0</v>
      </c>
      <c r="HM52" s="158" t="b">
        <v>0</v>
      </c>
      <c r="HN52" s="158" t="b">
        <v>0</v>
      </c>
      <c r="HO52" s="158" t="b">
        <v>0</v>
      </c>
      <c r="HP52" s="158" t="b">
        <v>0</v>
      </c>
      <c r="HQ52" s="158" t="b">
        <v>0</v>
      </c>
      <c r="HR52" s="158" t="b">
        <v>0</v>
      </c>
      <c r="HS52" s="158" t="b">
        <v>0</v>
      </c>
      <c r="HT52" s="158" t="b">
        <v>0</v>
      </c>
      <c r="HU52" s="158" t="b">
        <v>0</v>
      </c>
      <c r="HV52" s="158" t="b">
        <v>0</v>
      </c>
      <c r="HW52" s="158" t="b">
        <v>0</v>
      </c>
      <c r="HX52" s="158" t="b">
        <v>0</v>
      </c>
      <c r="HY52" s="158" t="b">
        <v>0</v>
      </c>
      <c r="HZ52" s="158" t="b">
        <v>0</v>
      </c>
      <c r="IA52" s="158" t="b">
        <v>0</v>
      </c>
      <c r="IB52" s="158" t="b">
        <v>0</v>
      </c>
      <c r="IC52" s="158" t="b">
        <v>0</v>
      </c>
      <c r="ID52" s="158" t="b">
        <v>0</v>
      </c>
      <c r="IE52" s="158" t="b">
        <v>0</v>
      </c>
      <c r="IF52" s="158" t="b">
        <v>0</v>
      </c>
      <c r="IG52" s="158" t="b">
        <v>0</v>
      </c>
      <c r="IH52" s="158" t="b">
        <v>0</v>
      </c>
      <c r="II52" s="158" t="b">
        <v>0</v>
      </c>
      <c r="IJ52" s="158" t="b">
        <v>0</v>
      </c>
      <c r="IK52" s="158" t="b">
        <v>0</v>
      </c>
      <c r="IL52" s="158" t="b">
        <v>0</v>
      </c>
      <c r="IM52" s="158" t="b">
        <v>0</v>
      </c>
      <c r="IN52" s="158" t="b">
        <v>0</v>
      </c>
      <c r="IO52" s="158" t="b">
        <v>0</v>
      </c>
      <c r="IP52" s="158" t="b">
        <v>0</v>
      </c>
      <c r="IQ52" s="158" t="b">
        <v>0</v>
      </c>
      <c r="IR52" s="158" t="b">
        <v>0</v>
      </c>
      <c r="IS52" s="158" t="b">
        <v>0</v>
      </c>
      <c r="IT52" s="158" t="b">
        <v>0</v>
      </c>
      <c r="IU52" s="158" t="b">
        <v>0</v>
      </c>
      <c r="IV52" s="158" t="b">
        <v>0</v>
      </c>
      <c r="IW52" s="158" t="b">
        <v>0</v>
      </c>
      <c r="IX52" s="158" t="b">
        <v>0</v>
      </c>
      <c r="IY52" s="158" t="b">
        <v>0</v>
      </c>
      <c r="IZ52" s="158" t="b">
        <v>0</v>
      </c>
      <c r="JA52" s="158" t="b">
        <v>0</v>
      </c>
      <c r="JB52" s="158" t="b">
        <v>0</v>
      </c>
      <c r="JC52" s="158" t="b">
        <v>0</v>
      </c>
      <c r="JD52" s="158" t="b">
        <v>0</v>
      </c>
      <c r="JE52" s="158" t="b">
        <v>0</v>
      </c>
      <c r="JF52" s="158" t="b">
        <v>0</v>
      </c>
      <c r="JG52" s="158" t="b">
        <v>0</v>
      </c>
      <c r="JH52" s="158" t="b">
        <v>0</v>
      </c>
      <c r="JI52" s="158" t="b">
        <v>0</v>
      </c>
      <c r="JJ52" s="158" t="b">
        <v>0</v>
      </c>
      <c r="JK52" s="158" t="b">
        <v>0</v>
      </c>
      <c r="JL52" s="158" t="b">
        <v>0</v>
      </c>
      <c r="JM52" s="158" t="b">
        <v>0</v>
      </c>
      <c r="JN52" s="158" t="b">
        <v>0</v>
      </c>
      <c r="JO52" s="158" t="b">
        <v>0</v>
      </c>
      <c r="JP52" s="158" t="b">
        <v>0</v>
      </c>
      <c r="JQ52" s="158" t="b">
        <v>0</v>
      </c>
      <c r="JR52" s="158" t="b">
        <v>0</v>
      </c>
      <c r="JS52" s="158" t="b">
        <v>0</v>
      </c>
      <c r="JT52" s="158" t="b">
        <v>0</v>
      </c>
      <c r="JU52" s="158" t="b">
        <v>0</v>
      </c>
      <c r="JV52" s="158" t="b">
        <v>0</v>
      </c>
      <c r="JW52" s="158" t="b">
        <v>0</v>
      </c>
      <c r="JX52" s="158" t="b">
        <v>0</v>
      </c>
      <c r="JY52" s="158" t="b">
        <v>0</v>
      </c>
      <c r="JZ52" s="158" t="b">
        <v>0</v>
      </c>
      <c r="KA52" s="158" t="b">
        <v>0</v>
      </c>
      <c r="KB52" s="158" t="b">
        <v>0</v>
      </c>
      <c r="KC52" s="158" t="b">
        <v>0</v>
      </c>
      <c r="KD52" s="158" t="b">
        <v>0</v>
      </c>
      <c r="KE52" s="158" t="b">
        <v>0</v>
      </c>
      <c r="KF52" s="158" t="b">
        <v>0</v>
      </c>
      <c r="KG52" s="158" t="b">
        <v>0</v>
      </c>
      <c r="KH52" s="158" t="b">
        <v>0</v>
      </c>
      <c r="KI52" s="158" t="b">
        <v>0</v>
      </c>
      <c r="KJ52" s="158" t="b">
        <v>0</v>
      </c>
      <c r="KK52" s="158" t="b">
        <v>0</v>
      </c>
      <c r="KL52" s="158" t="b">
        <v>0</v>
      </c>
      <c r="KM52" s="158" t="b">
        <v>0</v>
      </c>
      <c r="KN52" s="158" t="b">
        <v>0</v>
      </c>
      <c r="KO52" s="158" t="b">
        <v>0</v>
      </c>
      <c r="KP52" s="158" t="b">
        <v>0</v>
      </c>
      <c r="KQ52" s="158" t="b">
        <v>0</v>
      </c>
      <c r="KR52" s="158" t="b">
        <v>0</v>
      </c>
      <c r="KS52" s="158" t="b">
        <v>0</v>
      </c>
      <c r="KT52" s="158" t="b">
        <v>0</v>
      </c>
      <c r="KU52" s="158" t="b">
        <v>0</v>
      </c>
      <c r="KV52" s="158" t="b">
        <v>0</v>
      </c>
      <c r="KW52" s="158" t="b">
        <v>0</v>
      </c>
      <c r="KX52" s="158" t="b">
        <v>0</v>
      </c>
      <c r="KY52" s="158" t="b">
        <v>0</v>
      </c>
      <c r="KZ52" s="158" t="b">
        <v>0</v>
      </c>
      <c r="LA52" s="158" t="b">
        <v>0</v>
      </c>
      <c r="LB52" s="158" t="b">
        <v>0</v>
      </c>
      <c r="LC52" s="158" t="b">
        <v>0</v>
      </c>
      <c r="LD52" s="158" t="b">
        <v>0</v>
      </c>
      <c r="LE52" s="158" t="b">
        <v>0</v>
      </c>
      <c r="LF52" s="158" t="b">
        <v>0</v>
      </c>
      <c r="LG52" s="158" t="b">
        <v>0</v>
      </c>
      <c r="LH52" s="158" t="b">
        <v>0</v>
      </c>
      <c r="LI52" s="158" t="b">
        <v>0</v>
      </c>
      <c r="LJ52" s="158" t="b">
        <v>0</v>
      </c>
      <c r="LK52" s="158" t="b">
        <v>0</v>
      </c>
      <c r="LL52" s="158" t="b">
        <v>0</v>
      </c>
      <c r="LM52" s="158" t="b">
        <v>0</v>
      </c>
      <c r="LN52" s="158" t="b">
        <v>0</v>
      </c>
      <c r="LO52" s="158" t="b">
        <v>0</v>
      </c>
      <c r="LP52" s="158" t="b">
        <v>0</v>
      </c>
      <c r="LQ52" s="158" t="b">
        <v>0</v>
      </c>
      <c r="LR52" s="158" t="b">
        <v>0</v>
      </c>
      <c r="LS52" s="158" t="b">
        <v>0</v>
      </c>
      <c r="LT52" s="158" t="b">
        <v>0</v>
      </c>
      <c r="LU52" s="158" t="b">
        <v>0</v>
      </c>
      <c r="LV52" s="158" t="b">
        <v>0</v>
      </c>
      <c r="LW52" s="158" t="b">
        <v>0</v>
      </c>
      <c r="LX52" s="158" t="b">
        <v>0</v>
      </c>
      <c r="LY52" s="158" t="b">
        <v>0</v>
      </c>
      <c r="LZ52" s="158" t="b">
        <v>0</v>
      </c>
      <c r="MA52" s="158" t="b">
        <v>0</v>
      </c>
      <c r="MB52" s="158" t="b">
        <v>0</v>
      </c>
      <c r="MC52" s="158" t="b">
        <v>0</v>
      </c>
      <c r="MD52" s="158" t="b">
        <v>0</v>
      </c>
      <c r="ME52" s="158" t="b">
        <v>0</v>
      </c>
      <c r="MF52" s="158" t="b">
        <v>0</v>
      </c>
      <c r="MG52" s="158" t="b">
        <v>0</v>
      </c>
      <c r="MH52" s="158" t="b">
        <v>0</v>
      </c>
      <c r="MI52" s="158" t="b">
        <v>0</v>
      </c>
      <c r="MJ52" s="158" t="b">
        <v>0</v>
      </c>
      <c r="MK52" s="158" t="b">
        <v>0</v>
      </c>
      <c r="ML52" s="158" t="b">
        <v>0</v>
      </c>
      <c r="MM52" s="158" t="b">
        <v>0</v>
      </c>
      <c r="MN52" s="158" t="b">
        <v>0</v>
      </c>
      <c r="MO52" s="158" t="b">
        <v>0</v>
      </c>
      <c r="MP52" s="158" t="b">
        <v>0</v>
      </c>
      <c r="MQ52" s="158" t="b">
        <v>0</v>
      </c>
      <c r="MR52" s="158" t="b">
        <v>0</v>
      </c>
      <c r="MS52" s="158" t="b">
        <v>0</v>
      </c>
      <c r="MT52" s="158" t="b">
        <v>0</v>
      </c>
      <c r="MU52" s="158" t="b">
        <v>0</v>
      </c>
      <c r="MV52" s="158" t="b">
        <v>0</v>
      </c>
      <c r="MW52" s="158" t="b">
        <v>0</v>
      </c>
      <c r="MX52" s="158" t="b">
        <v>0</v>
      </c>
      <c r="MY52" s="158" t="b">
        <v>0</v>
      </c>
      <c r="MZ52" s="158" t="b">
        <v>0</v>
      </c>
      <c r="NA52" s="158" t="b">
        <v>0</v>
      </c>
      <c r="NB52" s="158" t="b">
        <v>0</v>
      </c>
      <c r="NC52" s="158" t="b">
        <v>0</v>
      </c>
      <c r="ND52" s="158" t="b">
        <v>0</v>
      </c>
      <c r="NE52" s="158" t="b">
        <v>0</v>
      </c>
      <c r="NF52" s="158" t="b">
        <v>0</v>
      </c>
      <c r="NG52" s="158" t="b">
        <v>0</v>
      </c>
      <c r="NH52" s="158" t="b">
        <v>0</v>
      </c>
      <c r="NI52" s="158" t="b">
        <v>0</v>
      </c>
      <c r="NJ52" s="158" t="b">
        <v>0</v>
      </c>
      <c r="NK52" s="158" t="b">
        <v>0</v>
      </c>
      <c r="NL52" s="158" t="b">
        <v>0</v>
      </c>
      <c r="NM52" s="158" t="b">
        <v>0</v>
      </c>
      <c r="NN52" s="158" t="b">
        <v>0</v>
      </c>
      <c r="NO52" s="158" t="b">
        <v>0</v>
      </c>
    </row>
    <row r="53" spans="1:379" ht="29.25" x14ac:dyDescent="0.4">
      <c r="A53" s="511" t="str">
        <v>03-D</v>
      </c>
      <c r="B53" s="158" t="b">
        <v>0</v>
      </c>
      <c r="C53" s="158" t="b">
        <v>0</v>
      </c>
      <c r="D53" s="158" t="b">
        <v>0</v>
      </c>
      <c r="E53" s="158" t="b">
        <v>0</v>
      </c>
      <c r="F53" s="158" t="b">
        <v>0</v>
      </c>
      <c r="G53" s="158" t="b">
        <v>0</v>
      </c>
      <c r="H53" s="158" t="b">
        <v>0</v>
      </c>
      <c r="I53" s="158" t="b">
        <v>0</v>
      </c>
      <c r="J53" s="158" t="b">
        <v>0</v>
      </c>
      <c r="K53" s="158" t="b">
        <v>0</v>
      </c>
      <c r="L53" s="158" t="b">
        <v>0</v>
      </c>
      <c r="M53" s="158" t="b">
        <v>0</v>
      </c>
      <c r="N53" s="158" t="b">
        <v>0</v>
      </c>
      <c r="O53" s="158" t="b">
        <v>0</v>
      </c>
      <c r="P53" s="158" t="b">
        <v>0</v>
      </c>
      <c r="Q53" s="158" t="b">
        <v>0</v>
      </c>
      <c r="R53" s="158" t="b">
        <v>0</v>
      </c>
      <c r="S53" s="158" t="b">
        <v>0</v>
      </c>
      <c r="T53" s="158" t="b">
        <v>0</v>
      </c>
      <c r="U53" s="158" t="b">
        <v>0</v>
      </c>
      <c r="V53" s="158" t="b">
        <v>0</v>
      </c>
      <c r="W53" s="158" t="b">
        <v>0</v>
      </c>
      <c r="X53" s="158" t="b">
        <v>0</v>
      </c>
      <c r="Y53" s="158" t="b">
        <v>0</v>
      </c>
      <c r="Z53" s="158" t="b">
        <v>0</v>
      </c>
      <c r="AA53" s="158" t="b">
        <v>0</v>
      </c>
      <c r="AB53" s="158" t="b">
        <v>0</v>
      </c>
      <c r="AC53" s="158" t="b">
        <v>0</v>
      </c>
      <c r="AD53" s="158" t="b">
        <v>0</v>
      </c>
      <c r="AE53" s="158" t="b">
        <v>0</v>
      </c>
      <c r="AF53" s="158" t="b">
        <v>0</v>
      </c>
      <c r="AG53" s="158" t="b">
        <v>0</v>
      </c>
      <c r="AH53" s="158" t="b">
        <v>0</v>
      </c>
      <c r="AI53" s="158" t="b">
        <v>0</v>
      </c>
      <c r="AJ53" s="158" t="b">
        <v>0</v>
      </c>
      <c r="AK53" s="158" t="b">
        <v>0</v>
      </c>
      <c r="AL53" s="158" t="b">
        <v>0</v>
      </c>
      <c r="AM53" s="158" t="b">
        <v>0</v>
      </c>
      <c r="AN53" s="158" t="b">
        <v>0</v>
      </c>
      <c r="AO53" s="158" t="b">
        <v>0</v>
      </c>
      <c r="AP53" s="158" t="b">
        <v>0</v>
      </c>
      <c r="AQ53" s="158" t="b">
        <v>0</v>
      </c>
      <c r="AR53" s="158" t="b">
        <v>0</v>
      </c>
      <c r="AS53" s="158" t="b">
        <v>0</v>
      </c>
      <c r="AT53" s="158" t="b">
        <v>0</v>
      </c>
      <c r="AU53" s="158" t="b">
        <v>0</v>
      </c>
      <c r="AV53" s="158" t="b">
        <v>0</v>
      </c>
      <c r="AW53" s="158" t="b">
        <v>0</v>
      </c>
      <c r="AX53" s="158" t="b">
        <v>0</v>
      </c>
      <c r="AY53" s="158" t="b">
        <v>0</v>
      </c>
      <c r="AZ53" s="158" t="b">
        <v>0</v>
      </c>
      <c r="BA53" s="158" t="b">
        <v>0</v>
      </c>
      <c r="BB53" s="158" t="b">
        <v>0</v>
      </c>
      <c r="BC53" s="158" t="b">
        <v>0</v>
      </c>
      <c r="BD53" s="158" t="b">
        <v>0</v>
      </c>
      <c r="BE53" s="158" t="b">
        <v>0</v>
      </c>
      <c r="BF53" s="158" t="b">
        <v>0</v>
      </c>
      <c r="BG53" s="158" t="b">
        <v>0</v>
      </c>
      <c r="BH53" s="158" t="b">
        <v>0</v>
      </c>
      <c r="BI53" s="158" t="b">
        <v>0</v>
      </c>
      <c r="BJ53" s="158" t="b">
        <v>0</v>
      </c>
      <c r="BK53" s="158" t="b">
        <v>0</v>
      </c>
      <c r="BL53" s="158" t="b">
        <v>0</v>
      </c>
      <c r="BM53" s="158" t="b">
        <v>0</v>
      </c>
      <c r="BN53" s="158" t="b">
        <v>0</v>
      </c>
      <c r="BO53" s="158" t="b">
        <v>0</v>
      </c>
      <c r="BP53" s="158" t="b">
        <v>0</v>
      </c>
      <c r="BQ53" s="158" t="b">
        <v>0</v>
      </c>
      <c r="BR53" s="158" t="b">
        <v>0</v>
      </c>
      <c r="BS53" s="158" t="b">
        <v>0</v>
      </c>
      <c r="BT53" s="158" t="b">
        <v>0</v>
      </c>
      <c r="BU53" s="158" t="b">
        <v>0</v>
      </c>
      <c r="BV53" s="158" t="b">
        <v>0</v>
      </c>
      <c r="BW53" s="158" t="b">
        <v>0</v>
      </c>
      <c r="BX53" s="158" t="b">
        <v>0</v>
      </c>
      <c r="BY53" s="158" t="b">
        <v>0</v>
      </c>
      <c r="BZ53" s="158" t="b">
        <v>0</v>
      </c>
      <c r="CA53" s="158" t="b">
        <v>0</v>
      </c>
      <c r="CB53" s="158" t="b">
        <v>0</v>
      </c>
      <c r="CC53" s="158" t="b">
        <v>0</v>
      </c>
      <c r="CD53" s="158" t="b">
        <v>0</v>
      </c>
      <c r="CE53" s="158" t="b">
        <v>0</v>
      </c>
      <c r="CF53" s="158" t="b">
        <v>0</v>
      </c>
      <c r="CG53" s="158" t="b">
        <v>0</v>
      </c>
      <c r="CH53" s="158" t="b">
        <v>0</v>
      </c>
      <c r="CI53" s="158" t="b">
        <v>0</v>
      </c>
      <c r="CJ53" s="158" t="b">
        <v>0</v>
      </c>
      <c r="CK53" s="158" t="b">
        <v>0</v>
      </c>
      <c r="CL53" s="158" t="b">
        <v>0</v>
      </c>
      <c r="CM53" s="158" t="b">
        <v>0</v>
      </c>
      <c r="CN53" s="158" t="b">
        <v>0</v>
      </c>
      <c r="CO53" s="158" t="b">
        <v>0</v>
      </c>
      <c r="CP53" s="158" t="b">
        <v>0</v>
      </c>
      <c r="CQ53" s="158" t="b">
        <v>0</v>
      </c>
      <c r="CR53" s="158" t="b">
        <v>0</v>
      </c>
      <c r="CS53" s="158" t="b">
        <v>0</v>
      </c>
      <c r="CT53" s="158" t="b">
        <v>0</v>
      </c>
      <c r="CU53" s="158" t="b">
        <v>0</v>
      </c>
      <c r="CV53" s="158" t="b">
        <v>0</v>
      </c>
      <c r="CW53" s="158" t="b">
        <v>0</v>
      </c>
      <c r="CX53" s="158" t="b">
        <v>0</v>
      </c>
      <c r="CY53" s="158" t="b">
        <v>0</v>
      </c>
      <c r="CZ53" s="158" t="b">
        <v>0</v>
      </c>
      <c r="DA53" s="158" t="b">
        <v>0</v>
      </c>
      <c r="DB53" s="158" t="b">
        <v>0</v>
      </c>
      <c r="DC53" s="158" t="b">
        <v>0</v>
      </c>
      <c r="DD53" s="158" t="b">
        <v>0</v>
      </c>
      <c r="DE53" s="158" t="b">
        <v>0</v>
      </c>
      <c r="DF53" s="158" t="b">
        <v>0</v>
      </c>
      <c r="DG53" s="158" t="b">
        <v>0</v>
      </c>
      <c r="DH53" s="158" t="b">
        <v>0</v>
      </c>
      <c r="DI53" s="158" t="b">
        <v>0</v>
      </c>
      <c r="DJ53" s="158" t="b">
        <v>0</v>
      </c>
      <c r="DK53" s="158" t="b">
        <v>0</v>
      </c>
      <c r="DL53" s="158" t="b">
        <v>0</v>
      </c>
      <c r="DM53" s="158" t="b">
        <v>0</v>
      </c>
      <c r="DN53" s="158" t="b">
        <v>0</v>
      </c>
      <c r="DO53" s="158" t="b">
        <v>0</v>
      </c>
      <c r="DP53" s="158" t="b">
        <v>0</v>
      </c>
      <c r="DQ53" s="158" t="b">
        <v>0</v>
      </c>
      <c r="DR53" s="158" t="b">
        <v>0</v>
      </c>
      <c r="DS53" s="158" t="b">
        <v>0</v>
      </c>
      <c r="DT53" s="158" t="b">
        <v>0</v>
      </c>
      <c r="DU53" s="158" t="b">
        <v>0</v>
      </c>
      <c r="DV53" s="158" t="b">
        <v>0</v>
      </c>
      <c r="DW53" s="158" t="b">
        <v>0</v>
      </c>
      <c r="DX53" s="158" t="b">
        <v>0</v>
      </c>
      <c r="DY53" s="158" t="b">
        <v>0</v>
      </c>
      <c r="DZ53" s="158" t="b">
        <v>0</v>
      </c>
      <c r="EA53" s="158" t="b">
        <v>0</v>
      </c>
      <c r="EB53" s="158" t="b">
        <v>0</v>
      </c>
      <c r="EC53" s="158" t="b">
        <v>0</v>
      </c>
      <c r="ED53" s="158" t="b">
        <v>0</v>
      </c>
      <c r="EE53" s="158" t="b">
        <v>0</v>
      </c>
      <c r="EF53" s="158" t="b">
        <v>0</v>
      </c>
      <c r="EG53" s="158" t="b">
        <v>0</v>
      </c>
      <c r="EH53" s="158" t="b">
        <v>0</v>
      </c>
      <c r="EI53" s="158" t="b">
        <v>0</v>
      </c>
      <c r="EJ53" s="158" t="b">
        <v>0</v>
      </c>
      <c r="EK53" s="158" t="b">
        <v>0</v>
      </c>
      <c r="EL53" s="158" t="b">
        <v>0</v>
      </c>
      <c r="EM53" s="158" t="b">
        <v>0</v>
      </c>
      <c r="EN53" s="158" t="b">
        <v>0</v>
      </c>
      <c r="EO53" s="158" t="b">
        <v>0</v>
      </c>
      <c r="EP53" s="158" t="b">
        <v>0</v>
      </c>
      <c r="EQ53" s="158" t="b">
        <v>0</v>
      </c>
      <c r="ER53" s="158" t="b">
        <v>0</v>
      </c>
      <c r="ES53" s="158" t="b">
        <v>0</v>
      </c>
      <c r="ET53" s="158" t="b">
        <v>0</v>
      </c>
      <c r="EU53" s="158" t="b">
        <v>0</v>
      </c>
      <c r="EV53" s="158" t="b">
        <v>0</v>
      </c>
      <c r="EW53" s="158" t="b">
        <v>0</v>
      </c>
      <c r="EX53" s="158" t="b">
        <v>0</v>
      </c>
      <c r="EY53" s="158" t="b">
        <v>0</v>
      </c>
      <c r="EZ53" s="158" t="b">
        <v>0</v>
      </c>
      <c r="FA53" s="158" t="b">
        <v>0</v>
      </c>
      <c r="FB53" s="158" t="b">
        <v>0</v>
      </c>
      <c r="FC53" s="158" t="b">
        <v>0</v>
      </c>
      <c r="FD53" s="158" t="b">
        <v>0</v>
      </c>
      <c r="FE53" s="158" t="b">
        <v>0</v>
      </c>
      <c r="FF53" s="158" t="b">
        <v>0</v>
      </c>
      <c r="FG53" s="158" t="b">
        <v>0</v>
      </c>
      <c r="FH53" s="158" t="b">
        <v>0</v>
      </c>
      <c r="FI53" s="158" t="b">
        <v>0</v>
      </c>
      <c r="FJ53" s="158" t="b">
        <v>0</v>
      </c>
      <c r="FK53" s="158" t="b">
        <v>0</v>
      </c>
      <c r="FL53" s="158" t="b">
        <v>0</v>
      </c>
      <c r="FM53" s="158" t="b">
        <v>0</v>
      </c>
      <c r="FN53" s="158" t="b">
        <v>0</v>
      </c>
      <c r="FO53" s="158" t="b">
        <v>0</v>
      </c>
      <c r="FP53" s="158" t="b">
        <v>0</v>
      </c>
      <c r="FQ53" s="158" t="b">
        <v>0</v>
      </c>
      <c r="FR53" s="158" t="b">
        <v>0</v>
      </c>
      <c r="FS53" s="158" t="b">
        <v>0</v>
      </c>
      <c r="FT53" s="158" t="b">
        <v>0</v>
      </c>
      <c r="FU53" s="158" t="b">
        <v>0</v>
      </c>
      <c r="FV53" s="158" t="b">
        <v>0</v>
      </c>
      <c r="FW53" s="158" t="b">
        <v>0</v>
      </c>
      <c r="FX53" s="158" t="b">
        <v>0</v>
      </c>
      <c r="FY53" s="158" t="b">
        <v>0</v>
      </c>
      <c r="FZ53" s="158" t="b">
        <v>0</v>
      </c>
      <c r="GA53" s="158" t="b">
        <v>0</v>
      </c>
      <c r="GB53" s="158" t="b">
        <v>0</v>
      </c>
      <c r="GC53" s="158" t="b">
        <v>0</v>
      </c>
      <c r="GD53" s="158" t="b">
        <v>0</v>
      </c>
      <c r="GE53" s="158" t="b">
        <v>0</v>
      </c>
      <c r="GF53" s="158" t="b">
        <v>0</v>
      </c>
      <c r="GG53" s="158" t="b">
        <v>0</v>
      </c>
      <c r="GH53" s="158" t="b">
        <v>0</v>
      </c>
      <c r="GI53" s="158" t="b">
        <v>0</v>
      </c>
      <c r="GJ53" s="158" t="b">
        <v>0</v>
      </c>
      <c r="GK53" s="158" t="b">
        <v>0</v>
      </c>
      <c r="GL53" s="158" t="b">
        <v>0</v>
      </c>
      <c r="GM53" s="158" t="b">
        <v>0</v>
      </c>
      <c r="GN53" s="158" t="b">
        <v>0</v>
      </c>
      <c r="GO53" s="158" t="b">
        <v>0</v>
      </c>
      <c r="GP53" s="158" t="b">
        <v>0</v>
      </c>
      <c r="GQ53" s="158" t="b">
        <v>0</v>
      </c>
      <c r="GR53" s="158" t="b">
        <v>0</v>
      </c>
      <c r="GS53" s="158" t="b">
        <v>0</v>
      </c>
      <c r="GT53" s="158" t="b">
        <v>0</v>
      </c>
      <c r="GU53" s="158" t="b">
        <v>0</v>
      </c>
      <c r="GV53" s="158" t="b">
        <v>0</v>
      </c>
      <c r="GW53" s="158" t="b">
        <v>0</v>
      </c>
      <c r="GX53" s="158" t="b">
        <v>0</v>
      </c>
      <c r="GY53" s="158" t="b">
        <v>0</v>
      </c>
      <c r="GZ53" s="158" t="b">
        <v>0</v>
      </c>
      <c r="HA53" s="158" t="b">
        <v>0</v>
      </c>
      <c r="HB53" s="158" t="b">
        <v>0</v>
      </c>
      <c r="HC53" s="158" t="b">
        <v>0</v>
      </c>
      <c r="HD53" s="158" t="b">
        <v>0</v>
      </c>
      <c r="HE53" s="158" t="b">
        <v>0</v>
      </c>
      <c r="HF53" s="158" t="b">
        <v>0</v>
      </c>
      <c r="HG53" s="158" t="b">
        <v>0</v>
      </c>
      <c r="HH53" s="158" t="b">
        <v>0</v>
      </c>
      <c r="HI53" s="158" t="b">
        <v>0</v>
      </c>
      <c r="HJ53" s="158" t="b">
        <v>0</v>
      </c>
      <c r="HK53" s="158" t="b">
        <v>0</v>
      </c>
      <c r="HL53" s="158" t="b">
        <v>0</v>
      </c>
      <c r="HM53" s="158" t="b">
        <v>0</v>
      </c>
      <c r="HN53" s="158" t="b">
        <v>0</v>
      </c>
      <c r="HO53" s="158" t="b">
        <v>0</v>
      </c>
      <c r="HP53" s="158" t="b">
        <v>0</v>
      </c>
      <c r="HQ53" s="158" t="b">
        <v>0</v>
      </c>
      <c r="HR53" s="158" t="b">
        <v>0</v>
      </c>
      <c r="HS53" s="158" t="b">
        <v>0</v>
      </c>
      <c r="HT53" s="158" t="b">
        <v>0</v>
      </c>
      <c r="HU53" s="158" t="b">
        <v>0</v>
      </c>
      <c r="HV53" s="158" t="b">
        <v>0</v>
      </c>
      <c r="HW53" s="158" t="b">
        <v>0</v>
      </c>
      <c r="HX53" s="158" t="b">
        <v>0</v>
      </c>
      <c r="HY53" s="158" t="b">
        <v>0</v>
      </c>
      <c r="HZ53" s="158" t="b">
        <v>0</v>
      </c>
      <c r="IA53" s="158" t="b">
        <v>0</v>
      </c>
      <c r="IB53" s="158" t="b">
        <v>0</v>
      </c>
      <c r="IC53" s="158" t="b">
        <v>0</v>
      </c>
      <c r="ID53" s="158" t="b">
        <v>0</v>
      </c>
      <c r="IE53" s="158" t="b">
        <v>0</v>
      </c>
      <c r="IF53" s="158" t="b">
        <v>0</v>
      </c>
      <c r="IG53" s="158" t="b">
        <v>0</v>
      </c>
      <c r="IH53" s="158" t="b">
        <v>0</v>
      </c>
      <c r="II53" s="158" t="b">
        <v>0</v>
      </c>
      <c r="IJ53" s="158" t="b">
        <v>0</v>
      </c>
      <c r="IK53" s="158" t="b">
        <v>0</v>
      </c>
      <c r="IL53" s="158" t="b">
        <v>0</v>
      </c>
      <c r="IM53" s="158" t="b">
        <v>0</v>
      </c>
      <c r="IN53" s="158" t="b">
        <v>0</v>
      </c>
      <c r="IO53" s="158" t="b">
        <v>0</v>
      </c>
      <c r="IP53" s="158" t="b">
        <v>0</v>
      </c>
      <c r="IQ53" s="158" t="b">
        <v>0</v>
      </c>
      <c r="IR53" s="158" t="b">
        <v>0</v>
      </c>
      <c r="IS53" s="158" t="b">
        <v>0</v>
      </c>
      <c r="IT53" s="158" t="b">
        <v>0</v>
      </c>
      <c r="IU53" s="158" t="b">
        <v>0</v>
      </c>
      <c r="IV53" s="158" t="b">
        <v>0</v>
      </c>
      <c r="IW53" s="158" t="b">
        <v>0</v>
      </c>
      <c r="IX53" s="158" t="b">
        <v>0</v>
      </c>
      <c r="IY53" s="158" t="b">
        <v>0</v>
      </c>
      <c r="IZ53" s="158" t="b">
        <v>0</v>
      </c>
      <c r="JA53" s="158" t="b">
        <v>0</v>
      </c>
      <c r="JB53" s="158" t="b">
        <v>0</v>
      </c>
      <c r="JC53" s="158" t="b">
        <v>0</v>
      </c>
      <c r="JD53" s="158" t="b">
        <v>0</v>
      </c>
      <c r="JE53" s="158" t="b">
        <v>0</v>
      </c>
      <c r="JF53" s="158" t="b">
        <v>0</v>
      </c>
      <c r="JG53" s="158" t="b">
        <v>0</v>
      </c>
      <c r="JH53" s="158" t="b">
        <v>0</v>
      </c>
      <c r="JI53" s="158" t="b">
        <v>0</v>
      </c>
      <c r="JJ53" s="158" t="b">
        <v>0</v>
      </c>
      <c r="JK53" s="158" t="b">
        <v>0</v>
      </c>
      <c r="JL53" s="158" t="b">
        <v>0</v>
      </c>
      <c r="JM53" s="158" t="b">
        <v>0</v>
      </c>
      <c r="JN53" s="158" t="b">
        <v>0</v>
      </c>
      <c r="JO53" s="158" t="b">
        <v>0</v>
      </c>
      <c r="JP53" s="158" t="b">
        <v>0</v>
      </c>
      <c r="JQ53" s="158" t="b">
        <v>0</v>
      </c>
      <c r="JR53" s="158" t="b">
        <v>0</v>
      </c>
      <c r="JS53" s="158" t="b">
        <v>0</v>
      </c>
      <c r="JT53" s="158" t="b">
        <v>0</v>
      </c>
      <c r="JU53" s="158" t="b">
        <v>0</v>
      </c>
      <c r="JV53" s="158" t="b">
        <v>0</v>
      </c>
      <c r="JW53" s="158" t="b">
        <v>0</v>
      </c>
      <c r="JX53" s="158" t="b">
        <v>0</v>
      </c>
      <c r="JY53" s="158" t="b">
        <v>0</v>
      </c>
      <c r="JZ53" s="158" t="b">
        <v>0</v>
      </c>
      <c r="KA53" s="158" t="b">
        <v>0</v>
      </c>
      <c r="KB53" s="158" t="b">
        <v>0</v>
      </c>
      <c r="KC53" s="158" t="b">
        <v>0</v>
      </c>
      <c r="KD53" s="158" t="b">
        <v>0</v>
      </c>
      <c r="KE53" s="158" t="b">
        <v>0</v>
      </c>
      <c r="KF53" s="158" t="b">
        <v>0</v>
      </c>
      <c r="KG53" s="158" t="b">
        <v>0</v>
      </c>
      <c r="KH53" s="158" t="b">
        <v>0</v>
      </c>
      <c r="KI53" s="158" t="b">
        <v>0</v>
      </c>
      <c r="KJ53" s="158" t="b">
        <v>0</v>
      </c>
      <c r="KK53" s="158" t="b">
        <v>0</v>
      </c>
      <c r="KL53" s="158" t="b">
        <v>0</v>
      </c>
      <c r="KM53" s="158" t="b">
        <v>0</v>
      </c>
      <c r="KN53" s="158" t="b">
        <v>0</v>
      </c>
      <c r="KO53" s="158" t="b">
        <v>0</v>
      </c>
      <c r="KP53" s="158" t="b">
        <v>0</v>
      </c>
      <c r="KQ53" s="158" t="b">
        <v>0</v>
      </c>
      <c r="KR53" s="158" t="b">
        <v>0</v>
      </c>
      <c r="KS53" s="158" t="b">
        <v>0</v>
      </c>
      <c r="KT53" s="158" t="b">
        <v>0</v>
      </c>
      <c r="KU53" s="158" t="b">
        <v>0</v>
      </c>
      <c r="KV53" s="158" t="b">
        <v>0</v>
      </c>
      <c r="KW53" s="158" t="b">
        <v>0</v>
      </c>
      <c r="KX53" s="158" t="b">
        <v>0</v>
      </c>
      <c r="KY53" s="158" t="b">
        <v>0</v>
      </c>
      <c r="KZ53" s="158" t="b">
        <v>0</v>
      </c>
      <c r="LA53" s="158" t="b">
        <v>0</v>
      </c>
      <c r="LB53" s="158" t="b">
        <v>0</v>
      </c>
      <c r="LC53" s="158" t="b">
        <v>0</v>
      </c>
      <c r="LD53" s="158" t="b">
        <v>0</v>
      </c>
      <c r="LE53" s="158" t="b">
        <v>0</v>
      </c>
      <c r="LF53" s="158" t="b">
        <v>0</v>
      </c>
      <c r="LG53" s="158" t="b">
        <v>0</v>
      </c>
      <c r="LH53" s="158" t="b">
        <v>0</v>
      </c>
      <c r="LI53" s="158" t="b">
        <v>0</v>
      </c>
      <c r="LJ53" s="158" t="b">
        <v>0</v>
      </c>
      <c r="LK53" s="158" t="b">
        <v>0</v>
      </c>
      <c r="LL53" s="158" t="b">
        <v>0</v>
      </c>
      <c r="LM53" s="158" t="b">
        <v>0</v>
      </c>
      <c r="LN53" s="158" t="b">
        <v>0</v>
      </c>
      <c r="LO53" s="158" t="b">
        <v>0</v>
      </c>
      <c r="LP53" s="158" t="b">
        <v>0</v>
      </c>
      <c r="LQ53" s="158" t="b">
        <v>0</v>
      </c>
      <c r="LR53" s="158" t="b">
        <v>0</v>
      </c>
      <c r="LS53" s="158" t="b">
        <v>0</v>
      </c>
      <c r="LT53" s="158" t="b">
        <v>0</v>
      </c>
      <c r="LU53" s="158" t="b">
        <v>0</v>
      </c>
      <c r="LV53" s="158" t="b">
        <v>0</v>
      </c>
      <c r="LW53" s="158" t="b">
        <v>0</v>
      </c>
      <c r="LX53" s="158" t="b">
        <v>0</v>
      </c>
      <c r="LY53" s="158" t="b">
        <v>0</v>
      </c>
      <c r="LZ53" s="158" t="b">
        <v>0</v>
      </c>
      <c r="MA53" s="158" t="b">
        <v>0</v>
      </c>
      <c r="MB53" s="158" t="b">
        <v>0</v>
      </c>
      <c r="MC53" s="158" t="b">
        <v>0</v>
      </c>
      <c r="MD53" s="158" t="b">
        <v>0</v>
      </c>
      <c r="ME53" s="158" t="b">
        <v>0</v>
      </c>
      <c r="MF53" s="158" t="b">
        <v>0</v>
      </c>
      <c r="MG53" s="158" t="b">
        <v>0</v>
      </c>
      <c r="MH53" s="158" t="b">
        <v>0</v>
      </c>
      <c r="MI53" s="158" t="b">
        <v>0</v>
      </c>
      <c r="MJ53" s="158" t="b">
        <v>0</v>
      </c>
      <c r="MK53" s="158" t="b">
        <v>0</v>
      </c>
      <c r="ML53" s="158" t="b">
        <v>0</v>
      </c>
      <c r="MM53" s="158" t="b">
        <v>0</v>
      </c>
      <c r="MN53" s="158" t="b">
        <v>0</v>
      </c>
      <c r="MO53" s="158" t="b">
        <v>0</v>
      </c>
      <c r="MP53" s="158" t="b">
        <v>0</v>
      </c>
      <c r="MQ53" s="158" t="b">
        <v>0</v>
      </c>
      <c r="MR53" s="158" t="b">
        <v>0</v>
      </c>
      <c r="MS53" s="158" t="b">
        <v>0</v>
      </c>
      <c r="MT53" s="158" t="b">
        <v>0</v>
      </c>
      <c r="MU53" s="158" t="b">
        <v>0</v>
      </c>
      <c r="MV53" s="158" t="b">
        <v>0</v>
      </c>
      <c r="MW53" s="158" t="b">
        <v>0</v>
      </c>
      <c r="MX53" s="158" t="b">
        <v>0</v>
      </c>
      <c r="MY53" s="158" t="b">
        <v>0</v>
      </c>
      <c r="MZ53" s="158" t="b">
        <v>0</v>
      </c>
      <c r="NA53" s="158" t="b">
        <v>0</v>
      </c>
      <c r="NB53" s="158" t="b">
        <v>0</v>
      </c>
      <c r="NC53" s="158" t="b">
        <v>0</v>
      </c>
      <c r="ND53" s="158" t="b">
        <v>0</v>
      </c>
      <c r="NE53" s="158" t="b">
        <v>0</v>
      </c>
      <c r="NF53" s="158" t="b">
        <v>0</v>
      </c>
      <c r="NG53" s="158" t="b">
        <v>0</v>
      </c>
      <c r="NH53" s="158" t="b">
        <v>0</v>
      </c>
      <c r="NI53" s="158" t="b">
        <v>0</v>
      </c>
      <c r="NJ53" s="158" t="b">
        <v>0</v>
      </c>
      <c r="NK53" s="158" t="b">
        <v>0</v>
      </c>
      <c r="NL53" s="158" t="b">
        <v>0</v>
      </c>
      <c r="NM53" s="158" t="b">
        <v>0</v>
      </c>
      <c r="NN53" s="158" t="b">
        <v>0</v>
      </c>
      <c r="NO53" s="158" t="b">
        <v>0</v>
      </c>
    </row>
    <row r="54" spans="1:379" ht="29.25" x14ac:dyDescent="0.4">
      <c r="A54" s="511" t="str">
        <v>02-WW</v>
      </c>
      <c r="B54" s="158" t="b">
        <v>0</v>
      </c>
      <c r="C54" s="158" t="b">
        <v>0</v>
      </c>
      <c r="D54" s="158" t="b">
        <v>0</v>
      </c>
      <c r="E54" s="158" t="b">
        <v>0</v>
      </c>
      <c r="F54" s="158" t="b">
        <v>0</v>
      </c>
      <c r="G54" s="158" t="b">
        <v>0</v>
      </c>
      <c r="H54" s="158" t="b">
        <v>0</v>
      </c>
      <c r="I54" s="158" t="b">
        <v>0</v>
      </c>
      <c r="J54" s="158" t="b">
        <v>0</v>
      </c>
      <c r="K54" s="158" t="b">
        <v>0</v>
      </c>
      <c r="L54" s="158" t="b">
        <v>0</v>
      </c>
      <c r="M54" s="158" t="b">
        <v>0</v>
      </c>
      <c r="N54" s="158" t="b">
        <v>0</v>
      </c>
      <c r="O54" s="158" t="b">
        <v>0</v>
      </c>
      <c r="P54" s="158" t="b">
        <v>0</v>
      </c>
      <c r="Q54" s="158" t="b">
        <v>0</v>
      </c>
      <c r="R54" s="158" t="b">
        <v>0</v>
      </c>
      <c r="S54" s="158" t="b">
        <v>0</v>
      </c>
      <c r="T54" s="158" t="b">
        <v>0</v>
      </c>
      <c r="U54" s="158" t="b">
        <v>0</v>
      </c>
      <c r="V54" s="158" t="b">
        <v>0</v>
      </c>
      <c r="W54" s="158" t="b">
        <v>0</v>
      </c>
      <c r="X54" s="158" t="b">
        <v>0</v>
      </c>
      <c r="Y54" s="158" t="b">
        <v>0</v>
      </c>
      <c r="Z54" s="158" t="b">
        <v>0</v>
      </c>
      <c r="AA54" s="158" t="b">
        <v>0</v>
      </c>
      <c r="AB54" s="158" t="b">
        <v>0</v>
      </c>
      <c r="AC54" s="158" t="b">
        <v>0</v>
      </c>
      <c r="AD54" s="158" t="b">
        <v>0</v>
      </c>
      <c r="AE54" s="158" t="b">
        <v>0</v>
      </c>
      <c r="AF54" s="158" t="b">
        <v>0</v>
      </c>
      <c r="AG54" s="158" t="b">
        <v>0</v>
      </c>
      <c r="AH54" s="158" t="b">
        <v>0</v>
      </c>
      <c r="AI54" s="158" t="b">
        <v>0</v>
      </c>
      <c r="AJ54" s="158" t="b">
        <v>0</v>
      </c>
      <c r="AK54" s="158" t="b">
        <v>0</v>
      </c>
      <c r="AL54" s="158" t="b">
        <v>0</v>
      </c>
      <c r="AM54" s="158" t="b">
        <v>0</v>
      </c>
      <c r="AN54" s="158" t="b">
        <v>0</v>
      </c>
      <c r="AO54" s="158" t="b">
        <v>0</v>
      </c>
      <c r="AP54" s="158" t="b">
        <v>0</v>
      </c>
      <c r="AQ54" s="158" t="b">
        <v>0</v>
      </c>
      <c r="AR54" s="158" t="b">
        <v>0</v>
      </c>
      <c r="AS54" s="158" t="b">
        <v>0</v>
      </c>
      <c r="AT54" s="158" t="b">
        <v>0</v>
      </c>
      <c r="AU54" s="158" t="b">
        <v>0</v>
      </c>
      <c r="AV54" s="158" t="b">
        <v>0</v>
      </c>
      <c r="AW54" s="158" t="b">
        <v>0</v>
      </c>
      <c r="AX54" s="158" t="b">
        <v>0</v>
      </c>
      <c r="AY54" s="158" t="b">
        <v>0</v>
      </c>
      <c r="AZ54" s="158" t="b">
        <v>0</v>
      </c>
      <c r="BA54" s="158" t="b">
        <v>0</v>
      </c>
      <c r="BB54" s="158" t="b">
        <v>0</v>
      </c>
      <c r="BC54" s="158" t="b">
        <v>0</v>
      </c>
      <c r="BD54" s="158" t="b">
        <v>0</v>
      </c>
      <c r="BE54" s="158" t="b">
        <v>0</v>
      </c>
      <c r="BF54" s="158" t="b">
        <v>0</v>
      </c>
      <c r="BG54" s="158" t="b">
        <v>0</v>
      </c>
      <c r="BH54" s="158" t="b">
        <v>0</v>
      </c>
      <c r="BI54" s="158" t="b">
        <v>0</v>
      </c>
      <c r="BJ54" s="158" t="b">
        <v>0</v>
      </c>
      <c r="BK54" s="158" t="b">
        <v>0</v>
      </c>
      <c r="BL54" s="158" t="b">
        <v>0</v>
      </c>
      <c r="BM54" s="158" t="b">
        <v>0</v>
      </c>
      <c r="BN54" s="158" t="b">
        <v>0</v>
      </c>
      <c r="BO54" s="158" t="b">
        <v>0</v>
      </c>
      <c r="BP54" s="158" t="b">
        <v>0</v>
      </c>
      <c r="BQ54" s="158" t="b">
        <v>0</v>
      </c>
      <c r="BR54" s="158" t="b">
        <v>0</v>
      </c>
      <c r="BS54" s="158" t="b">
        <v>0</v>
      </c>
      <c r="BT54" s="158" t="b">
        <v>0</v>
      </c>
      <c r="BU54" s="158" t="b">
        <v>0</v>
      </c>
      <c r="BV54" s="158" t="b">
        <v>0</v>
      </c>
      <c r="BW54" s="158" t="b">
        <v>0</v>
      </c>
      <c r="BX54" s="158" t="b">
        <v>0</v>
      </c>
      <c r="BY54" s="158" t="b">
        <v>0</v>
      </c>
      <c r="BZ54" s="158" t="b">
        <v>0</v>
      </c>
      <c r="CA54" s="158" t="b">
        <v>0</v>
      </c>
      <c r="CB54" s="158" t="b">
        <v>0</v>
      </c>
      <c r="CC54" s="158" t="b">
        <v>0</v>
      </c>
      <c r="CD54" s="158" t="b">
        <v>0</v>
      </c>
      <c r="CE54" s="158" t="b">
        <v>0</v>
      </c>
      <c r="CF54" s="158" t="b">
        <v>0</v>
      </c>
      <c r="CG54" s="158" t="b">
        <v>0</v>
      </c>
      <c r="CH54" s="158" t="b">
        <v>0</v>
      </c>
      <c r="CI54" s="158" t="b">
        <v>0</v>
      </c>
      <c r="CJ54" s="158" t="b">
        <v>0</v>
      </c>
      <c r="CK54" s="158" t="b">
        <v>0</v>
      </c>
      <c r="CL54" s="158" t="b">
        <v>0</v>
      </c>
      <c r="CM54" s="158" t="b">
        <v>0</v>
      </c>
      <c r="CN54" s="158" t="b">
        <v>0</v>
      </c>
      <c r="CO54" s="158" t="b">
        <v>0</v>
      </c>
      <c r="CP54" s="158" t="b">
        <v>0</v>
      </c>
      <c r="CQ54" s="158" t="b">
        <v>0</v>
      </c>
      <c r="CR54" s="158" t="b">
        <v>0</v>
      </c>
      <c r="CS54" s="158" t="b">
        <v>0</v>
      </c>
      <c r="CT54" s="158" t="b">
        <v>0</v>
      </c>
      <c r="CU54" s="158" t="b">
        <v>0</v>
      </c>
      <c r="CV54" s="158" t="b">
        <v>0</v>
      </c>
      <c r="CW54" s="158" t="b">
        <v>0</v>
      </c>
      <c r="CX54" s="158" t="b">
        <v>0</v>
      </c>
      <c r="CY54" s="158" t="b">
        <v>0</v>
      </c>
      <c r="CZ54" s="158" t="b">
        <v>0</v>
      </c>
      <c r="DA54" s="158" t="b">
        <v>0</v>
      </c>
      <c r="DB54" s="158" t="b">
        <v>0</v>
      </c>
      <c r="DC54" s="158" t="b">
        <v>0</v>
      </c>
      <c r="DD54" s="158" t="b">
        <v>0</v>
      </c>
      <c r="DE54" s="158" t="b">
        <v>0</v>
      </c>
      <c r="DF54" s="158" t="b">
        <v>0</v>
      </c>
      <c r="DG54" s="158" t="b">
        <v>0</v>
      </c>
      <c r="DH54" s="158" t="b">
        <v>0</v>
      </c>
      <c r="DI54" s="158" t="b">
        <v>0</v>
      </c>
      <c r="DJ54" s="158" t="b">
        <v>0</v>
      </c>
      <c r="DK54" s="158" t="b">
        <v>0</v>
      </c>
      <c r="DL54" s="158" t="b">
        <v>0</v>
      </c>
      <c r="DM54" s="158" t="b">
        <v>0</v>
      </c>
      <c r="DN54" s="158" t="b">
        <v>0</v>
      </c>
      <c r="DO54" s="158" t="b">
        <v>0</v>
      </c>
      <c r="DP54" s="158" t="b">
        <v>0</v>
      </c>
      <c r="DQ54" s="158" t="b">
        <v>0</v>
      </c>
      <c r="DR54" s="158" t="b">
        <v>0</v>
      </c>
      <c r="DS54" s="158" t="b">
        <v>0</v>
      </c>
      <c r="DT54" s="158" t="b">
        <v>0</v>
      </c>
      <c r="DU54" s="158" t="b">
        <v>0</v>
      </c>
      <c r="DV54" s="158" t="b">
        <v>0</v>
      </c>
      <c r="DW54" s="158" t="b">
        <v>0</v>
      </c>
      <c r="DX54" s="158" t="b">
        <v>0</v>
      </c>
      <c r="DY54" s="158" t="b">
        <v>0</v>
      </c>
      <c r="DZ54" s="158" t="b">
        <v>0</v>
      </c>
      <c r="EA54" s="158" t="b">
        <v>0</v>
      </c>
      <c r="EB54" s="158" t="b">
        <v>0</v>
      </c>
      <c r="EC54" s="158" t="b">
        <v>0</v>
      </c>
      <c r="ED54" s="158" t="b">
        <v>0</v>
      </c>
      <c r="EE54" s="158" t="b">
        <v>0</v>
      </c>
      <c r="EF54" s="158" t="b">
        <v>0</v>
      </c>
      <c r="EG54" s="158" t="b">
        <v>0</v>
      </c>
      <c r="EH54" s="158" t="b">
        <v>0</v>
      </c>
      <c r="EI54" s="158" t="b">
        <v>0</v>
      </c>
      <c r="EJ54" s="158" t="b">
        <v>0</v>
      </c>
      <c r="EK54" s="158" t="b">
        <v>0</v>
      </c>
      <c r="EL54" s="158" t="b">
        <v>0</v>
      </c>
      <c r="EM54" s="158" t="b">
        <v>0</v>
      </c>
      <c r="EN54" s="158" t="b">
        <v>0</v>
      </c>
      <c r="EO54" s="158" t="b">
        <v>0</v>
      </c>
      <c r="EP54" s="158" t="b">
        <v>0</v>
      </c>
      <c r="EQ54" s="158" t="b">
        <v>0</v>
      </c>
      <c r="ER54" s="158" t="b">
        <v>0</v>
      </c>
      <c r="ES54" s="158" t="b">
        <v>0</v>
      </c>
      <c r="ET54" s="158" t="b">
        <v>0</v>
      </c>
      <c r="EU54" s="158" t="b">
        <v>0</v>
      </c>
      <c r="EV54" s="158" t="b">
        <v>0</v>
      </c>
      <c r="EW54" s="158" t="b">
        <v>0</v>
      </c>
      <c r="EX54" s="158" t="b">
        <v>0</v>
      </c>
      <c r="EY54" s="158" t="b">
        <v>0</v>
      </c>
      <c r="EZ54" s="158" t="b">
        <v>0</v>
      </c>
      <c r="FA54" s="158" t="b">
        <v>0</v>
      </c>
      <c r="FB54" s="158" t="b">
        <v>0</v>
      </c>
      <c r="FC54" s="158" t="b">
        <v>0</v>
      </c>
      <c r="FD54" s="158" t="b">
        <v>0</v>
      </c>
      <c r="FE54" s="158" t="b">
        <v>0</v>
      </c>
      <c r="FF54" s="158" t="b">
        <v>0</v>
      </c>
      <c r="FG54" s="158" t="b">
        <v>0</v>
      </c>
      <c r="FH54" s="158" t="b">
        <v>0</v>
      </c>
      <c r="FI54" s="158" t="b">
        <v>0</v>
      </c>
      <c r="FJ54" s="158" t="b">
        <v>0</v>
      </c>
      <c r="FK54" s="158" t="b">
        <v>0</v>
      </c>
      <c r="FL54" s="158" t="b">
        <v>0</v>
      </c>
      <c r="FM54" s="158" t="b">
        <v>0</v>
      </c>
      <c r="FN54" s="158" t="b">
        <v>0</v>
      </c>
      <c r="FO54" s="158" t="b">
        <v>0</v>
      </c>
      <c r="FP54" s="158" t="b">
        <v>0</v>
      </c>
      <c r="FQ54" s="158" t="b">
        <v>0</v>
      </c>
      <c r="FR54" s="158" t="b">
        <v>0</v>
      </c>
      <c r="FS54" s="158" t="b">
        <v>0</v>
      </c>
      <c r="FT54" s="158" t="b">
        <v>0</v>
      </c>
      <c r="FU54" s="158" t="b">
        <v>0</v>
      </c>
      <c r="FV54" s="158" t="b">
        <v>0</v>
      </c>
      <c r="FW54" s="158" t="b">
        <v>0</v>
      </c>
      <c r="FX54" s="158" t="b">
        <v>0</v>
      </c>
      <c r="FY54" s="158" t="b">
        <v>0</v>
      </c>
      <c r="FZ54" s="158" t="b">
        <v>0</v>
      </c>
      <c r="GA54" s="158" t="b">
        <v>0</v>
      </c>
      <c r="GB54" s="158" t="b">
        <v>0</v>
      </c>
      <c r="GC54" s="158" t="b">
        <v>0</v>
      </c>
      <c r="GD54" s="158" t="b">
        <v>0</v>
      </c>
      <c r="GE54" s="158" t="b">
        <v>0</v>
      </c>
      <c r="GF54" s="158" t="b">
        <v>0</v>
      </c>
      <c r="GG54" s="158" t="b">
        <v>0</v>
      </c>
      <c r="GH54" s="158" t="b">
        <v>0</v>
      </c>
      <c r="GI54" s="158" t="b">
        <v>0</v>
      </c>
      <c r="GJ54" s="158" t="b">
        <v>0</v>
      </c>
      <c r="GK54" s="158" t="b">
        <v>0</v>
      </c>
      <c r="GL54" s="158" t="b">
        <v>0</v>
      </c>
      <c r="GM54" s="158" t="b">
        <v>0</v>
      </c>
      <c r="GN54" s="158" t="b">
        <v>0</v>
      </c>
      <c r="GO54" s="158" t="b">
        <v>0</v>
      </c>
      <c r="GP54" s="158" t="b">
        <v>0</v>
      </c>
      <c r="GQ54" s="158" t="b">
        <v>0</v>
      </c>
      <c r="GR54" s="158" t="b">
        <v>0</v>
      </c>
      <c r="GS54" s="158" t="b">
        <v>0</v>
      </c>
      <c r="GT54" s="158" t="b">
        <v>0</v>
      </c>
      <c r="GU54" s="158" t="b">
        <v>0</v>
      </c>
      <c r="GV54" s="158" t="b">
        <v>0</v>
      </c>
      <c r="GW54" s="158" t="b">
        <v>0</v>
      </c>
      <c r="GX54" s="158" t="b">
        <v>0</v>
      </c>
      <c r="GY54" s="158" t="b">
        <v>0</v>
      </c>
      <c r="GZ54" s="158" t="b">
        <v>0</v>
      </c>
      <c r="HA54" s="158" t="b">
        <v>0</v>
      </c>
      <c r="HB54" s="158" t="b">
        <v>0</v>
      </c>
      <c r="HC54" s="158" t="b">
        <v>0</v>
      </c>
      <c r="HD54" s="158" t="b">
        <v>0</v>
      </c>
      <c r="HE54" s="158" t="b">
        <v>0</v>
      </c>
      <c r="HF54" s="158" t="b">
        <v>0</v>
      </c>
      <c r="HG54" s="158" t="b">
        <v>0</v>
      </c>
      <c r="HH54" s="158" t="b">
        <v>0</v>
      </c>
      <c r="HI54" s="158" t="b">
        <v>0</v>
      </c>
      <c r="HJ54" s="158" t="b">
        <v>0</v>
      </c>
      <c r="HK54" s="158" t="b">
        <v>0</v>
      </c>
      <c r="HL54" s="158" t="b">
        <v>0</v>
      </c>
      <c r="HM54" s="158" t="b">
        <v>0</v>
      </c>
      <c r="HN54" s="158" t="b">
        <v>0</v>
      </c>
      <c r="HO54" s="158" t="b">
        <v>0</v>
      </c>
      <c r="HP54" s="158" t="b">
        <v>0</v>
      </c>
      <c r="HQ54" s="158" t="b">
        <v>0</v>
      </c>
      <c r="HR54" s="158" t="b">
        <v>0</v>
      </c>
      <c r="HS54" s="158" t="b">
        <v>0</v>
      </c>
      <c r="HT54" s="158" t="b">
        <v>0</v>
      </c>
      <c r="HU54" s="158" t="b">
        <v>0</v>
      </c>
      <c r="HV54" s="158" t="b">
        <v>0</v>
      </c>
      <c r="HW54" s="158" t="b">
        <v>0</v>
      </c>
      <c r="HX54" s="158" t="b">
        <v>0</v>
      </c>
      <c r="HY54" s="158" t="b">
        <v>0</v>
      </c>
      <c r="HZ54" s="158" t="b">
        <v>0</v>
      </c>
      <c r="IA54" s="158" t="b">
        <v>0</v>
      </c>
      <c r="IB54" s="158" t="b">
        <v>0</v>
      </c>
      <c r="IC54" s="158" t="b">
        <v>0</v>
      </c>
      <c r="ID54" s="158" t="b">
        <v>0</v>
      </c>
      <c r="IE54" s="158" t="b">
        <v>0</v>
      </c>
      <c r="IF54" s="158" t="b">
        <v>0</v>
      </c>
      <c r="IG54" s="158" t="b">
        <v>0</v>
      </c>
      <c r="IH54" s="158" t="b">
        <v>0</v>
      </c>
      <c r="II54" s="158" t="b">
        <v>0</v>
      </c>
      <c r="IJ54" s="158" t="b">
        <v>0</v>
      </c>
      <c r="IK54" s="158" t="b">
        <v>0</v>
      </c>
      <c r="IL54" s="158" t="b">
        <v>0</v>
      </c>
      <c r="IM54" s="158" t="b">
        <v>0</v>
      </c>
      <c r="IN54" s="158" t="b">
        <v>0</v>
      </c>
      <c r="IO54" s="158" t="b">
        <v>0</v>
      </c>
      <c r="IP54" s="158" t="b">
        <v>0</v>
      </c>
      <c r="IQ54" s="158" t="b">
        <v>0</v>
      </c>
      <c r="IR54" s="158" t="b">
        <v>0</v>
      </c>
      <c r="IS54" s="158" t="b">
        <v>0</v>
      </c>
      <c r="IT54" s="158" t="b">
        <v>0</v>
      </c>
      <c r="IU54" s="158" t="b">
        <v>0</v>
      </c>
      <c r="IV54" s="158" t="b">
        <v>0</v>
      </c>
      <c r="IW54" s="158" t="b">
        <v>0</v>
      </c>
      <c r="IX54" s="158" t="b">
        <v>0</v>
      </c>
      <c r="IY54" s="158" t="b">
        <v>0</v>
      </c>
      <c r="IZ54" s="158" t="b">
        <v>0</v>
      </c>
      <c r="JA54" s="158" t="b">
        <v>0</v>
      </c>
      <c r="JB54" s="158" t="b">
        <v>0</v>
      </c>
      <c r="JC54" s="158" t="b">
        <v>0</v>
      </c>
      <c r="JD54" s="158" t="b">
        <v>0</v>
      </c>
      <c r="JE54" s="158" t="b">
        <v>0</v>
      </c>
      <c r="JF54" s="158" t="b">
        <v>0</v>
      </c>
      <c r="JG54" s="158" t="b">
        <v>0</v>
      </c>
      <c r="JH54" s="158" t="b">
        <v>0</v>
      </c>
      <c r="JI54" s="158" t="b">
        <v>0</v>
      </c>
      <c r="JJ54" s="158" t="b">
        <v>0</v>
      </c>
      <c r="JK54" s="158" t="b">
        <v>0</v>
      </c>
      <c r="JL54" s="158" t="b">
        <v>0</v>
      </c>
      <c r="JM54" s="158" t="b">
        <v>0</v>
      </c>
      <c r="JN54" s="158" t="b">
        <v>0</v>
      </c>
      <c r="JO54" s="158" t="b">
        <v>0</v>
      </c>
      <c r="JP54" s="158" t="b">
        <v>0</v>
      </c>
      <c r="JQ54" s="158" t="b">
        <v>0</v>
      </c>
      <c r="JR54" s="158" t="b">
        <v>0</v>
      </c>
      <c r="JS54" s="158" t="b">
        <v>0</v>
      </c>
      <c r="JT54" s="158" t="b">
        <v>0</v>
      </c>
      <c r="JU54" s="158" t="b">
        <v>0</v>
      </c>
      <c r="JV54" s="158" t="b">
        <v>0</v>
      </c>
      <c r="JW54" s="158" t="b">
        <v>0</v>
      </c>
      <c r="JX54" s="158" t="b">
        <v>0</v>
      </c>
      <c r="JY54" s="158" t="b">
        <v>0</v>
      </c>
      <c r="JZ54" s="158" t="b">
        <v>0</v>
      </c>
      <c r="KA54" s="158" t="b">
        <v>0</v>
      </c>
      <c r="KB54" s="158" t="b">
        <v>0</v>
      </c>
      <c r="KC54" s="158" t="b">
        <v>0</v>
      </c>
      <c r="KD54" s="158" t="b">
        <v>0</v>
      </c>
      <c r="KE54" s="158" t="b">
        <v>0</v>
      </c>
      <c r="KF54" s="158" t="b">
        <v>0</v>
      </c>
      <c r="KG54" s="158" t="b">
        <v>0</v>
      </c>
      <c r="KH54" s="158" t="b">
        <v>0</v>
      </c>
      <c r="KI54" s="158" t="b">
        <v>0</v>
      </c>
      <c r="KJ54" s="158" t="b">
        <v>0</v>
      </c>
      <c r="KK54" s="158" t="b">
        <v>0</v>
      </c>
      <c r="KL54" s="158" t="b">
        <v>0</v>
      </c>
      <c r="KM54" s="158" t="b">
        <v>0</v>
      </c>
      <c r="KN54" s="158" t="b">
        <v>0</v>
      </c>
      <c r="KO54" s="158" t="b">
        <v>0</v>
      </c>
      <c r="KP54" s="158" t="b">
        <v>0</v>
      </c>
      <c r="KQ54" s="158" t="b">
        <v>0</v>
      </c>
      <c r="KR54" s="158" t="b">
        <v>0</v>
      </c>
      <c r="KS54" s="158" t="b">
        <v>0</v>
      </c>
      <c r="KT54" s="158" t="b">
        <v>0</v>
      </c>
      <c r="KU54" s="158" t="b">
        <v>0</v>
      </c>
      <c r="KV54" s="158" t="b">
        <v>0</v>
      </c>
      <c r="KW54" s="158" t="b">
        <v>0</v>
      </c>
      <c r="KX54" s="158" t="b">
        <v>0</v>
      </c>
      <c r="KY54" s="158" t="b">
        <v>0</v>
      </c>
      <c r="KZ54" s="158" t="b">
        <v>0</v>
      </c>
      <c r="LA54" s="158" t="b">
        <v>0</v>
      </c>
      <c r="LB54" s="158" t="b">
        <v>0</v>
      </c>
      <c r="LC54" s="158" t="b">
        <v>0</v>
      </c>
      <c r="LD54" s="158" t="b">
        <v>0</v>
      </c>
      <c r="LE54" s="158" t="b">
        <v>0</v>
      </c>
      <c r="LF54" s="158" t="b">
        <v>0</v>
      </c>
      <c r="LG54" s="158" t="b">
        <v>0</v>
      </c>
      <c r="LH54" s="158" t="b">
        <v>0</v>
      </c>
      <c r="LI54" s="158" t="b">
        <v>0</v>
      </c>
      <c r="LJ54" s="158" t="b">
        <v>0</v>
      </c>
      <c r="LK54" s="158" t="b">
        <v>0</v>
      </c>
      <c r="LL54" s="158" t="b">
        <v>0</v>
      </c>
      <c r="LM54" s="158" t="b">
        <v>0</v>
      </c>
      <c r="LN54" s="158" t="b">
        <v>0</v>
      </c>
      <c r="LO54" s="158" t="b">
        <v>0</v>
      </c>
      <c r="LP54" s="158" t="b">
        <v>0</v>
      </c>
      <c r="LQ54" s="158" t="b">
        <v>0</v>
      </c>
      <c r="LR54" s="158" t="b">
        <v>0</v>
      </c>
      <c r="LS54" s="158" t="b">
        <v>0</v>
      </c>
      <c r="LT54" s="158" t="b">
        <v>0</v>
      </c>
      <c r="LU54" s="158" t="b">
        <v>0</v>
      </c>
      <c r="LV54" s="158" t="b">
        <v>0</v>
      </c>
      <c r="LW54" s="158" t="b">
        <v>0</v>
      </c>
      <c r="LX54" s="158" t="b">
        <v>0</v>
      </c>
      <c r="LY54" s="158" t="b">
        <v>0</v>
      </c>
      <c r="LZ54" s="158" t="b">
        <v>0</v>
      </c>
      <c r="MA54" s="158" t="b">
        <v>0</v>
      </c>
      <c r="MB54" s="158" t="b">
        <v>0</v>
      </c>
      <c r="MC54" s="158" t="b">
        <v>0</v>
      </c>
      <c r="MD54" s="158" t="b">
        <v>0</v>
      </c>
      <c r="ME54" s="158" t="b">
        <v>0</v>
      </c>
      <c r="MF54" s="158" t="b">
        <v>0</v>
      </c>
      <c r="MG54" s="158" t="b">
        <v>0</v>
      </c>
      <c r="MH54" s="158" t="b">
        <v>0</v>
      </c>
      <c r="MI54" s="158" t="b">
        <v>0</v>
      </c>
      <c r="MJ54" s="158" t="b">
        <v>0</v>
      </c>
      <c r="MK54" s="158" t="b">
        <v>0</v>
      </c>
      <c r="ML54" s="158" t="b">
        <v>0</v>
      </c>
      <c r="MM54" s="158" t="b">
        <v>0</v>
      </c>
      <c r="MN54" s="158" t="b">
        <v>0</v>
      </c>
      <c r="MO54" s="158" t="b">
        <v>0</v>
      </c>
      <c r="MP54" s="158" t="b">
        <v>0</v>
      </c>
      <c r="MQ54" s="158" t="b">
        <v>0</v>
      </c>
      <c r="MR54" s="158" t="b">
        <v>0</v>
      </c>
      <c r="MS54" s="158" t="b">
        <v>0</v>
      </c>
      <c r="MT54" s="158" t="b">
        <v>0</v>
      </c>
      <c r="MU54" s="158" t="b">
        <v>0</v>
      </c>
      <c r="MV54" s="158" t="b">
        <v>0</v>
      </c>
      <c r="MW54" s="158" t="b">
        <v>0</v>
      </c>
      <c r="MX54" s="158" t="b">
        <v>0</v>
      </c>
      <c r="MY54" s="158" t="b">
        <v>0</v>
      </c>
      <c r="MZ54" s="158" t="b">
        <v>0</v>
      </c>
      <c r="NA54" s="158" t="b">
        <v>0</v>
      </c>
      <c r="NB54" s="158" t="b">
        <v>0</v>
      </c>
      <c r="NC54" s="158" t="b">
        <v>0</v>
      </c>
      <c r="ND54" s="158" t="b">
        <v>0</v>
      </c>
      <c r="NE54" s="158" t="b">
        <v>0</v>
      </c>
      <c r="NF54" s="158" t="b">
        <v>0</v>
      </c>
      <c r="NG54" s="158" t="b">
        <v>0</v>
      </c>
      <c r="NH54" s="158" t="b">
        <v>0</v>
      </c>
      <c r="NI54" s="158" t="b">
        <v>0</v>
      </c>
      <c r="NJ54" s="158" t="b">
        <v>0</v>
      </c>
      <c r="NK54" s="158" t="b">
        <v>0</v>
      </c>
      <c r="NL54" s="158" t="b">
        <v>0</v>
      </c>
      <c r="NM54" s="158" t="b">
        <v>0</v>
      </c>
      <c r="NN54" s="158" t="b">
        <v>0</v>
      </c>
      <c r="NO54" s="158" t="b">
        <v>0</v>
      </c>
    </row>
    <row r="55" spans="1:379" ht="29.25" x14ac:dyDescent="0.4">
      <c r="A55" s="511" t="str">
        <v>02-C</v>
      </c>
      <c r="B55" s="158" t="b">
        <v>0</v>
      </c>
      <c r="C55" s="158" t="b">
        <v>0</v>
      </c>
      <c r="D55" s="158" t="b">
        <v>0</v>
      </c>
      <c r="E55" s="158" t="b">
        <v>0</v>
      </c>
      <c r="F55" s="158" t="b">
        <v>0</v>
      </c>
      <c r="G55" s="158" t="b">
        <v>0</v>
      </c>
      <c r="H55" s="158" t="b">
        <v>0</v>
      </c>
      <c r="I55" s="158" t="b">
        <v>0</v>
      </c>
      <c r="J55" s="158" t="b">
        <v>0</v>
      </c>
      <c r="K55" s="158" t="b">
        <v>0</v>
      </c>
      <c r="L55" s="158" t="b">
        <v>0</v>
      </c>
      <c r="M55" s="158" t="b">
        <v>0</v>
      </c>
      <c r="N55" s="158" t="b">
        <v>0</v>
      </c>
      <c r="O55" s="158" t="b">
        <v>0</v>
      </c>
      <c r="P55" s="158" t="b">
        <v>0</v>
      </c>
      <c r="Q55" s="158" t="b">
        <v>0</v>
      </c>
      <c r="R55" s="158" t="b">
        <v>0</v>
      </c>
      <c r="S55" s="158" t="b">
        <v>0</v>
      </c>
      <c r="T55" s="158" t="b">
        <v>0</v>
      </c>
      <c r="U55" s="158" t="b">
        <v>0</v>
      </c>
      <c r="V55" s="158" t="b">
        <v>0</v>
      </c>
      <c r="W55" s="158" t="b">
        <v>0</v>
      </c>
      <c r="X55" s="158" t="b">
        <v>0</v>
      </c>
      <c r="Y55" s="158" t="b">
        <v>0</v>
      </c>
      <c r="Z55" s="158" t="b">
        <v>0</v>
      </c>
      <c r="AA55" s="158" t="b">
        <v>0</v>
      </c>
      <c r="AB55" s="158" t="b">
        <v>0</v>
      </c>
      <c r="AC55" s="158" t="b">
        <v>0</v>
      </c>
      <c r="AD55" s="158" t="b">
        <v>0</v>
      </c>
      <c r="AE55" s="158" t="b">
        <v>0</v>
      </c>
      <c r="AF55" s="158" t="b">
        <v>0</v>
      </c>
      <c r="AG55" s="158" t="b">
        <v>0</v>
      </c>
      <c r="AH55" s="158" t="b">
        <v>0</v>
      </c>
      <c r="AI55" s="158" t="b">
        <v>0</v>
      </c>
      <c r="AJ55" s="158" t="b">
        <v>0</v>
      </c>
      <c r="AK55" s="158" t="b">
        <v>0</v>
      </c>
      <c r="AL55" s="158" t="b">
        <v>0</v>
      </c>
      <c r="AM55" s="158" t="b">
        <v>0</v>
      </c>
      <c r="AN55" s="158" t="b">
        <v>0</v>
      </c>
      <c r="AO55" s="158" t="b">
        <v>0</v>
      </c>
      <c r="AP55" s="158" t="b">
        <v>0</v>
      </c>
      <c r="AQ55" s="158" t="b">
        <v>0</v>
      </c>
      <c r="AR55" s="158" t="b">
        <v>0</v>
      </c>
      <c r="AS55" s="158" t="b">
        <v>0</v>
      </c>
      <c r="AT55" s="158" t="b">
        <v>0</v>
      </c>
      <c r="AU55" s="158" t="b">
        <v>0</v>
      </c>
      <c r="AV55" s="158" t="b">
        <v>0</v>
      </c>
      <c r="AW55" s="158" t="b">
        <v>0</v>
      </c>
      <c r="AX55" s="158" t="b">
        <v>0</v>
      </c>
      <c r="AY55" s="158" t="b">
        <v>0</v>
      </c>
      <c r="AZ55" s="158" t="b">
        <v>0</v>
      </c>
      <c r="BA55" s="158" t="b">
        <v>0</v>
      </c>
      <c r="BB55" s="158" t="b">
        <v>0</v>
      </c>
      <c r="BC55" s="158" t="b">
        <v>0</v>
      </c>
      <c r="BD55" s="158" t="b">
        <v>0</v>
      </c>
      <c r="BE55" s="158" t="b">
        <v>0</v>
      </c>
      <c r="BF55" s="158" t="b">
        <v>0</v>
      </c>
      <c r="BG55" s="158" t="b">
        <v>0</v>
      </c>
      <c r="BH55" s="158" t="b">
        <v>0</v>
      </c>
      <c r="BI55" s="158" t="b">
        <v>0</v>
      </c>
      <c r="BJ55" s="158" t="b">
        <v>0</v>
      </c>
      <c r="BK55" s="158" t="b">
        <v>0</v>
      </c>
      <c r="BL55" s="158" t="b">
        <v>0</v>
      </c>
      <c r="BM55" s="158" t="b">
        <v>0</v>
      </c>
      <c r="BN55" s="158" t="b">
        <v>0</v>
      </c>
      <c r="BO55" s="158" t="b">
        <v>0</v>
      </c>
      <c r="BP55" s="158" t="b">
        <v>0</v>
      </c>
      <c r="BQ55" s="158" t="b">
        <v>0</v>
      </c>
      <c r="BR55" s="158" t="b">
        <v>0</v>
      </c>
      <c r="BS55" s="158" t="b">
        <v>0</v>
      </c>
      <c r="BT55" s="158" t="b">
        <v>0</v>
      </c>
      <c r="BU55" s="158" t="b">
        <v>0</v>
      </c>
      <c r="BV55" s="158" t="b">
        <v>0</v>
      </c>
      <c r="BW55" s="158" t="b">
        <v>0</v>
      </c>
      <c r="BX55" s="158" t="b">
        <v>0</v>
      </c>
      <c r="BY55" s="158" t="b">
        <v>0</v>
      </c>
      <c r="BZ55" s="158" t="b">
        <v>0</v>
      </c>
      <c r="CA55" s="158" t="b">
        <v>0</v>
      </c>
      <c r="CB55" s="158" t="b">
        <v>0</v>
      </c>
      <c r="CC55" s="158" t="b">
        <v>0</v>
      </c>
      <c r="CD55" s="158" t="b">
        <v>0</v>
      </c>
      <c r="CE55" s="158" t="b">
        <v>0</v>
      </c>
      <c r="CF55" s="158" t="b">
        <v>0</v>
      </c>
      <c r="CG55" s="158" t="b">
        <v>0</v>
      </c>
      <c r="CH55" s="158" t="b">
        <v>0</v>
      </c>
      <c r="CI55" s="158" t="b">
        <v>0</v>
      </c>
      <c r="CJ55" s="158" t="b">
        <v>0</v>
      </c>
      <c r="CK55" s="158" t="b">
        <v>0</v>
      </c>
      <c r="CL55" s="158" t="b">
        <v>0</v>
      </c>
      <c r="CM55" s="158" t="b">
        <v>0</v>
      </c>
      <c r="CN55" s="158" t="b">
        <v>0</v>
      </c>
      <c r="CO55" s="158" t="b">
        <v>0</v>
      </c>
      <c r="CP55" s="158" t="b">
        <v>0</v>
      </c>
      <c r="CQ55" s="158" t="b">
        <v>0</v>
      </c>
      <c r="CR55" s="158" t="b">
        <v>0</v>
      </c>
      <c r="CS55" s="158" t="b">
        <v>0</v>
      </c>
      <c r="CT55" s="158" t="b">
        <v>0</v>
      </c>
      <c r="CU55" s="158" t="b">
        <v>0</v>
      </c>
      <c r="CV55" s="158" t="b">
        <v>0</v>
      </c>
      <c r="CW55" s="158" t="b">
        <v>0</v>
      </c>
      <c r="CX55" s="158" t="b">
        <v>0</v>
      </c>
      <c r="CY55" s="158" t="b">
        <v>0</v>
      </c>
      <c r="CZ55" s="158" t="b">
        <v>0</v>
      </c>
      <c r="DA55" s="158" t="b">
        <v>0</v>
      </c>
      <c r="DB55" s="158" t="b">
        <v>0</v>
      </c>
      <c r="DC55" s="158" t="b">
        <v>0</v>
      </c>
      <c r="DD55" s="158" t="b">
        <v>0</v>
      </c>
      <c r="DE55" s="158" t="b">
        <v>0</v>
      </c>
      <c r="DF55" s="158" t="b">
        <v>0</v>
      </c>
      <c r="DG55" s="158" t="b">
        <v>0</v>
      </c>
      <c r="DH55" s="158" t="b">
        <v>0</v>
      </c>
      <c r="DI55" s="158" t="b">
        <v>0</v>
      </c>
      <c r="DJ55" s="158" t="b">
        <v>0</v>
      </c>
      <c r="DK55" s="158" t="b">
        <v>0</v>
      </c>
      <c r="DL55" s="158" t="b">
        <v>0</v>
      </c>
      <c r="DM55" s="158" t="b">
        <v>0</v>
      </c>
      <c r="DN55" s="158" t="b">
        <v>0</v>
      </c>
      <c r="DO55" s="158" t="b">
        <v>0</v>
      </c>
      <c r="DP55" s="158" t="b">
        <v>0</v>
      </c>
      <c r="DQ55" s="158" t="b">
        <v>0</v>
      </c>
      <c r="DR55" s="93" t="b">
        <v>1</v>
      </c>
      <c r="DS55" s="93" t="b">
        <v>1</v>
      </c>
      <c r="DT55" s="93" t="b">
        <v>1</v>
      </c>
      <c r="DU55" s="93" t="b">
        <v>1</v>
      </c>
      <c r="DV55" s="93" t="b">
        <v>1</v>
      </c>
      <c r="DW55" s="158" t="b">
        <v>0</v>
      </c>
      <c r="DX55" s="158" t="b">
        <v>0</v>
      </c>
      <c r="DY55" s="158" t="b">
        <v>0</v>
      </c>
      <c r="DZ55" s="158" t="b">
        <v>0</v>
      </c>
      <c r="EA55" s="158" t="b">
        <v>0</v>
      </c>
      <c r="EB55" s="158" t="b">
        <v>0</v>
      </c>
      <c r="EC55" s="158" t="b">
        <v>0</v>
      </c>
      <c r="ED55" s="158" t="b">
        <v>0</v>
      </c>
      <c r="EE55" s="158" t="b">
        <v>0</v>
      </c>
      <c r="EF55" s="158" t="b">
        <v>0</v>
      </c>
      <c r="EG55" s="158" t="b">
        <v>0</v>
      </c>
      <c r="EH55" s="158" t="b">
        <v>0</v>
      </c>
      <c r="EI55" s="158" t="b">
        <v>0</v>
      </c>
      <c r="EJ55" s="158" t="b">
        <v>0</v>
      </c>
      <c r="EK55" s="158" t="b">
        <v>0</v>
      </c>
      <c r="EL55" s="158" t="b">
        <v>0</v>
      </c>
      <c r="EM55" s="158" t="b">
        <v>0</v>
      </c>
      <c r="EN55" s="158" t="b">
        <v>0</v>
      </c>
      <c r="EO55" s="158" t="b">
        <v>0</v>
      </c>
      <c r="EP55" s="158" t="b">
        <v>0</v>
      </c>
      <c r="EQ55" s="158" t="b">
        <v>0</v>
      </c>
      <c r="ER55" s="158" t="b">
        <v>0</v>
      </c>
      <c r="ES55" s="158" t="b">
        <v>0</v>
      </c>
      <c r="ET55" s="158" t="b">
        <v>0</v>
      </c>
      <c r="EU55" s="158" t="b">
        <v>0</v>
      </c>
      <c r="EV55" s="158" t="b">
        <v>0</v>
      </c>
      <c r="EW55" s="158" t="b">
        <v>0</v>
      </c>
      <c r="EX55" s="158" t="b">
        <v>0</v>
      </c>
      <c r="EY55" s="158" t="b">
        <v>0</v>
      </c>
      <c r="EZ55" s="158" t="b">
        <v>0</v>
      </c>
      <c r="FA55" s="158" t="b">
        <v>0</v>
      </c>
      <c r="FB55" s="158" t="b">
        <v>0</v>
      </c>
      <c r="FC55" s="158" t="b">
        <v>0</v>
      </c>
      <c r="FD55" s="158" t="b">
        <v>0</v>
      </c>
      <c r="FE55" s="158" t="b">
        <v>0</v>
      </c>
      <c r="FF55" s="158" t="b">
        <v>0</v>
      </c>
      <c r="FG55" s="158" t="b">
        <v>0</v>
      </c>
      <c r="FH55" s="158" t="b">
        <v>0</v>
      </c>
      <c r="FI55" s="158" t="b">
        <v>0</v>
      </c>
      <c r="FJ55" s="158" t="b">
        <v>0</v>
      </c>
      <c r="FK55" s="158" t="b">
        <v>0</v>
      </c>
      <c r="FL55" s="158" t="b">
        <v>0</v>
      </c>
      <c r="FM55" s="158" t="b">
        <v>0</v>
      </c>
      <c r="FN55" s="158" t="b">
        <v>0</v>
      </c>
      <c r="FO55" s="158" t="b">
        <v>0</v>
      </c>
      <c r="FP55" s="158" t="b">
        <v>0</v>
      </c>
      <c r="FQ55" s="158" t="b">
        <v>0</v>
      </c>
      <c r="FR55" s="158" t="b">
        <v>0</v>
      </c>
      <c r="FS55" s="158" t="b">
        <v>0</v>
      </c>
      <c r="FT55" s="158" t="b">
        <v>0</v>
      </c>
      <c r="FU55" s="158" t="b">
        <v>0</v>
      </c>
      <c r="FV55" s="158" t="b">
        <v>0</v>
      </c>
      <c r="FW55" s="158" t="b">
        <v>0</v>
      </c>
      <c r="FX55" s="158" t="b">
        <v>0</v>
      </c>
      <c r="FY55" s="158" t="b">
        <v>0</v>
      </c>
      <c r="FZ55" s="158" t="b">
        <v>0</v>
      </c>
      <c r="GA55" s="158" t="b">
        <v>0</v>
      </c>
      <c r="GB55" s="158" t="b">
        <v>0</v>
      </c>
      <c r="GC55" s="158" t="b">
        <v>0</v>
      </c>
      <c r="GD55" s="158" t="b">
        <v>0</v>
      </c>
      <c r="GE55" s="158" t="b">
        <v>0</v>
      </c>
      <c r="GF55" s="158" t="b">
        <v>0</v>
      </c>
      <c r="GG55" s="158" t="b">
        <v>0</v>
      </c>
      <c r="GH55" s="158" t="b">
        <v>0</v>
      </c>
      <c r="GI55" s="158" t="b">
        <v>0</v>
      </c>
      <c r="GJ55" s="158" t="b">
        <v>0</v>
      </c>
      <c r="GK55" s="158" t="b">
        <v>0</v>
      </c>
      <c r="GL55" s="158" t="b">
        <v>0</v>
      </c>
      <c r="GM55" s="158" t="b">
        <v>0</v>
      </c>
      <c r="GN55" s="158" t="b">
        <v>0</v>
      </c>
      <c r="GO55" s="158" t="b">
        <v>0</v>
      </c>
      <c r="GP55" s="158" t="b">
        <v>0</v>
      </c>
      <c r="GQ55" s="158" t="b">
        <v>0</v>
      </c>
      <c r="GR55" s="158" t="b">
        <v>0</v>
      </c>
      <c r="GS55" s="158" t="b">
        <v>0</v>
      </c>
      <c r="GT55" s="158" t="b">
        <v>0</v>
      </c>
      <c r="GU55" s="158" t="b">
        <v>0</v>
      </c>
      <c r="GV55" s="158" t="b">
        <v>0</v>
      </c>
      <c r="GW55" s="158" t="b">
        <v>0</v>
      </c>
      <c r="GX55" s="158" t="b">
        <v>0</v>
      </c>
      <c r="GY55" s="158" t="b">
        <v>0</v>
      </c>
      <c r="GZ55" s="158" t="b">
        <v>0</v>
      </c>
      <c r="HA55" s="158" t="b">
        <v>0</v>
      </c>
      <c r="HB55" s="158" t="b">
        <v>0</v>
      </c>
      <c r="HC55" s="158" t="b">
        <v>0</v>
      </c>
      <c r="HD55" s="158" t="b">
        <v>0</v>
      </c>
      <c r="HE55" s="158" t="b">
        <v>0</v>
      </c>
      <c r="HF55" s="158" t="b">
        <v>0</v>
      </c>
      <c r="HG55" s="158" t="b">
        <v>0</v>
      </c>
      <c r="HH55" s="93" t="b">
        <v>1</v>
      </c>
      <c r="HI55" s="93" t="b">
        <v>1</v>
      </c>
      <c r="HJ55" s="93" t="b">
        <v>1</v>
      </c>
      <c r="HK55" s="93" t="b">
        <v>0</v>
      </c>
      <c r="HL55" s="93" t="b">
        <v>0</v>
      </c>
      <c r="HM55" s="158" t="b">
        <v>0</v>
      </c>
      <c r="HN55" s="158" t="b">
        <v>0</v>
      </c>
      <c r="HO55" s="93" t="b">
        <v>1</v>
      </c>
      <c r="HP55" s="158" t="b">
        <v>0</v>
      </c>
      <c r="HQ55" s="93" t="b">
        <v>1</v>
      </c>
      <c r="HR55" s="158" t="b">
        <v>0</v>
      </c>
      <c r="HS55" s="158" t="b">
        <v>0</v>
      </c>
      <c r="HT55" s="158" t="b">
        <v>0</v>
      </c>
      <c r="HU55" s="158" t="b">
        <v>0</v>
      </c>
      <c r="HV55" s="158" t="b">
        <v>0</v>
      </c>
      <c r="HW55" s="158" t="b">
        <v>0</v>
      </c>
      <c r="HX55" s="158" t="b">
        <v>0</v>
      </c>
      <c r="HY55" s="158" t="b">
        <v>0</v>
      </c>
      <c r="HZ55" s="158" t="b">
        <v>0</v>
      </c>
      <c r="IA55" s="158" t="b">
        <v>0</v>
      </c>
      <c r="IB55" s="158" t="b">
        <v>0</v>
      </c>
      <c r="IC55" s="158" t="b">
        <v>0</v>
      </c>
      <c r="ID55" s="158" t="b">
        <v>0</v>
      </c>
      <c r="IE55" s="158" t="b">
        <v>0</v>
      </c>
      <c r="IF55" s="158" t="b">
        <v>0</v>
      </c>
      <c r="IG55" s="158" t="b">
        <v>0</v>
      </c>
      <c r="IH55" s="158" t="b">
        <v>0</v>
      </c>
      <c r="II55" s="158" t="b">
        <v>0</v>
      </c>
      <c r="IJ55" s="158" t="b">
        <v>0</v>
      </c>
      <c r="IK55" s="158" t="b">
        <v>0</v>
      </c>
      <c r="IL55" s="158" t="b">
        <v>0</v>
      </c>
      <c r="IM55" s="158" t="b">
        <v>0</v>
      </c>
      <c r="IN55" s="158" t="b">
        <v>0</v>
      </c>
      <c r="IO55" s="158" t="b">
        <v>0</v>
      </c>
      <c r="IP55" s="158" t="b">
        <v>0</v>
      </c>
      <c r="IQ55" s="158" t="b">
        <v>0</v>
      </c>
      <c r="IR55" s="158" t="b">
        <v>0</v>
      </c>
      <c r="IS55" s="158" t="b">
        <v>0</v>
      </c>
      <c r="IT55" s="158" t="b">
        <v>0</v>
      </c>
      <c r="IU55" s="158" t="b">
        <v>0</v>
      </c>
      <c r="IV55" s="158" t="b">
        <v>0</v>
      </c>
      <c r="IW55" s="158" t="b">
        <v>0</v>
      </c>
      <c r="IX55" s="158" t="b">
        <v>0</v>
      </c>
      <c r="IY55" s="158" t="b">
        <v>0</v>
      </c>
      <c r="IZ55" s="158" t="b">
        <v>0</v>
      </c>
      <c r="JA55" s="158" t="b">
        <v>0</v>
      </c>
      <c r="JB55" s="158" t="b">
        <v>0</v>
      </c>
      <c r="JC55" s="158" t="b">
        <v>0</v>
      </c>
      <c r="JD55" s="158" t="b">
        <v>0</v>
      </c>
      <c r="JE55" s="158" t="b">
        <v>0</v>
      </c>
      <c r="JF55" s="158" t="b">
        <v>0</v>
      </c>
      <c r="JG55" s="158" t="b">
        <v>0</v>
      </c>
      <c r="JH55" s="158" t="b">
        <v>0</v>
      </c>
      <c r="JI55" s="158" t="b">
        <v>0</v>
      </c>
      <c r="JJ55" s="158" t="b">
        <v>0</v>
      </c>
      <c r="JK55" s="158" t="b">
        <v>0</v>
      </c>
      <c r="JL55" s="158" t="b">
        <v>0</v>
      </c>
      <c r="JM55" s="158" t="b">
        <v>0</v>
      </c>
      <c r="JN55" s="158" t="b">
        <v>0</v>
      </c>
      <c r="JO55" s="158" t="b">
        <v>0</v>
      </c>
      <c r="JP55" s="158" t="b">
        <v>0</v>
      </c>
      <c r="JQ55" s="158" t="b">
        <v>0</v>
      </c>
      <c r="JR55" s="158" t="b">
        <v>0</v>
      </c>
      <c r="JS55" s="158" t="b">
        <v>0</v>
      </c>
      <c r="JT55" s="158" t="b">
        <v>0</v>
      </c>
      <c r="JU55" s="158" t="b">
        <v>0</v>
      </c>
      <c r="JV55" s="158" t="b">
        <v>0</v>
      </c>
      <c r="JW55" s="158" t="b">
        <v>0</v>
      </c>
      <c r="JX55" s="158" t="b">
        <v>0</v>
      </c>
      <c r="JY55" s="158" t="b">
        <v>0</v>
      </c>
      <c r="JZ55" s="158" t="b">
        <v>0</v>
      </c>
      <c r="KA55" s="158" t="b">
        <v>0</v>
      </c>
      <c r="KB55" s="158" t="b">
        <v>0</v>
      </c>
      <c r="KC55" s="158" t="b">
        <v>0</v>
      </c>
      <c r="KD55" s="158" t="b">
        <v>0</v>
      </c>
      <c r="KE55" s="158" t="b">
        <v>0</v>
      </c>
      <c r="KF55" s="158" t="b">
        <v>0</v>
      </c>
      <c r="KG55" s="158" t="b">
        <v>0</v>
      </c>
      <c r="KH55" s="158" t="b">
        <v>0</v>
      </c>
      <c r="KI55" s="158" t="b">
        <v>0</v>
      </c>
      <c r="KJ55" s="158" t="b">
        <v>0</v>
      </c>
      <c r="KK55" s="158" t="b">
        <v>0</v>
      </c>
      <c r="KL55" s="158" t="b">
        <v>0</v>
      </c>
      <c r="KM55" s="158" t="b">
        <v>0</v>
      </c>
      <c r="KN55" s="158" t="b">
        <v>0</v>
      </c>
      <c r="KO55" s="158" t="b">
        <v>0</v>
      </c>
      <c r="KP55" s="158" t="b">
        <v>0</v>
      </c>
      <c r="KQ55" s="158" t="b">
        <v>0</v>
      </c>
      <c r="KR55" s="158" t="b">
        <v>0</v>
      </c>
      <c r="KS55" s="158" t="b">
        <v>0</v>
      </c>
      <c r="KT55" s="158" t="b">
        <v>0</v>
      </c>
      <c r="KU55" s="158" t="b">
        <v>0</v>
      </c>
      <c r="KV55" s="158" t="b">
        <v>0</v>
      </c>
      <c r="KW55" s="158" t="b">
        <v>0</v>
      </c>
      <c r="KX55" s="158" t="b">
        <v>0</v>
      </c>
      <c r="KY55" s="158" t="b">
        <v>0</v>
      </c>
      <c r="KZ55" s="158" t="b">
        <v>0</v>
      </c>
      <c r="LA55" s="158" t="b">
        <v>0</v>
      </c>
      <c r="LB55" s="158" t="b">
        <v>0</v>
      </c>
      <c r="LC55" s="158" t="b">
        <v>0</v>
      </c>
      <c r="LD55" s="158" t="b">
        <v>0</v>
      </c>
      <c r="LE55" s="158" t="b">
        <v>0</v>
      </c>
      <c r="LF55" s="158" t="b">
        <v>0</v>
      </c>
      <c r="LG55" s="158" t="b">
        <v>0</v>
      </c>
      <c r="LH55" s="158" t="b">
        <v>0</v>
      </c>
      <c r="LI55" s="158" t="b">
        <v>0</v>
      </c>
      <c r="LJ55" s="158" t="b">
        <v>0</v>
      </c>
      <c r="LK55" s="158" t="b">
        <v>0</v>
      </c>
      <c r="LL55" s="158" t="b">
        <v>0</v>
      </c>
      <c r="LM55" s="158" t="b">
        <v>0</v>
      </c>
      <c r="LN55" s="158" t="b">
        <v>0</v>
      </c>
      <c r="LO55" s="158" t="b">
        <v>0</v>
      </c>
      <c r="LP55" s="158" t="b">
        <v>0</v>
      </c>
      <c r="LQ55" s="158" t="b">
        <v>0</v>
      </c>
      <c r="LR55" s="158" t="b">
        <v>0</v>
      </c>
      <c r="LS55" s="158" t="b">
        <v>0</v>
      </c>
      <c r="LT55" s="158" t="b">
        <v>0</v>
      </c>
      <c r="LU55" s="158" t="b">
        <v>0</v>
      </c>
      <c r="LV55" s="158" t="b">
        <v>0</v>
      </c>
      <c r="LW55" s="158" t="b">
        <v>0</v>
      </c>
      <c r="LX55" s="158" t="b">
        <v>0</v>
      </c>
      <c r="LY55" s="158" t="b">
        <v>0</v>
      </c>
      <c r="LZ55" s="158" t="b">
        <v>0</v>
      </c>
      <c r="MA55" s="158" t="b">
        <v>0</v>
      </c>
      <c r="MB55" s="158" t="b">
        <v>0</v>
      </c>
      <c r="MC55" s="158" t="b">
        <v>0</v>
      </c>
      <c r="MD55" s="158" t="b">
        <v>0</v>
      </c>
      <c r="ME55" s="158" t="b">
        <v>0</v>
      </c>
      <c r="MF55" s="158" t="b">
        <v>0</v>
      </c>
      <c r="MG55" s="158" t="b">
        <v>0</v>
      </c>
      <c r="MH55" s="158" t="b">
        <v>0</v>
      </c>
      <c r="MI55" s="158" t="b">
        <v>0</v>
      </c>
      <c r="MJ55" s="158" t="b">
        <v>0</v>
      </c>
      <c r="MK55" s="158" t="b">
        <v>0</v>
      </c>
      <c r="ML55" s="158" t="b">
        <v>0</v>
      </c>
      <c r="MM55" s="158" t="b">
        <v>0</v>
      </c>
      <c r="MN55" s="158" t="b">
        <v>0</v>
      </c>
      <c r="MO55" s="158" t="b">
        <v>0</v>
      </c>
      <c r="MP55" s="158" t="b">
        <v>0</v>
      </c>
      <c r="MQ55" s="158" t="b">
        <v>0</v>
      </c>
      <c r="MR55" s="158" t="b">
        <v>0</v>
      </c>
      <c r="MS55" s="158" t="b">
        <v>0</v>
      </c>
      <c r="MT55" s="158" t="b">
        <v>0</v>
      </c>
      <c r="MU55" s="158" t="b">
        <v>0</v>
      </c>
      <c r="MV55" s="158" t="b">
        <v>0</v>
      </c>
      <c r="MW55" s="158" t="b">
        <v>0</v>
      </c>
      <c r="MX55" s="158" t="b">
        <v>0</v>
      </c>
      <c r="MY55" s="158" t="b">
        <v>0</v>
      </c>
      <c r="MZ55" s="158" t="b">
        <v>0</v>
      </c>
      <c r="NA55" s="158" t="b">
        <v>0</v>
      </c>
      <c r="NB55" s="158" t="b">
        <v>0</v>
      </c>
      <c r="NC55" s="158" t="b">
        <v>0</v>
      </c>
      <c r="ND55" s="158" t="b">
        <v>0</v>
      </c>
      <c r="NE55" s="158" t="b">
        <v>0</v>
      </c>
      <c r="NF55" s="158" t="b">
        <v>0</v>
      </c>
      <c r="NG55" s="158" t="b">
        <v>0</v>
      </c>
      <c r="NH55" s="158" t="b">
        <v>0</v>
      </c>
      <c r="NI55" s="158" t="b">
        <v>0</v>
      </c>
      <c r="NJ55" s="158" t="b">
        <v>0</v>
      </c>
      <c r="NK55" s="158" t="b">
        <v>0</v>
      </c>
      <c r="NL55" s="158" t="b">
        <v>0</v>
      </c>
      <c r="NM55" s="158" t="b">
        <v>0</v>
      </c>
      <c r="NN55" s="158" t="b">
        <v>0</v>
      </c>
      <c r="NO55" s="158" t="b">
        <v>0</v>
      </c>
    </row>
    <row r="56" spans="1:379" ht="29.25" x14ac:dyDescent="0.4">
      <c r="A56" s="511" t="str">
        <v>01-D</v>
      </c>
      <c r="B56" s="158" t="b">
        <v>0</v>
      </c>
      <c r="C56" s="158" t="b">
        <v>0</v>
      </c>
      <c r="D56" s="158" t="b">
        <v>0</v>
      </c>
      <c r="E56" s="158" t="b">
        <v>0</v>
      </c>
      <c r="F56" s="158" t="b">
        <v>0</v>
      </c>
      <c r="G56" s="158" t="b">
        <v>0</v>
      </c>
      <c r="H56" s="158" t="b">
        <v>0</v>
      </c>
      <c r="I56" s="158" t="b">
        <v>0</v>
      </c>
      <c r="J56" s="158" t="b">
        <v>0</v>
      </c>
      <c r="K56" s="158" t="b">
        <v>0</v>
      </c>
      <c r="L56" s="158" t="b">
        <v>0</v>
      </c>
      <c r="M56" s="158" t="b">
        <v>0</v>
      </c>
      <c r="N56" s="158" t="b">
        <v>0</v>
      </c>
      <c r="O56" s="158" t="b">
        <v>0</v>
      </c>
      <c r="P56" s="158" t="b">
        <v>0</v>
      </c>
      <c r="Q56" s="158" t="b">
        <v>0</v>
      </c>
      <c r="R56" s="158" t="b">
        <v>0</v>
      </c>
      <c r="S56" s="158" t="b">
        <v>0</v>
      </c>
      <c r="T56" s="158" t="b">
        <v>0</v>
      </c>
      <c r="U56" s="158" t="b">
        <v>0</v>
      </c>
      <c r="V56" s="158" t="b">
        <v>0</v>
      </c>
      <c r="W56" s="158" t="b">
        <v>0</v>
      </c>
      <c r="X56" s="158" t="b">
        <v>0</v>
      </c>
      <c r="Y56" s="158" t="b">
        <v>0</v>
      </c>
      <c r="Z56" s="158" t="b">
        <v>0</v>
      </c>
      <c r="AA56" s="158" t="b">
        <v>0</v>
      </c>
      <c r="AB56" s="158" t="b">
        <v>0</v>
      </c>
      <c r="AC56" s="158" t="b">
        <v>0</v>
      </c>
      <c r="AD56" s="158" t="b">
        <v>0</v>
      </c>
      <c r="AE56" s="158" t="b">
        <v>0</v>
      </c>
      <c r="AF56" s="158" t="b">
        <v>0</v>
      </c>
      <c r="AG56" s="158" t="b">
        <v>0</v>
      </c>
      <c r="AH56" s="158" t="b">
        <v>0</v>
      </c>
      <c r="AI56" s="158" t="b">
        <v>0</v>
      </c>
      <c r="AJ56" s="158" t="b">
        <v>0</v>
      </c>
      <c r="AK56" s="158" t="b">
        <v>0</v>
      </c>
      <c r="AL56" s="158" t="b">
        <v>0</v>
      </c>
      <c r="AM56" s="158" t="b">
        <v>0</v>
      </c>
      <c r="AN56" s="158" t="b">
        <v>0</v>
      </c>
      <c r="AO56" s="158" t="b">
        <v>0</v>
      </c>
      <c r="AP56" s="158" t="b">
        <v>0</v>
      </c>
      <c r="AQ56" s="158" t="b">
        <v>0</v>
      </c>
      <c r="AR56" s="158" t="b">
        <v>0</v>
      </c>
      <c r="AS56" s="158" t="b">
        <v>0</v>
      </c>
      <c r="AT56" s="158" t="b">
        <v>0</v>
      </c>
      <c r="AU56" s="158" t="b">
        <v>0</v>
      </c>
      <c r="AV56" s="158" t="b">
        <v>0</v>
      </c>
      <c r="AW56" s="158" t="b">
        <v>0</v>
      </c>
      <c r="AX56" s="158" t="b">
        <v>0</v>
      </c>
      <c r="AY56" s="158" t="b">
        <v>0</v>
      </c>
      <c r="AZ56" s="158" t="b">
        <v>0</v>
      </c>
      <c r="BA56" s="158" t="b">
        <v>0</v>
      </c>
      <c r="BB56" s="158" t="b">
        <v>0</v>
      </c>
      <c r="BC56" s="158" t="b">
        <v>0</v>
      </c>
      <c r="BD56" s="158" t="b">
        <v>0</v>
      </c>
      <c r="BE56" s="158" t="b">
        <v>0</v>
      </c>
      <c r="BF56" s="158" t="b">
        <v>0</v>
      </c>
      <c r="BG56" s="158" t="b">
        <v>0</v>
      </c>
      <c r="BH56" s="158" t="b">
        <v>0</v>
      </c>
      <c r="BI56" s="158" t="b">
        <v>0</v>
      </c>
      <c r="BJ56" s="158" t="b">
        <v>0</v>
      </c>
      <c r="BK56" s="158" t="b">
        <v>0</v>
      </c>
      <c r="BL56" s="158" t="b">
        <v>0</v>
      </c>
      <c r="BM56" s="158" t="b">
        <v>0</v>
      </c>
      <c r="BN56" s="158" t="b">
        <v>0</v>
      </c>
      <c r="BO56" s="158" t="b">
        <v>0</v>
      </c>
      <c r="BP56" s="158" t="b">
        <v>0</v>
      </c>
      <c r="BQ56" s="158" t="b">
        <v>0</v>
      </c>
      <c r="BR56" s="158" t="b">
        <v>0</v>
      </c>
      <c r="BS56" s="158" t="b">
        <v>0</v>
      </c>
      <c r="BT56" s="158" t="b">
        <v>0</v>
      </c>
      <c r="BU56" s="158" t="b">
        <v>0</v>
      </c>
      <c r="BV56" s="158" t="b">
        <v>0</v>
      </c>
      <c r="BW56" s="158" t="b">
        <v>0</v>
      </c>
      <c r="BX56" s="158" t="b">
        <v>0</v>
      </c>
      <c r="BY56" s="158" t="b">
        <v>0</v>
      </c>
      <c r="BZ56" s="158" t="b">
        <v>0</v>
      </c>
      <c r="CA56" s="158" t="b">
        <v>0</v>
      </c>
      <c r="CB56" s="158" t="b">
        <v>0</v>
      </c>
      <c r="CC56" s="158" t="b">
        <v>0</v>
      </c>
      <c r="CD56" s="158" t="b">
        <v>0</v>
      </c>
      <c r="CE56" s="158" t="b">
        <v>0</v>
      </c>
      <c r="CF56" s="158" t="b">
        <v>0</v>
      </c>
      <c r="CG56" s="158" t="b">
        <v>0</v>
      </c>
      <c r="CH56" s="158" t="b">
        <v>0</v>
      </c>
      <c r="CI56" s="158" t="b">
        <v>0</v>
      </c>
      <c r="CJ56" s="158" t="b">
        <v>0</v>
      </c>
      <c r="CK56" s="158" t="b">
        <v>0</v>
      </c>
      <c r="CL56" s="158" t="b">
        <v>0</v>
      </c>
      <c r="CM56" s="158" t="b">
        <v>0</v>
      </c>
      <c r="CN56" s="158" t="b">
        <v>0</v>
      </c>
      <c r="CO56" s="158" t="b">
        <v>0</v>
      </c>
      <c r="CP56" s="158" t="b">
        <v>0</v>
      </c>
      <c r="CQ56" s="158" t="b">
        <v>0</v>
      </c>
      <c r="CR56" s="158" t="b">
        <v>0</v>
      </c>
      <c r="CS56" s="158" t="b">
        <v>0</v>
      </c>
      <c r="CT56" s="158" t="b">
        <v>0</v>
      </c>
      <c r="CU56" s="158" t="b">
        <v>0</v>
      </c>
      <c r="CV56" s="158" t="b">
        <v>0</v>
      </c>
      <c r="CW56" s="158" t="b">
        <v>0</v>
      </c>
      <c r="CX56" s="158" t="b">
        <v>0</v>
      </c>
      <c r="CY56" s="158" t="b">
        <v>0</v>
      </c>
      <c r="CZ56" s="158" t="b">
        <v>0</v>
      </c>
      <c r="DA56" s="158" t="b">
        <v>0</v>
      </c>
      <c r="DB56" s="158" t="b">
        <v>0</v>
      </c>
      <c r="DC56" s="158" t="b">
        <v>0</v>
      </c>
      <c r="DD56" s="158" t="b">
        <v>0</v>
      </c>
      <c r="DE56" s="158" t="b">
        <v>0</v>
      </c>
      <c r="DF56" s="158" t="b">
        <v>0</v>
      </c>
      <c r="DG56" s="158" t="b">
        <v>0</v>
      </c>
      <c r="DH56" s="158" t="b">
        <v>0</v>
      </c>
      <c r="DI56" s="158" t="b">
        <v>0</v>
      </c>
      <c r="DJ56" s="158" t="b">
        <v>0</v>
      </c>
      <c r="DK56" s="158" t="b">
        <v>0</v>
      </c>
      <c r="DL56" s="158" t="b">
        <v>0</v>
      </c>
      <c r="DM56" s="158" t="b">
        <v>0</v>
      </c>
      <c r="DN56" s="158" t="b">
        <v>0</v>
      </c>
      <c r="DO56" s="158" t="b">
        <v>0</v>
      </c>
      <c r="DP56" s="158" t="b">
        <v>0</v>
      </c>
      <c r="DQ56" s="158" t="b">
        <v>0</v>
      </c>
      <c r="DR56" s="158" t="b">
        <v>0</v>
      </c>
      <c r="DS56" s="158" t="b">
        <v>0</v>
      </c>
      <c r="DT56" s="158" t="b">
        <v>0</v>
      </c>
      <c r="DU56" s="158" t="b">
        <v>0</v>
      </c>
      <c r="DV56" s="158" t="b">
        <v>0</v>
      </c>
      <c r="DW56" s="158" t="b">
        <v>0</v>
      </c>
      <c r="DX56" s="158" t="b">
        <v>0</v>
      </c>
      <c r="DY56" s="158" t="b">
        <v>0</v>
      </c>
      <c r="DZ56" s="158" t="b">
        <v>0</v>
      </c>
      <c r="EA56" s="158" t="b">
        <v>0</v>
      </c>
      <c r="EB56" s="158" t="b">
        <v>0</v>
      </c>
      <c r="EC56" s="158" t="b">
        <v>0</v>
      </c>
      <c r="ED56" s="158" t="b">
        <v>0</v>
      </c>
      <c r="EE56" s="158" t="b">
        <v>0</v>
      </c>
      <c r="EF56" s="158" t="b">
        <v>0</v>
      </c>
      <c r="EG56" s="158" t="b">
        <v>0</v>
      </c>
      <c r="EH56" s="158" t="b">
        <v>0</v>
      </c>
      <c r="EI56" s="158" t="b">
        <v>0</v>
      </c>
      <c r="EJ56" s="158" t="b">
        <v>0</v>
      </c>
      <c r="EK56" s="158" t="b">
        <v>0</v>
      </c>
      <c r="EL56" s="158" t="b">
        <v>0</v>
      </c>
      <c r="EM56" s="158" t="b">
        <v>0</v>
      </c>
      <c r="EN56" s="158" t="b">
        <v>0</v>
      </c>
      <c r="EO56" s="158" t="b">
        <v>0</v>
      </c>
      <c r="EP56" s="158" t="b">
        <v>0</v>
      </c>
      <c r="EQ56" s="158" t="b">
        <v>0</v>
      </c>
      <c r="ER56" s="158" t="b">
        <v>0</v>
      </c>
      <c r="ES56" s="158" t="b">
        <v>0</v>
      </c>
      <c r="ET56" s="158" t="b">
        <v>0</v>
      </c>
      <c r="EU56" s="158" t="b">
        <v>0</v>
      </c>
      <c r="EV56" s="158" t="b">
        <v>0</v>
      </c>
      <c r="EW56" s="158" t="b">
        <v>0</v>
      </c>
      <c r="EX56" s="158" t="b">
        <v>0</v>
      </c>
      <c r="EY56" s="158" t="b">
        <v>0</v>
      </c>
      <c r="EZ56" s="158" t="b">
        <v>0</v>
      </c>
      <c r="FA56" s="158" t="b">
        <v>0</v>
      </c>
      <c r="FB56" s="158" t="b">
        <v>0</v>
      </c>
      <c r="FC56" s="158" t="b">
        <v>0</v>
      </c>
      <c r="FD56" s="158" t="b">
        <v>0</v>
      </c>
      <c r="FE56" s="158" t="b">
        <v>0</v>
      </c>
      <c r="FF56" s="158" t="b">
        <v>0</v>
      </c>
      <c r="FG56" s="158" t="b">
        <v>0</v>
      </c>
      <c r="FH56" s="158" t="b">
        <v>0</v>
      </c>
      <c r="FI56" s="158" t="b">
        <v>0</v>
      </c>
      <c r="FJ56" s="158" t="b">
        <v>0</v>
      </c>
      <c r="FK56" s="158" t="b">
        <v>0</v>
      </c>
      <c r="FL56" s="158" t="b">
        <v>0</v>
      </c>
      <c r="FM56" s="158" t="b">
        <v>0</v>
      </c>
      <c r="FN56" s="158" t="b">
        <v>0</v>
      </c>
      <c r="FO56" s="158" t="b">
        <v>0</v>
      </c>
      <c r="FP56" s="158" t="b">
        <v>0</v>
      </c>
      <c r="FQ56" s="158" t="b">
        <v>0</v>
      </c>
      <c r="FR56" s="158" t="b">
        <v>0</v>
      </c>
      <c r="FS56" s="158" t="b">
        <v>0</v>
      </c>
      <c r="FT56" s="158" t="b">
        <v>0</v>
      </c>
      <c r="FU56" s="158" t="b">
        <v>0</v>
      </c>
      <c r="FV56" s="158" t="b">
        <v>0</v>
      </c>
      <c r="FW56" s="158" t="b">
        <v>0</v>
      </c>
      <c r="FX56" s="158" t="b">
        <v>0</v>
      </c>
      <c r="FY56" s="158" t="b">
        <v>0</v>
      </c>
      <c r="FZ56" s="158" t="b">
        <v>0</v>
      </c>
      <c r="GA56" s="158" t="b">
        <v>0</v>
      </c>
      <c r="GB56" s="158" t="b">
        <v>0</v>
      </c>
      <c r="GC56" s="158" t="b">
        <v>0</v>
      </c>
      <c r="GD56" s="158" t="b">
        <v>0</v>
      </c>
      <c r="GE56" s="158" t="b">
        <v>0</v>
      </c>
      <c r="GF56" s="158" t="b">
        <v>0</v>
      </c>
      <c r="GG56" s="158" t="b">
        <v>0</v>
      </c>
      <c r="GH56" s="158" t="b">
        <v>0</v>
      </c>
      <c r="GI56" s="158" t="b">
        <v>0</v>
      </c>
      <c r="GJ56" s="158" t="b">
        <v>0</v>
      </c>
      <c r="GK56" s="158" t="b">
        <v>0</v>
      </c>
      <c r="GL56" s="158" t="b">
        <v>0</v>
      </c>
      <c r="GM56" s="158" t="b">
        <v>0</v>
      </c>
      <c r="GN56" s="158" t="b">
        <v>0</v>
      </c>
      <c r="GO56" s="158" t="b">
        <v>0</v>
      </c>
      <c r="GP56" s="158" t="b">
        <v>0</v>
      </c>
      <c r="GQ56" s="158" t="b">
        <v>0</v>
      </c>
      <c r="GR56" s="158" t="b">
        <v>0</v>
      </c>
      <c r="GS56" s="158" t="b">
        <v>0</v>
      </c>
      <c r="GT56" s="158" t="b">
        <v>0</v>
      </c>
      <c r="GU56" s="158" t="b">
        <v>0</v>
      </c>
      <c r="GV56" s="158" t="b">
        <v>0</v>
      </c>
      <c r="GW56" s="158" t="b">
        <v>0</v>
      </c>
      <c r="GX56" s="158" t="b">
        <v>0</v>
      </c>
      <c r="GY56" s="158" t="b">
        <v>0</v>
      </c>
      <c r="GZ56" s="158" t="b">
        <v>0</v>
      </c>
      <c r="HA56" s="158" t="b">
        <v>0</v>
      </c>
      <c r="HB56" s="158" t="b">
        <v>0</v>
      </c>
      <c r="HC56" s="158" t="b">
        <v>0</v>
      </c>
      <c r="HD56" s="158" t="b">
        <v>0</v>
      </c>
      <c r="HE56" s="158" t="b">
        <v>0</v>
      </c>
      <c r="HF56" s="158" t="b">
        <v>0</v>
      </c>
      <c r="HG56" s="158" t="b">
        <v>0</v>
      </c>
      <c r="HH56" s="158" t="b">
        <v>0</v>
      </c>
      <c r="HI56" s="158" t="b">
        <v>0</v>
      </c>
      <c r="HJ56" s="93" t="b">
        <v>1</v>
      </c>
      <c r="HK56" s="93" t="b">
        <v>1</v>
      </c>
      <c r="HL56" s="93" t="b">
        <v>1</v>
      </c>
      <c r="HM56" s="158" t="b">
        <v>0</v>
      </c>
      <c r="HN56" s="158" t="b">
        <v>0</v>
      </c>
      <c r="HO56" s="158" t="b">
        <v>0</v>
      </c>
      <c r="HP56" s="158" t="b">
        <v>0</v>
      </c>
      <c r="HQ56" s="158" t="b">
        <v>0</v>
      </c>
      <c r="HR56" s="158" t="b">
        <v>0</v>
      </c>
      <c r="HS56" s="158" t="b">
        <v>0</v>
      </c>
      <c r="HT56" s="158" t="b">
        <v>0</v>
      </c>
      <c r="HU56" s="158" t="b">
        <v>0</v>
      </c>
      <c r="HV56" s="158" t="b">
        <v>0</v>
      </c>
      <c r="HW56" s="158" t="b">
        <v>0</v>
      </c>
      <c r="HX56" s="158" t="b">
        <v>0</v>
      </c>
      <c r="HY56" s="158" t="b">
        <v>0</v>
      </c>
      <c r="HZ56" s="158" t="b">
        <v>0</v>
      </c>
      <c r="IA56" s="158" t="b">
        <v>0</v>
      </c>
      <c r="IB56" s="158" t="b">
        <v>0</v>
      </c>
      <c r="IC56" s="158" t="b">
        <v>0</v>
      </c>
      <c r="ID56" s="158" t="b">
        <v>0</v>
      </c>
      <c r="IE56" s="158" t="b">
        <v>0</v>
      </c>
      <c r="IF56" s="158" t="b">
        <v>0</v>
      </c>
      <c r="IG56" s="158" t="b">
        <v>0</v>
      </c>
      <c r="IH56" s="158" t="b">
        <v>0</v>
      </c>
      <c r="II56" s="158" t="b">
        <v>0</v>
      </c>
      <c r="IJ56" s="158" t="b">
        <v>0</v>
      </c>
      <c r="IK56" s="158" t="b">
        <v>0</v>
      </c>
      <c r="IL56" s="158" t="b">
        <v>0</v>
      </c>
      <c r="IM56" s="158" t="b">
        <v>0</v>
      </c>
      <c r="IN56" s="158" t="b">
        <v>0</v>
      </c>
      <c r="IO56" s="158" t="b">
        <v>0</v>
      </c>
      <c r="IP56" s="158" t="b">
        <v>0</v>
      </c>
      <c r="IQ56" s="158" t="b">
        <v>0</v>
      </c>
      <c r="IR56" s="158" t="b">
        <v>0</v>
      </c>
      <c r="IS56" s="158" t="b">
        <v>0</v>
      </c>
      <c r="IT56" s="158" t="b">
        <v>0</v>
      </c>
      <c r="IU56" s="158" t="b">
        <v>0</v>
      </c>
      <c r="IV56" s="158" t="b">
        <v>0</v>
      </c>
      <c r="IW56" s="158" t="b">
        <v>0</v>
      </c>
      <c r="IX56" s="158" t="b">
        <v>0</v>
      </c>
      <c r="IY56" s="158" t="b">
        <v>0</v>
      </c>
      <c r="IZ56" s="158" t="b">
        <v>0</v>
      </c>
      <c r="JA56" s="158" t="b">
        <v>0</v>
      </c>
      <c r="JB56" s="158" t="b">
        <v>0</v>
      </c>
      <c r="JC56" s="158" t="b">
        <v>0</v>
      </c>
      <c r="JD56" s="158" t="b">
        <v>0</v>
      </c>
      <c r="JE56" s="158" t="b">
        <v>0</v>
      </c>
      <c r="JF56" s="158" t="b">
        <v>0</v>
      </c>
      <c r="JG56" s="158" t="b">
        <v>0</v>
      </c>
      <c r="JH56" s="158" t="b">
        <v>0</v>
      </c>
      <c r="JI56" s="158" t="b">
        <v>0</v>
      </c>
      <c r="JJ56" s="158" t="b">
        <v>0</v>
      </c>
      <c r="JK56" s="158" t="b">
        <v>0</v>
      </c>
      <c r="JL56" s="158" t="b">
        <v>0</v>
      </c>
      <c r="JM56" s="158" t="b">
        <v>0</v>
      </c>
      <c r="JN56" s="158" t="b">
        <v>0</v>
      </c>
      <c r="JO56" s="158" t="b">
        <v>0</v>
      </c>
      <c r="JP56" s="158" t="b">
        <v>0</v>
      </c>
      <c r="JQ56" s="158" t="b">
        <v>0</v>
      </c>
      <c r="JR56" s="158" t="b">
        <v>0</v>
      </c>
      <c r="JS56" s="158" t="b">
        <v>0</v>
      </c>
      <c r="JT56" s="158" t="b">
        <v>0</v>
      </c>
      <c r="JU56" s="158" t="b">
        <v>0</v>
      </c>
      <c r="JV56" s="158" t="b">
        <v>0</v>
      </c>
      <c r="JW56" s="158" t="b">
        <v>0</v>
      </c>
      <c r="JX56" s="158" t="b">
        <v>0</v>
      </c>
      <c r="JY56" s="158" t="b">
        <v>0</v>
      </c>
      <c r="JZ56" s="158" t="b">
        <v>0</v>
      </c>
      <c r="KA56" s="158" t="b">
        <v>0</v>
      </c>
      <c r="KB56" s="158" t="b">
        <v>0</v>
      </c>
      <c r="KC56" s="158" t="b">
        <v>0</v>
      </c>
      <c r="KD56" s="158" t="b">
        <v>0</v>
      </c>
      <c r="KE56" s="158" t="b">
        <v>0</v>
      </c>
      <c r="KF56" s="158" t="b">
        <v>0</v>
      </c>
      <c r="KG56" s="158" t="b">
        <v>0</v>
      </c>
      <c r="KH56" s="158" t="b">
        <v>0</v>
      </c>
      <c r="KI56" s="158" t="b">
        <v>0</v>
      </c>
      <c r="KJ56" s="158" t="b">
        <v>0</v>
      </c>
      <c r="KK56" s="158" t="b">
        <v>0</v>
      </c>
      <c r="KL56" s="158" t="b">
        <v>0</v>
      </c>
      <c r="KM56" s="158" t="b">
        <v>0</v>
      </c>
      <c r="KN56" s="158" t="b">
        <v>0</v>
      </c>
      <c r="KO56" s="158" t="b">
        <v>0</v>
      </c>
      <c r="KP56" s="158" t="b">
        <v>0</v>
      </c>
      <c r="KQ56" s="158" t="b">
        <v>0</v>
      </c>
      <c r="KR56" s="158" t="b">
        <v>0</v>
      </c>
      <c r="KS56" s="158" t="b">
        <v>0</v>
      </c>
      <c r="KT56" s="158" t="b">
        <v>0</v>
      </c>
      <c r="KU56" s="158" t="b">
        <v>0</v>
      </c>
      <c r="KV56" s="158" t="b">
        <v>0</v>
      </c>
      <c r="KW56" s="158" t="b">
        <v>0</v>
      </c>
      <c r="KX56" s="158" t="b">
        <v>0</v>
      </c>
      <c r="KY56" s="158" t="b">
        <v>0</v>
      </c>
      <c r="KZ56" s="158" t="b">
        <v>0</v>
      </c>
      <c r="LA56" s="158" t="b">
        <v>0</v>
      </c>
      <c r="LB56" s="158" t="b">
        <v>0</v>
      </c>
      <c r="LC56" s="158" t="b">
        <v>0</v>
      </c>
      <c r="LD56" s="158" t="b">
        <v>0</v>
      </c>
      <c r="LE56" s="158" t="b">
        <v>0</v>
      </c>
      <c r="LF56" s="158" t="b">
        <v>0</v>
      </c>
      <c r="LG56" s="158" t="b">
        <v>0</v>
      </c>
      <c r="LH56" s="158" t="b">
        <v>0</v>
      </c>
      <c r="LI56" s="158" t="b">
        <v>0</v>
      </c>
      <c r="LJ56" s="158" t="b">
        <v>0</v>
      </c>
      <c r="LK56" s="158" t="b">
        <v>0</v>
      </c>
      <c r="LL56" s="158" t="b">
        <v>0</v>
      </c>
      <c r="LM56" s="158" t="b">
        <v>0</v>
      </c>
      <c r="LN56" s="158" t="b">
        <v>0</v>
      </c>
      <c r="LO56" s="158" t="b">
        <v>0</v>
      </c>
      <c r="LP56" s="158" t="b">
        <v>0</v>
      </c>
      <c r="LQ56" s="158" t="b">
        <v>0</v>
      </c>
      <c r="LR56" s="158" t="b">
        <v>0</v>
      </c>
      <c r="LS56" s="158" t="b">
        <v>0</v>
      </c>
      <c r="LT56" s="158" t="b">
        <v>0</v>
      </c>
      <c r="LU56" s="158" t="b">
        <v>0</v>
      </c>
      <c r="LV56" s="158" t="b">
        <v>0</v>
      </c>
      <c r="LW56" s="158" t="b">
        <v>0</v>
      </c>
      <c r="LX56" s="158" t="b">
        <v>0</v>
      </c>
      <c r="LY56" s="158" t="b">
        <v>0</v>
      </c>
      <c r="LZ56" s="158" t="b">
        <v>0</v>
      </c>
      <c r="MA56" s="158" t="b">
        <v>0</v>
      </c>
      <c r="MB56" s="158" t="b">
        <v>0</v>
      </c>
      <c r="MC56" s="158" t="b">
        <v>0</v>
      </c>
      <c r="MD56" s="158" t="b">
        <v>0</v>
      </c>
      <c r="ME56" s="158" t="b">
        <v>0</v>
      </c>
      <c r="MF56" s="158" t="b">
        <v>0</v>
      </c>
      <c r="MG56" s="158" t="b">
        <v>0</v>
      </c>
      <c r="MH56" s="158" t="b">
        <v>0</v>
      </c>
      <c r="MI56" s="158" t="b">
        <v>0</v>
      </c>
      <c r="MJ56" s="158" t="b">
        <v>0</v>
      </c>
      <c r="MK56" s="158" t="b">
        <v>0</v>
      </c>
      <c r="ML56" s="158" t="b">
        <v>0</v>
      </c>
      <c r="MM56" s="158" t="b">
        <v>0</v>
      </c>
      <c r="MN56" s="158" t="b">
        <v>0</v>
      </c>
      <c r="MO56" s="158" t="b">
        <v>0</v>
      </c>
      <c r="MP56" s="158" t="b">
        <v>0</v>
      </c>
      <c r="MQ56" s="158" t="b">
        <v>0</v>
      </c>
      <c r="MR56" s="158" t="b">
        <v>0</v>
      </c>
      <c r="MS56" s="158" t="b">
        <v>0</v>
      </c>
      <c r="MT56" s="158" t="b">
        <v>0</v>
      </c>
      <c r="MU56" s="158" t="b">
        <v>0</v>
      </c>
      <c r="MV56" s="158" t="b">
        <v>0</v>
      </c>
      <c r="MW56" s="158" t="b">
        <v>0</v>
      </c>
      <c r="MX56" s="158" t="b">
        <v>0</v>
      </c>
      <c r="MY56" s="158" t="b">
        <v>0</v>
      </c>
      <c r="MZ56" s="158" t="b">
        <v>0</v>
      </c>
      <c r="NA56" s="158" t="b">
        <v>0</v>
      </c>
      <c r="NB56" s="158" t="b">
        <v>0</v>
      </c>
      <c r="NC56" s="158" t="b">
        <v>0</v>
      </c>
      <c r="ND56" s="158" t="b">
        <v>0</v>
      </c>
      <c r="NE56" s="158" t="b">
        <v>0</v>
      </c>
      <c r="NF56" s="158" t="b">
        <v>0</v>
      </c>
      <c r="NG56" s="158" t="b">
        <v>0</v>
      </c>
      <c r="NH56" s="158" t="b">
        <v>0</v>
      </c>
      <c r="NI56" s="158" t="b">
        <v>0</v>
      </c>
      <c r="NJ56" s="158" t="b">
        <v>0</v>
      </c>
      <c r="NK56" s="158" t="b">
        <v>0</v>
      </c>
      <c r="NL56" s="158" t="b">
        <v>0</v>
      </c>
      <c r="NM56" s="158" t="b">
        <v>0</v>
      </c>
      <c r="NN56" s="158" t="b">
        <v>0</v>
      </c>
      <c r="NO56" s="158" t="b">
        <v>0</v>
      </c>
    </row>
    <row r="57" spans="1:379" ht="29.25" x14ac:dyDescent="0.4">
      <c r="A57" s="511" t="str">
        <v xml:space="preserve">BMC </v>
      </c>
      <c r="B57" s="158" t="b">
        <v>0</v>
      </c>
      <c r="C57" s="158" t="b">
        <v>0</v>
      </c>
      <c r="D57" s="158" t="b">
        <v>0</v>
      </c>
      <c r="E57" s="158" t="b">
        <v>0</v>
      </c>
      <c r="F57" s="158" t="b">
        <v>0</v>
      </c>
      <c r="G57" s="158" t="b">
        <v>0</v>
      </c>
      <c r="H57" s="158" t="b">
        <v>0</v>
      </c>
      <c r="I57" s="158" t="b">
        <v>0</v>
      </c>
      <c r="J57" s="158" t="b">
        <v>0</v>
      </c>
      <c r="K57" s="158" t="b">
        <v>0</v>
      </c>
      <c r="L57" s="158" t="b">
        <v>0</v>
      </c>
      <c r="M57" s="158" t="b">
        <v>0</v>
      </c>
      <c r="N57" s="158" t="b">
        <v>0</v>
      </c>
      <c r="O57" s="158" t="b">
        <v>0</v>
      </c>
      <c r="P57" s="158" t="b">
        <v>0</v>
      </c>
      <c r="Q57" s="158" t="b">
        <v>0</v>
      </c>
      <c r="R57" s="158" t="b">
        <v>0</v>
      </c>
      <c r="S57" s="158" t="b">
        <v>0</v>
      </c>
      <c r="T57" s="158" t="b">
        <v>0</v>
      </c>
      <c r="U57" s="158" t="b">
        <v>0</v>
      </c>
      <c r="V57" s="158" t="b">
        <v>0</v>
      </c>
      <c r="W57" s="158" t="b">
        <v>0</v>
      </c>
      <c r="X57" s="158" t="b">
        <v>0</v>
      </c>
      <c r="Y57" s="158" t="b">
        <v>0</v>
      </c>
      <c r="Z57" s="158" t="b">
        <v>0</v>
      </c>
      <c r="AA57" s="158" t="b">
        <v>0</v>
      </c>
      <c r="AB57" s="158" t="b">
        <v>0</v>
      </c>
      <c r="AC57" s="158" t="b">
        <v>0</v>
      </c>
      <c r="AD57" s="158" t="b">
        <v>0</v>
      </c>
      <c r="AE57" s="158" t="b">
        <v>0</v>
      </c>
      <c r="AF57" s="158" t="b">
        <v>0</v>
      </c>
      <c r="AG57" s="158" t="b">
        <v>0</v>
      </c>
      <c r="AH57" s="158" t="b">
        <v>0</v>
      </c>
      <c r="AI57" s="158" t="b">
        <v>0</v>
      </c>
      <c r="AJ57" s="158" t="b">
        <v>0</v>
      </c>
      <c r="AK57" s="158" t="b">
        <v>0</v>
      </c>
      <c r="AL57" s="158" t="b">
        <v>0</v>
      </c>
      <c r="AM57" s="158" t="b">
        <v>0</v>
      </c>
      <c r="AN57" s="158" t="b">
        <v>0</v>
      </c>
      <c r="AO57" s="158" t="b">
        <v>0</v>
      </c>
      <c r="AP57" s="158" t="b">
        <v>0</v>
      </c>
      <c r="AQ57" s="158" t="b">
        <v>0</v>
      </c>
      <c r="AR57" s="158" t="b">
        <v>0</v>
      </c>
      <c r="AS57" s="158" t="b">
        <v>0</v>
      </c>
      <c r="AT57" s="158" t="b">
        <v>0</v>
      </c>
      <c r="AU57" s="158" t="b">
        <v>0</v>
      </c>
      <c r="AV57" s="158" t="b">
        <v>0</v>
      </c>
      <c r="AW57" s="158" t="b">
        <v>0</v>
      </c>
      <c r="AX57" s="158" t="b">
        <v>0</v>
      </c>
      <c r="AY57" s="158" t="b">
        <v>0</v>
      </c>
      <c r="AZ57" s="158" t="b">
        <v>0</v>
      </c>
      <c r="BA57" s="158" t="b">
        <v>0</v>
      </c>
      <c r="BB57" s="158" t="b">
        <v>0</v>
      </c>
      <c r="BC57" s="158" t="b">
        <v>0</v>
      </c>
      <c r="BD57" s="158" t="b">
        <v>0</v>
      </c>
      <c r="BE57" s="158" t="b">
        <v>0</v>
      </c>
      <c r="BF57" s="158" t="b">
        <v>0</v>
      </c>
      <c r="BG57" s="158" t="b">
        <v>0</v>
      </c>
      <c r="BH57" s="158" t="b">
        <v>0</v>
      </c>
      <c r="BI57" s="158" t="b">
        <v>0</v>
      </c>
      <c r="BJ57" s="158" t="b">
        <v>0</v>
      </c>
      <c r="BK57" s="158" t="b">
        <v>0</v>
      </c>
      <c r="BL57" s="158" t="b">
        <v>0</v>
      </c>
      <c r="BM57" s="158" t="b">
        <v>0</v>
      </c>
      <c r="BN57" s="158" t="b">
        <v>0</v>
      </c>
      <c r="BO57" s="158" t="b">
        <v>0</v>
      </c>
      <c r="BP57" s="158" t="b">
        <v>0</v>
      </c>
      <c r="BQ57" s="158" t="b">
        <v>0</v>
      </c>
      <c r="BR57" s="158" t="b">
        <v>0</v>
      </c>
      <c r="BS57" s="158" t="b">
        <v>0</v>
      </c>
      <c r="BT57" s="158" t="b">
        <v>0</v>
      </c>
      <c r="BU57" s="158" t="b">
        <v>0</v>
      </c>
      <c r="BV57" s="158" t="b">
        <v>0</v>
      </c>
      <c r="BW57" s="158" t="b">
        <v>0</v>
      </c>
      <c r="BX57" s="158" t="b">
        <v>0</v>
      </c>
      <c r="BY57" s="158" t="b">
        <v>0</v>
      </c>
      <c r="BZ57" s="158" t="b">
        <v>0</v>
      </c>
      <c r="CA57" s="158" t="b">
        <v>0</v>
      </c>
      <c r="CB57" s="158" t="b">
        <v>0</v>
      </c>
      <c r="CC57" s="158" t="b">
        <v>0</v>
      </c>
      <c r="CD57" s="158" t="b">
        <v>0</v>
      </c>
      <c r="CE57" s="158" t="b">
        <v>0</v>
      </c>
      <c r="CF57" s="158" t="b">
        <v>0</v>
      </c>
      <c r="CG57" s="158" t="b">
        <v>0</v>
      </c>
      <c r="CH57" s="158" t="b">
        <v>0</v>
      </c>
      <c r="CI57" s="158" t="b">
        <v>0</v>
      </c>
      <c r="CJ57" s="158" t="b">
        <v>0</v>
      </c>
      <c r="CK57" s="158" t="b">
        <v>0</v>
      </c>
      <c r="CL57" s="158" t="b">
        <v>0</v>
      </c>
      <c r="CM57" s="158" t="b">
        <v>0</v>
      </c>
      <c r="CN57" s="158" t="b">
        <v>0</v>
      </c>
      <c r="CO57" s="158" t="b">
        <v>0</v>
      </c>
      <c r="CP57" s="158" t="b">
        <v>0</v>
      </c>
      <c r="CQ57" s="158" t="b">
        <v>0</v>
      </c>
      <c r="CR57" s="158" t="b">
        <v>0</v>
      </c>
      <c r="CS57" s="158" t="b">
        <v>0</v>
      </c>
      <c r="CT57" s="158" t="b">
        <v>0</v>
      </c>
      <c r="CU57" s="158" t="b">
        <v>0</v>
      </c>
      <c r="CV57" s="158" t="b">
        <v>0</v>
      </c>
      <c r="CW57" s="158" t="b">
        <v>0</v>
      </c>
      <c r="CX57" s="158" t="b">
        <v>0</v>
      </c>
      <c r="CY57" s="158" t="b">
        <v>0</v>
      </c>
      <c r="CZ57" s="158" t="b">
        <v>0</v>
      </c>
      <c r="DA57" s="158" t="b">
        <v>0</v>
      </c>
      <c r="DB57" s="158" t="b">
        <v>0</v>
      </c>
      <c r="DC57" s="158" t="b">
        <v>0</v>
      </c>
      <c r="DD57" s="158" t="b">
        <v>0</v>
      </c>
      <c r="DE57" s="158" t="b">
        <v>0</v>
      </c>
      <c r="DF57" s="158" t="b">
        <v>0</v>
      </c>
      <c r="DG57" s="158" t="b">
        <v>0</v>
      </c>
      <c r="DH57" s="158" t="b">
        <v>0</v>
      </c>
      <c r="DI57" s="158" t="b">
        <v>0</v>
      </c>
      <c r="DJ57" s="158" t="b">
        <v>0</v>
      </c>
      <c r="DK57" s="158" t="b">
        <v>0</v>
      </c>
      <c r="DL57" s="158" t="b">
        <v>0</v>
      </c>
      <c r="DM57" s="158" t="b">
        <v>0</v>
      </c>
      <c r="DN57" s="158" t="b">
        <v>0</v>
      </c>
      <c r="DO57" s="158" t="b">
        <v>0</v>
      </c>
      <c r="DP57" s="158" t="b">
        <v>0</v>
      </c>
      <c r="DQ57" s="158" t="b">
        <v>0</v>
      </c>
      <c r="DR57" s="158" t="b">
        <v>0</v>
      </c>
      <c r="DS57" s="158" t="b">
        <v>0</v>
      </c>
      <c r="DT57" s="158" t="b">
        <v>0</v>
      </c>
      <c r="DU57" s="158" t="b">
        <v>0</v>
      </c>
      <c r="DV57" s="158" t="b">
        <v>0</v>
      </c>
      <c r="DW57" s="158" t="b">
        <v>0</v>
      </c>
      <c r="DX57" s="158" t="b">
        <v>0</v>
      </c>
      <c r="DY57" s="158" t="b">
        <v>0</v>
      </c>
      <c r="DZ57" s="158" t="b">
        <v>0</v>
      </c>
      <c r="EA57" s="158" t="b">
        <v>0</v>
      </c>
      <c r="EB57" s="158" t="b">
        <v>0</v>
      </c>
      <c r="EC57" s="158" t="b">
        <v>0</v>
      </c>
      <c r="ED57" s="158" t="b">
        <v>0</v>
      </c>
      <c r="EE57" s="158" t="b">
        <v>0</v>
      </c>
      <c r="EF57" s="158" t="b">
        <v>0</v>
      </c>
      <c r="EG57" s="158" t="b">
        <v>0</v>
      </c>
      <c r="EH57" s="158" t="b">
        <v>0</v>
      </c>
      <c r="EI57" s="158" t="b">
        <v>0</v>
      </c>
      <c r="EJ57" s="158" t="b">
        <v>0</v>
      </c>
      <c r="EK57" s="158" t="b">
        <v>0</v>
      </c>
      <c r="EL57" s="158" t="b">
        <v>0</v>
      </c>
      <c r="EM57" s="158" t="b">
        <v>0</v>
      </c>
      <c r="EN57" s="158" t="b">
        <v>0</v>
      </c>
      <c r="EO57" s="158" t="b">
        <v>0</v>
      </c>
      <c r="EP57" s="158" t="b">
        <v>0</v>
      </c>
      <c r="EQ57" s="158" t="b">
        <v>0</v>
      </c>
      <c r="ER57" s="158" t="b">
        <v>0</v>
      </c>
      <c r="ES57" s="158" t="b">
        <v>0</v>
      </c>
      <c r="ET57" s="158" t="b">
        <v>0</v>
      </c>
      <c r="EU57" s="158" t="b">
        <v>0</v>
      </c>
      <c r="EV57" s="158" t="b">
        <v>0</v>
      </c>
      <c r="EW57" s="158" t="b">
        <v>0</v>
      </c>
      <c r="EX57" s="93" t="b">
        <v>1</v>
      </c>
      <c r="EY57" s="93" t="b">
        <v>1</v>
      </c>
      <c r="EZ57" s="158" t="b">
        <v>0</v>
      </c>
      <c r="FA57" s="158" t="b">
        <v>0</v>
      </c>
      <c r="FB57" s="158" t="b">
        <v>0</v>
      </c>
      <c r="FC57" s="158" t="b">
        <v>0</v>
      </c>
      <c r="FD57" s="158" t="b">
        <v>0</v>
      </c>
      <c r="FE57" s="158" t="b">
        <v>0</v>
      </c>
      <c r="FF57" s="158" t="b">
        <v>0</v>
      </c>
      <c r="FG57" s="158" t="b">
        <v>0</v>
      </c>
      <c r="FH57" s="158" t="b">
        <v>0</v>
      </c>
      <c r="FI57" s="158" t="b">
        <v>0</v>
      </c>
      <c r="FJ57" s="158" t="b">
        <v>0</v>
      </c>
      <c r="FK57" s="158" t="b">
        <v>0</v>
      </c>
      <c r="FL57" s="158" t="b">
        <v>0</v>
      </c>
      <c r="FM57" s="158" t="b">
        <v>0</v>
      </c>
      <c r="FN57" s="158" t="b">
        <v>0</v>
      </c>
      <c r="FO57" s="158" t="b">
        <v>0</v>
      </c>
      <c r="FP57" s="158" t="b">
        <v>0</v>
      </c>
      <c r="FQ57" s="158" t="b">
        <v>0</v>
      </c>
      <c r="FR57" s="158" t="b">
        <v>0</v>
      </c>
      <c r="FS57" s="158" t="b">
        <v>0</v>
      </c>
      <c r="FT57" s="158" t="b">
        <v>0</v>
      </c>
      <c r="FU57" s="158" t="b">
        <v>0</v>
      </c>
      <c r="FV57" s="158" t="b">
        <v>0</v>
      </c>
      <c r="FW57" s="158" t="b">
        <v>0</v>
      </c>
      <c r="FX57" s="158" t="b">
        <v>0</v>
      </c>
      <c r="FY57" s="158" t="b">
        <v>0</v>
      </c>
      <c r="FZ57" s="158" t="b">
        <v>0</v>
      </c>
      <c r="GA57" s="158" t="b">
        <v>0</v>
      </c>
      <c r="GB57" s="158" t="b">
        <v>0</v>
      </c>
      <c r="GC57" s="158" t="b">
        <v>0</v>
      </c>
      <c r="GD57" s="158" t="b">
        <v>0</v>
      </c>
      <c r="GE57" s="158" t="b">
        <v>0</v>
      </c>
      <c r="GF57" s="158" t="b">
        <v>0</v>
      </c>
      <c r="GG57" s="158" t="b">
        <v>0</v>
      </c>
      <c r="GH57" s="158" t="b">
        <v>0</v>
      </c>
      <c r="GI57" s="158" t="b">
        <v>0</v>
      </c>
      <c r="GJ57" s="158" t="b">
        <v>0</v>
      </c>
      <c r="GK57" s="158" t="b">
        <v>0</v>
      </c>
      <c r="GL57" s="158" t="b">
        <v>0</v>
      </c>
      <c r="GM57" s="158" t="b">
        <v>0</v>
      </c>
      <c r="GN57" s="158" t="b">
        <v>0</v>
      </c>
      <c r="GO57" s="158" t="b">
        <v>0</v>
      </c>
      <c r="GP57" s="158" t="b">
        <v>0</v>
      </c>
      <c r="GQ57" s="158" t="b">
        <v>0</v>
      </c>
      <c r="GR57" s="158" t="b">
        <v>0</v>
      </c>
      <c r="GS57" s="158" t="b">
        <v>0</v>
      </c>
      <c r="GT57" s="158" t="b">
        <v>0</v>
      </c>
      <c r="GU57" s="158" t="b">
        <v>0</v>
      </c>
      <c r="GV57" s="158" t="b">
        <v>0</v>
      </c>
      <c r="GW57" s="158" t="b">
        <v>0</v>
      </c>
      <c r="GX57" s="158" t="b">
        <v>0</v>
      </c>
      <c r="GY57" s="158" t="b">
        <v>0</v>
      </c>
      <c r="GZ57" s="158" t="b">
        <v>0</v>
      </c>
      <c r="HA57" s="158" t="b">
        <v>0</v>
      </c>
      <c r="HB57" s="158" t="b">
        <v>0</v>
      </c>
      <c r="HC57" s="158" t="b">
        <v>0</v>
      </c>
      <c r="HD57" s="158" t="b">
        <v>0</v>
      </c>
      <c r="HE57" s="158" t="b">
        <v>0</v>
      </c>
      <c r="HF57" s="158" t="b">
        <v>0</v>
      </c>
      <c r="HG57" s="158" t="b">
        <v>0</v>
      </c>
      <c r="HH57" s="158" t="b">
        <v>0</v>
      </c>
      <c r="HI57" s="158" t="b">
        <v>0</v>
      </c>
      <c r="HJ57" s="93" t="b">
        <v>1</v>
      </c>
      <c r="HK57" s="93" t="b">
        <v>1</v>
      </c>
      <c r="HL57" s="93" t="b">
        <v>1</v>
      </c>
      <c r="HM57" s="158" t="b">
        <v>0</v>
      </c>
      <c r="HN57" s="158" t="b">
        <v>0</v>
      </c>
      <c r="HO57" s="158" t="b">
        <v>0</v>
      </c>
      <c r="HP57" s="158" t="b">
        <v>0</v>
      </c>
      <c r="HQ57" s="158" t="b">
        <v>0</v>
      </c>
      <c r="HR57" s="158" t="b">
        <v>0</v>
      </c>
      <c r="HS57" s="158" t="b">
        <v>0</v>
      </c>
      <c r="HT57" s="93" t="b">
        <v>1</v>
      </c>
      <c r="HU57" s="93" t="b">
        <v>1</v>
      </c>
      <c r="HV57" s="93" t="b">
        <v>1</v>
      </c>
      <c r="HW57" s="93" t="b">
        <v>1</v>
      </c>
      <c r="HX57" s="93" t="b">
        <v>1</v>
      </c>
      <c r="HY57" s="158" t="b">
        <v>0</v>
      </c>
      <c r="HZ57" s="158" t="b">
        <v>0</v>
      </c>
      <c r="IA57" s="158" t="b">
        <v>0</v>
      </c>
      <c r="IB57" s="158" t="b">
        <v>0</v>
      </c>
      <c r="IC57" s="158" t="b">
        <v>0</v>
      </c>
      <c r="ID57" s="158" t="b">
        <v>0</v>
      </c>
      <c r="IE57" s="158" t="b">
        <v>0</v>
      </c>
      <c r="IF57" s="158" t="b">
        <v>0</v>
      </c>
      <c r="IG57" s="158" t="b">
        <v>0</v>
      </c>
      <c r="IH57" s="158" t="b">
        <v>0</v>
      </c>
      <c r="II57" s="158" t="b">
        <v>0</v>
      </c>
      <c r="IJ57" s="158" t="b">
        <v>0</v>
      </c>
      <c r="IK57" s="158" t="b">
        <v>0</v>
      </c>
      <c r="IL57" s="158" t="b">
        <v>0</v>
      </c>
      <c r="IM57" s="158" t="b">
        <v>0</v>
      </c>
      <c r="IN57" s="158" t="b">
        <v>0</v>
      </c>
      <c r="IO57" s="158" t="b">
        <v>0</v>
      </c>
      <c r="IP57" s="158" t="b">
        <v>0</v>
      </c>
      <c r="IQ57" s="158" t="b">
        <v>0</v>
      </c>
      <c r="IR57" s="158" t="b">
        <v>0</v>
      </c>
      <c r="IS57" s="158" t="b">
        <v>0</v>
      </c>
      <c r="IT57" s="158" t="b">
        <v>0</v>
      </c>
      <c r="IU57" s="158" t="b">
        <v>0</v>
      </c>
      <c r="IV57" s="158" t="b">
        <v>0</v>
      </c>
      <c r="IW57" s="158" t="b">
        <v>0</v>
      </c>
      <c r="IX57" s="158" t="b">
        <v>0</v>
      </c>
      <c r="IY57" s="158" t="b">
        <v>0</v>
      </c>
      <c r="IZ57" s="158" t="b">
        <v>0</v>
      </c>
      <c r="JA57" s="158" t="b">
        <v>0</v>
      </c>
      <c r="JB57" s="158" t="b">
        <v>0</v>
      </c>
      <c r="JC57" s="158" t="b">
        <v>0</v>
      </c>
      <c r="JD57" s="158" t="b">
        <v>0</v>
      </c>
      <c r="JE57" s="158" t="b">
        <v>0</v>
      </c>
      <c r="JF57" s="158" t="b">
        <v>0</v>
      </c>
      <c r="JG57" s="158" t="b">
        <v>0</v>
      </c>
      <c r="JH57" s="158" t="b">
        <v>0</v>
      </c>
      <c r="JI57" s="158" t="b">
        <v>0</v>
      </c>
      <c r="JJ57" s="158" t="b">
        <v>0</v>
      </c>
      <c r="JK57" s="158" t="b">
        <v>0</v>
      </c>
      <c r="JL57" s="158" t="b">
        <v>0</v>
      </c>
      <c r="JM57" s="158" t="b">
        <v>0</v>
      </c>
      <c r="JN57" s="158" t="b">
        <v>0</v>
      </c>
      <c r="JO57" s="158" t="b">
        <v>0</v>
      </c>
      <c r="JP57" s="158" t="b">
        <v>0</v>
      </c>
      <c r="JQ57" s="158" t="b">
        <v>0</v>
      </c>
      <c r="JR57" s="158" t="b">
        <v>0</v>
      </c>
      <c r="JS57" s="158" t="b">
        <v>0</v>
      </c>
      <c r="JT57" s="158" t="b">
        <v>0</v>
      </c>
      <c r="JU57" s="158" t="b">
        <v>0</v>
      </c>
      <c r="JV57" s="158" t="b">
        <v>0</v>
      </c>
      <c r="JW57" s="158" t="b">
        <v>0</v>
      </c>
      <c r="JX57" s="158" t="b">
        <v>0</v>
      </c>
      <c r="JY57" s="158" t="b">
        <v>0</v>
      </c>
      <c r="JZ57" s="158" t="b">
        <v>0</v>
      </c>
      <c r="KA57" s="158" t="b">
        <v>0</v>
      </c>
      <c r="KB57" s="158" t="b">
        <v>0</v>
      </c>
      <c r="KC57" s="158" t="b">
        <v>0</v>
      </c>
      <c r="KD57" s="158" t="b">
        <v>0</v>
      </c>
      <c r="KE57" s="158" t="b">
        <v>0</v>
      </c>
      <c r="KF57" s="158" t="b">
        <v>0</v>
      </c>
      <c r="KG57" s="158" t="b">
        <v>0</v>
      </c>
      <c r="KH57" s="158" t="b">
        <v>0</v>
      </c>
      <c r="KI57" s="158" t="b">
        <v>0</v>
      </c>
      <c r="KJ57" s="158" t="b">
        <v>0</v>
      </c>
      <c r="KK57" s="158" t="b">
        <v>0</v>
      </c>
      <c r="KL57" s="158" t="b">
        <v>0</v>
      </c>
      <c r="KM57" s="158" t="b">
        <v>0</v>
      </c>
      <c r="KN57" s="158" t="b">
        <v>0</v>
      </c>
      <c r="KO57" s="158" t="b">
        <v>0</v>
      </c>
      <c r="KP57" s="158" t="b">
        <v>0</v>
      </c>
      <c r="KQ57" s="158" t="b">
        <v>0</v>
      </c>
      <c r="KR57" s="158" t="b">
        <v>0</v>
      </c>
      <c r="KS57" s="158" t="b">
        <v>0</v>
      </c>
      <c r="KT57" s="158" t="b">
        <v>0</v>
      </c>
      <c r="KU57" s="158" t="b">
        <v>0</v>
      </c>
      <c r="KV57" s="158" t="b">
        <v>0</v>
      </c>
      <c r="KW57" s="158" t="b">
        <v>0</v>
      </c>
      <c r="KX57" s="158" t="b">
        <v>0</v>
      </c>
      <c r="KY57" s="158" t="b">
        <v>0</v>
      </c>
      <c r="KZ57" s="158" t="b">
        <v>0</v>
      </c>
      <c r="LA57" s="158" t="b">
        <v>0</v>
      </c>
      <c r="LB57" s="158" t="b">
        <v>0</v>
      </c>
      <c r="LC57" s="158" t="b">
        <v>0</v>
      </c>
      <c r="LD57" s="158" t="b">
        <v>0</v>
      </c>
      <c r="LE57" s="158" t="b">
        <v>0</v>
      </c>
      <c r="LF57" s="158" t="b">
        <v>0</v>
      </c>
      <c r="LG57" s="158" t="b">
        <v>0</v>
      </c>
      <c r="LH57" s="158" t="b">
        <v>0</v>
      </c>
      <c r="LI57" s="158" t="b">
        <v>0</v>
      </c>
      <c r="LJ57" s="158" t="b">
        <v>0</v>
      </c>
      <c r="LK57" s="158" t="b">
        <v>0</v>
      </c>
      <c r="LL57" s="158" t="b">
        <v>0</v>
      </c>
      <c r="LM57" s="158" t="b">
        <v>0</v>
      </c>
      <c r="LN57" s="158" t="b">
        <v>0</v>
      </c>
      <c r="LO57" s="158" t="b">
        <v>0</v>
      </c>
      <c r="LP57" s="158" t="b">
        <v>0</v>
      </c>
      <c r="LQ57" s="158" t="b">
        <v>0</v>
      </c>
      <c r="LR57" s="158" t="b">
        <v>0</v>
      </c>
      <c r="LS57" s="158" t="b">
        <v>0</v>
      </c>
      <c r="LT57" s="158" t="b">
        <v>0</v>
      </c>
      <c r="LU57" s="158" t="b">
        <v>0</v>
      </c>
      <c r="LV57" s="158" t="b">
        <v>0</v>
      </c>
      <c r="LW57" s="158" t="b">
        <v>0</v>
      </c>
      <c r="LX57" s="158" t="b">
        <v>0</v>
      </c>
      <c r="LY57" s="158" t="b">
        <v>0</v>
      </c>
      <c r="LZ57" s="158" t="b">
        <v>0</v>
      </c>
      <c r="MA57" s="158" t="b">
        <v>0</v>
      </c>
      <c r="MB57" s="158" t="b">
        <v>0</v>
      </c>
      <c r="MC57" s="158" t="b">
        <v>0</v>
      </c>
      <c r="MD57" s="158" t="b">
        <v>0</v>
      </c>
      <c r="ME57" s="158" t="b">
        <v>0</v>
      </c>
      <c r="MF57" s="158" t="b">
        <v>0</v>
      </c>
      <c r="MG57" s="158" t="b">
        <v>0</v>
      </c>
      <c r="MH57" s="158" t="b">
        <v>0</v>
      </c>
      <c r="MI57" s="158" t="b">
        <v>0</v>
      </c>
      <c r="MJ57" s="158" t="b">
        <v>0</v>
      </c>
      <c r="MK57" s="158" t="b">
        <v>0</v>
      </c>
      <c r="ML57" s="158" t="b">
        <v>0</v>
      </c>
      <c r="MM57" s="158" t="b">
        <v>0</v>
      </c>
      <c r="MN57" s="158" t="b">
        <v>0</v>
      </c>
      <c r="MO57" s="158" t="b">
        <v>0</v>
      </c>
      <c r="MP57" s="158" t="b">
        <v>0</v>
      </c>
      <c r="MQ57" s="158" t="b">
        <v>0</v>
      </c>
      <c r="MR57" s="158" t="b">
        <v>0</v>
      </c>
      <c r="MS57" s="158" t="b">
        <v>0</v>
      </c>
      <c r="MT57" s="158" t="b">
        <v>0</v>
      </c>
      <c r="MU57" s="158" t="b">
        <v>0</v>
      </c>
      <c r="MV57" s="158" t="b">
        <v>0</v>
      </c>
      <c r="MW57" s="158" t="b">
        <v>0</v>
      </c>
      <c r="MX57" s="158" t="b">
        <v>0</v>
      </c>
      <c r="MY57" s="158" t="b">
        <v>0</v>
      </c>
      <c r="MZ57" s="158" t="b">
        <v>0</v>
      </c>
      <c r="NA57" s="158" t="b">
        <v>0</v>
      </c>
      <c r="NB57" s="158" t="b">
        <v>0</v>
      </c>
      <c r="NC57" s="158" t="b">
        <v>0</v>
      </c>
      <c r="ND57" s="158" t="b">
        <v>0</v>
      </c>
      <c r="NE57" s="158" t="b">
        <v>0</v>
      </c>
      <c r="NF57" s="158" t="b">
        <v>0</v>
      </c>
      <c r="NG57" s="158" t="b">
        <v>0</v>
      </c>
      <c r="NH57" s="158" t="b">
        <v>0</v>
      </c>
      <c r="NI57" s="158" t="b">
        <v>0</v>
      </c>
      <c r="NJ57" s="158" t="b">
        <v>0</v>
      </c>
      <c r="NK57" s="158" t="b">
        <v>0</v>
      </c>
      <c r="NL57" s="158" t="b">
        <v>0</v>
      </c>
      <c r="NM57" s="158" t="b">
        <v>0</v>
      </c>
      <c r="NN57" s="158" t="b">
        <v>0</v>
      </c>
      <c r="NO57" s="158" t="b">
        <v>0</v>
      </c>
    </row>
    <row r="58" spans="1:379" ht="29.25" x14ac:dyDescent="0.4">
      <c r="A58" s="511" t="str">
        <v>LD</v>
      </c>
      <c r="B58" s="158" t="b">
        <v>0</v>
      </c>
      <c r="C58" s="158" t="b">
        <v>0</v>
      </c>
      <c r="D58" s="158" t="b">
        <v>0</v>
      </c>
      <c r="E58" s="158" t="b">
        <v>0</v>
      </c>
      <c r="F58" s="158" t="b">
        <v>0</v>
      </c>
      <c r="G58" s="158" t="b">
        <v>0</v>
      </c>
      <c r="H58" s="158" t="b">
        <v>0</v>
      </c>
      <c r="I58" s="158" t="b">
        <v>0</v>
      </c>
      <c r="J58" s="158" t="b">
        <v>0</v>
      </c>
      <c r="K58" s="158" t="b">
        <v>0</v>
      </c>
      <c r="L58" s="158" t="b">
        <v>0</v>
      </c>
      <c r="M58" s="158" t="b">
        <v>0</v>
      </c>
      <c r="N58" s="158" t="b">
        <v>0</v>
      </c>
      <c r="O58" s="158" t="b">
        <v>0</v>
      </c>
      <c r="P58" s="158" t="b">
        <v>0</v>
      </c>
      <c r="Q58" s="158" t="b">
        <v>0</v>
      </c>
      <c r="R58" s="158" t="b">
        <v>0</v>
      </c>
      <c r="S58" s="158" t="b">
        <v>0</v>
      </c>
      <c r="T58" s="158" t="b">
        <v>0</v>
      </c>
      <c r="U58" s="158" t="b">
        <v>0</v>
      </c>
      <c r="V58" s="158" t="b">
        <v>0</v>
      </c>
      <c r="W58" s="158" t="b">
        <v>0</v>
      </c>
      <c r="X58" s="158" t="b">
        <v>0</v>
      </c>
      <c r="Y58" s="158" t="b">
        <v>0</v>
      </c>
      <c r="Z58" s="158" t="b">
        <v>0</v>
      </c>
      <c r="AA58" s="158" t="b">
        <v>0</v>
      </c>
      <c r="AB58" s="158" t="b">
        <v>0</v>
      </c>
      <c r="AC58" s="158" t="b">
        <v>0</v>
      </c>
      <c r="AD58" s="158" t="b">
        <v>0</v>
      </c>
      <c r="AE58" s="158" t="b">
        <v>0</v>
      </c>
      <c r="AF58" s="158" t="b">
        <v>0</v>
      </c>
      <c r="AG58" s="158" t="b">
        <v>0</v>
      </c>
      <c r="AH58" s="158" t="b">
        <v>0</v>
      </c>
      <c r="AI58" s="158" t="b">
        <v>0</v>
      </c>
      <c r="AJ58" s="158" t="b">
        <v>0</v>
      </c>
      <c r="AK58" s="158" t="b">
        <v>0</v>
      </c>
      <c r="AL58" s="158" t="b">
        <v>0</v>
      </c>
      <c r="AM58" s="158" t="b">
        <v>0</v>
      </c>
      <c r="AN58" s="158" t="b">
        <v>0</v>
      </c>
      <c r="AO58" s="158" t="b">
        <v>0</v>
      </c>
      <c r="AP58" s="158" t="b">
        <v>0</v>
      </c>
      <c r="AQ58" s="158" t="b">
        <v>0</v>
      </c>
      <c r="AR58" s="158" t="b">
        <v>0</v>
      </c>
      <c r="AS58" s="158" t="b">
        <v>0</v>
      </c>
      <c r="AT58" s="158" t="b">
        <v>0</v>
      </c>
      <c r="AU58" s="158" t="b">
        <v>0</v>
      </c>
      <c r="AV58" s="158" t="b">
        <v>0</v>
      </c>
      <c r="AW58" s="158" t="b">
        <v>0</v>
      </c>
      <c r="AX58" s="158" t="b">
        <v>0</v>
      </c>
      <c r="AY58" s="158" t="b">
        <v>0</v>
      </c>
      <c r="AZ58" s="158" t="b">
        <v>0</v>
      </c>
      <c r="BA58" s="158" t="b">
        <v>0</v>
      </c>
      <c r="BB58" s="158" t="b">
        <v>0</v>
      </c>
      <c r="BC58" s="158" t="b">
        <v>0</v>
      </c>
      <c r="BD58" s="158" t="b">
        <v>0</v>
      </c>
      <c r="BE58" s="158" t="b">
        <v>0</v>
      </c>
      <c r="BF58" s="158" t="b">
        <v>0</v>
      </c>
      <c r="BG58" s="158" t="b">
        <v>0</v>
      </c>
      <c r="BH58" s="158" t="b">
        <v>0</v>
      </c>
      <c r="BI58" s="158" t="b">
        <v>0</v>
      </c>
      <c r="BJ58" s="158" t="b">
        <v>0</v>
      </c>
      <c r="BK58" s="158" t="b">
        <v>0</v>
      </c>
      <c r="BL58" s="158" t="b">
        <v>0</v>
      </c>
      <c r="BM58" s="158" t="b">
        <v>0</v>
      </c>
      <c r="BN58" s="158" t="b">
        <v>0</v>
      </c>
      <c r="BO58" s="158" t="b">
        <v>0</v>
      </c>
      <c r="BP58" s="158" t="b">
        <v>0</v>
      </c>
      <c r="BQ58" s="158" t="b">
        <v>0</v>
      </c>
      <c r="BR58" s="158" t="b">
        <v>0</v>
      </c>
      <c r="BS58" s="158" t="b">
        <v>0</v>
      </c>
      <c r="BT58" s="158" t="b">
        <v>0</v>
      </c>
      <c r="BU58" s="158" t="b">
        <v>0</v>
      </c>
      <c r="BV58" s="158" t="b">
        <v>0</v>
      </c>
      <c r="BW58" s="158" t="b">
        <v>0</v>
      </c>
      <c r="BX58" s="158" t="b">
        <v>0</v>
      </c>
      <c r="BY58" s="158" t="b">
        <v>0</v>
      </c>
      <c r="BZ58" s="158" t="b">
        <v>0</v>
      </c>
      <c r="CA58" s="158" t="b">
        <v>0</v>
      </c>
      <c r="CB58" s="158" t="b">
        <v>0</v>
      </c>
      <c r="CC58" s="158" t="b">
        <v>0</v>
      </c>
      <c r="CD58" s="158" t="b">
        <v>0</v>
      </c>
      <c r="CE58" s="158" t="b">
        <v>0</v>
      </c>
      <c r="CF58" s="158" t="b">
        <v>0</v>
      </c>
      <c r="CG58" s="158" t="b">
        <v>0</v>
      </c>
      <c r="CH58" s="158" t="b">
        <v>0</v>
      </c>
      <c r="CI58" s="158" t="b">
        <v>0</v>
      </c>
      <c r="CJ58" s="158" t="b">
        <v>0</v>
      </c>
      <c r="CK58" s="158" t="b">
        <v>0</v>
      </c>
      <c r="CL58" s="158" t="b">
        <v>0</v>
      </c>
      <c r="CM58" s="158" t="b">
        <v>0</v>
      </c>
      <c r="CN58" s="158" t="b">
        <v>0</v>
      </c>
      <c r="CO58" s="158" t="b">
        <v>0</v>
      </c>
      <c r="CP58" s="158" t="b">
        <v>0</v>
      </c>
      <c r="CQ58" s="158" t="b">
        <v>0</v>
      </c>
      <c r="CR58" s="158" t="b">
        <v>0</v>
      </c>
      <c r="CS58" s="158" t="b">
        <v>0</v>
      </c>
      <c r="CT58" s="158" t="b">
        <v>0</v>
      </c>
      <c r="CU58" s="158" t="b">
        <v>0</v>
      </c>
      <c r="CV58" s="158" t="b">
        <v>0</v>
      </c>
      <c r="CW58" s="158" t="b">
        <v>0</v>
      </c>
      <c r="CX58" s="158" t="b">
        <v>0</v>
      </c>
      <c r="CY58" s="158" t="b">
        <v>0</v>
      </c>
      <c r="CZ58" s="158" t="b">
        <v>0</v>
      </c>
      <c r="DA58" s="158" t="b">
        <v>0</v>
      </c>
      <c r="DB58" s="158" t="b">
        <v>0</v>
      </c>
      <c r="DC58" s="158" t="b">
        <v>0</v>
      </c>
      <c r="DD58" s="158" t="b">
        <v>0</v>
      </c>
      <c r="DE58" s="158" t="b">
        <v>0</v>
      </c>
      <c r="DF58" s="158" t="b">
        <v>0</v>
      </c>
      <c r="DG58" s="158" t="b">
        <v>0</v>
      </c>
      <c r="DH58" s="158" t="b">
        <v>0</v>
      </c>
      <c r="DI58" s="158" t="b">
        <v>0</v>
      </c>
      <c r="DJ58" s="158" t="b">
        <v>0</v>
      </c>
      <c r="DK58" s="158" t="b">
        <v>0</v>
      </c>
      <c r="DL58" s="158" t="b">
        <v>0</v>
      </c>
      <c r="DM58" s="158" t="b">
        <v>0</v>
      </c>
      <c r="DN58" s="158" t="b">
        <v>0</v>
      </c>
      <c r="DO58" s="158" t="b">
        <v>0</v>
      </c>
      <c r="DP58" s="158" t="b">
        <v>0</v>
      </c>
      <c r="DQ58" s="158" t="b">
        <v>0</v>
      </c>
      <c r="DR58" s="158" t="b">
        <v>0</v>
      </c>
      <c r="DS58" s="158" t="b">
        <v>0</v>
      </c>
      <c r="DT58" s="158" t="b">
        <v>0</v>
      </c>
      <c r="DU58" s="158" t="b">
        <v>0</v>
      </c>
      <c r="DV58" s="158" t="b">
        <v>0</v>
      </c>
      <c r="DW58" s="158" t="b">
        <v>0</v>
      </c>
      <c r="DX58" s="158" t="b">
        <v>0</v>
      </c>
      <c r="DY58" s="158" t="b">
        <v>0</v>
      </c>
      <c r="DZ58" s="158" t="b">
        <v>0</v>
      </c>
      <c r="EA58" s="158" t="b">
        <v>0</v>
      </c>
      <c r="EB58" s="158" t="b">
        <v>0</v>
      </c>
      <c r="EC58" s="158" t="b">
        <v>0</v>
      </c>
      <c r="ED58" s="158" t="b">
        <v>0</v>
      </c>
      <c r="EE58" s="158" t="b">
        <v>0</v>
      </c>
      <c r="EF58" s="158" t="b">
        <v>0</v>
      </c>
      <c r="EG58" s="158" t="b">
        <v>0</v>
      </c>
      <c r="EH58" s="158" t="b">
        <v>0</v>
      </c>
      <c r="EI58" s="158" t="b">
        <v>0</v>
      </c>
      <c r="EJ58" s="158" t="b">
        <v>0</v>
      </c>
      <c r="EK58" s="158" t="b">
        <v>0</v>
      </c>
      <c r="EL58" s="158" t="b">
        <v>0</v>
      </c>
      <c r="EM58" s="158" t="b">
        <v>0</v>
      </c>
      <c r="EN58" s="158" t="b">
        <v>0</v>
      </c>
      <c r="EO58" s="158" t="b">
        <v>0</v>
      </c>
      <c r="EP58" s="158" t="b">
        <v>0</v>
      </c>
      <c r="EQ58" s="158" t="b">
        <v>0</v>
      </c>
      <c r="ER58" s="158" t="b">
        <v>0</v>
      </c>
      <c r="ES58" s="158" t="b">
        <v>0</v>
      </c>
      <c r="ET58" s="158" t="b">
        <v>0</v>
      </c>
      <c r="EU58" s="158" t="b">
        <v>0</v>
      </c>
      <c r="EV58" s="158" t="b">
        <v>0</v>
      </c>
      <c r="EW58" s="158" t="b">
        <v>0</v>
      </c>
      <c r="EX58" s="93" t="b">
        <v>1</v>
      </c>
      <c r="EY58" s="93" t="b">
        <v>1</v>
      </c>
      <c r="EZ58" s="158" t="b">
        <v>0</v>
      </c>
      <c r="FA58" s="158" t="b">
        <v>0</v>
      </c>
      <c r="FB58" s="158" t="b">
        <v>0</v>
      </c>
      <c r="FC58" s="158" t="b">
        <v>0</v>
      </c>
      <c r="FD58" s="158" t="b">
        <v>0</v>
      </c>
      <c r="FE58" s="158" t="b">
        <v>0</v>
      </c>
      <c r="FF58" s="158" t="b">
        <v>0</v>
      </c>
      <c r="FG58" s="158" t="b">
        <v>0</v>
      </c>
      <c r="FH58" s="158" t="b">
        <v>0</v>
      </c>
      <c r="FI58" s="158" t="b">
        <v>0</v>
      </c>
      <c r="FJ58" s="158" t="b">
        <v>0</v>
      </c>
      <c r="FK58" s="158" t="b">
        <v>0</v>
      </c>
      <c r="FL58" s="158" t="b">
        <v>0</v>
      </c>
      <c r="FM58" s="158" t="b">
        <v>0</v>
      </c>
      <c r="FN58" s="158" t="b">
        <v>0</v>
      </c>
      <c r="FO58" s="158" t="b">
        <v>0</v>
      </c>
      <c r="FP58" s="158" t="b">
        <v>0</v>
      </c>
      <c r="FQ58" s="158" t="b">
        <v>0</v>
      </c>
      <c r="FR58" s="158" t="b">
        <v>0</v>
      </c>
      <c r="FS58" s="158" t="b">
        <v>0</v>
      </c>
      <c r="FT58" s="158" t="b">
        <v>0</v>
      </c>
      <c r="FU58" s="158" t="b">
        <v>0</v>
      </c>
      <c r="FV58" s="158" t="b">
        <v>0</v>
      </c>
      <c r="FW58" s="158" t="b">
        <v>0</v>
      </c>
      <c r="FX58" s="158" t="b">
        <v>0</v>
      </c>
      <c r="FY58" s="158" t="b">
        <v>0</v>
      </c>
      <c r="FZ58" s="158" t="b">
        <v>0</v>
      </c>
      <c r="GA58" s="158" t="b">
        <v>0</v>
      </c>
      <c r="GB58" s="158" t="b">
        <v>0</v>
      </c>
      <c r="GC58" s="158" t="b">
        <v>0</v>
      </c>
      <c r="GD58" s="158" t="b">
        <v>0</v>
      </c>
      <c r="GE58" s="158" t="b">
        <v>0</v>
      </c>
      <c r="GF58" s="158" t="b">
        <v>0</v>
      </c>
      <c r="GG58" s="158" t="b">
        <v>0</v>
      </c>
      <c r="GH58" s="158" t="b">
        <v>0</v>
      </c>
      <c r="GI58" s="158" t="b">
        <v>0</v>
      </c>
      <c r="GJ58" s="158" t="b">
        <v>0</v>
      </c>
      <c r="GK58" s="158" t="b">
        <v>0</v>
      </c>
      <c r="GL58" s="158" t="b">
        <v>0</v>
      </c>
      <c r="GM58" s="158" t="b">
        <v>0</v>
      </c>
      <c r="GN58" s="158" t="b">
        <v>0</v>
      </c>
      <c r="GO58" s="158" t="b">
        <v>0</v>
      </c>
      <c r="GP58" s="158" t="b">
        <v>0</v>
      </c>
      <c r="GQ58" s="158" t="b">
        <v>0</v>
      </c>
      <c r="GR58" s="158" t="b">
        <v>0</v>
      </c>
      <c r="GS58" s="158" t="b">
        <v>0</v>
      </c>
      <c r="GT58" s="158" t="b">
        <v>0</v>
      </c>
      <c r="GU58" s="158" t="b">
        <v>0</v>
      </c>
      <c r="GV58" s="158" t="b">
        <v>0</v>
      </c>
      <c r="GW58" s="158" t="b">
        <v>0</v>
      </c>
      <c r="GX58" s="158" t="b">
        <v>0</v>
      </c>
      <c r="GY58" s="158" t="b">
        <v>0</v>
      </c>
      <c r="GZ58" s="158" t="b">
        <v>0</v>
      </c>
      <c r="HA58" s="158" t="b">
        <v>0</v>
      </c>
      <c r="HB58" s="158" t="b">
        <v>0</v>
      </c>
      <c r="HC58" s="158" t="b">
        <v>0</v>
      </c>
      <c r="HD58" s="158" t="b">
        <v>0</v>
      </c>
      <c r="HE58" s="158" t="b">
        <v>0</v>
      </c>
      <c r="HF58" s="158" t="b">
        <v>0</v>
      </c>
      <c r="HG58" s="158" t="b">
        <v>0</v>
      </c>
      <c r="HH58" s="158" t="b">
        <v>0</v>
      </c>
      <c r="HI58" s="158" t="b">
        <v>0</v>
      </c>
      <c r="HJ58" s="93" t="b">
        <v>1</v>
      </c>
      <c r="HK58" s="93" t="b">
        <v>1</v>
      </c>
      <c r="HL58" s="93" t="b">
        <v>1</v>
      </c>
      <c r="HM58" s="158" t="b">
        <v>0</v>
      </c>
      <c r="HN58" s="158" t="b">
        <v>0</v>
      </c>
      <c r="HO58" s="158" t="b">
        <v>0</v>
      </c>
      <c r="HP58" s="158" t="b">
        <v>0</v>
      </c>
      <c r="HQ58" s="158" t="b">
        <v>0</v>
      </c>
      <c r="HR58" s="158" t="b">
        <v>0</v>
      </c>
      <c r="HS58" s="158" t="b">
        <v>0</v>
      </c>
      <c r="HT58" s="93" t="b">
        <v>1</v>
      </c>
      <c r="HU58" s="93" t="b">
        <v>1</v>
      </c>
      <c r="HV58" s="93" t="b">
        <v>1</v>
      </c>
      <c r="HW58" s="93" t="b">
        <v>1</v>
      </c>
      <c r="HX58" s="93" t="b">
        <v>1</v>
      </c>
      <c r="HY58" s="158" t="b">
        <v>0</v>
      </c>
      <c r="HZ58" s="158" t="b">
        <v>0</v>
      </c>
      <c r="IA58" s="158" t="b">
        <v>0</v>
      </c>
      <c r="IB58" s="158" t="b">
        <v>0</v>
      </c>
      <c r="IC58" s="158" t="b">
        <v>0</v>
      </c>
      <c r="ID58" s="158" t="b">
        <v>0</v>
      </c>
      <c r="IE58" s="158" t="b">
        <v>0</v>
      </c>
      <c r="IF58" s="158" t="b">
        <v>0</v>
      </c>
      <c r="IG58" s="158" t="b">
        <v>0</v>
      </c>
      <c r="IH58" s="158" t="b">
        <v>0</v>
      </c>
      <c r="II58" s="158" t="b">
        <v>0</v>
      </c>
      <c r="IJ58" s="158" t="b">
        <v>0</v>
      </c>
      <c r="IK58" s="158" t="b">
        <v>0</v>
      </c>
      <c r="IL58" s="158" t="b">
        <v>0</v>
      </c>
      <c r="IM58" s="158" t="b">
        <v>0</v>
      </c>
      <c r="IN58" s="158" t="b">
        <v>0</v>
      </c>
      <c r="IO58" s="158" t="b">
        <v>0</v>
      </c>
      <c r="IP58" s="158" t="b">
        <v>0</v>
      </c>
      <c r="IQ58" s="158" t="b">
        <v>0</v>
      </c>
      <c r="IR58" s="158" t="b">
        <v>0</v>
      </c>
      <c r="IS58" s="158" t="b">
        <v>0</v>
      </c>
      <c r="IT58" s="158" t="b">
        <v>0</v>
      </c>
      <c r="IU58" s="158" t="b">
        <v>0</v>
      </c>
      <c r="IV58" s="158" t="b">
        <v>0</v>
      </c>
      <c r="IW58" s="158" t="b">
        <v>0</v>
      </c>
      <c r="IX58" s="158" t="b">
        <v>0</v>
      </c>
      <c r="IY58" s="158" t="b">
        <v>0</v>
      </c>
      <c r="IZ58" s="158" t="b">
        <v>0</v>
      </c>
      <c r="JA58" s="158" t="b">
        <v>0</v>
      </c>
      <c r="JB58" s="158" t="b">
        <v>0</v>
      </c>
      <c r="JC58" s="158" t="b">
        <v>0</v>
      </c>
      <c r="JD58" s="158" t="b">
        <v>0</v>
      </c>
      <c r="JE58" s="158" t="b">
        <v>0</v>
      </c>
      <c r="JF58" s="158" t="b">
        <v>0</v>
      </c>
      <c r="JG58" s="158" t="b">
        <v>0</v>
      </c>
      <c r="JH58" s="158" t="b">
        <v>0</v>
      </c>
      <c r="JI58" s="158" t="b">
        <v>0</v>
      </c>
      <c r="JJ58" s="158" t="b">
        <v>0</v>
      </c>
      <c r="JK58" s="158" t="b">
        <v>0</v>
      </c>
      <c r="JL58" s="158" t="b">
        <v>0</v>
      </c>
      <c r="JM58" s="158" t="b">
        <v>0</v>
      </c>
      <c r="JN58" s="158" t="b">
        <v>0</v>
      </c>
      <c r="JO58" s="158" t="b">
        <v>0</v>
      </c>
      <c r="JP58" s="158" t="b">
        <v>0</v>
      </c>
      <c r="JQ58" s="158" t="b">
        <v>0</v>
      </c>
      <c r="JR58" s="158" t="b">
        <v>0</v>
      </c>
      <c r="JS58" s="158" t="b">
        <v>0</v>
      </c>
      <c r="JT58" s="158" t="b">
        <v>0</v>
      </c>
      <c r="JU58" s="158" t="b">
        <v>0</v>
      </c>
      <c r="JV58" s="158" t="b">
        <v>0</v>
      </c>
      <c r="JW58" s="158" t="b">
        <v>0</v>
      </c>
      <c r="JX58" s="158" t="b">
        <v>0</v>
      </c>
      <c r="JY58" s="158" t="b">
        <v>0</v>
      </c>
      <c r="JZ58" s="158" t="b">
        <v>0</v>
      </c>
      <c r="KA58" s="158" t="b">
        <v>0</v>
      </c>
      <c r="KB58" s="158" t="b">
        <v>0</v>
      </c>
      <c r="KC58" s="158" t="b">
        <v>0</v>
      </c>
      <c r="KD58" s="158" t="b">
        <v>0</v>
      </c>
      <c r="KE58" s="158" t="b">
        <v>0</v>
      </c>
      <c r="KF58" s="158" t="b">
        <v>0</v>
      </c>
      <c r="KG58" s="158" t="b">
        <v>0</v>
      </c>
      <c r="KH58" s="158" t="b">
        <v>0</v>
      </c>
      <c r="KI58" s="158" t="b">
        <v>0</v>
      </c>
      <c r="KJ58" s="158" t="b">
        <v>0</v>
      </c>
      <c r="KK58" s="158" t="b">
        <v>0</v>
      </c>
      <c r="KL58" s="158" t="b">
        <v>0</v>
      </c>
      <c r="KM58" s="158" t="b">
        <v>0</v>
      </c>
      <c r="KN58" s="158" t="b">
        <v>0</v>
      </c>
      <c r="KO58" s="158" t="b">
        <v>0</v>
      </c>
      <c r="KP58" s="158" t="b">
        <v>0</v>
      </c>
      <c r="KQ58" s="158" t="b">
        <v>0</v>
      </c>
      <c r="KR58" s="158" t="b">
        <v>0</v>
      </c>
      <c r="KS58" s="158" t="b">
        <v>0</v>
      </c>
      <c r="KT58" s="158" t="b">
        <v>0</v>
      </c>
      <c r="KU58" s="158" t="b">
        <v>0</v>
      </c>
      <c r="KV58" s="158" t="b">
        <v>0</v>
      </c>
      <c r="KW58" s="158" t="b">
        <v>0</v>
      </c>
      <c r="KX58" s="158" t="b">
        <v>0</v>
      </c>
      <c r="KY58" s="158" t="b">
        <v>0</v>
      </c>
      <c r="KZ58" s="158" t="b">
        <v>0</v>
      </c>
      <c r="LA58" s="158" t="b">
        <v>0</v>
      </c>
      <c r="LB58" s="158" t="b">
        <v>0</v>
      </c>
      <c r="LC58" s="158" t="b">
        <v>0</v>
      </c>
      <c r="LD58" s="158" t="b">
        <v>0</v>
      </c>
      <c r="LE58" s="158" t="b">
        <v>0</v>
      </c>
      <c r="LF58" s="158" t="b">
        <v>0</v>
      </c>
      <c r="LG58" s="158" t="b">
        <v>0</v>
      </c>
      <c r="LH58" s="158" t="b">
        <v>0</v>
      </c>
      <c r="LI58" s="158" t="b">
        <v>0</v>
      </c>
      <c r="LJ58" s="158" t="b">
        <v>0</v>
      </c>
      <c r="LK58" s="158" t="b">
        <v>0</v>
      </c>
      <c r="LL58" s="158" t="b">
        <v>0</v>
      </c>
      <c r="LM58" s="158" t="b">
        <v>0</v>
      </c>
      <c r="LN58" s="158" t="b">
        <v>0</v>
      </c>
      <c r="LO58" s="158" t="b">
        <v>0</v>
      </c>
      <c r="LP58" s="158" t="b">
        <v>0</v>
      </c>
      <c r="LQ58" s="158" t="b">
        <v>0</v>
      </c>
      <c r="LR58" s="158" t="b">
        <v>0</v>
      </c>
      <c r="LS58" s="158" t="b">
        <v>0</v>
      </c>
      <c r="LT58" s="158" t="b">
        <v>0</v>
      </c>
      <c r="LU58" s="158" t="b">
        <v>0</v>
      </c>
      <c r="LV58" s="158" t="b">
        <v>0</v>
      </c>
      <c r="LW58" s="158" t="b">
        <v>0</v>
      </c>
      <c r="LX58" s="158" t="b">
        <v>0</v>
      </c>
      <c r="LY58" s="158" t="b">
        <v>0</v>
      </c>
      <c r="LZ58" s="158" t="b">
        <v>0</v>
      </c>
      <c r="MA58" s="158" t="b">
        <v>0</v>
      </c>
      <c r="MB58" s="158" t="b">
        <v>0</v>
      </c>
      <c r="MC58" s="158" t="b">
        <v>0</v>
      </c>
      <c r="MD58" s="158" t="b">
        <v>0</v>
      </c>
      <c r="ME58" s="158" t="b">
        <v>0</v>
      </c>
      <c r="MF58" s="158" t="b">
        <v>0</v>
      </c>
      <c r="MG58" s="158" t="b">
        <v>0</v>
      </c>
      <c r="MH58" s="158" t="b">
        <v>0</v>
      </c>
      <c r="MI58" s="158" t="b">
        <v>0</v>
      </c>
      <c r="MJ58" s="158" t="b">
        <v>0</v>
      </c>
      <c r="MK58" s="158" t="b">
        <v>0</v>
      </c>
      <c r="ML58" s="158" t="b">
        <v>0</v>
      </c>
      <c r="MM58" s="158" t="b">
        <v>0</v>
      </c>
      <c r="MN58" s="158" t="b">
        <v>0</v>
      </c>
      <c r="MO58" s="158" t="b">
        <v>0</v>
      </c>
      <c r="MP58" s="158" t="b">
        <v>0</v>
      </c>
      <c r="MQ58" s="158" t="b">
        <v>0</v>
      </c>
      <c r="MR58" s="158" t="b">
        <v>0</v>
      </c>
      <c r="MS58" s="158" t="b">
        <v>0</v>
      </c>
      <c r="MT58" s="158" t="b">
        <v>0</v>
      </c>
      <c r="MU58" s="158" t="b">
        <v>0</v>
      </c>
      <c r="MV58" s="158" t="b">
        <v>0</v>
      </c>
      <c r="MW58" s="158" t="b">
        <v>0</v>
      </c>
      <c r="MX58" s="158" t="b">
        <v>0</v>
      </c>
      <c r="MY58" s="158" t="b">
        <v>0</v>
      </c>
      <c r="MZ58" s="158" t="b">
        <v>0</v>
      </c>
      <c r="NA58" s="158" t="b">
        <v>0</v>
      </c>
      <c r="NB58" s="158" t="b">
        <v>0</v>
      </c>
      <c r="NC58" s="158" t="b">
        <v>0</v>
      </c>
      <c r="ND58" s="158" t="b">
        <v>0</v>
      </c>
      <c r="NE58" s="158" t="b">
        <v>0</v>
      </c>
      <c r="NF58" s="158" t="b">
        <v>0</v>
      </c>
      <c r="NG58" s="158" t="b">
        <v>0</v>
      </c>
      <c r="NH58" s="158" t="b">
        <v>0</v>
      </c>
      <c r="NI58" s="158" t="b">
        <v>0</v>
      </c>
      <c r="NJ58" s="158" t="b">
        <v>0</v>
      </c>
      <c r="NK58" s="158" t="b">
        <v>0</v>
      </c>
      <c r="NL58" s="158" t="b">
        <v>0</v>
      </c>
      <c r="NM58" s="158" t="b">
        <v>0</v>
      </c>
      <c r="NN58" s="158" t="b">
        <v>0</v>
      </c>
      <c r="NO58" s="158" t="b">
        <v>0</v>
      </c>
    </row>
    <row r="59" spans="1:379" ht="29.25" x14ac:dyDescent="0.4">
      <c r="A59" s="511" t="str">
        <v>Pink Bedford</v>
      </c>
      <c r="B59" s="158" t="b">
        <v>0</v>
      </c>
      <c r="C59" s="158" t="b">
        <v>0</v>
      </c>
      <c r="D59" s="158" t="b">
        <v>0</v>
      </c>
      <c r="E59" s="158" t="b">
        <v>0</v>
      </c>
      <c r="F59" s="158" t="b">
        <v>0</v>
      </c>
      <c r="G59" s="158" t="b">
        <v>0</v>
      </c>
      <c r="H59" s="158" t="b">
        <v>0</v>
      </c>
      <c r="I59" s="158" t="b">
        <v>0</v>
      </c>
      <c r="J59" s="158" t="b">
        <v>0</v>
      </c>
      <c r="K59" s="158" t="b">
        <v>0</v>
      </c>
      <c r="L59" s="158" t="b">
        <v>0</v>
      </c>
      <c r="M59" s="158" t="b">
        <v>0</v>
      </c>
      <c r="N59" s="158" t="b">
        <v>0</v>
      </c>
      <c r="O59" s="158" t="b">
        <v>0</v>
      </c>
      <c r="P59" s="158" t="b">
        <v>0</v>
      </c>
      <c r="Q59" s="158" t="b">
        <v>0</v>
      </c>
      <c r="R59" s="158" t="b">
        <v>0</v>
      </c>
      <c r="S59" s="158" t="b">
        <v>0</v>
      </c>
      <c r="T59" s="158" t="b">
        <v>0</v>
      </c>
      <c r="U59" s="158" t="b">
        <v>0</v>
      </c>
      <c r="V59" s="158" t="b">
        <v>0</v>
      </c>
      <c r="W59" s="158" t="b">
        <v>0</v>
      </c>
      <c r="X59" s="158" t="b">
        <v>0</v>
      </c>
      <c r="Y59" s="158" t="b">
        <v>0</v>
      </c>
      <c r="Z59" s="158" t="b">
        <v>0</v>
      </c>
      <c r="AA59" s="158" t="b">
        <v>0</v>
      </c>
      <c r="AB59" s="158" t="b">
        <v>0</v>
      </c>
      <c r="AC59" s="158" t="b">
        <v>0</v>
      </c>
      <c r="AD59" s="158" t="b">
        <v>0</v>
      </c>
      <c r="AE59" s="158" t="b">
        <v>0</v>
      </c>
      <c r="AF59" s="158" t="b">
        <v>0</v>
      </c>
      <c r="AG59" s="158" t="b">
        <v>0</v>
      </c>
      <c r="AH59" s="158" t="b">
        <v>0</v>
      </c>
      <c r="AI59" s="158" t="b">
        <v>0</v>
      </c>
      <c r="AJ59" s="158" t="b">
        <v>0</v>
      </c>
      <c r="AK59" s="158" t="b">
        <v>0</v>
      </c>
      <c r="AL59" s="158" t="b">
        <v>0</v>
      </c>
      <c r="AM59" s="158" t="b">
        <v>0</v>
      </c>
      <c r="AN59" s="158" t="b">
        <v>0</v>
      </c>
      <c r="AO59" s="158" t="b">
        <v>0</v>
      </c>
      <c r="AP59" s="158" t="b">
        <v>0</v>
      </c>
      <c r="AQ59" s="158" t="b">
        <v>0</v>
      </c>
      <c r="AR59" s="158" t="b">
        <v>0</v>
      </c>
      <c r="AS59" s="158" t="b">
        <v>0</v>
      </c>
      <c r="AT59" s="158" t="b">
        <v>0</v>
      </c>
      <c r="AU59" s="158" t="b">
        <v>0</v>
      </c>
      <c r="AV59" s="158" t="b">
        <v>0</v>
      </c>
      <c r="AW59" s="158" t="b">
        <v>0</v>
      </c>
      <c r="AX59" s="158" t="b">
        <v>0</v>
      </c>
      <c r="AY59" s="158" t="b">
        <v>0</v>
      </c>
      <c r="AZ59" s="158" t="b">
        <v>0</v>
      </c>
      <c r="BA59" s="158" t="b">
        <v>0</v>
      </c>
      <c r="BB59" s="158" t="b">
        <v>0</v>
      </c>
      <c r="BC59" s="158" t="b">
        <v>0</v>
      </c>
      <c r="BD59" s="158" t="b">
        <v>0</v>
      </c>
      <c r="BE59" s="158" t="b">
        <v>0</v>
      </c>
      <c r="BF59" s="158" t="b">
        <v>0</v>
      </c>
      <c r="BG59" s="158" t="b">
        <v>0</v>
      </c>
      <c r="BH59" s="158" t="b">
        <v>0</v>
      </c>
      <c r="BI59" s="158" t="b">
        <v>0</v>
      </c>
      <c r="BJ59" s="158" t="b">
        <v>0</v>
      </c>
      <c r="BK59" s="158" t="b">
        <v>0</v>
      </c>
      <c r="BL59" s="158" t="b">
        <v>0</v>
      </c>
      <c r="BM59" s="158" t="b">
        <v>0</v>
      </c>
      <c r="BN59" s="158" t="b">
        <v>0</v>
      </c>
      <c r="BO59" s="158" t="b">
        <v>0</v>
      </c>
      <c r="BP59" s="158" t="b">
        <v>0</v>
      </c>
      <c r="BQ59" s="158" t="b">
        <v>0</v>
      </c>
      <c r="BR59" s="158" t="b">
        <v>0</v>
      </c>
      <c r="BS59" s="158" t="b">
        <v>0</v>
      </c>
      <c r="BT59" s="158" t="b">
        <v>0</v>
      </c>
      <c r="BU59" s="158" t="b">
        <v>0</v>
      </c>
      <c r="BV59" s="158" t="b">
        <v>0</v>
      </c>
      <c r="BW59" s="158" t="b">
        <v>0</v>
      </c>
      <c r="BX59" s="158" t="b">
        <v>0</v>
      </c>
      <c r="BY59" s="158" t="b">
        <v>0</v>
      </c>
      <c r="BZ59" s="158" t="b">
        <v>0</v>
      </c>
      <c r="CA59" s="158" t="b">
        <v>0</v>
      </c>
      <c r="CB59" s="158" t="b">
        <v>0</v>
      </c>
      <c r="CC59" s="158" t="b">
        <v>0</v>
      </c>
      <c r="CD59" s="158" t="b">
        <v>0</v>
      </c>
      <c r="CE59" s="158" t="b">
        <v>0</v>
      </c>
      <c r="CF59" s="158" t="b">
        <v>0</v>
      </c>
      <c r="CG59" s="158" t="b">
        <v>0</v>
      </c>
      <c r="CH59" s="158" t="b">
        <v>0</v>
      </c>
      <c r="CI59" s="158" t="b">
        <v>0</v>
      </c>
      <c r="CJ59" s="158" t="b">
        <v>0</v>
      </c>
      <c r="CK59" s="158" t="b">
        <v>0</v>
      </c>
      <c r="CL59" s="158" t="b">
        <v>0</v>
      </c>
      <c r="CM59" s="158" t="b">
        <v>0</v>
      </c>
      <c r="CN59" s="158" t="b">
        <v>0</v>
      </c>
      <c r="CO59" s="158" t="b">
        <v>0</v>
      </c>
      <c r="CP59" s="158" t="b">
        <v>0</v>
      </c>
      <c r="CQ59" s="158" t="b">
        <v>0</v>
      </c>
      <c r="CR59" s="158" t="b">
        <v>0</v>
      </c>
      <c r="CS59" s="158" t="b">
        <v>0</v>
      </c>
      <c r="CT59" s="158" t="b">
        <v>0</v>
      </c>
      <c r="CU59" s="158" t="b">
        <v>0</v>
      </c>
      <c r="CV59" s="158" t="b">
        <v>0</v>
      </c>
      <c r="CW59" s="158" t="b">
        <v>0</v>
      </c>
      <c r="CX59" s="158" t="b">
        <v>0</v>
      </c>
      <c r="CY59" s="158" t="b">
        <v>0</v>
      </c>
      <c r="CZ59" s="158" t="b">
        <v>0</v>
      </c>
      <c r="DA59" s="158" t="b">
        <v>0</v>
      </c>
      <c r="DB59" s="158" t="b">
        <v>0</v>
      </c>
      <c r="DC59" s="158" t="b">
        <v>0</v>
      </c>
      <c r="DD59" s="158" t="b">
        <v>0</v>
      </c>
      <c r="DE59" s="158" t="b">
        <v>0</v>
      </c>
      <c r="DF59" s="158" t="b">
        <v>0</v>
      </c>
      <c r="DG59" s="158" t="b">
        <v>0</v>
      </c>
      <c r="DH59" s="158" t="b">
        <v>0</v>
      </c>
      <c r="DI59" s="158" t="b">
        <v>0</v>
      </c>
      <c r="DJ59" s="158" t="b">
        <v>0</v>
      </c>
      <c r="DK59" s="158" t="b">
        <v>0</v>
      </c>
      <c r="DL59" s="158" t="b">
        <v>0</v>
      </c>
      <c r="DM59" s="158" t="b">
        <v>0</v>
      </c>
      <c r="DN59" s="158" t="b">
        <v>0</v>
      </c>
      <c r="DO59" s="158" t="b">
        <v>0</v>
      </c>
      <c r="DP59" s="158" t="b">
        <v>0</v>
      </c>
      <c r="DQ59" s="158" t="b">
        <v>0</v>
      </c>
      <c r="DR59" s="158" t="b">
        <v>0</v>
      </c>
      <c r="DS59" s="158" t="b">
        <v>0</v>
      </c>
      <c r="DT59" s="158" t="b">
        <v>0</v>
      </c>
      <c r="DU59" s="158" t="b">
        <v>0</v>
      </c>
      <c r="DV59" s="158" t="b">
        <v>0</v>
      </c>
      <c r="DW59" s="158" t="b">
        <v>0</v>
      </c>
      <c r="DX59" s="158" t="b">
        <v>0</v>
      </c>
      <c r="DY59" s="158" t="b">
        <v>0</v>
      </c>
      <c r="DZ59" s="158" t="b">
        <v>0</v>
      </c>
      <c r="EA59" s="158" t="b">
        <v>0</v>
      </c>
      <c r="EB59" s="158" t="b">
        <v>0</v>
      </c>
      <c r="EC59" s="158" t="b">
        <v>0</v>
      </c>
      <c r="ED59" s="158" t="b">
        <v>0</v>
      </c>
      <c r="EE59" s="158" t="b">
        <v>0</v>
      </c>
      <c r="EF59" s="158" t="b">
        <v>0</v>
      </c>
      <c r="EG59" s="158" t="b">
        <v>0</v>
      </c>
      <c r="EH59" s="158" t="b">
        <v>0</v>
      </c>
      <c r="EI59" s="158" t="b">
        <v>0</v>
      </c>
      <c r="EJ59" s="158" t="b">
        <v>0</v>
      </c>
      <c r="EK59" s="158" t="b">
        <v>0</v>
      </c>
      <c r="EL59" s="158" t="b">
        <v>0</v>
      </c>
      <c r="EM59" s="158" t="b">
        <v>0</v>
      </c>
      <c r="EN59" s="158" t="b">
        <v>0</v>
      </c>
      <c r="EO59" s="158" t="b">
        <v>0</v>
      </c>
      <c r="EP59" s="158" t="b">
        <v>0</v>
      </c>
      <c r="EQ59" s="158" t="b">
        <v>0</v>
      </c>
      <c r="ER59" s="158" t="b">
        <v>0</v>
      </c>
      <c r="ES59" s="158" t="b">
        <v>0</v>
      </c>
      <c r="ET59" s="158" t="b">
        <v>0</v>
      </c>
      <c r="EU59" s="158" t="b">
        <v>0</v>
      </c>
      <c r="EV59" s="158" t="b">
        <v>0</v>
      </c>
      <c r="EW59" s="158" t="b">
        <v>0</v>
      </c>
      <c r="EX59" s="158" t="b">
        <v>0</v>
      </c>
      <c r="EY59" s="158" t="b">
        <v>0</v>
      </c>
      <c r="EZ59" s="158" t="b">
        <v>0</v>
      </c>
      <c r="FA59" s="158" t="b">
        <v>0</v>
      </c>
      <c r="FB59" s="158" t="b">
        <v>0</v>
      </c>
      <c r="FC59" s="158" t="b">
        <v>0</v>
      </c>
      <c r="FD59" s="158" t="b">
        <v>0</v>
      </c>
      <c r="FE59" s="158" t="b">
        <v>0</v>
      </c>
      <c r="FF59" s="158" t="b">
        <v>0</v>
      </c>
      <c r="FG59" s="158" t="b">
        <v>0</v>
      </c>
      <c r="FH59" s="158" t="b">
        <v>0</v>
      </c>
      <c r="FI59" s="158" t="b">
        <v>0</v>
      </c>
      <c r="FJ59" s="158" t="b">
        <v>0</v>
      </c>
      <c r="FK59" s="158" t="b">
        <v>0</v>
      </c>
      <c r="FL59" s="158" t="b">
        <v>0</v>
      </c>
      <c r="FM59" s="158" t="b">
        <v>0</v>
      </c>
      <c r="FN59" s="158" t="b">
        <v>0</v>
      </c>
      <c r="FO59" s="158" t="b">
        <v>0</v>
      </c>
      <c r="FP59" s="158" t="b">
        <v>0</v>
      </c>
      <c r="FQ59" s="158" t="b">
        <v>0</v>
      </c>
      <c r="FR59" s="158" t="b">
        <v>0</v>
      </c>
      <c r="FS59" s="158" t="b">
        <v>0</v>
      </c>
      <c r="FT59" s="158" t="b">
        <v>0</v>
      </c>
      <c r="FU59" s="158" t="b">
        <v>0</v>
      </c>
      <c r="FV59" s="158" t="b">
        <v>0</v>
      </c>
      <c r="FW59" s="158" t="b">
        <v>0</v>
      </c>
      <c r="FX59" s="158" t="b">
        <v>0</v>
      </c>
      <c r="FY59" s="158" t="b">
        <v>0</v>
      </c>
      <c r="FZ59" s="158" t="b">
        <v>0</v>
      </c>
      <c r="GA59" s="158" t="b">
        <v>0</v>
      </c>
      <c r="GB59" s="158" t="b">
        <v>0</v>
      </c>
      <c r="GC59" s="158" t="b">
        <v>0</v>
      </c>
      <c r="GD59" s="158" t="b">
        <v>0</v>
      </c>
      <c r="GE59" s="158" t="b">
        <v>0</v>
      </c>
      <c r="GF59" s="158" t="b">
        <v>0</v>
      </c>
      <c r="GG59" s="158" t="b">
        <v>0</v>
      </c>
      <c r="GH59" s="158" t="b">
        <v>0</v>
      </c>
      <c r="GI59" s="158" t="b">
        <v>0</v>
      </c>
      <c r="GJ59" s="158" t="b">
        <v>0</v>
      </c>
      <c r="GK59" s="158" t="b">
        <v>0</v>
      </c>
      <c r="GL59" s="158" t="b">
        <v>0</v>
      </c>
      <c r="GM59" s="158" t="b">
        <v>0</v>
      </c>
      <c r="GN59" s="158" t="b">
        <v>0</v>
      </c>
      <c r="GO59" s="158" t="b">
        <v>0</v>
      </c>
      <c r="GP59" s="158" t="b">
        <v>0</v>
      </c>
      <c r="GQ59" s="158" t="b">
        <v>0</v>
      </c>
      <c r="GR59" s="158" t="b">
        <v>0</v>
      </c>
      <c r="GS59" s="158" t="b">
        <v>0</v>
      </c>
      <c r="GT59" s="158" t="b">
        <v>0</v>
      </c>
      <c r="GU59" s="158" t="b">
        <v>0</v>
      </c>
      <c r="GV59" s="158" t="b">
        <v>0</v>
      </c>
      <c r="GW59" s="158" t="b">
        <v>0</v>
      </c>
      <c r="GX59" s="158" t="b">
        <v>0</v>
      </c>
      <c r="GY59" s="158" t="b">
        <v>0</v>
      </c>
      <c r="GZ59" s="158" t="b">
        <v>0</v>
      </c>
      <c r="HA59" s="158" t="b">
        <v>0</v>
      </c>
      <c r="HB59" s="158" t="b">
        <v>0</v>
      </c>
      <c r="HC59" s="158" t="b">
        <v>0</v>
      </c>
      <c r="HD59" s="158" t="b">
        <v>0</v>
      </c>
      <c r="HE59" s="158" t="b">
        <v>0</v>
      </c>
      <c r="HF59" s="158" t="b">
        <v>0</v>
      </c>
      <c r="HG59" s="158" t="b">
        <v>0</v>
      </c>
      <c r="HH59" s="158" t="b">
        <v>0</v>
      </c>
      <c r="HI59" s="158" t="b">
        <v>0</v>
      </c>
      <c r="HJ59" s="158" t="b">
        <v>0</v>
      </c>
      <c r="HK59" s="158" t="b">
        <v>0</v>
      </c>
      <c r="HL59" s="158" t="b">
        <v>0</v>
      </c>
      <c r="HM59" s="158" t="b">
        <v>0</v>
      </c>
      <c r="HN59" s="158" t="b">
        <v>0</v>
      </c>
      <c r="HO59" s="158" t="b">
        <v>0</v>
      </c>
      <c r="HP59" s="158" t="b">
        <v>0</v>
      </c>
      <c r="HQ59" s="158" t="b">
        <v>0</v>
      </c>
      <c r="HR59" s="158" t="b">
        <v>0</v>
      </c>
      <c r="HS59" s="158" t="b">
        <v>0</v>
      </c>
      <c r="HT59" s="158" t="b">
        <v>0</v>
      </c>
      <c r="HU59" s="158" t="b">
        <v>0</v>
      </c>
      <c r="HV59" s="158" t="b">
        <v>0</v>
      </c>
      <c r="HW59" s="158" t="b">
        <v>0</v>
      </c>
      <c r="HX59" s="158" t="b">
        <v>0</v>
      </c>
      <c r="HY59" s="158" t="b">
        <v>0</v>
      </c>
      <c r="HZ59" s="158" t="b">
        <v>0</v>
      </c>
      <c r="IA59" s="158" t="b">
        <v>0</v>
      </c>
      <c r="IB59" s="158" t="b">
        <v>0</v>
      </c>
      <c r="IC59" s="158" t="b">
        <v>0</v>
      </c>
      <c r="ID59" s="158" t="b">
        <v>0</v>
      </c>
      <c r="IE59" s="158" t="b">
        <v>0</v>
      </c>
      <c r="IF59" s="158" t="b">
        <v>0</v>
      </c>
      <c r="IG59" s="158" t="b">
        <v>0</v>
      </c>
      <c r="IH59" s="158" t="b">
        <v>0</v>
      </c>
      <c r="II59" s="158" t="b">
        <v>0</v>
      </c>
      <c r="IJ59" s="158" t="b">
        <v>0</v>
      </c>
      <c r="IK59" s="158" t="b">
        <v>0</v>
      </c>
      <c r="IL59" s="158" t="b">
        <v>0</v>
      </c>
      <c r="IM59" s="158" t="b">
        <v>0</v>
      </c>
      <c r="IN59" s="158" t="b">
        <v>0</v>
      </c>
      <c r="IO59" s="158" t="b">
        <v>0</v>
      </c>
      <c r="IP59" s="158" t="b">
        <v>0</v>
      </c>
      <c r="IQ59" s="158" t="b">
        <v>0</v>
      </c>
      <c r="IR59" s="158" t="b">
        <v>0</v>
      </c>
      <c r="IS59" s="158" t="b">
        <v>0</v>
      </c>
      <c r="IT59" s="158" t="b">
        <v>0</v>
      </c>
      <c r="IU59" s="158" t="b">
        <v>0</v>
      </c>
      <c r="IV59" s="158" t="b">
        <v>0</v>
      </c>
      <c r="IW59" s="158" t="b">
        <v>0</v>
      </c>
      <c r="IX59" s="158" t="b">
        <v>0</v>
      </c>
      <c r="IY59" s="158" t="b">
        <v>0</v>
      </c>
      <c r="IZ59" s="158" t="b">
        <v>0</v>
      </c>
      <c r="JA59" s="158" t="b">
        <v>0</v>
      </c>
      <c r="JB59" s="158" t="b">
        <v>0</v>
      </c>
      <c r="JC59" s="158" t="b">
        <v>0</v>
      </c>
      <c r="JD59" s="158" t="b">
        <v>0</v>
      </c>
      <c r="JE59" s="158" t="b">
        <v>0</v>
      </c>
      <c r="JF59" s="158" t="b">
        <v>0</v>
      </c>
      <c r="JG59" s="158" t="b">
        <v>0</v>
      </c>
      <c r="JH59" s="158" t="b">
        <v>0</v>
      </c>
      <c r="JI59" s="158" t="b">
        <v>0</v>
      </c>
      <c r="JJ59" s="158" t="b">
        <v>0</v>
      </c>
      <c r="JK59" s="158" t="b">
        <v>0</v>
      </c>
      <c r="JL59" s="158" t="b">
        <v>0</v>
      </c>
      <c r="JM59" s="158" t="b">
        <v>0</v>
      </c>
      <c r="JN59" s="158" t="b">
        <v>0</v>
      </c>
      <c r="JO59" s="158" t="b">
        <v>0</v>
      </c>
      <c r="JP59" s="158" t="b">
        <v>0</v>
      </c>
      <c r="JQ59" s="158" t="b">
        <v>0</v>
      </c>
      <c r="JR59" s="158" t="b">
        <v>0</v>
      </c>
      <c r="JS59" s="158" t="b">
        <v>0</v>
      </c>
      <c r="JT59" s="158" t="b">
        <v>0</v>
      </c>
      <c r="JU59" s="158" t="b">
        <v>0</v>
      </c>
      <c r="JV59" s="158" t="b">
        <v>0</v>
      </c>
      <c r="JW59" s="158" t="b">
        <v>0</v>
      </c>
      <c r="JX59" s="158" t="b">
        <v>0</v>
      </c>
      <c r="JY59" s="158" t="b">
        <v>0</v>
      </c>
      <c r="JZ59" s="158" t="b">
        <v>0</v>
      </c>
      <c r="KA59" s="158" t="b">
        <v>0</v>
      </c>
      <c r="KB59" s="158" t="b">
        <v>0</v>
      </c>
      <c r="KC59" s="158" t="b">
        <v>0</v>
      </c>
      <c r="KD59" s="158" t="b">
        <v>0</v>
      </c>
      <c r="KE59" s="158" t="b">
        <v>0</v>
      </c>
      <c r="KF59" s="158" t="b">
        <v>0</v>
      </c>
      <c r="KG59" s="158" t="b">
        <v>0</v>
      </c>
      <c r="KH59" s="158" t="b">
        <v>0</v>
      </c>
      <c r="KI59" s="158" t="b">
        <v>0</v>
      </c>
      <c r="KJ59" s="158" t="b">
        <v>0</v>
      </c>
      <c r="KK59" s="158" t="b">
        <v>0</v>
      </c>
      <c r="KL59" s="158" t="b">
        <v>0</v>
      </c>
      <c r="KM59" s="158" t="b">
        <v>0</v>
      </c>
      <c r="KN59" s="158" t="b">
        <v>0</v>
      </c>
      <c r="KO59" s="158" t="b">
        <v>0</v>
      </c>
      <c r="KP59" s="158" t="b">
        <v>0</v>
      </c>
      <c r="KQ59" s="158" t="b">
        <v>0</v>
      </c>
      <c r="KR59" s="158" t="b">
        <v>0</v>
      </c>
      <c r="KS59" s="158" t="b">
        <v>0</v>
      </c>
      <c r="KT59" s="158" t="b">
        <v>0</v>
      </c>
      <c r="KU59" s="158" t="b">
        <v>0</v>
      </c>
      <c r="KV59" s="158" t="b">
        <v>0</v>
      </c>
      <c r="KW59" s="158" t="b">
        <v>0</v>
      </c>
      <c r="KX59" s="158" t="b">
        <v>0</v>
      </c>
      <c r="KY59" s="158" t="b">
        <v>0</v>
      </c>
      <c r="KZ59" s="158" t="b">
        <v>0</v>
      </c>
      <c r="LA59" s="158" t="b">
        <v>0</v>
      </c>
      <c r="LB59" s="158" t="b">
        <v>0</v>
      </c>
      <c r="LC59" s="158" t="b">
        <v>0</v>
      </c>
      <c r="LD59" s="158" t="b">
        <v>0</v>
      </c>
      <c r="LE59" s="158" t="b">
        <v>0</v>
      </c>
      <c r="LF59" s="158" t="b">
        <v>0</v>
      </c>
      <c r="LG59" s="158" t="b">
        <v>0</v>
      </c>
      <c r="LH59" s="158" t="b">
        <v>0</v>
      </c>
      <c r="LI59" s="158" t="b">
        <v>0</v>
      </c>
      <c r="LJ59" s="158" t="b">
        <v>0</v>
      </c>
      <c r="LK59" s="158" t="b">
        <v>0</v>
      </c>
      <c r="LL59" s="158" t="b">
        <v>0</v>
      </c>
      <c r="LM59" s="158" t="b">
        <v>0</v>
      </c>
      <c r="LN59" s="158" t="b">
        <v>0</v>
      </c>
      <c r="LO59" s="158" t="b">
        <v>0</v>
      </c>
      <c r="LP59" s="158" t="b">
        <v>0</v>
      </c>
      <c r="LQ59" s="158" t="b">
        <v>0</v>
      </c>
      <c r="LR59" s="158" t="b">
        <v>0</v>
      </c>
      <c r="LS59" s="158" t="b">
        <v>0</v>
      </c>
      <c r="LT59" s="158" t="b">
        <v>0</v>
      </c>
      <c r="LU59" s="158" t="b">
        <v>0</v>
      </c>
      <c r="LV59" s="158" t="b">
        <v>0</v>
      </c>
      <c r="LW59" s="158" t="b">
        <v>0</v>
      </c>
      <c r="LX59" s="158" t="b">
        <v>0</v>
      </c>
      <c r="LY59" s="158" t="b">
        <v>0</v>
      </c>
      <c r="LZ59" s="158" t="b">
        <v>0</v>
      </c>
      <c r="MA59" s="158" t="b">
        <v>0</v>
      </c>
      <c r="MB59" s="158" t="b">
        <v>0</v>
      </c>
      <c r="MC59" s="158" t="b">
        <v>0</v>
      </c>
      <c r="MD59" s="158" t="b">
        <v>0</v>
      </c>
      <c r="ME59" s="158" t="b">
        <v>0</v>
      </c>
      <c r="MF59" s="158" t="b">
        <v>0</v>
      </c>
      <c r="MG59" s="158" t="b">
        <v>0</v>
      </c>
      <c r="MH59" s="158" t="b">
        <v>0</v>
      </c>
      <c r="MI59" s="158" t="b">
        <v>0</v>
      </c>
      <c r="MJ59" s="158" t="b">
        <v>0</v>
      </c>
      <c r="MK59" s="158" t="b">
        <v>0</v>
      </c>
      <c r="ML59" s="158" t="b">
        <v>0</v>
      </c>
      <c r="MM59" s="158" t="b">
        <v>0</v>
      </c>
      <c r="MN59" s="158" t="b">
        <v>0</v>
      </c>
      <c r="MO59" s="158" t="b">
        <v>0</v>
      </c>
      <c r="MP59" s="158" t="b">
        <v>0</v>
      </c>
      <c r="MQ59" s="158" t="b">
        <v>0</v>
      </c>
      <c r="MR59" s="158" t="b">
        <v>0</v>
      </c>
      <c r="MS59" s="158" t="b">
        <v>0</v>
      </c>
      <c r="MT59" s="158" t="b">
        <v>0</v>
      </c>
      <c r="MU59" s="158" t="b">
        <v>0</v>
      </c>
      <c r="MV59" s="158" t="b">
        <v>0</v>
      </c>
      <c r="MW59" s="158" t="b">
        <v>0</v>
      </c>
      <c r="MX59" s="158" t="b">
        <v>0</v>
      </c>
      <c r="MY59" s="158" t="b">
        <v>0</v>
      </c>
      <c r="MZ59" s="158" t="b">
        <v>0</v>
      </c>
      <c r="NA59" s="158" t="b">
        <v>0</v>
      </c>
      <c r="NB59" s="158" t="b">
        <v>0</v>
      </c>
      <c r="NC59" s="158" t="b">
        <v>0</v>
      </c>
      <c r="ND59" s="158" t="b">
        <v>0</v>
      </c>
      <c r="NE59" s="158" t="b">
        <v>0</v>
      </c>
      <c r="NF59" s="158" t="b">
        <v>0</v>
      </c>
      <c r="NG59" s="158" t="b">
        <v>0</v>
      </c>
      <c r="NH59" s="158" t="b">
        <v>0</v>
      </c>
      <c r="NI59" s="158" t="b">
        <v>0</v>
      </c>
      <c r="NJ59" s="158" t="b">
        <v>0</v>
      </c>
      <c r="NK59" s="158" t="b">
        <v>0</v>
      </c>
      <c r="NL59" s="158" t="b">
        <v>0</v>
      </c>
      <c r="NM59" s="158" t="b">
        <v>0</v>
      </c>
      <c r="NN59" s="158" t="b">
        <v>0</v>
      </c>
      <c r="NO59" s="158" t="b">
        <v>0</v>
      </c>
    </row>
    <row r="60" spans="1:379" ht="29.25" x14ac:dyDescent="0.4">
      <c r="A60" s="509" t="str">
        <v xml:space="preserve">Yellow Transit </v>
      </c>
      <c r="B60" s="158" t="b">
        <v>0</v>
      </c>
      <c r="C60" s="158" t="b">
        <v>0</v>
      </c>
      <c r="D60" s="158" t="b">
        <v>0</v>
      </c>
      <c r="E60" s="158" t="b">
        <v>0</v>
      </c>
      <c r="F60" s="158" t="b">
        <v>0</v>
      </c>
      <c r="G60" s="158" t="b">
        <v>0</v>
      </c>
      <c r="H60" s="158" t="b">
        <v>0</v>
      </c>
      <c r="I60" s="158" t="b">
        <v>0</v>
      </c>
      <c r="J60" s="158" t="b">
        <v>0</v>
      </c>
      <c r="K60" s="158" t="b">
        <v>0</v>
      </c>
      <c r="L60" s="158" t="b">
        <v>0</v>
      </c>
      <c r="M60" s="158" t="b">
        <v>0</v>
      </c>
      <c r="N60" s="158" t="b">
        <v>0</v>
      </c>
      <c r="O60" s="158" t="b">
        <v>0</v>
      </c>
      <c r="P60" s="158" t="b">
        <v>0</v>
      </c>
      <c r="Q60" s="158" t="b">
        <v>0</v>
      </c>
      <c r="R60" s="158" t="b">
        <v>0</v>
      </c>
      <c r="S60" s="158" t="b">
        <v>0</v>
      </c>
      <c r="T60" s="158" t="b">
        <v>0</v>
      </c>
      <c r="U60" s="158" t="b">
        <v>0</v>
      </c>
      <c r="V60" s="158" t="b">
        <v>0</v>
      </c>
      <c r="W60" s="158" t="b">
        <v>0</v>
      </c>
      <c r="X60" s="158" t="b">
        <v>0</v>
      </c>
      <c r="Y60" s="158" t="b">
        <v>0</v>
      </c>
      <c r="Z60" s="158" t="b">
        <v>0</v>
      </c>
      <c r="AA60" s="158" t="b">
        <v>0</v>
      </c>
      <c r="AB60" s="158" t="b">
        <v>0</v>
      </c>
      <c r="AC60" s="158" t="b">
        <v>0</v>
      </c>
      <c r="AD60" s="158" t="b">
        <v>0</v>
      </c>
      <c r="AE60" s="158" t="b">
        <v>0</v>
      </c>
      <c r="AF60" s="158" t="b">
        <v>0</v>
      </c>
      <c r="AG60" s="158" t="b">
        <v>0</v>
      </c>
      <c r="AH60" s="158" t="b">
        <v>0</v>
      </c>
      <c r="AI60" s="158" t="b">
        <v>0</v>
      </c>
      <c r="AJ60" s="158" t="b">
        <v>0</v>
      </c>
      <c r="AK60" s="158" t="b">
        <v>0</v>
      </c>
      <c r="AL60" s="158" t="b">
        <v>0</v>
      </c>
      <c r="AM60" s="158" t="b">
        <v>0</v>
      </c>
      <c r="AN60" s="158" t="b">
        <v>0</v>
      </c>
      <c r="AO60" s="158" t="b">
        <v>0</v>
      </c>
      <c r="AP60" s="158" t="b">
        <v>0</v>
      </c>
      <c r="AQ60" s="158" t="b">
        <v>0</v>
      </c>
      <c r="AR60" s="158" t="b">
        <v>0</v>
      </c>
      <c r="AS60" s="158" t="b">
        <v>0</v>
      </c>
      <c r="AT60" s="158" t="b">
        <v>0</v>
      </c>
      <c r="AU60" s="158" t="b">
        <v>0</v>
      </c>
      <c r="AV60" s="158" t="b">
        <v>0</v>
      </c>
      <c r="AW60" s="158" t="b">
        <v>0</v>
      </c>
      <c r="AX60" s="158" t="b">
        <v>0</v>
      </c>
      <c r="AY60" s="158" t="b">
        <v>0</v>
      </c>
      <c r="AZ60" s="158" t="b">
        <v>0</v>
      </c>
      <c r="BA60" s="158" t="b">
        <v>0</v>
      </c>
      <c r="BB60" s="158" t="b">
        <v>0</v>
      </c>
      <c r="BC60" s="158" t="b">
        <v>0</v>
      </c>
      <c r="BD60" s="158" t="b">
        <v>0</v>
      </c>
      <c r="BE60" s="158" t="b">
        <v>0</v>
      </c>
      <c r="BF60" s="158" t="b">
        <v>0</v>
      </c>
      <c r="BG60" s="158" t="b">
        <v>0</v>
      </c>
      <c r="BH60" s="158" t="b">
        <v>0</v>
      </c>
      <c r="BI60" s="158" t="b">
        <v>0</v>
      </c>
      <c r="BJ60" s="158" t="b">
        <v>0</v>
      </c>
      <c r="BK60" s="158" t="b">
        <v>0</v>
      </c>
      <c r="BL60" s="158" t="b">
        <v>0</v>
      </c>
      <c r="BM60" s="158" t="b">
        <v>0</v>
      </c>
      <c r="BN60" s="158" t="b">
        <v>0</v>
      </c>
      <c r="BO60" s="158" t="b">
        <v>0</v>
      </c>
      <c r="BP60" s="158" t="b">
        <v>0</v>
      </c>
      <c r="BQ60" s="158" t="b">
        <v>0</v>
      </c>
      <c r="BR60" s="158" t="b">
        <v>0</v>
      </c>
      <c r="BS60" s="158" t="b">
        <v>0</v>
      </c>
      <c r="BT60" s="158" t="b">
        <v>0</v>
      </c>
      <c r="BU60" s="158" t="b">
        <v>0</v>
      </c>
      <c r="BV60" s="158" t="b">
        <v>0</v>
      </c>
      <c r="BW60" s="158" t="b">
        <v>0</v>
      </c>
      <c r="BX60" s="158" t="b">
        <v>0</v>
      </c>
      <c r="BY60" s="158" t="b">
        <v>0</v>
      </c>
      <c r="BZ60" s="158" t="b">
        <v>0</v>
      </c>
      <c r="CA60" s="158" t="b">
        <v>0</v>
      </c>
      <c r="CB60" s="158" t="b">
        <v>0</v>
      </c>
      <c r="CC60" s="158" t="b">
        <v>0</v>
      </c>
      <c r="CD60" s="158" t="b">
        <v>0</v>
      </c>
      <c r="CE60" s="158" t="b">
        <v>0</v>
      </c>
      <c r="CF60" s="158" t="b">
        <v>0</v>
      </c>
      <c r="CG60" s="158" t="b">
        <v>0</v>
      </c>
      <c r="CH60" s="158" t="b">
        <v>0</v>
      </c>
      <c r="CI60" s="158" t="b">
        <v>0</v>
      </c>
      <c r="CJ60" s="158" t="b">
        <v>0</v>
      </c>
      <c r="CK60" s="158" t="b">
        <v>0</v>
      </c>
      <c r="CL60" s="158" t="b">
        <v>0</v>
      </c>
      <c r="CM60" s="158" t="b">
        <v>0</v>
      </c>
      <c r="CN60" s="158" t="b">
        <v>0</v>
      </c>
      <c r="CO60" s="158" t="b">
        <v>0</v>
      </c>
      <c r="CP60" s="158" t="b">
        <v>0</v>
      </c>
      <c r="CQ60" s="158" t="b">
        <v>0</v>
      </c>
      <c r="CR60" s="158" t="b">
        <v>0</v>
      </c>
      <c r="CS60" s="158" t="b">
        <v>0</v>
      </c>
      <c r="CT60" s="158" t="b">
        <v>0</v>
      </c>
      <c r="CU60" s="158" t="b">
        <v>0</v>
      </c>
      <c r="CV60" s="158" t="b">
        <v>0</v>
      </c>
      <c r="CW60" s="158" t="b">
        <v>0</v>
      </c>
      <c r="CX60" s="158" t="b">
        <v>0</v>
      </c>
      <c r="CY60" s="158" t="b">
        <v>0</v>
      </c>
      <c r="CZ60" s="158" t="b">
        <v>0</v>
      </c>
      <c r="DA60" s="158" t="b">
        <v>0</v>
      </c>
      <c r="DB60" s="158" t="b">
        <v>0</v>
      </c>
      <c r="DC60" s="158" t="b">
        <v>0</v>
      </c>
      <c r="DD60" s="158" t="b">
        <v>0</v>
      </c>
      <c r="DE60" s="158" t="b">
        <v>0</v>
      </c>
      <c r="DF60" s="158" t="b">
        <v>0</v>
      </c>
      <c r="DG60" s="158" t="b">
        <v>0</v>
      </c>
      <c r="DH60" s="158" t="b">
        <v>0</v>
      </c>
      <c r="DI60" s="158" t="b">
        <v>0</v>
      </c>
      <c r="DJ60" s="158" t="b">
        <v>0</v>
      </c>
      <c r="DK60" s="158" t="b">
        <v>0</v>
      </c>
      <c r="DL60" s="158" t="b">
        <v>0</v>
      </c>
      <c r="DM60" s="158" t="b">
        <v>0</v>
      </c>
      <c r="DN60" s="158" t="b">
        <v>0</v>
      </c>
      <c r="DO60" s="158" t="b">
        <v>0</v>
      </c>
      <c r="DP60" s="158" t="b">
        <v>0</v>
      </c>
      <c r="DQ60" s="158" t="b">
        <v>0</v>
      </c>
      <c r="DR60" s="158" t="b">
        <v>0</v>
      </c>
      <c r="DS60" s="158" t="b">
        <v>0</v>
      </c>
      <c r="DT60" s="158" t="b">
        <v>0</v>
      </c>
      <c r="DU60" s="158" t="b">
        <v>0</v>
      </c>
      <c r="DV60" s="158" t="b">
        <v>0</v>
      </c>
      <c r="DW60" s="158" t="b">
        <v>0</v>
      </c>
      <c r="DX60" s="158" t="b">
        <v>0</v>
      </c>
      <c r="DY60" s="158" t="b">
        <v>0</v>
      </c>
      <c r="DZ60" s="158" t="b">
        <v>0</v>
      </c>
      <c r="EA60" s="158" t="b">
        <v>0</v>
      </c>
      <c r="EB60" s="158" t="b">
        <v>0</v>
      </c>
      <c r="EC60" s="158" t="b">
        <v>0</v>
      </c>
      <c r="ED60" s="158" t="b">
        <v>0</v>
      </c>
      <c r="EE60" s="158" t="b">
        <v>0</v>
      </c>
      <c r="EF60" s="158" t="b">
        <v>0</v>
      </c>
      <c r="EG60" s="158" t="b">
        <v>0</v>
      </c>
      <c r="EH60" s="158" t="b">
        <v>0</v>
      </c>
      <c r="EI60" s="158" t="b">
        <v>0</v>
      </c>
      <c r="EJ60" s="158" t="b">
        <v>0</v>
      </c>
      <c r="EK60" s="158" t="b">
        <v>0</v>
      </c>
      <c r="EL60" s="158" t="b">
        <v>0</v>
      </c>
      <c r="EM60" s="158" t="b">
        <v>0</v>
      </c>
      <c r="EN60" s="158" t="b">
        <v>0</v>
      </c>
      <c r="EO60" s="158" t="b">
        <v>0</v>
      </c>
      <c r="EP60" s="158" t="b">
        <v>0</v>
      </c>
      <c r="EQ60" s="158" t="b">
        <v>0</v>
      </c>
      <c r="ER60" s="158" t="b">
        <v>0</v>
      </c>
      <c r="ES60" s="158" t="b">
        <v>0</v>
      </c>
      <c r="ET60" s="158" t="b">
        <v>0</v>
      </c>
      <c r="EU60" s="158" t="b">
        <v>0</v>
      </c>
      <c r="EV60" s="158" t="b">
        <v>0</v>
      </c>
      <c r="EW60" s="158" t="b">
        <v>0</v>
      </c>
      <c r="EX60" s="158" t="b">
        <v>0</v>
      </c>
      <c r="EY60" s="158" t="b">
        <v>0</v>
      </c>
      <c r="EZ60" s="158" t="b">
        <v>0</v>
      </c>
      <c r="FA60" s="158" t="b">
        <v>0</v>
      </c>
      <c r="FB60" s="158" t="b">
        <v>0</v>
      </c>
      <c r="FC60" s="158" t="b">
        <v>0</v>
      </c>
      <c r="FD60" s="158" t="b">
        <v>0</v>
      </c>
      <c r="FE60" s="158" t="b">
        <v>0</v>
      </c>
      <c r="FF60" s="158" t="b">
        <v>0</v>
      </c>
      <c r="FG60" s="158" t="b">
        <v>0</v>
      </c>
      <c r="FH60" s="158" t="b">
        <v>0</v>
      </c>
      <c r="FI60" s="158" t="b">
        <v>0</v>
      </c>
      <c r="FJ60" s="158" t="b">
        <v>0</v>
      </c>
      <c r="FK60" s="158" t="b">
        <v>0</v>
      </c>
      <c r="FL60" s="158" t="b">
        <v>0</v>
      </c>
      <c r="FM60" s="158" t="b">
        <v>0</v>
      </c>
      <c r="FN60" s="158" t="b">
        <v>0</v>
      </c>
      <c r="FO60" s="158" t="b">
        <v>0</v>
      </c>
      <c r="FP60" s="158" t="b">
        <v>0</v>
      </c>
      <c r="FQ60" s="158" t="b">
        <v>0</v>
      </c>
      <c r="FR60" s="158" t="b">
        <v>0</v>
      </c>
      <c r="FS60" s="158" t="b">
        <v>0</v>
      </c>
      <c r="FT60" s="158" t="b">
        <v>0</v>
      </c>
      <c r="FU60" s="158" t="b">
        <v>0</v>
      </c>
      <c r="FV60" s="158" t="b">
        <v>0</v>
      </c>
      <c r="FW60" s="158" t="b">
        <v>0</v>
      </c>
      <c r="FX60" s="158" t="b">
        <v>0</v>
      </c>
      <c r="FY60" s="158" t="b">
        <v>0</v>
      </c>
      <c r="FZ60" s="158" t="b">
        <v>0</v>
      </c>
      <c r="GA60" s="158" t="b">
        <v>0</v>
      </c>
      <c r="GB60" s="158" t="b">
        <v>0</v>
      </c>
      <c r="GC60" s="158" t="b">
        <v>0</v>
      </c>
      <c r="GD60" s="158" t="b">
        <v>0</v>
      </c>
      <c r="GE60" s="158" t="b">
        <v>0</v>
      </c>
      <c r="GF60" s="158" t="b">
        <v>0</v>
      </c>
      <c r="GG60" s="158" t="b">
        <v>0</v>
      </c>
      <c r="GH60" s="158" t="b">
        <v>0</v>
      </c>
      <c r="GI60" s="158" t="b">
        <v>0</v>
      </c>
      <c r="GJ60" s="158" t="b">
        <v>0</v>
      </c>
      <c r="GK60" s="158" t="b">
        <v>0</v>
      </c>
      <c r="GL60" s="158" t="b">
        <v>0</v>
      </c>
      <c r="GM60" s="158" t="b">
        <v>0</v>
      </c>
      <c r="GN60" s="158" t="b">
        <v>0</v>
      </c>
      <c r="GO60" s="158" t="b">
        <v>0</v>
      </c>
      <c r="GP60" s="158" t="b">
        <v>0</v>
      </c>
      <c r="GQ60" s="158" t="b">
        <v>0</v>
      </c>
      <c r="GR60" s="158" t="b">
        <v>0</v>
      </c>
      <c r="GS60" s="158" t="b">
        <v>0</v>
      </c>
      <c r="GT60" s="158" t="b">
        <v>0</v>
      </c>
      <c r="GU60" s="158" t="b">
        <v>0</v>
      </c>
      <c r="GV60" s="158" t="b">
        <v>0</v>
      </c>
      <c r="GW60" s="158" t="b">
        <v>0</v>
      </c>
      <c r="GX60" s="158" t="b">
        <v>0</v>
      </c>
      <c r="GY60" s="158" t="b">
        <v>0</v>
      </c>
      <c r="GZ60" s="158" t="b">
        <v>0</v>
      </c>
      <c r="HA60" s="158" t="b">
        <v>0</v>
      </c>
      <c r="HB60" s="158" t="b">
        <v>0</v>
      </c>
      <c r="HC60" s="158" t="b">
        <v>0</v>
      </c>
      <c r="HD60" s="158" t="b">
        <v>0</v>
      </c>
      <c r="HE60" s="158" t="b">
        <v>0</v>
      </c>
      <c r="HF60" s="158" t="b">
        <v>0</v>
      </c>
      <c r="HG60" s="158" t="b">
        <v>0</v>
      </c>
      <c r="HH60" s="158" t="b">
        <v>0</v>
      </c>
      <c r="HI60" s="158" t="b">
        <v>0</v>
      </c>
      <c r="HJ60" s="158" t="b">
        <v>0</v>
      </c>
      <c r="HK60" s="158" t="b">
        <v>0</v>
      </c>
      <c r="HL60" s="158" t="b">
        <v>0</v>
      </c>
      <c r="HM60" s="158" t="b">
        <v>0</v>
      </c>
      <c r="HN60" s="158" t="b">
        <v>0</v>
      </c>
      <c r="HO60" s="158" t="b">
        <v>0</v>
      </c>
      <c r="HP60" s="158" t="b">
        <v>0</v>
      </c>
      <c r="HQ60" s="158" t="b">
        <v>0</v>
      </c>
      <c r="HR60" s="158" t="b">
        <v>0</v>
      </c>
      <c r="HS60" s="158" t="b">
        <v>0</v>
      </c>
      <c r="HT60" s="158" t="b">
        <v>0</v>
      </c>
      <c r="HU60" s="158" t="b">
        <v>0</v>
      </c>
      <c r="HV60" s="158" t="b">
        <v>0</v>
      </c>
      <c r="HW60" s="158" t="b">
        <v>0</v>
      </c>
      <c r="HX60" s="158" t="b">
        <v>0</v>
      </c>
      <c r="HY60" s="158" t="b">
        <v>0</v>
      </c>
      <c r="HZ60" s="158" t="b">
        <v>0</v>
      </c>
      <c r="IA60" s="158" t="b">
        <v>0</v>
      </c>
      <c r="IB60" s="158" t="b">
        <v>0</v>
      </c>
      <c r="IC60" s="158" t="b">
        <v>0</v>
      </c>
      <c r="ID60" s="158" t="b">
        <v>0</v>
      </c>
      <c r="IE60" s="158" t="b">
        <v>0</v>
      </c>
      <c r="IF60" s="158" t="b">
        <v>0</v>
      </c>
      <c r="IG60" s="158" t="b">
        <v>0</v>
      </c>
      <c r="IH60" s="158" t="b">
        <v>0</v>
      </c>
      <c r="II60" s="158" t="b">
        <v>0</v>
      </c>
      <c r="IJ60" s="158" t="b">
        <v>0</v>
      </c>
      <c r="IK60" s="158" t="b">
        <v>0</v>
      </c>
      <c r="IL60" s="158" t="b">
        <v>0</v>
      </c>
      <c r="IM60" s="158" t="b">
        <v>0</v>
      </c>
      <c r="IN60" s="158" t="b">
        <v>0</v>
      </c>
      <c r="IO60" s="158" t="b">
        <v>0</v>
      </c>
      <c r="IP60" s="158" t="b">
        <v>0</v>
      </c>
      <c r="IQ60" s="158" t="b">
        <v>0</v>
      </c>
      <c r="IR60" s="158" t="b">
        <v>0</v>
      </c>
      <c r="IS60" s="158" t="b">
        <v>0</v>
      </c>
      <c r="IT60" s="158" t="b">
        <v>0</v>
      </c>
      <c r="IU60" s="158" t="b">
        <v>0</v>
      </c>
      <c r="IV60" s="158" t="b">
        <v>0</v>
      </c>
      <c r="IW60" s="158" t="b">
        <v>0</v>
      </c>
      <c r="IX60" s="158" t="b">
        <v>0</v>
      </c>
      <c r="IY60" s="158" t="b">
        <v>0</v>
      </c>
      <c r="IZ60" s="158" t="b">
        <v>0</v>
      </c>
      <c r="JA60" s="158" t="b">
        <v>0</v>
      </c>
      <c r="JB60" s="158" t="b">
        <v>0</v>
      </c>
      <c r="JC60" s="158" t="b">
        <v>0</v>
      </c>
      <c r="JD60" s="158" t="b">
        <v>0</v>
      </c>
      <c r="JE60" s="158" t="b">
        <v>0</v>
      </c>
      <c r="JF60" s="158" t="b">
        <v>0</v>
      </c>
      <c r="JG60" s="158" t="b">
        <v>0</v>
      </c>
      <c r="JH60" s="158" t="b">
        <v>0</v>
      </c>
      <c r="JI60" s="158" t="b">
        <v>0</v>
      </c>
      <c r="JJ60" s="158" t="b">
        <v>0</v>
      </c>
      <c r="JK60" s="158" t="b">
        <v>0</v>
      </c>
      <c r="JL60" s="158" t="b">
        <v>0</v>
      </c>
      <c r="JM60" s="158" t="b">
        <v>0</v>
      </c>
      <c r="JN60" s="158" t="b">
        <v>0</v>
      </c>
      <c r="JO60" s="158" t="b">
        <v>0</v>
      </c>
      <c r="JP60" s="158" t="b">
        <v>0</v>
      </c>
      <c r="JQ60" s="158" t="b">
        <v>0</v>
      </c>
      <c r="JR60" s="158" t="b">
        <v>0</v>
      </c>
      <c r="JS60" s="158" t="b">
        <v>0</v>
      </c>
      <c r="JT60" s="158" t="b">
        <v>0</v>
      </c>
      <c r="JU60" s="158" t="b">
        <v>0</v>
      </c>
      <c r="JV60" s="158" t="b">
        <v>0</v>
      </c>
      <c r="JW60" s="158" t="b">
        <v>0</v>
      </c>
      <c r="JX60" s="158" t="b">
        <v>0</v>
      </c>
      <c r="JY60" s="158" t="b">
        <v>0</v>
      </c>
      <c r="JZ60" s="158" t="b">
        <v>0</v>
      </c>
      <c r="KA60" s="158" t="b">
        <v>0</v>
      </c>
      <c r="KB60" s="158" t="b">
        <v>0</v>
      </c>
      <c r="KC60" s="158" t="b">
        <v>0</v>
      </c>
      <c r="KD60" s="158" t="b">
        <v>0</v>
      </c>
      <c r="KE60" s="158" t="b">
        <v>0</v>
      </c>
      <c r="KF60" s="158" t="b">
        <v>0</v>
      </c>
      <c r="KG60" s="158" t="b">
        <v>0</v>
      </c>
      <c r="KH60" s="158" t="b">
        <v>0</v>
      </c>
      <c r="KI60" s="158" t="b">
        <v>0</v>
      </c>
      <c r="KJ60" s="158" t="b">
        <v>0</v>
      </c>
      <c r="KK60" s="158" t="b">
        <v>0</v>
      </c>
      <c r="KL60" s="158" t="b">
        <v>0</v>
      </c>
      <c r="KM60" s="158" t="b">
        <v>0</v>
      </c>
      <c r="KN60" s="158" t="b">
        <v>0</v>
      </c>
      <c r="KO60" s="158" t="b">
        <v>0</v>
      </c>
      <c r="KP60" s="158" t="b">
        <v>0</v>
      </c>
      <c r="KQ60" s="158" t="b">
        <v>0</v>
      </c>
      <c r="KR60" s="158" t="b">
        <v>0</v>
      </c>
      <c r="KS60" s="158" t="b">
        <v>0</v>
      </c>
      <c r="KT60" s="158" t="b">
        <v>0</v>
      </c>
      <c r="KU60" s="158" t="b">
        <v>0</v>
      </c>
      <c r="KV60" s="158" t="b">
        <v>0</v>
      </c>
      <c r="KW60" s="158" t="b">
        <v>0</v>
      </c>
      <c r="KX60" s="158" t="b">
        <v>0</v>
      </c>
      <c r="KY60" s="158" t="b">
        <v>0</v>
      </c>
      <c r="KZ60" s="158" t="b">
        <v>0</v>
      </c>
      <c r="LA60" s="158" t="b">
        <v>0</v>
      </c>
      <c r="LB60" s="158" t="b">
        <v>0</v>
      </c>
      <c r="LC60" s="158" t="b">
        <v>0</v>
      </c>
      <c r="LD60" s="158" t="b">
        <v>0</v>
      </c>
      <c r="LE60" s="158" t="b">
        <v>0</v>
      </c>
      <c r="LF60" s="158" t="b">
        <v>0</v>
      </c>
      <c r="LG60" s="158" t="b">
        <v>0</v>
      </c>
      <c r="LH60" s="158" t="b">
        <v>0</v>
      </c>
      <c r="LI60" s="158" t="b">
        <v>0</v>
      </c>
      <c r="LJ60" s="158" t="b">
        <v>0</v>
      </c>
      <c r="LK60" s="158" t="b">
        <v>0</v>
      </c>
      <c r="LL60" s="158" t="b">
        <v>0</v>
      </c>
      <c r="LM60" s="158" t="b">
        <v>0</v>
      </c>
      <c r="LN60" s="158" t="b">
        <v>0</v>
      </c>
      <c r="LO60" s="158" t="b">
        <v>0</v>
      </c>
      <c r="LP60" s="158" t="b">
        <v>0</v>
      </c>
      <c r="LQ60" s="158" t="b">
        <v>0</v>
      </c>
      <c r="LR60" s="158" t="b">
        <v>0</v>
      </c>
      <c r="LS60" s="158" t="b">
        <v>0</v>
      </c>
      <c r="LT60" s="158" t="b">
        <v>0</v>
      </c>
      <c r="LU60" s="158" t="b">
        <v>0</v>
      </c>
      <c r="LV60" s="158" t="b">
        <v>0</v>
      </c>
      <c r="LW60" s="158" t="b">
        <v>0</v>
      </c>
      <c r="LX60" s="158" t="b">
        <v>0</v>
      </c>
      <c r="LY60" s="158" t="b">
        <v>0</v>
      </c>
      <c r="LZ60" s="158" t="b">
        <v>0</v>
      </c>
      <c r="MA60" s="158" t="b">
        <v>0</v>
      </c>
      <c r="MB60" s="158" t="b">
        <v>0</v>
      </c>
      <c r="MC60" s="158" t="b">
        <v>0</v>
      </c>
      <c r="MD60" s="158" t="b">
        <v>0</v>
      </c>
      <c r="ME60" s="158" t="b">
        <v>0</v>
      </c>
      <c r="MF60" s="158" t="b">
        <v>0</v>
      </c>
      <c r="MG60" s="158" t="b">
        <v>0</v>
      </c>
      <c r="MH60" s="158" t="b">
        <v>0</v>
      </c>
      <c r="MI60" s="158" t="b">
        <v>0</v>
      </c>
      <c r="MJ60" s="158" t="b">
        <v>0</v>
      </c>
      <c r="MK60" s="158" t="b">
        <v>0</v>
      </c>
      <c r="ML60" s="158" t="b">
        <v>0</v>
      </c>
      <c r="MM60" s="158" t="b">
        <v>0</v>
      </c>
      <c r="MN60" s="158" t="b">
        <v>0</v>
      </c>
      <c r="MO60" s="158" t="b">
        <v>0</v>
      </c>
      <c r="MP60" s="158" t="b">
        <v>0</v>
      </c>
      <c r="MQ60" s="158" t="b">
        <v>0</v>
      </c>
      <c r="MR60" s="158" t="b">
        <v>0</v>
      </c>
      <c r="MS60" s="158" t="b">
        <v>0</v>
      </c>
      <c r="MT60" s="158" t="b">
        <v>0</v>
      </c>
      <c r="MU60" s="158" t="b">
        <v>0</v>
      </c>
      <c r="MV60" s="158" t="b">
        <v>0</v>
      </c>
      <c r="MW60" s="158" t="b">
        <v>0</v>
      </c>
      <c r="MX60" s="158" t="b">
        <v>0</v>
      </c>
      <c r="MY60" s="158" t="b">
        <v>0</v>
      </c>
      <c r="MZ60" s="158" t="b">
        <v>0</v>
      </c>
      <c r="NA60" s="158" t="b">
        <v>0</v>
      </c>
      <c r="NB60" s="158" t="b">
        <v>0</v>
      </c>
      <c r="NC60" s="158" t="b">
        <v>0</v>
      </c>
      <c r="ND60" s="158" t="b">
        <v>0</v>
      </c>
      <c r="NE60" s="158" t="b">
        <v>0</v>
      </c>
      <c r="NF60" s="158" t="b">
        <v>0</v>
      </c>
      <c r="NG60" s="158" t="b">
        <v>0</v>
      </c>
      <c r="NH60" s="158" t="b">
        <v>0</v>
      </c>
      <c r="NI60" s="158" t="b">
        <v>0</v>
      </c>
      <c r="NJ60" s="158" t="b">
        <v>0</v>
      </c>
      <c r="NK60" s="158" t="b">
        <v>0</v>
      </c>
      <c r="NL60" s="158" t="b">
        <v>0</v>
      </c>
      <c r="NM60" s="158" t="b">
        <v>0</v>
      </c>
      <c r="NN60" s="158" t="b">
        <v>0</v>
      </c>
      <c r="NO60" s="158" t="b">
        <v>0</v>
      </c>
    </row>
    <row r="61" spans="1:379" ht="29.25" x14ac:dyDescent="0.4">
      <c r="A61" s="511" t="str">
        <v>88-WX</v>
      </c>
      <c r="B61" s="158" t="b">
        <v>0</v>
      </c>
      <c r="C61" s="158" t="b">
        <v>0</v>
      </c>
      <c r="D61" s="158" t="b">
        <v>0</v>
      </c>
      <c r="E61" s="158" t="b">
        <v>0</v>
      </c>
      <c r="F61" s="158" t="b">
        <v>0</v>
      </c>
      <c r="G61" s="158" t="b">
        <v>0</v>
      </c>
      <c r="H61" s="158" t="b">
        <v>0</v>
      </c>
      <c r="I61" s="158" t="b">
        <v>0</v>
      </c>
      <c r="J61" s="158" t="b">
        <v>0</v>
      </c>
      <c r="K61" s="158" t="b">
        <v>0</v>
      </c>
      <c r="L61" s="158" t="b">
        <v>0</v>
      </c>
      <c r="M61" s="158" t="b">
        <v>0</v>
      </c>
      <c r="N61" s="158" t="b">
        <v>0</v>
      </c>
      <c r="O61" s="158" t="b">
        <v>0</v>
      </c>
      <c r="P61" s="158" t="b">
        <v>0</v>
      </c>
      <c r="Q61" s="158" t="b">
        <v>0</v>
      </c>
      <c r="R61" s="158" t="b">
        <v>0</v>
      </c>
      <c r="S61" s="158" t="b">
        <v>0</v>
      </c>
      <c r="T61" s="158" t="b">
        <v>0</v>
      </c>
      <c r="U61" s="158" t="b">
        <v>0</v>
      </c>
      <c r="V61" s="158" t="b">
        <v>0</v>
      </c>
      <c r="W61" s="158" t="b">
        <v>0</v>
      </c>
      <c r="X61" s="158" t="b">
        <v>0</v>
      </c>
      <c r="Y61" s="158" t="b">
        <v>0</v>
      </c>
      <c r="Z61" s="158" t="b">
        <v>0</v>
      </c>
      <c r="AA61" s="158" t="b">
        <v>0</v>
      </c>
      <c r="AB61" s="158" t="b">
        <v>0</v>
      </c>
      <c r="AC61" s="158" t="b">
        <v>0</v>
      </c>
      <c r="AD61" s="158" t="b">
        <v>0</v>
      </c>
      <c r="AE61" s="158" t="b">
        <v>0</v>
      </c>
      <c r="AF61" s="158" t="b">
        <v>0</v>
      </c>
      <c r="AG61" s="158" t="b">
        <v>0</v>
      </c>
      <c r="AH61" s="158" t="b">
        <v>0</v>
      </c>
      <c r="AI61" s="158" t="b">
        <v>0</v>
      </c>
      <c r="AJ61" s="158" t="b">
        <v>0</v>
      </c>
      <c r="AK61" s="158" t="b">
        <v>0</v>
      </c>
      <c r="AL61" s="158" t="b">
        <v>0</v>
      </c>
      <c r="AM61" s="158" t="b">
        <v>0</v>
      </c>
      <c r="AN61" s="158" t="b">
        <v>0</v>
      </c>
      <c r="AO61" s="158" t="b">
        <v>0</v>
      </c>
      <c r="AP61" s="158" t="b">
        <v>0</v>
      </c>
      <c r="AQ61" s="158" t="b">
        <v>0</v>
      </c>
      <c r="AR61" s="158" t="b">
        <v>0</v>
      </c>
      <c r="AS61" s="158" t="b">
        <v>0</v>
      </c>
      <c r="AT61" s="158" t="b">
        <v>0</v>
      </c>
      <c r="AU61" s="158" t="b">
        <v>0</v>
      </c>
      <c r="AV61" s="158" t="b">
        <v>0</v>
      </c>
      <c r="AW61" s="158" t="b">
        <v>0</v>
      </c>
      <c r="AX61" s="158" t="b">
        <v>0</v>
      </c>
      <c r="AY61" s="158" t="b">
        <v>0</v>
      </c>
      <c r="AZ61" s="158" t="b">
        <v>0</v>
      </c>
      <c r="BA61" s="158" t="b">
        <v>0</v>
      </c>
      <c r="BB61" s="158" t="b">
        <v>0</v>
      </c>
      <c r="BC61" s="158" t="b">
        <v>0</v>
      </c>
      <c r="BD61" s="158" t="b">
        <v>0</v>
      </c>
      <c r="BE61" s="158" t="b">
        <v>0</v>
      </c>
      <c r="BF61" s="158" t="b">
        <v>0</v>
      </c>
      <c r="BG61" s="158" t="b">
        <v>0</v>
      </c>
      <c r="BH61" s="158" t="b">
        <v>0</v>
      </c>
      <c r="BI61" s="158" t="b">
        <v>0</v>
      </c>
      <c r="BJ61" s="158" t="b">
        <v>0</v>
      </c>
      <c r="BK61" s="158" t="b">
        <v>0</v>
      </c>
      <c r="BL61" s="158" t="b">
        <v>0</v>
      </c>
      <c r="BM61" s="158" t="b">
        <v>0</v>
      </c>
      <c r="BN61" s="158" t="b">
        <v>0</v>
      </c>
      <c r="BO61" s="158" t="b">
        <v>0</v>
      </c>
      <c r="BP61" s="158" t="b">
        <v>0</v>
      </c>
      <c r="BQ61" s="158" t="b">
        <v>0</v>
      </c>
      <c r="BR61" s="158" t="b">
        <v>0</v>
      </c>
      <c r="BS61" s="158" t="b">
        <v>0</v>
      </c>
      <c r="BT61" s="158" t="b">
        <v>0</v>
      </c>
      <c r="BU61" s="158" t="b">
        <v>0</v>
      </c>
      <c r="BV61" s="158" t="b">
        <v>0</v>
      </c>
      <c r="BW61" s="158" t="b">
        <v>0</v>
      </c>
      <c r="BX61" s="158" t="b">
        <v>0</v>
      </c>
      <c r="BY61" s="158" t="b">
        <v>0</v>
      </c>
      <c r="BZ61" s="158" t="b">
        <v>0</v>
      </c>
      <c r="CA61" s="158" t="b">
        <v>0</v>
      </c>
      <c r="CB61" s="158" t="b">
        <v>0</v>
      </c>
      <c r="CC61" s="158" t="b">
        <v>0</v>
      </c>
      <c r="CD61" s="158" t="b">
        <v>0</v>
      </c>
      <c r="CE61" s="158" t="b">
        <v>0</v>
      </c>
      <c r="CF61" s="158" t="b">
        <v>0</v>
      </c>
      <c r="CG61" s="158" t="b">
        <v>0</v>
      </c>
      <c r="CH61" s="158" t="b">
        <v>0</v>
      </c>
      <c r="CI61" s="158" t="b">
        <v>0</v>
      </c>
      <c r="CJ61" s="158" t="b">
        <v>0</v>
      </c>
      <c r="CK61" s="158" t="b">
        <v>0</v>
      </c>
      <c r="CL61" s="158" t="b">
        <v>0</v>
      </c>
      <c r="CM61" s="158" t="b">
        <v>0</v>
      </c>
      <c r="CN61" s="158" t="b">
        <v>0</v>
      </c>
      <c r="CO61" s="158" t="b">
        <v>0</v>
      </c>
      <c r="CP61" s="158" t="b">
        <v>0</v>
      </c>
      <c r="CQ61" s="158" t="b">
        <v>0</v>
      </c>
      <c r="CR61" s="158" t="b">
        <v>0</v>
      </c>
      <c r="CS61" s="158" t="b">
        <v>0</v>
      </c>
      <c r="CT61" s="158" t="b">
        <v>0</v>
      </c>
      <c r="CU61" s="158" t="b">
        <v>0</v>
      </c>
      <c r="CV61" s="158" t="b">
        <v>0</v>
      </c>
      <c r="CW61" s="158" t="b">
        <v>0</v>
      </c>
      <c r="CX61" s="158" t="b">
        <v>0</v>
      </c>
      <c r="CY61" s="158" t="b">
        <v>0</v>
      </c>
      <c r="CZ61" s="158" t="b">
        <v>0</v>
      </c>
      <c r="DA61" s="158" t="b">
        <v>0</v>
      </c>
      <c r="DB61" s="158" t="b">
        <v>0</v>
      </c>
      <c r="DC61" s="158" t="b">
        <v>0</v>
      </c>
      <c r="DD61" s="158" t="b">
        <v>0</v>
      </c>
      <c r="DE61" s="158" t="b">
        <v>0</v>
      </c>
      <c r="DF61" s="158" t="b">
        <v>0</v>
      </c>
      <c r="DG61" s="158" t="b">
        <v>0</v>
      </c>
      <c r="DH61" s="158" t="b">
        <v>0</v>
      </c>
      <c r="DI61" s="158" t="b">
        <v>0</v>
      </c>
      <c r="DJ61" s="158" t="b">
        <v>0</v>
      </c>
      <c r="DK61" s="158" t="b">
        <v>0</v>
      </c>
      <c r="DL61" s="158" t="b">
        <v>0</v>
      </c>
      <c r="DM61" s="158" t="b">
        <v>0</v>
      </c>
      <c r="DN61" s="158" t="b">
        <v>0</v>
      </c>
      <c r="DO61" s="158" t="b">
        <v>0</v>
      </c>
      <c r="DP61" s="158" t="b">
        <v>0</v>
      </c>
      <c r="DQ61" s="158" t="b">
        <v>0</v>
      </c>
      <c r="DR61" s="158" t="b">
        <v>0</v>
      </c>
      <c r="DS61" s="158" t="b">
        <v>0</v>
      </c>
      <c r="DT61" s="158" t="b">
        <v>0</v>
      </c>
      <c r="DU61" s="158" t="b">
        <v>0</v>
      </c>
      <c r="DV61" s="158" t="b">
        <v>0</v>
      </c>
      <c r="DW61" s="158" t="b">
        <v>0</v>
      </c>
      <c r="DX61" s="158" t="b">
        <v>0</v>
      </c>
      <c r="DY61" s="158" t="b">
        <v>0</v>
      </c>
      <c r="DZ61" s="158" t="b">
        <v>0</v>
      </c>
      <c r="EA61" s="158" t="b">
        <v>0</v>
      </c>
      <c r="EB61" s="158" t="b">
        <v>0</v>
      </c>
      <c r="EC61" s="158" t="b">
        <v>0</v>
      </c>
      <c r="ED61" s="158" t="b">
        <v>0</v>
      </c>
      <c r="EE61" s="158" t="b">
        <v>0</v>
      </c>
      <c r="EF61" s="158" t="b">
        <v>0</v>
      </c>
      <c r="EG61" s="158" t="b">
        <v>0</v>
      </c>
      <c r="EH61" s="158" t="b">
        <v>0</v>
      </c>
      <c r="EI61" s="158" t="b">
        <v>0</v>
      </c>
      <c r="EJ61" s="158" t="b">
        <v>0</v>
      </c>
      <c r="EK61" s="158" t="b">
        <v>0</v>
      </c>
      <c r="EL61" s="158" t="b">
        <v>0</v>
      </c>
      <c r="EM61" s="158" t="b">
        <v>0</v>
      </c>
      <c r="EN61" s="158" t="b">
        <v>0</v>
      </c>
      <c r="EO61" s="158" t="b">
        <v>0</v>
      </c>
      <c r="EP61" s="158" t="b">
        <v>0</v>
      </c>
      <c r="EQ61" s="158" t="b">
        <v>0</v>
      </c>
      <c r="ER61" s="158" t="b">
        <v>0</v>
      </c>
      <c r="ES61" s="158" t="b">
        <v>0</v>
      </c>
      <c r="ET61" s="158" t="b">
        <v>0</v>
      </c>
      <c r="EU61" s="158" t="b">
        <v>0</v>
      </c>
      <c r="EV61" s="158" t="b">
        <v>0</v>
      </c>
      <c r="EW61" s="158" t="b">
        <v>0</v>
      </c>
      <c r="EX61" s="158" t="b">
        <v>0</v>
      </c>
      <c r="EY61" s="158" t="b">
        <v>0</v>
      </c>
      <c r="EZ61" s="158" t="b">
        <v>0</v>
      </c>
      <c r="FA61" s="158" t="b">
        <v>0</v>
      </c>
      <c r="FB61" s="158" t="b">
        <v>0</v>
      </c>
      <c r="FC61" s="158" t="b">
        <v>0</v>
      </c>
      <c r="FD61" s="158" t="b">
        <v>0</v>
      </c>
      <c r="FE61" s="158" t="b">
        <v>0</v>
      </c>
      <c r="FF61" s="158" t="b">
        <v>0</v>
      </c>
      <c r="FG61" s="158" t="b">
        <v>0</v>
      </c>
      <c r="FH61" s="158" t="b">
        <v>0</v>
      </c>
      <c r="FI61" s="158" t="b">
        <v>0</v>
      </c>
      <c r="FJ61" s="158" t="b">
        <v>0</v>
      </c>
      <c r="FK61" s="158" t="b">
        <v>0</v>
      </c>
      <c r="FL61" s="158" t="b">
        <v>0</v>
      </c>
      <c r="FM61" s="158" t="b">
        <v>0</v>
      </c>
      <c r="FN61" s="158" t="b">
        <v>0</v>
      </c>
      <c r="FO61" s="158" t="b">
        <v>0</v>
      </c>
      <c r="FP61" s="158" t="b">
        <v>0</v>
      </c>
      <c r="FQ61" s="158" t="b">
        <v>0</v>
      </c>
      <c r="FR61" s="158" t="b">
        <v>0</v>
      </c>
      <c r="FS61" s="158" t="b">
        <v>0</v>
      </c>
      <c r="FT61" s="158" t="b">
        <v>0</v>
      </c>
      <c r="FU61" s="158" t="b">
        <v>0</v>
      </c>
      <c r="FV61" s="158" t="b">
        <v>0</v>
      </c>
      <c r="FW61" s="158" t="b">
        <v>0</v>
      </c>
      <c r="FX61" s="158" t="b">
        <v>0</v>
      </c>
      <c r="FY61" s="158" t="b">
        <v>0</v>
      </c>
      <c r="FZ61" s="158" t="b">
        <v>0</v>
      </c>
      <c r="GA61" s="158" t="b">
        <v>0</v>
      </c>
      <c r="GB61" s="158" t="b">
        <v>0</v>
      </c>
      <c r="GC61" s="158" t="b">
        <v>0</v>
      </c>
      <c r="GD61" s="158" t="b">
        <v>0</v>
      </c>
      <c r="GE61" s="158" t="b">
        <v>0</v>
      </c>
      <c r="GF61" s="158" t="b">
        <v>0</v>
      </c>
      <c r="GG61" s="158" t="b">
        <v>0</v>
      </c>
      <c r="GH61" s="158" t="b">
        <v>0</v>
      </c>
      <c r="GI61" s="158" t="b">
        <v>0</v>
      </c>
      <c r="GJ61" s="158" t="b">
        <v>0</v>
      </c>
      <c r="GK61" s="158" t="b">
        <v>0</v>
      </c>
      <c r="GL61" s="158" t="b">
        <v>0</v>
      </c>
      <c r="GM61" s="158" t="b">
        <v>0</v>
      </c>
      <c r="GN61" s="158" t="b">
        <v>0</v>
      </c>
      <c r="GO61" s="158" t="b">
        <v>0</v>
      </c>
      <c r="GP61" s="158" t="b">
        <v>0</v>
      </c>
      <c r="GQ61" s="158" t="b">
        <v>0</v>
      </c>
      <c r="GR61" s="158" t="b">
        <v>0</v>
      </c>
      <c r="GS61" s="158" t="b">
        <v>0</v>
      </c>
      <c r="GT61" s="158" t="b">
        <v>0</v>
      </c>
      <c r="GU61" s="158" t="b">
        <v>0</v>
      </c>
      <c r="GV61" s="158" t="b">
        <v>0</v>
      </c>
      <c r="GW61" s="158" t="b">
        <v>0</v>
      </c>
      <c r="GX61" s="158" t="b">
        <v>0</v>
      </c>
      <c r="GY61" s="158" t="b">
        <v>0</v>
      </c>
      <c r="GZ61" s="158" t="b">
        <v>0</v>
      </c>
      <c r="HA61" s="158" t="b">
        <v>0</v>
      </c>
      <c r="HB61" s="158" t="b">
        <v>0</v>
      </c>
      <c r="HC61" s="158" t="b">
        <v>0</v>
      </c>
      <c r="HD61" s="158" t="b">
        <v>0</v>
      </c>
      <c r="HE61" s="158" t="b">
        <v>0</v>
      </c>
      <c r="HF61" s="158" t="b">
        <v>0</v>
      </c>
      <c r="HG61" s="158" t="b">
        <v>0</v>
      </c>
      <c r="HH61" s="158" t="b">
        <v>0</v>
      </c>
      <c r="HI61" s="158" t="b">
        <v>0</v>
      </c>
      <c r="HJ61" s="158" t="b">
        <v>0</v>
      </c>
      <c r="HK61" s="158" t="b">
        <v>0</v>
      </c>
      <c r="HL61" s="158" t="b">
        <v>0</v>
      </c>
      <c r="HM61" s="158" t="b">
        <v>0</v>
      </c>
      <c r="HN61" s="158" t="b">
        <v>0</v>
      </c>
      <c r="HO61" s="158" t="b">
        <v>0</v>
      </c>
      <c r="HP61" s="158" t="b">
        <v>0</v>
      </c>
      <c r="HQ61" s="158" t="b">
        <v>0</v>
      </c>
      <c r="HR61" s="158" t="b">
        <v>0</v>
      </c>
      <c r="HS61" s="158" t="b">
        <v>0</v>
      </c>
      <c r="HT61" s="158" t="b">
        <v>0</v>
      </c>
      <c r="HU61" s="158" t="b">
        <v>0</v>
      </c>
      <c r="HV61" s="158" t="b">
        <v>0</v>
      </c>
      <c r="HW61" s="158" t="b">
        <v>0</v>
      </c>
      <c r="HX61" s="158" t="b">
        <v>0</v>
      </c>
      <c r="HY61" s="158" t="b">
        <v>0</v>
      </c>
      <c r="HZ61" s="158" t="b">
        <v>0</v>
      </c>
      <c r="IA61" s="158" t="b">
        <v>0</v>
      </c>
      <c r="IB61" s="158" t="b">
        <v>0</v>
      </c>
      <c r="IC61" s="158" t="b">
        <v>0</v>
      </c>
      <c r="ID61" s="158" t="b">
        <v>0</v>
      </c>
      <c r="IE61" s="158" t="b">
        <v>0</v>
      </c>
      <c r="IF61" s="158" t="b">
        <v>0</v>
      </c>
      <c r="IG61" s="158" t="b">
        <v>0</v>
      </c>
      <c r="IH61" s="158" t="b">
        <v>0</v>
      </c>
      <c r="II61" s="158" t="b">
        <v>0</v>
      </c>
      <c r="IJ61" s="158" t="b">
        <v>0</v>
      </c>
      <c r="IK61" s="158" t="b">
        <v>0</v>
      </c>
      <c r="IL61" s="158" t="b">
        <v>0</v>
      </c>
      <c r="IM61" s="158" t="b">
        <v>0</v>
      </c>
      <c r="IN61" s="158" t="b">
        <v>0</v>
      </c>
      <c r="IO61" s="158" t="b">
        <v>0</v>
      </c>
      <c r="IP61" s="158" t="b">
        <v>0</v>
      </c>
      <c r="IQ61" s="158" t="b">
        <v>0</v>
      </c>
      <c r="IR61" s="158" t="b">
        <v>0</v>
      </c>
      <c r="IS61" s="158" t="b">
        <v>0</v>
      </c>
      <c r="IT61" s="158" t="b">
        <v>0</v>
      </c>
      <c r="IU61" s="158" t="b">
        <v>0</v>
      </c>
      <c r="IV61" s="158" t="b">
        <v>0</v>
      </c>
      <c r="IW61" s="158" t="b">
        <v>0</v>
      </c>
      <c r="IX61" s="158" t="b">
        <v>0</v>
      </c>
      <c r="IY61" s="158" t="b">
        <v>0</v>
      </c>
      <c r="IZ61" s="158" t="b">
        <v>0</v>
      </c>
      <c r="JA61" s="158" t="b">
        <v>0</v>
      </c>
      <c r="JB61" s="158" t="b">
        <v>0</v>
      </c>
      <c r="JC61" s="158" t="b">
        <v>0</v>
      </c>
      <c r="JD61" s="158" t="b">
        <v>0</v>
      </c>
      <c r="JE61" s="158" t="b">
        <v>0</v>
      </c>
      <c r="JF61" s="158" t="b">
        <v>0</v>
      </c>
      <c r="JG61" s="158" t="b">
        <v>0</v>
      </c>
      <c r="JH61" s="158" t="b">
        <v>0</v>
      </c>
      <c r="JI61" s="158" t="b">
        <v>0</v>
      </c>
      <c r="JJ61" s="158" t="b">
        <v>0</v>
      </c>
      <c r="JK61" s="158" t="b">
        <v>0</v>
      </c>
      <c r="JL61" s="158" t="b">
        <v>0</v>
      </c>
      <c r="JM61" s="158" t="b">
        <v>0</v>
      </c>
      <c r="JN61" s="158" t="b">
        <v>0</v>
      </c>
      <c r="JO61" s="158" t="b">
        <v>0</v>
      </c>
      <c r="JP61" s="158" t="b">
        <v>0</v>
      </c>
      <c r="JQ61" s="158" t="b">
        <v>0</v>
      </c>
      <c r="JR61" s="158" t="b">
        <v>0</v>
      </c>
      <c r="JS61" s="158" t="b">
        <v>0</v>
      </c>
      <c r="JT61" s="158" t="b">
        <v>0</v>
      </c>
      <c r="JU61" s="158" t="b">
        <v>0</v>
      </c>
      <c r="JV61" s="158" t="b">
        <v>0</v>
      </c>
      <c r="JW61" s="158" t="b">
        <v>0</v>
      </c>
      <c r="JX61" s="158" t="b">
        <v>0</v>
      </c>
      <c r="JY61" s="158" t="b">
        <v>0</v>
      </c>
      <c r="JZ61" s="158" t="b">
        <v>0</v>
      </c>
      <c r="KA61" s="158" t="b">
        <v>0</v>
      </c>
      <c r="KB61" s="158" t="b">
        <v>0</v>
      </c>
      <c r="KC61" s="158" t="b">
        <v>0</v>
      </c>
      <c r="KD61" s="158" t="b">
        <v>0</v>
      </c>
      <c r="KE61" s="158" t="b">
        <v>0</v>
      </c>
      <c r="KF61" s="158" t="b">
        <v>0</v>
      </c>
      <c r="KG61" s="158" t="b">
        <v>0</v>
      </c>
      <c r="KH61" s="158" t="b">
        <v>0</v>
      </c>
      <c r="KI61" s="158" t="b">
        <v>0</v>
      </c>
      <c r="KJ61" s="158" t="b">
        <v>0</v>
      </c>
      <c r="KK61" s="158" t="b">
        <v>0</v>
      </c>
      <c r="KL61" s="158" t="b">
        <v>0</v>
      </c>
      <c r="KM61" s="158" t="b">
        <v>0</v>
      </c>
      <c r="KN61" s="158" t="b">
        <v>0</v>
      </c>
      <c r="KO61" s="158" t="b">
        <v>0</v>
      </c>
      <c r="KP61" s="158" t="b">
        <v>0</v>
      </c>
      <c r="KQ61" s="158" t="b">
        <v>0</v>
      </c>
      <c r="KR61" s="158" t="b">
        <v>0</v>
      </c>
      <c r="KS61" s="158" t="b">
        <v>0</v>
      </c>
      <c r="KT61" s="158" t="b">
        <v>0</v>
      </c>
      <c r="KU61" s="158" t="b">
        <v>0</v>
      </c>
      <c r="KV61" s="158" t="b">
        <v>0</v>
      </c>
      <c r="KW61" s="158" t="b">
        <v>0</v>
      </c>
      <c r="KX61" s="158" t="b">
        <v>0</v>
      </c>
      <c r="KY61" s="158" t="b">
        <v>0</v>
      </c>
      <c r="KZ61" s="158" t="b">
        <v>0</v>
      </c>
      <c r="LA61" s="158" t="b">
        <v>0</v>
      </c>
      <c r="LB61" s="158" t="b">
        <v>0</v>
      </c>
      <c r="LC61" s="158" t="b">
        <v>0</v>
      </c>
      <c r="LD61" s="158" t="b">
        <v>0</v>
      </c>
      <c r="LE61" s="158" t="b">
        <v>0</v>
      </c>
      <c r="LF61" s="158" t="b">
        <v>0</v>
      </c>
      <c r="LG61" s="158" t="b">
        <v>0</v>
      </c>
      <c r="LH61" s="158" t="b">
        <v>0</v>
      </c>
      <c r="LI61" s="158" t="b">
        <v>0</v>
      </c>
      <c r="LJ61" s="158" t="b">
        <v>0</v>
      </c>
      <c r="LK61" s="158" t="b">
        <v>0</v>
      </c>
      <c r="LL61" s="158" t="b">
        <v>0</v>
      </c>
      <c r="LM61" s="158" t="b">
        <v>0</v>
      </c>
      <c r="LN61" s="158" t="b">
        <v>0</v>
      </c>
      <c r="LO61" s="158" t="b">
        <v>0</v>
      </c>
      <c r="LP61" s="158" t="b">
        <v>0</v>
      </c>
      <c r="LQ61" s="158" t="b">
        <v>0</v>
      </c>
      <c r="LR61" s="158" t="b">
        <v>0</v>
      </c>
      <c r="LS61" s="158" t="b">
        <v>0</v>
      </c>
      <c r="LT61" s="158" t="b">
        <v>0</v>
      </c>
      <c r="LU61" s="158" t="b">
        <v>0</v>
      </c>
      <c r="LV61" s="158" t="b">
        <v>0</v>
      </c>
      <c r="LW61" s="158" t="b">
        <v>0</v>
      </c>
      <c r="LX61" s="158" t="b">
        <v>0</v>
      </c>
      <c r="LY61" s="158" t="b">
        <v>0</v>
      </c>
      <c r="LZ61" s="158" t="b">
        <v>0</v>
      </c>
      <c r="MA61" s="158" t="b">
        <v>0</v>
      </c>
      <c r="MB61" s="158" t="b">
        <v>0</v>
      </c>
      <c r="MC61" s="158" t="b">
        <v>0</v>
      </c>
      <c r="MD61" s="158" t="b">
        <v>0</v>
      </c>
      <c r="ME61" s="158" t="b">
        <v>0</v>
      </c>
      <c r="MF61" s="158" t="b">
        <v>0</v>
      </c>
      <c r="MG61" s="158" t="b">
        <v>0</v>
      </c>
      <c r="MH61" s="158" t="b">
        <v>0</v>
      </c>
      <c r="MI61" s="158" t="b">
        <v>0</v>
      </c>
      <c r="MJ61" s="158" t="b">
        <v>0</v>
      </c>
      <c r="MK61" s="158" t="b">
        <v>0</v>
      </c>
      <c r="ML61" s="158" t="b">
        <v>0</v>
      </c>
      <c r="MM61" s="158" t="b">
        <v>0</v>
      </c>
      <c r="MN61" s="158" t="b">
        <v>0</v>
      </c>
      <c r="MO61" s="158" t="b">
        <v>0</v>
      </c>
      <c r="MP61" s="158" t="b">
        <v>0</v>
      </c>
      <c r="MQ61" s="158" t="b">
        <v>0</v>
      </c>
      <c r="MR61" s="158" t="b">
        <v>0</v>
      </c>
      <c r="MS61" s="158" t="b">
        <v>0</v>
      </c>
      <c r="MT61" s="158" t="b">
        <v>0</v>
      </c>
      <c r="MU61" s="158" t="b">
        <v>0</v>
      </c>
      <c r="MV61" s="158" t="b">
        <v>0</v>
      </c>
      <c r="MW61" s="158" t="b">
        <v>0</v>
      </c>
      <c r="MX61" s="158" t="b">
        <v>0</v>
      </c>
      <c r="MY61" s="158" t="b">
        <v>0</v>
      </c>
      <c r="MZ61" s="158" t="b">
        <v>0</v>
      </c>
      <c r="NA61" s="158" t="b">
        <v>0</v>
      </c>
      <c r="NB61" s="158" t="b">
        <v>0</v>
      </c>
      <c r="NC61" s="158" t="b">
        <v>0</v>
      </c>
      <c r="ND61" s="158" t="b">
        <v>0</v>
      </c>
      <c r="NE61" s="158" t="b">
        <v>0</v>
      </c>
      <c r="NF61" s="158" t="b">
        <v>0</v>
      </c>
      <c r="NG61" s="158" t="b">
        <v>0</v>
      </c>
      <c r="NH61" s="158" t="b">
        <v>0</v>
      </c>
      <c r="NI61" s="158" t="b">
        <v>0</v>
      </c>
      <c r="NJ61" s="158" t="b">
        <v>0</v>
      </c>
      <c r="NK61" s="158" t="b">
        <v>0</v>
      </c>
      <c r="NL61" s="158" t="b">
        <v>0</v>
      </c>
      <c r="NM61" s="158" t="b">
        <v>0</v>
      </c>
      <c r="NN61" s="158" t="b">
        <v>0</v>
      </c>
      <c r="NO61" s="158" t="b">
        <v>0</v>
      </c>
    </row>
    <row r="62" spans="1:379" ht="29.25" x14ac:dyDescent="0.4">
      <c r="A62" s="511" t="str">
        <v>Carts &amp; Trikes</v>
      </c>
      <c r="B62" s="158" t="b">
        <v>0</v>
      </c>
      <c r="C62" s="158" t="b">
        <v>0</v>
      </c>
      <c r="D62" s="158" t="b">
        <v>0</v>
      </c>
      <c r="E62" s="158" t="b">
        <v>0</v>
      </c>
      <c r="F62" s="158" t="b">
        <v>0</v>
      </c>
      <c r="G62" s="158" t="b">
        <v>0</v>
      </c>
      <c r="H62" s="158" t="b">
        <v>0</v>
      </c>
      <c r="I62" s="158" t="b">
        <v>0</v>
      </c>
      <c r="J62" s="158" t="b">
        <v>0</v>
      </c>
      <c r="K62" s="158" t="b">
        <v>0</v>
      </c>
      <c r="L62" s="158" t="b">
        <v>0</v>
      </c>
      <c r="M62" s="158" t="b">
        <v>0</v>
      </c>
      <c r="N62" s="158" t="b">
        <v>0</v>
      </c>
      <c r="O62" s="158" t="b">
        <v>0</v>
      </c>
      <c r="P62" s="158" t="b">
        <v>0</v>
      </c>
      <c r="Q62" s="158" t="b">
        <v>0</v>
      </c>
      <c r="R62" s="158" t="b">
        <v>0</v>
      </c>
      <c r="S62" s="158" t="b">
        <v>0</v>
      </c>
      <c r="T62" s="158" t="b">
        <v>0</v>
      </c>
      <c r="U62" s="158" t="b">
        <v>0</v>
      </c>
      <c r="V62" s="158" t="b">
        <v>0</v>
      </c>
      <c r="W62" s="158" t="b">
        <v>0</v>
      </c>
      <c r="X62" s="158" t="b">
        <v>0</v>
      </c>
      <c r="Y62" s="158" t="b">
        <v>0</v>
      </c>
      <c r="Z62" s="158" t="b">
        <v>0</v>
      </c>
      <c r="AA62" s="158" t="b">
        <v>0</v>
      </c>
      <c r="AB62" s="158" t="b">
        <v>0</v>
      </c>
      <c r="AC62" s="158" t="b">
        <v>0</v>
      </c>
      <c r="AD62" s="158" t="b">
        <v>0</v>
      </c>
      <c r="AE62" s="158" t="b">
        <v>0</v>
      </c>
      <c r="AF62" s="158" t="b">
        <v>0</v>
      </c>
      <c r="AG62" s="158" t="b">
        <v>0</v>
      </c>
      <c r="AH62" s="158" t="b">
        <v>0</v>
      </c>
      <c r="AI62" s="158" t="b">
        <v>0</v>
      </c>
      <c r="AJ62" s="158" t="b">
        <v>0</v>
      </c>
      <c r="AK62" s="158" t="b">
        <v>0</v>
      </c>
      <c r="AL62" s="158" t="b">
        <v>0</v>
      </c>
      <c r="AM62" s="158" t="b">
        <v>0</v>
      </c>
      <c r="AN62" s="158" t="b">
        <v>0</v>
      </c>
      <c r="AO62" s="158" t="b">
        <v>0</v>
      </c>
      <c r="AP62" s="158" t="b">
        <v>0</v>
      </c>
      <c r="AQ62" s="158" t="b">
        <v>0</v>
      </c>
      <c r="AR62" s="158" t="b">
        <v>0</v>
      </c>
      <c r="AS62" s="158" t="b">
        <v>0</v>
      </c>
      <c r="AT62" s="158" t="b">
        <v>0</v>
      </c>
      <c r="AU62" s="158" t="b">
        <v>0</v>
      </c>
      <c r="AV62" s="158" t="b">
        <v>0</v>
      </c>
      <c r="AW62" s="158" t="b">
        <v>0</v>
      </c>
      <c r="AX62" s="158" t="b">
        <v>0</v>
      </c>
      <c r="AY62" s="158" t="b">
        <v>0</v>
      </c>
      <c r="AZ62" s="158" t="b">
        <v>0</v>
      </c>
      <c r="BA62" s="158" t="b">
        <v>0</v>
      </c>
      <c r="BB62" s="158" t="b">
        <v>0</v>
      </c>
      <c r="BC62" s="158" t="b">
        <v>0</v>
      </c>
      <c r="BD62" s="158" t="b">
        <v>0</v>
      </c>
      <c r="BE62" s="158" t="b">
        <v>0</v>
      </c>
      <c r="BF62" s="158" t="b">
        <v>0</v>
      </c>
      <c r="BG62" s="158" t="b">
        <v>0</v>
      </c>
      <c r="BH62" s="158" t="b">
        <v>0</v>
      </c>
      <c r="BI62" s="158" t="b">
        <v>0</v>
      </c>
      <c r="BJ62" s="158" t="b">
        <v>0</v>
      </c>
      <c r="BK62" s="158" t="b">
        <v>0</v>
      </c>
      <c r="BL62" s="158" t="b">
        <v>0</v>
      </c>
      <c r="BM62" s="158" t="b">
        <v>0</v>
      </c>
      <c r="BN62" s="158" t="b">
        <v>0</v>
      </c>
      <c r="BO62" s="158" t="b">
        <v>0</v>
      </c>
      <c r="BP62" s="158" t="b">
        <v>0</v>
      </c>
      <c r="BQ62" s="158" t="b">
        <v>0</v>
      </c>
      <c r="BR62" s="158" t="b">
        <v>0</v>
      </c>
      <c r="BS62" s="158" t="b">
        <v>0</v>
      </c>
      <c r="BT62" s="158" t="b">
        <v>0</v>
      </c>
      <c r="BU62" s="158" t="b">
        <v>0</v>
      </c>
      <c r="BV62" s="158" t="b">
        <v>0</v>
      </c>
      <c r="BW62" s="158" t="b">
        <v>0</v>
      </c>
      <c r="BX62" s="158" t="b">
        <v>0</v>
      </c>
      <c r="BY62" s="158" t="b">
        <v>0</v>
      </c>
      <c r="BZ62" s="158" t="b">
        <v>0</v>
      </c>
      <c r="CA62" s="158" t="b">
        <v>0</v>
      </c>
      <c r="CB62" s="158" t="b">
        <v>0</v>
      </c>
      <c r="CC62" s="158" t="b">
        <v>0</v>
      </c>
      <c r="CD62" s="158" t="b">
        <v>0</v>
      </c>
      <c r="CE62" s="158" t="b">
        <v>0</v>
      </c>
      <c r="CF62" s="158" t="b">
        <v>0</v>
      </c>
      <c r="CG62" s="158" t="b">
        <v>0</v>
      </c>
      <c r="CH62" s="158" t="b">
        <v>0</v>
      </c>
      <c r="CI62" s="158" t="b">
        <v>0</v>
      </c>
      <c r="CJ62" s="158" t="b">
        <v>0</v>
      </c>
      <c r="CK62" s="158" t="b">
        <v>0</v>
      </c>
      <c r="CL62" s="158" t="b">
        <v>0</v>
      </c>
      <c r="CM62" s="158" t="b">
        <v>0</v>
      </c>
      <c r="CN62" s="158" t="b">
        <v>0</v>
      </c>
      <c r="CO62" s="158" t="b">
        <v>0</v>
      </c>
      <c r="CP62" s="158" t="b">
        <v>0</v>
      </c>
      <c r="CQ62" s="158" t="b">
        <v>0</v>
      </c>
      <c r="CR62" s="158" t="b">
        <v>0</v>
      </c>
      <c r="CS62" s="158" t="b">
        <v>0</v>
      </c>
      <c r="CT62" s="158" t="b">
        <v>0</v>
      </c>
      <c r="CU62" s="158" t="b">
        <v>0</v>
      </c>
      <c r="CV62" s="158" t="b">
        <v>0</v>
      </c>
      <c r="CW62" s="158" t="b">
        <v>0</v>
      </c>
      <c r="CX62" s="158" t="b">
        <v>0</v>
      </c>
      <c r="CY62" s="158" t="b">
        <v>0</v>
      </c>
      <c r="CZ62" s="158" t="b">
        <v>0</v>
      </c>
      <c r="DA62" s="158" t="b">
        <v>0</v>
      </c>
      <c r="DB62" s="158" t="b">
        <v>0</v>
      </c>
      <c r="DC62" s="158" t="b">
        <v>0</v>
      </c>
      <c r="DD62" s="158" t="b">
        <v>0</v>
      </c>
      <c r="DE62" s="158" t="b">
        <v>0</v>
      </c>
      <c r="DF62" s="158" t="b">
        <v>0</v>
      </c>
      <c r="DG62" s="158" t="b">
        <v>0</v>
      </c>
      <c r="DH62" s="158" t="b">
        <v>0</v>
      </c>
      <c r="DI62" s="158" t="b">
        <v>0</v>
      </c>
      <c r="DJ62" s="158" t="b">
        <v>0</v>
      </c>
      <c r="DK62" s="158" t="b">
        <v>0</v>
      </c>
      <c r="DL62" s="158" t="b">
        <v>0</v>
      </c>
      <c r="DM62" s="158" t="b">
        <v>0</v>
      </c>
      <c r="DN62" s="158" t="b">
        <v>0</v>
      </c>
      <c r="DO62" s="158" t="b">
        <v>0</v>
      </c>
      <c r="DP62" s="158" t="b">
        <v>0</v>
      </c>
      <c r="DQ62" s="158" t="b">
        <v>0</v>
      </c>
      <c r="DR62" s="158" t="b">
        <v>0</v>
      </c>
      <c r="DS62" s="158" t="b">
        <v>0</v>
      </c>
      <c r="DT62" s="158" t="b">
        <v>0</v>
      </c>
      <c r="DU62" s="158" t="b">
        <v>0</v>
      </c>
      <c r="DV62" s="158" t="b">
        <v>0</v>
      </c>
      <c r="DW62" s="158" t="b">
        <v>0</v>
      </c>
      <c r="DX62" s="158" t="b">
        <v>0</v>
      </c>
      <c r="DY62" s="158" t="b">
        <v>0</v>
      </c>
      <c r="DZ62" s="158" t="b">
        <v>0</v>
      </c>
      <c r="EA62" s="158" t="b">
        <v>0</v>
      </c>
      <c r="EB62" s="158" t="b">
        <v>0</v>
      </c>
      <c r="EC62" s="158" t="b">
        <v>0</v>
      </c>
      <c r="ED62" s="158" t="b">
        <v>0</v>
      </c>
      <c r="EE62" s="158" t="b">
        <v>0</v>
      </c>
      <c r="EF62" s="158" t="b">
        <v>0</v>
      </c>
      <c r="EG62" s="158" t="b">
        <v>0</v>
      </c>
      <c r="EH62" s="158" t="b">
        <v>0</v>
      </c>
      <c r="EI62" s="158" t="b">
        <v>0</v>
      </c>
      <c r="EJ62" s="158" t="b">
        <v>0</v>
      </c>
      <c r="EK62" s="158" t="b">
        <v>0</v>
      </c>
      <c r="EL62" s="158" t="b">
        <v>0</v>
      </c>
      <c r="EM62" s="158" t="b">
        <v>0</v>
      </c>
      <c r="EN62" s="158" t="b">
        <v>0</v>
      </c>
      <c r="EO62" s="158" t="b">
        <v>0</v>
      </c>
      <c r="EP62" s="158" t="b">
        <v>0</v>
      </c>
      <c r="EQ62" s="158" t="b">
        <v>0</v>
      </c>
      <c r="ER62" s="158" t="b">
        <v>0</v>
      </c>
      <c r="ES62" s="158" t="b">
        <v>0</v>
      </c>
      <c r="ET62" s="158" t="b">
        <v>0</v>
      </c>
      <c r="EU62" s="158" t="b">
        <v>0</v>
      </c>
      <c r="EV62" s="158" t="b">
        <v>0</v>
      </c>
      <c r="EW62" s="158" t="b">
        <v>0</v>
      </c>
      <c r="EX62" s="158" t="b">
        <v>0</v>
      </c>
      <c r="EY62" s="158" t="b">
        <v>0</v>
      </c>
      <c r="EZ62" s="158" t="b">
        <v>0</v>
      </c>
      <c r="FA62" s="158" t="b">
        <v>0</v>
      </c>
      <c r="FB62" s="158" t="b">
        <v>0</v>
      </c>
      <c r="FC62" s="158" t="b">
        <v>0</v>
      </c>
      <c r="FD62" s="158" t="b">
        <v>0</v>
      </c>
      <c r="FE62" s="158" t="b">
        <v>0</v>
      </c>
      <c r="FF62" s="158" t="b">
        <v>0</v>
      </c>
      <c r="FG62" s="158" t="b">
        <v>0</v>
      </c>
      <c r="FH62" s="158" t="b">
        <v>0</v>
      </c>
      <c r="FI62" s="158" t="b">
        <v>0</v>
      </c>
      <c r="FJ62" s="158" t="b">
        <v>0</v>
      </c>
      <c r="FK62" s="158" t="b">
        <v>0</v>
      </c>
      <c r="FL62" s="158" t="b">
        <v>0</v>
      </c>
      <c r="FM62" s="158" t="b">
        <v>0</v>
      </c>
      <c r="FN62" s="158" t="b">
        <v>0</v>
      </c>
      <c r="FO62" s="158" t="b">
        <v>0</v>
      </c>
      <c r="FP62" s="158" t="b">
        <v>0</v>
      </c>
      <c r="FQ62" s="158" t="b">
        <v>0</v>
      </c>
      <c r="FR62" s="158" t="b">
        <v>0</v>
      </c>
      <c r="FS62" s="158" t="b">
        <v>0</v>
      </c>
      <c r="FT62" s="158" t="b">
        <v>0</v>
      </c>
      <c r="FU62" s="158" t="b">
        <v>0</v>
      </c>
      <c r="FV62" s="158" t="b">
        <v>0</v>
      </c>
      <c r="FW62" s="158" t="b">
        <v>0</v>
      </c>
      <c r="FX62" s="158" t="b">
        <v>0</v>
      </c>
      <c r="FY62" s="158" t="b">
        <v>0</v>
      </c>
      <c r="FZ62" s="158" t="b">
        <v>0</v>
      </c>
      <c r="GA62" s="158" t="b">
        <v>0</v>
      </c>
      <c r="GB62" s="158" t="b">
        <v>0</v>
      </c>
      <c r="GC62" s="158" t="b">
        <v>0</v>
      </c>
      <c r="GD62" s="158" t="b">
        <v>0</v>
      </c>
      <c r="GE62" s="158" t="b">
        <v>0</v>
      </c>
      <c r="GF62" s="158" t="b">
        <v>0</v>
      </c>
      <c r="GG62" s="158" t="b">
        <v>0</v>
      </c>
      <c r="GH62" s="158" t="b">
        <v>0</v>
      </c>
      <c r="GI62" s="158" t="b">
        <v>0</v>
      </c>
      <c r="GJ62" s="158" t="b">
        <v>0</v>
      </c>
      <c r="GK62" s="158" t="b">
        <v>0</v>
      </c>
      <c r="GL62" s="158" t="b">
        <v>0</v>
      </c>
      <c r="GM62" s="158" t="b">
        <v>0</v>
      </c>
      <c r="GN62" s="158" t="b">
        <v>0</v>
      </c>
      <c r="GO62" s="158" t="b">
        <v>0</v>
      </c>
      <c r="GP62" s="158" t="b">
        <v>0</v>
      </c>
      <c r="GQ62" s="158" t="b">
        <v>0</v>
      </c>
      <c r="GR62" s="158" t="b">
        <v>0</v>
      </c>
      <c r="GS62" s="158" t="b">
        <v>0</v>
      </c>
      <c r="GT62" s="158" t="b">
        <v>0</v>
      </c>
      <c r="GU62" s="158" t="b">
        <v>0</v>
      </c>
      <c r="GV62" s="158" t="b">
        <v>0</v>
      </c>
      <c r="GW62" s="158" t="b">
        <v>0</v>
      </c>
      <c r="GX62" s="158" t="b">
        <v>0</v>
      </c>
      <c r="GY62" s="158" t="b">
        <v>0</v>
      </c>
      <c r="GZ62" s="158" t="b">
        <v>0</v>
      </c>
      <c r="HA62" s="158" t="b">
        <v>0</v>
      </c>
      <c r="HB62" s="158" t="b">
        <v>0</v>
      </c>
      <c r="HC62" s="158" t="b">
        <v>0</v>
      </c>
      <c r="HD62" s="158" t="b">
        <v>0</v>
      </c>
      <c r="HE62" s="158" t="b">
        <v>0</v>
      </c>
      <c r="HF62" s="158" t="b">
        <v>0</v>
      </c>
      <c r="HG62" s="158" t="b">
        <v>0</v>
      </c>
      <c r="HH62" s="158" t="b">
        <v>0</v>
      </c>
      <c r="HI62" s="158" t="b">
        <v>0</v>
      </c>
      <c r="HJ62" s="158" t="b">
        <v>0</v>
      </c>
      <c r="HK62" s="158" t="b">
        <v>0</v>
      </c>
      <c r="HL62" s="158" t="b">
        <v>0</v>
      </c>
      <c r="HM62" s="158" t="b">
        <v>0</v>
      </c>
      <c r="HN62" s="158" t="b">
        <v>0</v>
      </c>
      <c r="HO62" s="158" t="b">
        <v>0</v>
      </c>
      <c r="HP62" s="158" t="b">
        <v>0</v>
      </c>
      <c r="HQ62" s="158" t="b">
        <v>0</v>
      </c>
      <c r="HR62" s="158" t="b">
        <v>0</v>
      </c>
      <c r="HS62" s="158" t="b">
        <v>0</v>
      </c>
      <c r="HT62" s="158" t="b">
        <v>0</v>
      </c>
      <c r="HU62" s="158" t="b">
        <v>0</v>
      </c>
      <c r="HV62" s="158" t="b">
        <v>0</v>
      </c>
      <c r="HW62" s="158" t="b">
        <v>0</v>
      </c>
      <c r="HX62" s="158" t="b">
        <v>0</v>
      </c>
      <c r="HY62" s="158" t="b">
        <v>0</v>
      </c>
      <c r="HZ62" s="158" t="b">
        <v>0</v>
      </c>
      <c r="IA62" s="158" t="b">
        <v>0</v>
      </c>
      <c r="IB62" s="158" t="b">
        <v>0</v>
      </c>
      <c r="IC62" s="158" t="b">
        <v>0</v>
      </c>
      <c r="ID62" s="158" t="b">
        <v>0</v>
      </c>
      <c r="IE62" s="158" t="b">
        <v>0</v>
      </c>
      <c r="IF62" s="158" t="b">
        <v>0</v>
      </c>
      <c r="IG62" s="158" t="b">
        <v>0</v>
      </c>
      <c r="IH62" s="158" t="b">
        <v>0</v>
      </c>
      <c r="II62" s="158" t="b">
        <v>0</v>
      </c>
      <c r="IJ62" s="158" t="b">
        <v>0</v>
      </c>
      <c r="IK62" s="158" t="b">
        <v>0</v>
      </c>
      <c r="IL62" s="158" t="b">
        <v>0</v>
      </c>
      <c r="IM62" s="158" t="b">
        <v>0</v>
      </c>
      <c r="IN62" s="158" t="b">
        <v>0</v>
      </c>
      <c r="IO62" s="158" t="b">
        <v>0</v>
      </c>
      <c r="IP62" s="158" t="b">
        <v>0</v>
      </c>
      <c r="IQ62" s="158" t="b">
        <v>0</v>
      </c>
      <c r="IR62" s="158" t="b">
        <v>0</v>
      </c>
      <c r="IS62" s="158" t="b">
        <v>0</v>
      </c>
      <c r="IT62" s="158" t="b">
        <v>0</v>
      </c>
      <c r="IU62" s="158" t="b">
        <v>0</v>
      </c>
      <c r="IV62" s="158" t="b">
        <v>0</v>
      </c>
      <c r="IW62" s="158" t="b">
        <v>0</v>
      </c>
      <c r="IX62" s="158" t="b">
        <v>0</v>
      </c>
      <c r="IY62" s="158" t="b">
        <v>0</v>
      </c>
      <c r="IZ62" s="158" t="b">
        <v>0</v>
      </c>
      <c r="JA62" s="158" t="b">
        <v>0</v>
      </c>
      <c r="JB62" s="158" t="b">
        <v>0</v>
      </c>
      <c r="JC62" s="158" t="b">
        <v>0</v>
      </c>
      <c r="JD62" s="158" t="b">
        <v>0</v>
      </c>
      <c r="JE62" s="158" t="b">
        <v>0</v>
      </c>
      <c r="JF62" s="158" t="b">
        <v>0</v>
      </c>
      <c r="JG62" s="158" t="b">
        <v>0</v>
      </c>
      <c r="JH62" s="158" t="b">
        <v>0</v>
      </c>
      <c r="JI62" s="158" t="b">
        <v>0</v>
      </c>
      <c r="JJ62" s="158" t="b">
        <v>0</v>
      </c>
      <c r="JK62" s="158" t="b">
        <v>0</v>
      </c>
      <c r="JL62" s="158" t="b">
        <v>0</v>
      </c>
      <c r="JM62" s="158" t="b">
        <v>0</v>
      </c>
      <c r="JN62" s="158" t="b">
        <v>0</v>
      </c>
      <c r="JO62" s="158" t="b">
        <v>0</v>
      </c>
      <c r="JP62" s="158" t="b">
        <v>0</v>
      </c>
      <c r="JQ62" s="158" t="b">
        <v>0</v>
      </c>
      <c r="JR62" s="158" t="b">
        <v>0</v>
      </c>
      <c r="JS62" s="158" t="b">
        <v>0</v>
      </c>
      <c r="JT62" s="158" t="b">
        <v>0</v>
      </c>
      <c r="JU62" s="158" t="b">
        <v>0</v>
      </c>
      <c r="JV62" s="158" t="b">
        <v>0</v>
      </c>
      <c r="JW62" s="158" t="b">
        <v>0</v>
      </c>
      <c r="JX62" s="158" t="b">
        <v>0</v>
      </c>
      <c r="JY62" s="158" t="b">
        <v>0</v>
      </c>
      <c r="JZ62" s="158" t="b">
        <v>0</v>
      </c>
      <c r="KA62" s="158" t="b">
        <v>0</v>
      </c>
      <c r="KB62" s="158" t="b">
        <v>0</v>
      </c>
      <c r="KC62" s="158" t="b">
        <v>0</v>
      </c>
      <c r="KD62" s="158" t="b">
        <v>0</v>
      </c>
      <c r="KE62" s="158" t="b">
        <v>0</v>
      </c>
      <c r="KF62" s="158" t="b">
        <v>0</v>
      </c>
      <c r="KG62" s="158" t="b">
        <v>0</v>
      </c>
      <c r="KH62" s="158" t="b">
        <v>0</v>
      </c>
      <c r="KI62" s="158" t="b">
        <v>0</v>
      </c>
      <c r="KJ62" s="158" t="b">
        <v>0</v>
      </c>
      <c r="KK62" s="158" t="b">
        <v>0</v>
      </c>
      <c r="KL62" s="158" t="b">
        <v>0</v>
      </c>
      <c r="KM62" s="158" t="b">
        <v>0</v>
      </c>
      <c r="KN62" s="158" t="b">
        <v>0</v>
      </c>
      <c r="KO62" s="158" t="b">
        <v>0</v>
      </c>
      <c r="KP62" s="158" t="b">
        <v>0</v>
      </c>
      <c r="KQ62" s="158" t="b">
        <v>0</v>
      </c>
      <c r="KR62" s="158" t="b">
        <v>0</v>
      </c>
      <c r="KS62" s="158" t="b">
        <v>0</v>
      </c>
      <c r="KT62" s="158" t="b">
        <v>0</v>
      </c>
      <c r="KU62" s="158" t="b">
        <v>0</v>
      </c>
      <c r="KV62" s="158" t="b">
        <v>0</v>
      </c>
      <c r="KW62" s="158" t="b">
        <v>0</v>
      </c>
      <c r="KX62" s="158" t="b">
        <v>0</v>
      </c>
      <c r="KY62" s="158" t="b">
        <v>0</v>
      </c>
      <c r="KZ62" s="158" t="b">
        <v>0</v>
      </c>
      <c r="LA62" s="158" t="b">
        <v>0</v>
      </c>
      <c r="LB62" s="158" t="b">
        <v>0</v>
      </c>
      <c r="LC62" s="158" t="b">
        <v>0</v>
      </c>
      <c r="LD62" s="158" t="b">
        <v>0</v>
      </c>
      <c r="LE62" s="158" t="b">
        <v>0</v>
      </c>
      <c r="LF62" s="158" t="b">
        <v>0</v>
      </c>
      <c r="LG62" s="158" t="b">
        <v>0</v>
      </c>
      <c r="LH62" s="158" t="b">
        <v>0</v>
      </c>
      <c r="LI62" s="158" t="b">
        <v>0</v>
      </c>
      <c r="LJ62" s="158" t="b">
        <v>0</v>
      </c>
      <c r="LK62" s="158" t="b">
        <v>0</v>
      </c>
      <c r="LL62" s="158" t="b">
        <v>0</v>
      </c>
      <c r="LM62" s="158" t="b">
        <v>0</v>
      </c>
      <c r="LN62" s="158" t="b">
        <v>0</v>
      </c>
      <c r="LO62" s="158" t="b">
        <v>0</v>
      </c>
      <c r="LP62" s="158" t="b">
        <v>0</v>
      </c>
      <c r="LQ62" s="158" t="b">
        <v>0</v>
      </c>
      <c r="LR62" s="158" t="b">
        <v>0</v>
      </c>
      <c r="LS62" s="158" t="b">
        <v>0</v>
      </c>
      <c r="LT62" s="158" t="b">
        <v>0</v>
      </c>
      <c r="LU62" s="158" t="b">
        <v>0</v>
      </c>
      <c r="LV62" s="158" t="b">
        <v>0</v>
      </c>
      <c r="LW62" s="158" t="b">
        <v>0</v>
      </c>
      <c r="LX62" s="158" t="b">
        <v>0</v>
      </c>
      <c r="LY62" s="158" t="b">
        <v>0</v>
      </c>
      <c r="LZ62" s="158" t="b">
        <v>0</v>
      </c>
      <c r="MA62" s="158" t="b">
        <v>0</v>
      </c>
      <c r="MB62" s="158" t="b">
        <v>0</v>
      </c>
      <c r="MC62" s="158" t="b">
        <v>0</v>
      </c>
      <c r="MD62" s="158" t="b">
        <v>0</v>
      </c>
      <c r="ME62" s="158" t="b">
        <v>0</v>
      </c>
      <c r="MF62" s="158" t="b">
        <v>0</v>
      </c>
      <c r="MG62" s="158" t="b">
        <v>0</v>
      </c>
      <c r="MH62" s="158" t="b">
        <v>0</v>
      </c>
      <c r="MI62" s="158" t="b">
        <v>0</v>
      </c>
      <c r="MJ62" s="158" t="b">
        <v>0</v>
      </c>
      <c r="MK62" s="158" t="b">
        <v>0</v>
      </c>
      <c r="ML62" s="158" t="b">
        <v>0</v>
      </c>
      <c r="MM62" s="158" t="b">
        <v>0</v>
      </c>
      <c r="MN62" s="158" t="b">
        <v>0</v>
      </c>
      <c r="MO62" s="158" t="b">
        <v>0</v>
      </c>
      <c r="MP62" s="158" t="b">
        <v>0</v>
      </c>
      <c r="MQ62" s="158" t="b">
        <v>0</v>
      </c>
      <c r="MR62" s="158" t="b">
        <v>0</v>
      </c>
      <c r="MS62" s="158" t="b">
        <v>0</v>
      </c>
      <c r="MT62" s="158" t="b">
        <v>0</v>
      </c>
      <c r="MU62" s="158" t="b">
        <v>0</v>
      </c>
      <c r="MV62" s="158" t="b">
        <v>0</v>
      </c>
      <c r="MW62" s="158" t="b">
        <v>0</v>
      </c>
      <c r="MX62" s="158" t="b">
        <v>0</v>
      </c>
      <c r="MY62" s="158" t="b">
        <v>0</v>
      </c>
      <c r="MZ62" s="158" t="b">
        <v>0</v>
      </c>
      <c r="NA62" s="158" t="b">
        <v>0</v>
      </c>
      <c r="NB62" s="158" t="b">
        <v>0</v>
      </c>
      <c r="NC62" s="158" t="b">
        <v>0</v>
      </c>
      <c r="ND62" s="158" t="b">
        <v>0</v>
      </c>
      <c r="NE62" s="158" t="b">
        <v>0</v>
      </c>
      <c r="NF62" s="158" t="b">
        <v>0</v>
      </c>
      <c r="NG62" s="158" t="b">
        <v>0</v>
      </c>
      <c r="NH62" s="158" t="b">
        <v>0</v>
      </c>
      <c r="NI62" s="158" t="b">
        <v>0</v>
      </c>
      <c r="NJ62" s="158" t="b">
        <v>0</v>
      </c>
      <c r="NK62" s="158" t="b">
        <v>0</v>
      </c>
      <c r="NL62" s="158" t="b">
        <v>0</v>
      </c>
      <c r="NM62" s="158" t="b">
        <v>0</v>
      </c>
      <c r="NN62" s="158" t="b">
        <v>0</v>
      </c>
      <c r="NO62" s="158" t="b">
        <v>0</v>
      </c>
    </row>
    <row r="63" spans="1:379" ht="29.25" x14ac:dyDescent="0.4">
      <c r="A63" s="511" t="str">
        <v>Camile Cart</v>
      </c>
      <c r="B63" s="158" t="b">
        <v>0</v>
      </c>
      <c r="C63" s="158" t="b">
        <v>0</v>
      </c>
      <c r="D63" s="158" t="b">
        <v>0</v>
      </c>
      <c r="E63" s="158" t="b">
        <v>0</v>
      </c>
      <c r="F63" s="158" t="b">
        <v>0</v>
      </c>
      <c r="G63" s="158" t="b">
        <v>0</v>
      </c>
      <c r="H63" s="158" t="b">
        <v>0</v>
      </c>
      <c r="I63" s="158" t="b">
        <v>0</v>
      </c>
      <c r="J63" s="158" t="b">
        <v>0</v>
      </c>
      <c r="K63" s="158" t="b">
        <v>0</v>
      </c>
      <c r="L63" s="158" t="b">
        <v>0</v>
      </c>
      <c r="M63" s="158" t="b">
        <v>0</v>
      </c>
      <c r="N63" s="158" t="b">
        <v>0</v>
      </c>
      <c r="O63" s="158" t="b">
        <v>0</v>
      </c>
      <c r="P63" s="158" t="b">
        <v>0</v>
      </c>
      <c r="Q63" s="158" t="b">
        <v>0</v>
      </c>
      <c r="R63" s="158" t="b">
        <v>0</v>
      </c>
      <c r="S63" s="158" t="b">
        <v>0</v>
      </c>
      <c r="T63" s="158" t="b">
        <v>0</v>
      </c>
      <c r="U63" s="158" t="b">
        <v>0</v>
      </c>
      <c r="V63" s="158" t="b">
        <v>0</v>
      </c>
      <c r="W63" s="158" t="b">
        <v>0</v>
      </c>
      <c r="X63" s="158" t="b">
        <v>0</v>
      </c>
      <c r="Y63" s="158" t="b">
        <v>0</v>
      </c>
      <c r="Z63" s="158" t="b">
        <v>0</v>
      </c>
      <c r="AA63" s="158" t="b">
        <v>0</v>
      </c>
      <c r="AB63" s="158" t="b">
        <v>0</v>
      </c>
      <c r="AC63" s="158" t="b">
        <v>0</v>
      </c>
      <c r="AD63" s="158" t="b">
        <v>0</v>
      </c>
      <c r="AE63" s="158" t="b">
        <v>0</v>
      </c>
      <c r="AF63" s="158" t="b">
        <v>0</v>
      </c>
      <c r="AG63" s="158" t="b">
        <v>0</v>
      </c>
      <c r="AH63" s="158" t="b">
        <v>0</v>
      </c>
      <c r="AI63" s="158" t="b">
        <v>0</v>
      </c>
      <c r="AJ63" s="158" t="b">
        <v>0</v>
      </c>
      <c r="AK63" s="158" t="b">
        <v>0</v>
      </c>
      <c r="AL63" s="158" t="b">
        <v>0</v>
      </c>
      <c r="AM63" s="158" t="b">
        <v>0</v>
      </c>
      <c r="AN63" s="158" t="b">
        <v>0</v>
      </c>
      <c r="AO63" s="158" t="b">
        <v>0</v>
      </c>
      <c r="AP63" s="158" t="b">
        <v>0</v>
      </c>
      <c r="AQ63" s="158" t="b">
        <v>0</v>
      </c>
      <c r="AR63" s="158" t="b">
        <v>0</v>
      </c>
      <c r="AS63" s="158" t="b">
        <v>0</v>
      </c>
      <c r="AT63" s="158" t="b">
        <v>0</v>
      </c>
      <c r="AU63" s="158" t="b">
        <v>0</v>
      </c>
      <c r="AV63" s="158" t="b">
        <v>0</v>
      </c>
      <c r="AW63" s="158" t="b">
        <v>0</v>
      </c>
      <c r="AX63" s="158" t="b">
        <v>0</v>
      </c>
      <c r="AY63" s="158" t="b">
        <v>0</v>
      </c>
      <c r="AZ63" s="158" t="b">
        <v>0</v>
      </c>
      <c r="BA63" s="158" t="b">
        <v>0</v>
      </c>
      <c r="BB63" s="158" t="b">
        <v>0</v>
      </c>
      <c r="BC63" s="158" t="b">
        <v>0</v>
      </c>
      <c r="BD63" s="158" t="b">
        <v>0</v>
      </c>
      <c r="BE63" s="158" t="b">
        <v>0</v>
      </c>
      <c r="BF63" s="158" t="b">
        <v>0</v>
      </c>
      <c r="BG63" s="158" t="b">
        <v>0</v>
      </c>
      <c r="BH63" s="158" t="b">
        <v>0</v>
      </c>
      <c r="BI63" s="158" t="b">
        <v>0</v>
      </c>
      <c r="BJ63" s="158" t="b">
        <v>0</v>
      </c>
      <c r="BK63" s="158" t="b">
        <v>0</v>
      </c>
      <c r="BL63" s="158" t="b">
        <v>0</v>
      </c>
      <c r="BM63" s="158" t="b">
        <v>0</v>
      </c>
      <c r="BN63" s="158" t="b">
        <v>0</v>
      </c>
      <c r="BO63" s="158" t="b">
        <v>0</v>
      </c>
      <c r="BP63" s="158" t="b">
        <v>0</v>
      </c>
      <c r="BQ63" s="158" t="b">
        <v>0</v>
      </c>
      <c r="BR63" s="158" t="b">
        <v>0</v>
      </c>
      <c r="BS63" s="158" t="b">
        <v>0</v>
      </c>
      <c r="BT63" s="158" t="b">
        <v>0</v>
      </c>
      <c r="BU63" s="158" t="b">
        <v>0</v>
      </c>
      <c r="BV63" s="158" t="b">
        <v>0</v>
      </c>
      <c r="BW63" s="158" t="b">
        <v>0</v>
      </c>
      <c r="BX63" s="158" t="b">
        <v>0</v>
      </c>
      <c r="BY63" s="158" t="b">
        <v>0</v>
      </c>
      <c r="BZ63" s="158" t="b">
        <v>0</v>
      </c>
      <c r="CA63" s="158" t="b">
        <v>0</v>
      </c>
      <c r="CB63" s="158" t="b">
        <v>0</v>
      </c>
      <c r="CC63" s="158" t="b">
        <v>0</v>
      </c>
      <c r="CD63" s="158" t="b">
        <v>0</v>
      </c>
      <c r="CE63" s="158" t="b">
        <v>0</v>
      </c>
      <c r="CF63" s="158" t="b">
        <v>0</v>
      </c>
      <c r="CG63" s="158" t="b">
        <v>0</v>
      </c>
      <c r="CH63" s="158" t="b">
        <v>0</v>
      </c>
      <c r="CI63" s="158" t="b">
        <v>0</v>
      </c>
      <c r="CJ63" s="158" t="b">
        <v>0</v>
      </c>
      <c r="CK63" s="158" t="b">
        <v>0</v>
      </c>
      <c r="CL63" s="158" t="b">
        <v>0</v>
      </c>
      <c r="CM63" s="158" t="b">
        <v>0</v>
      </c>
      <c r="CN63" s="158" t="b">
        <v>0</v>
      </c>
      <c r="CO63" s="158" t="b">
        <v>0</v>
      </c>
      <c r="CP63" s="158" t="b">
        <v>0</v>
      </c>
      <c r="CQ63" s="158" t="b">
        <v>0</v>
      </c>
      <c r="CR63" s="158" t="b">
        <v>0</v>
      </c>
      <c r="CS63" s="158" t="b">
        <v>0</v>
      </c>
      <c r="CT63" s="158" t="b">
        <v>0</v>
      </c>
      <c r="CU63" s="158" t="b">
        <v>0</v>
      </c>
      <c r="CV63" s="158" t="b">
        <v>0</v>
      </c>
      <c r="CW63" s="158" t="b">
        <v>0</v>
      </c>
      <c r="CX63" s="158" t="b">
        <v>0</v>
      </c>
      <c r="CY63" s="158" t="b">
        <v>0</v>
      </c>
      <c r="CZ63" s="158" t="b">
        <v>0</v>
      </c>
      <c r="DA63" s="158" t="b">
        <v>0</v>
      </c>
      <c r="DB63" s="158" t="b">
        <v>0</v>
      </c>
      <c r="DC63" s="158" t="b">
        <v>0</v>
      </c>
      <c r="DD63" s="158" t="b">
        <v>0</v>
      </c>
      <c r="DE63" s="158" t="b">
        <v>0</v>
      </c>
      <c r="DF63" s="158" t="b">
        <v>0</v>
      </c>
      <c r="DG63" s="158" t="b">
        <v>0</v>
      </c>
      <c r="DH63" s="158" t="b">
        <v>0</v>
      </c>
      <c r="DI63" s="158" t="b">
        <v>0</v>
      </c>
      <c r="DJ63" s="158" t="b">
        <v>0</v>
      </c>
      <c r="DK63" s="158" t="b">
        <v>0</v>
      </c>
      <c r="DL63" s="158" t="b">
        <v>0</v>
      </c>
      <c r="DM63" s="158" t="b">
        <v>0</v>
      </c>
      <c r="DN63" s="158" t="b">
        <v>0</v>
      </c>
      <c r="DO63" s="158" t="b">
        <v>0</v>
      </c>
      <c r="DP63" s="158" t="b">
        <v>0</v>
      </c>
      <c r="DQ63" s="158" t="b">
        <v>0</v>
      </c>
      <c r="DR63" s="158" t="b">
        <v>0</v>
      </c>
      <c r="DS63" s="158" t="b">
        <v>0</v>
      </c>
      <c r="DT63" s="158" t="b">
        <v>0</v>
      </c>
      <c r="DU63" s="158" t="b">
        <v>0</v>
      </c>
      <c r="DV63" s="158" t="b">
        <v>0</v>
      </c>
      <c r="DW63" s="158" t="b">
        <v>0</v>
      </c>
      <c r="DX63" s="158" t="b">
        <v>0</v>
      </c>
      <c r="DY63" s="158" t="b">
        <v>0</v>
      </c>
      <c r="DZ63" s="158" t="b">
        <v>0</v>
      </c>
      <c r="EA63" s="158" t="b">
        <v>0</v>
      </c>
      <c r="EB63" s="158" t="b">
        <v>0</v>
      </c>
      <c r="EC63" s="158" t="b">
        <v>0</v>
      </c>
      <c r="ED63" s="158" t="b">
        <v>0</v>
      </c>
      <c r="EE63" s="158" t="b">
        <v>0</v>
      </c>
      <c r="EF63" s="158" t="b">
        <v>0</v>
      </c>
      <c r="EG63" s="158" t="b">
        <v>0</v>
      </c>
      <c r="EH63" s="158" t="b">
        <v>0</v>
      </c>
      <c r="EI63" s="158" t="b">
        <v>0</v>
      </c>
      <c r="EJ63" s="158" t="b">
        <v>0</v>
      </c>
      <c r="EK63" s="158" t="b">
        <v>0</v>
      </c>
      <c r="EL63" s="158" t="b">
        <v>0</v>
      </c>
      <c r="EM63" s="158" t="b">
        <v>0</v>
      </c>
      <c r="EN63" s="158" t="b">
        <v>0</v>
      </c>
      <c r="EO63" s="158" t="b">
        <v>0</v>
      </c>
      <c r="EP63" s="158" t="b">
        <v>0</v>
      </c>
      <c r="EQ63" s="158" t="b">
        <v>0</v>
      </c>
      <c r="ER63" s="158" t="b">
        <v>0</v>
      </c>
      <c r="ES63" s="158" t="b">
        <v>0</v>
      </c>
      <c r="ET63" s="158" t="b">
        <v>0</v>
      </c>
      <c r="EU63" s="158" t="b">
        <v>0</v>
      </c>
      <c r="EV63" s="158" t="b">
        <v>0</v>
      </c>
      <c r="EW63" s="158" t="b">
        <v>0</v>
      </c>
      <c r="EX63" s="158" t="b">
        <v>0</v>
      </c>
      <c r="EY63" s="158" t="b">
        <v>0</v>
      </c>
      <c r="EZ63" s="158" t="b">
        <v>0</v>
      </c>
      <c r="FA63" s="158" t="b">
        <v>0</v>
      </c>
      <c r="FB63" s="158" t="b">
        <v>0</v>
      </c>
      <c r="FC63" s="158" t="b">
        <v>0</v>
      </c>
      <c r="FD63" s="158" t="b">
        <v>0</v>
      </c>
      <c r="FE63" s="158" t="b">
        <v>0</v>
      </c>
      <c r="FF63" s="158" t="b">
        <v>0</v>
      </c>
      <c r="FG63" s="158" t="b">
        <v>0</v>
      </c>
      <c r="FH63" s="158" t="b">
        <v>0</v>
      </c>
      <c r="FI63" s="158" t="b">
        <v>0</v>
      </c>
      <c r="FJ63" s="158" t="b">
        <v>0</v>
      </c>
      <c r="FK63" s="158" t="b">
        <v>0</v>
      </c>
      <c r="FL63" s="158" t="b">
        <v>0</v>
      </c>
      <c r="FM63" s="158" t="b">
        <v>0</v>
      </c>
      <c r="FN63" s="158" t="b">
        <v>0</v>
      </c>
      <c r="FO63" s="158" t="b">
        <v>0</v>
      </c>
      <c r="FP63" s="158" t="b">
        <v>0</v>
      </c>
      <c r="FQ63" s="158" t="b">
        <v>0</v>
      </c>
      <c r="FR63" s="158" t="b">
        <v>0</v>
      </c>
      <c r="FS63" s="158" t="b">
        <v>0</v>
      </c>
      <c r="FT63" s="158" t="b">
        <v>0</v>
      </c>
      <c r="FU63" s="158" t="b">
        <v>0</v>
      </c>
      <c r="FV63" s="158" t="b">
        <v>0</v>
      </c>
      <c r="FW63" s="158" t="b">
        <v>0</v>
      </c>
      <c r="FX63" s="158" t="b">
        <v>0</v>
      </c>
      <c r="FY63" s="158" t="b">
        <v>0</v>
      </c>
      <c r="FZ63" s="158" t="b">
        <v>0</v>
      </c>
      <c r="GA63" s="158" t="b">
        <v>0</v>
      </c>
      <c r="GB63" s="158" t="b">
        <v>0</v>
      </c>
      <c r="GC63" s="158" t="b">
        <v>0</v>
      </c>
      <c r="GD63" s="158" t="b">
        <v>0</v>
      </c>
      <c r="GE63" s="158" t="b">
        <v>0</v>
      </c>
      <c r="GF63" s="158" t="b">
        <v>0</v>
      </c>
      <c r="GG63" s="158" t="b">
        <v>0</v>
      </c>
      <c r="GH63" s="158" t="b">
        <v>0</v>
      </c>
      <c r="GI63" s="158" t="b">
        <v>0</v>
      </c>
      <c r="GJ63" s="158" t="b">
        <v>0</v>
      </c>
      <c r="GK63" s="158" t="b">
        <v>0</v>
      </c>
      <c r="GL63" s="158" t="b">
        <v>0</v>
      </c>
      <c r="GM63" s="158" t="b">
        <v>0</v>
      </c>
      <c r="GN63" s="158" t="b">
        <v>0</v>
      </c>
      <c r="GO63" s="158" t="b">
        <v>0</v>
      </c>
      <c r="GP63" s="158" t="b">
        <v>0</v>
      </c>
      <c r="GQ63" s="158" t="b">
        <v>0</v>
      </c>
      <c r="GR63" s="158" t="b">
        <v>0</v>
      </c>
      <c r="GS63" s="158" t="b">
        <v>0</v>
      </c>
      <c r="GT63" s="158" t="b">
        <v>0</v>
      </c>
      <c r="GU63" s="158" t="b">
        <v>0</v>
      </c>
      <c r="GV63" s="158" t="b">
        <v>0</v>
      </c>
      <c r="GW63" s="158" t="b">
        <v>0</v>
      </c>
      <c r="GX63" s="158" t="b">
        <v>0</v>
      </c>
      <c r="GY63" s="158" t="b">
        <v>0</v>
      </c>
      <c r="GZ63" s="158" t="b">
        <v>0</v>
      </c>
      <c r="HA63" s="158" t="b">
        <v>0</v>
      </c>
      <c r="HB63" s="158" t="b">
        <v>0</v>
      </c>
      <c r="HC63" s="158" t="b">
        <v>0</v>
      </c>
      <c r="HD63" s="158" t="b">
        <v>0</v>
      </c>
      <c r="HE63" s="158" t="b">
        <v>0</v>
      </c>
      <c r="HF63" s="158" t="b">
        <v>0</v>
      </c>
      <c r="HG63" s="158" t="b">
        <v>0</v>
      </c>
      <c r="HH63" s="158" t="b">
        <v>0</v>
      </c>
      <c r="HI63" s="158" t="b">
        <v>0</v>
      </c>
      <c r="HJ63" s="158" t="b">
        <v>0</v>
      </c>
      <c r="HK63" s="158" t="b">
        <v>0</v>
      </c>
      <c r="HL63" s="158" t="b">
        <v>0</v>
      </c>
      <c r="HM63" s="158" t="b">
        <v>0</v>
      </c>
      <c r="HN63" s="158" t="b">
        <v>0</v>
      </c>
      <c r="HO63" s="158" t="b">
        <v>0</v>
      </c>
      <c r="HP63" s="158" t="b">
        <v>0</v>
      </c>
      <c r="HQ63" s="158" t="b">
        <v>0</v>
      </c>
      <c r="HR63" s="158" t="b">
        <v>0</v>
      </c>
      <c r="HS63" s="158" t="b">
        <v>0</v>
      </c>
      <c r="HT63" s="158" t="b">
        <v>0</v>
      </c>
      <c r="HU63" s="158" t="b">
        <v>0</v>
      </c>
      <c r="HV63" s="158" t="b">
        <v>0</v>
      </c>
      <c r="HW63" s="158" t="b">
        <v>0</v>
      </c>
      <c r="HX63" s="158" t="b">
        <v>0</v>
      </c>
      <c r="HY63" s="158" t="b">
        <v>0</v>
      </c>
      <c r="HZ63" s="158" t="b">
        <v>0</v>
      </c>
      <c r="IA63" s="158" t="b">
        <v>0</v>
      </c>
      <c r="IB63" s="158" t="b">
        <v>0</v>
      </c>
      <c r="IC63" s="158" t="b">
        <v>0</v>
      </c>
      <c r="ID63" s="158" t="b">
        <v>0</v>
      </c>
      <c r="IE63" s="158" t="b">
        <v>0</v>
      </c>
      <c r="IF63" s="158" t="b">
        <v>0</v>
      </c>
      <c r="IG63" s="158" t="b">
        <v>0</v>
      </c>
      <c r="IH63" s="158" t="b">
        <v>0</v>
      </c>
      <c r="II63" s="158" t="b">
        <v>0</v>
      </c>
      <c r="IJ63" s="158" t="b">
        <v>0</v>
      </c>
      <c r="IK63" s="158" t="b">
        <v>0</v>
      </c>
      <c r="IL63" s="158" t="b">
        <v>0</v>
      </c>
      <c r="IM63" s="158" t="b">
        <v>0</v>
      </c>
      <c r="IN63" s="158" t="b">
        <v>0</v>
      </c>
      <c r="IO63" s="158" t="b">
        <v>0</v>
      </c>
      <c r="IP63" s="158" t="b">
        <v>0</v>
      </c>
      <c r="IQ63" s="158" t="b">
        <v>0</v>
      </c>
      <c r="IR63" s="158" t="b">
        <v>0</v>
      </c>
      <c r="IS63" s="158" t="b">
        <v>0</v>
      </c>
      <c r="IT63" s="158" t="b">
        <v>0</v>
      </c>
      <c r="IU63" s="158" t="b">
        <v>0</v>
      </c>
      <c r="IV63" s="158" t="b">
        <v>0</v>
      </c>
      <c r="IW63" s="158" t="b">
        <v>0</v>
      </c>
      <c r="IX63" s="158" t="b">
        <v>0</v>
      </c>
      <c r="IY63" s="158" t="b">
        <v>0</v>
      </c>
      <c r="IZ63" s="158" t="b">
        <v>0</v>
      </c>
      <c r="JA63" s="158" t="b">
        <v>0</v>
      </c>
      <c r="JB63" s="158" t="b">
        <v>0</v>
      </c>
      <c r="JC63" s="158" t="b">
        <v>0</v>
      </c>
      <c r="JD63" s="158" t="b">
        <v>0</v>
      </c>
      <c r="JE63" s="158" t="b">
        <v>0</v>
      </c>
      <c r="JF63" s="158" t="b">
        <v>0</v>
      </c>
      <c r="JG63" s="158" t="b">
        <v>0</v>
      </c>
      <c r="JH63" s="158" t="b">
        <v>0</v>
      </c>
      <c r="JI63" s="158" t="b">
        <v>0</v>
      </c>
      <c r="JJ63" s="158" t="b">
        <v>0</v>
      </c>
      <c r="JK63" s="158" t="b">
        <v>0</v>
      </c>
      <c r="JL63" s="158" t="b">
        <v>0</v>
      </c>
      <c r="JM63" s="158" t="b">
        <v>0</v>
      </c>
      <c r="JN63" s="158" t="b">
        <v>0</v>
      </c>
      <c r="JO63" s="158" t="b">
        <v>0</v>
      </c>
      <c r="JP63" s="158" t="b">
        <v>0</v>
      </c>
      <c r="JQ63" s="158" t="b">
        <v>0</v>
      </c>
      <c r="JR63" s="158" t="b">
        <v>0</v>
      </c>
      <c r="JS63" s="158" t="b">
        <v>0</v>
      </c>
      <c r="JT63" s="158" t="b">
        <v>0</v>
      </c>
      <c r="JU63" s="158" t="b">
        <v>0</v>
      </c>
      <c r="JV63" s="158" t="b">
        <v>0</v>
      </c>
      <c r="JW63" s="158" t="b">
        <v>0</v>
      </c>
      <c r="JX63" s="158" t="b">
        <v>0</v>
      </c>
      <c r="JY63" s="158" t="b">
        <v>0</v>
      </c>
      <c r="JZ63" s="158" t="b">
        <v>0</v>
      </c>
      <c r="KA63" s="158" t="b">
        <v>0</v>
      </c>
      <c r="KB63" s="158" t="b">
        <v>0</v>
      </c>
      <c r="KC63" s="158" t="b">
        <v>0</v>
      </c>
      <c r="KD63" s="158" t="b">
        <v>0</v>
      </c>
      <c r="KE63" s="158" t="b">
        <v>0</v>
      </c>
      <c r="KF63" s="158" t="b">
        <v>0</v>
      </c>
      <c r="KG63" s="158" t="b">
        <v>0</v>
      </c>
      <c r="KH63" s="158" t="b">
        <v>0</v>
      </c>
      <c r="KI63" s="158" t="b">
        <v>0</v>
      </c>
      <c r="KJ63" s="158" t="b">
        <v>0</v>
      </c>
      <c r="KK63" s="158" t="b">
        <v>0</v>
      </c>
      <c r="KL63" s="158" t="b">
        <v>0</v>
      </c>
      <c r="KM63" s="158" t="b">
        <v>0</v>
      </c>
      <c r="KN63" s="158" t="b">
        <v>0</v>
      </c>
      <c r="KO63" s="158" t="b">
        <v>0</v>
      </c>
      <c r="KP63" s="158" t="b">
        <v>0</v>
      </c>
      <c r="KQ63" s="158" t="b">
        <v>0</v>
      </c>
      <c r="KR63" s="158" t="b">
        <v>0</v>
      </c>
      <c r="KS63" s="158" t="b">
        <v>0</v>
      </c>
      <c r="KT63" s="158" t="b">
        <v>0</v>
      </c>
      <c r="KU63" s="158" t="b">
        <v>0</v>
      </c>
      <c r="KV63" s="158" t="b">
        <v>0</v>
      </c>
      <c r="KW63" s="158" t="b">
        <v>0</v>
      </c>
      <c r="KX63" s="158" t="b">
        <v>0</v>
      </c>
      <c r="KY63" s="158" t="b">
        <v>0</v>
      </c>
      <c r="KZ63" s="158" t="b">
        <v>0</v>
      </c>
      <c r="LA63" s="158" t="b">
        <v>0</v>
      </c>
      <c r="LB63" s="158" t="b">
        <v>0</v>
      </c>
      <c r="LC63" s="158" t="b">
        <v>0</v>
      </c>
      <c r="LD63" s="158" t="b">
        <v>0</v>
      </c>
      <c r="LE63" s="158" t="b">
        <v>0</v>
      </c>
      <c r="LF63" s="158" t="b">
        <v>0</v>
      </c>
      <c r="LG63" s="158" t="b">
        <v>0</v>
      </c>
      <c r="LH63" s="158" t="b">
        <v>0</v>
      </c>
      <c r="LI63" s="158" t="b">
        <v>0</v>
      </c>
      <c r="LJ63" s="158" t="b">
        <v>0</v>
      </c>
      <c r="LK63" s="158" t="b">
        <v>0</v>
      </c>
      <c r="LL63" s="158" t="b">
        <v>0</v>
      </c>
      <c r="LM63" s="158" t="b">
        <v>0</v>
      </c>
      <c r="LN63" s="158" t="b">
        <v>0</v>
      </c>
      <c r="LO63" s="158" t="b">
        <v>0</v>
      </c>
      <c r="LP63" s="158" t="b">
        <v>0</v>
      </c>
      <c r="LQ63" s="158" t="b">
        <v>0</v>
      </c>
      <c r="LR63" s="158" t="b">
        <v>0</v>
      </c>
      <c r="LS63" s="158" t="b">
        <v>0</v>
      </c>
      <c r="LT63" s="158" t="b">
        <v>0</v>
      </c>
      <c r="LU63" s="158" t="b">
        <v>0</v>
      </c>
      <c r="LV63" s="158" t="b">
        <v>0</v>
      </c>
      <c r="LW63" s="158" t="b">
        <v>0</v>
      </c>
      <c r="LX63" s="158" t="b">
        <v>0</v>
      </c>
      <c r="LY63" s="158" t="b">
        <v>0</v>
      </c>
      <c r="LZ63" s="158" t="b">
        <v>0</v>
      </c>
      <c r="MA63" s="158" t="b">
        <v>0</v>
      </c>
      <c r="MB63" s="158" t="b">
        <v>0</v>
      </c>
      <c r="MC63" s="158" t="b">
        <v>0</v>
      </c>
      <c r="MD63" s="158" t="b">
        <v>0</v>
      </c>
      <c r="ME63" s="158" t="b">
        <v>0</v>
      </c>
      <c r="MF63" s="158" t="b">
        <v>0</v>
      </c>
      <c r="MG63" s="158" t="b">
        <v>0</v>
      </c>
      <c r="MH63" s="158" t="b">
        <v>0</v>
      </c>
      <c r="MI63" s="158" t="b">
        <v>0</v>
      </c>
      <c r="MJ63" s="158" t="b">
        <v>0</v>
      </c>
      <c r="MK63" s="158" t="b">
        <v>0</v>
      </c>
      <c r="ML63" s="158" t="b">
        <v>0</v>
      </c>
      <c r="MM63" s="158" t="b">
        <v>0</v>
      </c>
      <c r="MN63" s="158" t="b">
        <v>0</v>
      </c>
      <c r="MO63" s="158" t="b">
        <v>0</v>
      </c>
      <c r="MP63" s="158" t="b">
        <v>0</v>
      </c>
      <c r="MQ63" s="158" t="b">
        <v>0</v>
      </c>
      <c r="MR63" s="158" t="b">
        <v>0</v>
      </c>
      <c r="MS63" s="158" t="b">
        <v>0</v>
      </c>
      <c r="MT63" s="158" t="b">
        <v>0</v>
      </c>
      <c r="MU63" s="158" t="b">
        <v>0</v>
      </c>
      <c r="MV63" s="158" t="b">
        <v>0</v>
      </c>
      <c r="MW63" s="158" t="b">
        <v>0</v>
      </c>
      <c r="MX63" s="158" t="b">
        <v>0</v>
      </c>
      <c r="MY63" s="158" t="b">
        <v>0</v>
      </c>
      <c r="MZ63" s="158" t="b">
        <v>0</v>
      </c>
      <c r="NA63" s="158" t="b">
        <v>0</v>
      </c>
      <c r="NB63" s="158" t="b">
        <v>0</v>
      </c>
      <c r="NC63" s="158" t="b">
        <v>0</v>
      </c>
      <c r="ND63" s="158" t="b">
        <v>0</v>
      </c>
      <c r="NE63" s="158" t="b">
        <v>0</v>
      </c>
      <c r="NF63" s="158" t="b">
        <v>0</v>
      </c>
      <c r="NG63" s="158" t="b">
        <v>0</v>
      </c>
      <c r="NH63" s="158" t="b">
        <v>0</v>
      </c>
      <c r="NI63" s="158" t="b">
        <v>0</v>
      </c>
      <c r="NJ63" s="158" t="b">
        <v>0</v>
      </c>
      <c r="NK63" s="158" t="b">
        <v>0</v>
      </c>
      <c r="NL63" s="158" t="b">
        <v>0</v>
      </c>
      <c r="NM63" s="158" t="b">
        <v>0</v>
      </c>
      <c r="NN63" s="158" t="b">
        <v>0</v>
      </c>
      <c r="NO63" s="158" t="b">
        <v>0</v>
      </c>
    </row>
    <row r="64" spans="1:379" ht="29.25" x14ac:dyDescent="0.4">
      <c r="A64" s="511" t="str">
        <v>Zambrero Cart</v>
      </c>
      <c r="B64" s="158" t="b">
        <v>0</v>
      </c>
      <c r="C64" s="158" t="b">
        <v>0</v>
      </c>
      <c r="D64" s="158" t="b">
        <v>0</v>
      </c>
      <c r="E64" s="158" t="b">
        <v>0</v>
      </c>
      <c r="F64" s="158" t="b">
        <v>0</v>
      </c>
      <c r="G64" s="158" t="b">
        <v>0</v>
      </c>
      <c r="H64" s="158" t="b">
        <v>0</v>
      </c>
      <c r="I64" s="158" t="b">
        <v>0</v>
      </c>
      <c r="J64" s="158" t="b">
        <v>0</v>
      </c>
      <c r="K64" s="158" t="b">
        <v>0</v>
      </c>
      <c r="L64" s="158" t="b">
        <v>0</v>
      </c>
      <c r="M64" s="158" t="b">
        <v>0</v>
      </c>
      <c r="N64" s="158" t="b">
        <v>0</v>
      </c>
      <c r="O64" s="158" t="b">
        <v>0</v>
      </c>
      <c r="P64" s="158" t="b">
        <v>0</v>
      </c>
      <c r="Q64" s="158" t="b">
        <v>0</v>
      </c>
      <c r="R64" s="158" t="b">
        <v>0</v>
      </c>
      <c r="S64" s="158" t="b">
        <v>0</v>
      </c>
      <c r="T64" s="158" t="b">
        <v>0</v>
      </c>
      <c r="U64" s="158" t="b">
        <v>0</v>
      </c>
      <c r="V64" s="158" t="b">
        <v>0</v>
      </c>
      <c r="W64" s="158" t="b">
        <v>0</v>
      </c>
      <c r="X64" s="158" t="b">
        <v>0</v>
      </c>
      <c r="Y64" s="158" t="b">
        <v>0</v>
      </c>
      <c r="Z64" s="158" t="b">
        <v>0</v>
      </c>
      <c r="AA64" s="158" t="b">
        <v>0</v>
      </c>
      <c r="AB64" s="158" t="b">
        <v>0</v>
      </c>
      <c r="AC64" s="158" t="b">
        <v>0</v>
      </c>
      <c r="AD64" s="158" t="b">
        <v>0</v>
      </c>
      <c r="AE64" s="158" t="b">
        <v>0</v>
      </c>
      <c r="AF64" s="158" t="b">
        <v>0</v>
      </c>
      <c r="AG64" s="158" t="b">
        <v>0</v>
      </c>
      <c r="AH64" s="158" t="b">
        <v>0</v>
      </c>
      <c r="AI64" s="158" t="b">
        <v>0</v>
      </c>
      <c r="AJ64" s="158" t="b">
        <v>0</v>
      </c>
      <c r="AK64" s="158" t="b">
        <v>0</v>
      </c>
      <c r="AL64" s="158" t="b">
        <v>0</v>
      </c>
      <c r="AM64" s="158" t="b">
        <v>0</v>
      </c>
      <c r="AN64" s="158" t="b">
        <v>0</v>
      </c>
      <c r="AO64" s="158" t="b">
        <v>0</v>
      </c>
      <c r="AP64" s="158" t="b">
        <v>0</v>
      </c>
      <c r="AQ64" s="158" t="b">
        <v>0</v>
      </c>
      <c r="AR64" s="158" t="b">
        <v>0</v>
      </c>
      <c r="AS64" s="158" t="b">
        <v>0</v>
      </c>
      <c r="AT64" s="158" t="b">
        <v>0</v>
      </c>
      <c r="AU64" s="158" t="b">
        <v>0</v>
      </c>
      <c r="AV64" s="158" t="b">
        <v>0</v>
      </c>
      <c r="AW64" s="158" t="b">
        <v>0</v>
      </c>
      <c r="AX64" s="158" t="b">
        <v>0</v>
      </c>
      <c r="AY64" s="158" t="b">
        <v>0</v>
      </c>
      <c r="AZ64" s="158" t="b">
        <v>0</v>
      </c>
      <c r="BA64" s="158" t="b">
        <v>0</v>
      </c>
      <c r="BB64" s="158" t="b">
        <v>0</v>
      </c>
      <c r="BC64" s="158" t="b">
        <v>0</v>
      </c>
      <c r="BD64" s="158" t="b">
        <v>0</v>
      </c>
      <c r="BE64" s="158" t="b">
        <v>0</v>
      </c>
      <c r="BF64" s="158" t="b">
        <v>0</v>
      </c>
      <c r="BG64" s="158" t="b">
        <v>0</v>
      </c>
      <c r="BH64" s="158" t="b">
        <v>0</v>
      </c>
      <c r="BI64" s="158" t="b">
        <v>0</v>
      </c>
      <c r="BJ64" s="158" t="b">
        <v>0</v>
      </c>
      <c r="BK64" s="158" t="b">
        <v>0</v>
      </c>
      <c r="BL64" s="158" t="b">
        <v>0</v>
      </c>
      <c r="BM64" s="158" t="b">
        <v>0</v>
      </c>
      <c r="BN64" s="158" t="b">
        <v>0</v>
      </c>
      <c r="BO64" s="158" t="b">
        <v>0</v>
      </c>
      <c r="BP64" s="158" t="b">
        <v>0</v>
      </c>
      <c r="BQ64" s="158" t="b">
        <v>0</v>
      </c>
      <c r="BR64" s="158" t="b">
        <v>0</v>
      </c>
      <c r="BS64" s="158" t="b">
        <v>0</v>
      </c>
      <c r="BT64" s="158" t="b">
        <v>0</v>
      </c>
      <c r="BU64" s="158" t="b">
        <v>0</v>
      </c>
      <c r="BV64" s="158" t="b">
        <v>0</v>
      </c>
      <c r="BW64" s="158" t="b">
        <v>0</v>
      </c>
      <c r="BX64" s="158" t="b">
        <v>0</v>
      </c>
      <c r="BY64" s="158" t="b">
        <v>0</v>
      </c>
      <c r="BZ64" s="158" t="b">
        <v>0</v>
      </c>
      <c r="CA64" s="158" t="b">
        <v>0</v>
      </c>
      <c r="CB64" s="158" t="b">
        <v>0</v>
      </c>
      <c r="CC64" s="158" t="b">
        <v>0</v>
      </c>
      <c r="CD64" s="158" t="b">
        <v>0</v>
      </c>
      <c r="CE64" s="158" t="b">
        <v>0</v>
      </c>
      <c r="CF64" s="158" t="b">
        <v>0</v>
      </c>
      <c r="CG64" s="158" t="b">
        <v>0</v>
      </c>
      <c r="CH64" s="158" t="b">
        <v>0</v>
      </c>
      <c r="CI64" s="158" t="b">
        <v>0</v>
      </c>
      <c r="CJ64" s="158" t="b">
        <v>0</v>
      </c>
      <c r="CK64" s="158" t="b">
        <v>0</v>
      </c>
      <c r="CL64" s="158" t="b">
        <v>0</v>
      </c>
      <c r="CM64" s="158" t="b">
        <v>0</v>
      </c>
      <c r="CN64" s="158" t="b">
        <v>0</v>
      </c>
      <c r="CO64" s="158" t="b">
        <v>0</v>
      </c>
      <c r="CP64" s="158" t="b">
        <v>0</v>
      </c>
      <c r="CQ64" s="158" t="b">
        <v>0</v>
      </c>
      <c r="CR64" s="158" t="b">
        <v>0</v>
      </c>
      <c r="CS64" s="158" t="b">
        <v>0</v>
      </c>
      <c r="CT64" s="158" t="b">
        <v>0</v>
      </c>
      <c r="CU64" s="158" t="b">
        <v>0</v>
      </c>
      <c r="CV64" s="158" t="b">
        <v>0</v>
      </c>
      <c r="CW64" s="158" t="b">
        <v>0</v>
      </c>
      <c r="CX64" s="158" t="b">
        <v>0</v>
      </c>
      <c r="CY64" s="158" t="b">
        <v>0</v>
      </c>
      <c r="CZ64" s="158" t="b">
        <v>0</v>
      </c>
      <c r="DA64" s="158" t="b">
        <v>0</v>
      </c>
      <c r="DB64" s="158" t="b">
        <v>0</v>
      </c>
      <c r="DC64" s="158" t="b">
        <v>0</v>
      </c>
      <c r="DD64" s="158" t="b">
        <v>0</v>
      </c>
      <c r="DE64" s="158" t="b">
        <v>0</v>
      </c>
      <c r="DF64" s="158" t="b">
        <v>0</v>
      </c>
      <c r="DG64" s="158" t="b">
        <v>0</v>
      </c>
      <c r="DH64" s="158" t="b">
        <v>0</v>
      </c>
      <c r="DI64" s="158" t="b">
        <v>0</v>
      </c>
      <c r="DJ64" s="158" t="b">
        <v>0</v>
      </c>
      <c r="DK64" s="158" t="b">
        <v>0</v>
      </c>
      <c r="DL64" s="158" t="b">
        <v>0</v>
      </c>
      <c r="DM64" s="158" t="b">
        <v>0</v>
      </c>
      <c r="DN64" s="158" t="b">
        <v>0</v>
      </c>
      <c r="DO64" s="158" t="b">
        <v>0</v>
      </c>
      <c r="DP64" s="158" t="b">
        <v>0</v>
      </c>
      <c r="DQ64" s="158" t="b">
        <v>0</v>
      </c>
      <c r="DR64" s="158" t="b">
        <v>0</v>
      </c>
      <c r="DS64" s="158" t="b">
        <v>0</v>
      </c>
      <c r="DT64" s="158" t="b">
        <v>0</v>
      </c>
      <c r="DU64" s="158" t="b">
        <v>0</v>
      </c>
      <c r="DV64" s="158" t="b">
        <v>0</v>
      </c>
      <c r="DW64" s="158" t="b">
        <v>0</v>
      </c>
      <c r="DX64" s="158" t="b">
        <v>0</v>
      </c>
      <c r="DY64" s="158" t="b">
        <v>0</v>
      </c>
      <c r="DZ64" s="158" t="b">
        <v>0</v>
      </c>
      <c r="EA64" s="158" t="b">
        <v>0</v>
      </c>
      <c r="EB64" s="158" t="b">
        <v>0</v>
      </c>
      <c r="EC64" s="158" t="b">
        <v>0</v>
      </c>
      <c r="ED64" s="158" t="b">
        <v>0</v>
      </c>
      <c r="EE64" s="158" t="b">
        <v>0</v>
      </c>
      <c r="EF64" s="158" t="b">
        <v>0</v>
      </c>
      <c r="EG64" s="158" t="b">
        <v>0</v>
      </c>
      <c r="EH64" s="158" t="b">
        <v>0</v>
      </c>
      <c r="EI64" s="158" t="b">
        <v>0</v>
      </c>
      <c r="EJ64" s="158" t="b">
        <v>0</v>
      </c>
      <c r="EK64" s="158" t="b">
        <v>0</v>
      </c>
      <c r="EL64" s="158" t="b">
        <v>0</v>
      </c>
      <c r="EM64" s="158" t="b">
        <v>0</v>
      </c>
      <c r="EN64" s="158" t="b">
        <v>0</v>
      </c>
      <c r="EO64" s="158" t="b">
        <v>0</v>
      </c>
      <c r="EP64" s="158" t="b">
        <v>0</v>
      </c>
      <c r="EQ64" s="158" t="b">
        <v>0</v>
      </c>
      <c r="ER64" s="158" t="b">
        <v>0</v>
      </c>
      <c r="ES64" s="158" t="b">
        <v>0</v>
      </c>
      <c r="ET64" s="158" t="b">
        <v>0</v>
      </c>
      <c r="EU64" s="158" t="b">
        <v>0</v>
      </c>
      <c r="EV64" s="158" t="b">
        <v>0</v>
      </c>
      <c r="EW64" s="158" t="b">
        <v>0</v>
      </c>
      <c r="EX64" s="158" t="b">
        <v>0</v>
      </c>
      <c r="EY64" s="158" t="b">
        <v>0</v>
      </c>
      <c r="EZ64" s="158" t="b">
        <v>0</v>
      </c>
      <c r="FA64" s="158" t="b">
        <v>0</v>
      </c>
      <c r="FB64" s="158" t="b">
        <v>0</v>
      </c>
      <c r="FC64" s="158" t="b">
        <v>0</v>
      </c>
      <c r="FD64" s="158" t="b">
        <v>0</v>
      </c>
      <c r="FE64" s="158" t="b">
        <v>0</v>
      </c>
      <c r="FF64" s="158" t="b">
        <v>0</v>
      </c>
      <c r="FG64" s="158" t="b">
        <v>0</v>
      </c>
      <c r="FH64" s="158" t="b">
        <v>0</v>
      </c>
      <c r="FI64" s="158" t="b">
        <v>0</v>
      </c>
      <c r="FJ64" s="158" t="b">
        <v>0</v>
      </c>
      <c r="FK64" s="158" t="b">
        <v>0</v>
      </c>
      <c r="FL64" s="158" t="b">
        <v>0</v>
      </c>
      <c r="FM64" s="158" t="b">
        <v>0</v>
      </c>
      <c r="FN64" s="158" t="b">
        <v>0</v>
      </c>
      <c r="FO64" s="158" t="b">
        <v>0</v>
      </c>
      <c r="FP64" s="158" t="b">
        <v>0</v>
      </c>
      <c r="FQ64" s="158" t="b">
        <v>0</v>
      </c>
      <c r="FR64" s="158" t="b">
        <v>0</v>
      </c>
      <c r="FS64" s="158" t="b">
        <v>0</v>
      </c>
      <c r="FT64" s="158" t="b">
        <v>0</v>
      </c>
      <c r="FU64" s="158" t="b">
        <v>0</v>
      </c>
      <c r="FV64" s="158" t="b">
        <v>0</v>
      </c>
      <c r="FW64" s="158" t="b">
        <v>0</v>
      </c>
      <c r="FX64" s="158" t="b">
        <v>0</v>
      </c>
      <c r="FY64" s="158" t="b">
        <v>0</v>
      </c>
      <c r="FZ64" s="158" t="b">
        <v>0</v>
      </c>
      <c r="GA64" s="158" t="b">
        <v>0</v>
      </c>
      <c r="GB64" s="158" t="b">
        <v>0</v>
      </c>
      <c r="GC64" s="158" t="b">
        <v>0</v>
      </c>
      <c r="GD64" s="158" t="b">
        <v>0</v>
      </c>
      <c r="GE64" s="158" t="b">
        <v>0</v>
      </c>
      <c r="GF64" s="158" t="b">
        <v>0</v>
      </c>
      <c r="GG64" s="158" t="b">
        <v>0</v>
      </c>
      <c r="GH64" s="158" t="b">
        <v>0</v>
      </c>
      <c r="GI64" s="158" t="b">
        <v>0</v>
      </c>
      <c r="GJ64" s="158" t="b">
        <v>0</v>
      </c>
      <c r="GK64" s="158" t="b">
        <v>0</v>
      </c>
      <c r="GL64" s="158" t="b">
        <v>0</v>
      </c>
      <c r="GM64" s="158" t="b">
        <v>0</v>
      </c>
      <c r="GN64" s="158" t="b">
        <v>0</v>
      </c>
      <c r="GO64" s="158" t="b">
        <v>0</v>
      </c>
      <c r="GP64" s="158" t="b">
        <v>0</v>
      </c>
      <c r="GQ64" s="158" t="b">
        <v>0</v>
      </c>
      <c r="GR64" s="158" t="b">
        <v>0</v>
      </c>
      <c r="GS64" s="158" t="b">
        <v>0</v>
      </c>
      <c r="GT64" s="158" t="b">
        <v>0</v>
      </c>
      <c r="GU64" s="158" t="b">
        <v>0</v>
      </c>
      <c r="GV64" s="158" t="b">
        <v>0</v>
      </c>
      <c r="GW64" s="158" t="b">
        <v>0</v>
      </c>
      <c r="GX64" s="158" t="b">
        <v>0</v>
      </c>
      <c r="GY64" s="158" t="b">
        <v>0</v>
      </c>
      <c r="GZ64" s="158" t="b">
        <v>0</v>
      </c>
      <c r="HA64" s="158" t="b">
        <v>0</v>
      </c>
      <c r="HB64" s="158" t="b">
        <v>0</v>
      </c>
      <c r="HC64" s="158" t="b">
        <v>0</v>
      </c>
      <c r="HD64" s="158" t="b">
        <v>0</v>
      </c>
      <c r="HE64" s="158" t="b">
        <v>0</v>
      </c>
      <c r="HF64" s="158" t="b">
        <v>0</v>
      </c>
      <c r="HG64" s="158" t="b">
        <v>0</v>
      </c>
      <c r="HH64" s="158" t="b">
        <v>0</v>
      </c>
      <c r="HI64" s="158" t="b">
        <v>0</v>
      </c>
      <c r="HJ64" s="158" t="b">
        <v>0</v>
      </c>
      <c r="HK64" s="158" t="b">
        <v>0</v>
      </c>
      <c r="HL64" s="158" t="b">
        <v>0</v>
      </c>
      <c r="HM64" s="158" t="b">
        <v>0</v>
      </c>
      <c r="HN64" s="158" t="b">
        <v>0</v>
      </c>
      <c r="HO64" s="158" t="b">
        <v>0</v>
      </c>
      <c r="HP64" s="158" t="b">
        <v>0</v>
      </c>
      <c r="HQ64" s="158" t="b">
        <v>0</v>
      </c>
      <c r="HR64" s="158" t="b">
        <v>0</v>
      </c>
      <c r="HS64" s="158" t="b">
        <v>0</v>
      </c>
      <c r="HT64" s="158" t="b">
        <v>0</v>
      </c>
      <c r="HU64" s="158" t="b">
        <v>0</v>
      </c>
      <c r="HV64" s="158" t="b">
        <v>0</v>
      </c>
      <c r="HW64" s="158" t="b">
        <v>0</v>
      </c>
      <c r="HX64" s="158" t="b">
        <v>0</v>
      </c>
      <c r="HY64" s="158" t="b">
        <v>0</v>
      </c>
      <c r="HZ64" s="158" t="b">
        <v>0</v>
      </c>
      <c r="IA64" s="158" t="b">
        <v>0</v>
      </c>
      <c r="IB64" s="158" t="b">
        <v>0</v>
      </c>
      <c r="IC64" s="158" t="b">
        <v>0</v>
      </c>
      <c r="ID64" s="158" t="b">
        <v>0</v>
      </c>
      <c r="IE64" s="158" t="b">
        <v>0</v>
      </c>
      <c r="IF64" s="158" t="b">
        <v>0</v>
      </c>
      <c r="IG64" s="158" t="b">
        <v>0</v>
      </c>
      <c r="IH64" s="158" t="b">
        <v>0</v>
      </c>
      <c r="II64" s="158" t="b">
        <v>0</v>
      </c>
      <c r="IJ64" s="158" t="b">
        <v>0</v>
      </c>
      <c r="IK64" s="158" t="b">
        <v>0</v>
      </c>
      <c r="IL64" s="158" t="b">
        <v>0</v>
      </c>
      <c r="IM64" s="158" t="b">
        <v>0</v>
      </c>
      <c r="IN64" s="158" t="b">
        <v>0</v>
      </c>
      <c r="IO64" s="158" t="b">
        <v>0</v>
      </c>
      <c r="IP64" s="158" t="b">
        <v>0</v>
      </c>
      <c r="IQ64" s="158" t="b">
        <v>0</v>
      </c>
      <c r="IR64" s="158" t="b">
        <v>0</v>
      </c>
      <c r="IS64" s="158" t="b">
        <v>0</v>
      </c>
      <c r="IT64" s="158" t="b">
        <v>0</v>
      </c>
      <c r="IU64" s="158" t="b">
        <v>0</v>
      </c>
      <c r="IV64" s="158" t="b">
        <v>0</v>
      </c>
      <c r="IW64" s="158" t="b">
        <v>0</v>
      </c>
      <c r="IX64" s="158" t="b">
        <v>0</v>
      </c>
      <c r="IY64" s="158" t="b">
        <v>0</v>
      </c>
      <c r="IZ64" s="158" t="b">
        <v>0</v>
      </c>
      <c r="JA64" s="158" t="b">
        <v>0</v>
      </c>
      <c r="JB64" s="158" t="b">
        <v>0</v>
      </c>
      <c r="JC64" s="158" t="b">
        <v>0</v>
      </c>
      <c r="JD64" s="158" t="b">
        <v>0</v>
      </c>
      <c r="JE64" s="158" t="b">
        <v>0</v>
      </c>
      <c r="JF64" s="158" t="b">
        <v>0</v>
      </c>
      <c r="JG64" s="158" t="b">
        <v>0</v>
      </c>
      <c r="JH64" s="158" t="b">
        <v>0</v>
      </c>
      <c r="JI64" s="158" t="b">
        <v>0</v>
      </c>
      <c r="JJ64" s="158" t="b">
        <v>0</v>
      </c>
      <c r="JK64" s="158" t="b">
        <v>0</v>
      </c>
      <c r="JL64" s="158" t="b">
        <v>0</v>
      </c>
      <c r="JM64" s="158" t="b">
        <v>0</v>
      </c>
      <c r="JN64" s="158" t="b">
        <v>0</v>
      </c>
      <c r="JO64" s="158" t="b">
        <v>0</v>
      </c>
      <c r="JP64" s="158" t="b">
        <v>0</v>
      </c>
      <c r="JQ64" s="158" t="b">
        <v>0</v>
      </c>
      <c r="JR64" s="158" t="b">
        <v>0</v>
      </c>
      <c r="JS64" s="158" t="b">
        <v>0</v>
      </c>
      <c r="JT64" s="158" t="b">
        <v>0</v>
      </c>
      <c r="JU64" s="158" t="b">
        <v>0</v>
      </c>
      <c r="JV64" s="158" t="b">
        <v>0</v>
      </c>
      <c r="JW64" s="158" t="b">
        <v>0</v>
      </c>
      <c r="JX64" s="158" t="b">
        <v>0</v>
      </c>
      <c r="JY64" s="158" t="b">
        <v>0</v>
      </c>
      <c r="JZ64" s="158" t="b">
        <v>0</v>
      </c>
      <c r="KA64" s="158" t="b">
        <v>0</v>
      </c>
      <c r="KB64" s="158" t="b">
        <v>0</v>
      </c>
      <c r="KC64" s="158" t="b">
        <v>0</v>
      </c>
      <c r="KD64" s="158" t="b">
        <v>0</v>
      </c>
      <c r="KE64" s="158" t="b">
        <v>0</v>
      </c>
      <c r="KF64" s="158" t="b">
        <v>0</v>
      </c>
      <c r="KG64" s="158" t="b">
        <v>0</v>
      </c>
      <c r="KH64" s="158" t="b">
        <v>0</v>
      </c>
      <c r="KI64" s="158" t="b">
        <v>0</v>
      </c>
      <c r="KJ64" s="158" t="b">
        <v>0</v>
      </c>
      <c r="KK64" s="158" t="b">
        <v>0</v>
      </c>
      <c r="KL64" s="158" t="b">
        <v>0</v>
      </c>
      <c r="KM64" s="158" t="b">
        <v>0</v>
      </c>
      <c r="KN64" s="158" t="b">
        <v>0</v>
      </c>
      <c r="KO64" s="158" t="b">
        <v>0</v>
      </c>
      <c r="KP64" s="158" t="b">
        <v>0</v>
      </c>
      <c r="KQ64" s="158" t="b">
        <v>0</v>
      </c>
      <c r="KR64" s="158" t="b">
        <v>0</v>
      </c>
      <c r="KS64" s="158" t="b">
        <v>0</v>
      </c>
      <c r="KT64" s="158" t="b">
        <v>0</v>
      </c>
      <c r="KU64" s="158" t="b">
        <v>0</v>
      </c>
      <c r="KV64" s="158" t="b">
        <v>0</v>
      </c>
      <c r="KW64" s="158" t="b">
        <v>0</v>
      </c>
      <c r="KX64" s="158" t="b">
        <v>0</v>
      </c>
      <c r="KY64" s="158" t="b">
        <v>0</v>
      </c>
      <c r="KZ64" s="158" t="b">
        <v>0</v>
      </c>
      <c r="LA64" s="158" t="b">
        <v>0</v>
      </c>
      <c r="LB64" s="158" t="b">
        <v>0</v>
      </c>
      <c r="LC64" s="158" t="b">
        <v>0</v>
      </c>
      <c r="LD64" s="158" t="b">
        <v>0</v>
      </c>
      <c r="LE64" s="158" t="b">
        <v>0</v>
      </c>
      <c r="LF64" s="158" t="b">
        <v>0</v>
      </c>
      <c r="LG64" s="158" t="b">
        <v>0</v>
      </c>
      <c r="LH64" s="158" t="b">
        <v>0</v>
      </c>
      <c r="LI64" s="158" t="b">
        <v>0</v>
      </c>
      <c r="LJ64" s="158" t="b">
        <v>0</v>
      </c>
      <c r="LK64" s="158" t="b">
        <v>0</v>
      </c>
      <c r="LL64" s="158" t="b">
        <v>0</v>
      </c>
      <c r="LM64" s="158" t="b">
        <v>0</v>
      </c>
      <c r="LN64" s="158" t="b">
        <v>0</v>
      </c>
      <c r="LO64" s="158" t="b">
        <v>0</v>
      </c>
      <c r="LP64" s="158" t="b">
        <v>0</v>
      </c>
      <c r="LQ64" s="158" t="b">
        <v>0</v>
      </c>
      <c r="LR64" s="158" t="b">
        <v>0</v>
      </c>
      <c r="LS64" s="158" t="b">
        <v>0</v>
      </c>
      <c r="LT64" s="158" t="b">
        <v>0</v>
      </c>
      <c r="LU64" s="158" t="b">
        <v>0</v>
      </c>
      <c r="LV64" s="158" t="b">
        <v>0</v>
      </c>
      <c r="LW64" s="158" t="b">
        <v>0</v>
      </c>
      <c r="LX64" s="158" t="b">
        <v>0</v>
      </c>
      <c r="LY64" s="158" t="b">
        <v>0</v>
      </c>
      <c r="LZ64" s="158" t="b">
        <v>0</v>
      </c>
      <c r="MA64" s="158" t="b">
        <v>0</v>
      </c>
      <c r="MB64" s="158" t="b">
        <v>0</v>
      </c>
      <c r="MC64" s="158" t="b">
        <v>0</v>
      </c>
      <c r="MD64" s="158" t="b">
        <v>0</v>
      </c>
      <c r="ME64" s="158" t="b">
        <v>0</v>
      </c>
      <c r="MF64" s="158" t="b">
        <v>0</v>
      </c>
      <c r="MG64" s="158" t="b">
        <v>0</v>
      </c>
      <c r="MH64" s="158" t="b">
        <v>0</v>
      </c>
      <c r="MI64" s="158" t="b">
        <v>0</v>
      </c>
      <c r="MJ64" s="158" t="b">
        <v>0</v>
      </c>
      <c r="MK64" s="158" t="b">
        <v>0</v>
      </c>
      <c r="ML64" s="158" t="b">
        <v>0</v>
      </c>
      <c r="MM64" s="158" t="b">
        <v>0</v>
      </c>
      <c r="MN64" s="158" t="b">
        <v>0</v>
      </c>
      <c r="MO64" s="158" t="b">
        <v>0</v>
      </c>
      <c r="MP64" s="158" t="b">
        <v>0</v>
      </c>
      <c r="MQ64" s="158" t="b">
        <v>0</v>
      </c>
      <c r="MR64" s="158" t="b">
        <v>0</v>
      </c>
      <c r="MS64" s="158" t="b">
        <v>0</v>
      </c>
      <c r="MT64" s="158" t="b">
        <v>0</v>
      </c>
      <c r="MU64" s="158" t="b">
        <v>0</v>
      </c>
      <c r="MV64" s="158" t="b">
        <v>0</v>
      </c>
      <c r="MW64" s="158" t="b">
        <v>0</v>
      </c>
      <c r="MX64" s="158" t="b">
        <v>0</v>
      </c>
      <c r="MY64" s="158" t="b">
        <v>0</v>
      </c>
      <c r="MZ64" s="158" t="b">
        <v>0</v>
      </c>
      <c r="NA64" s="158" t="b">
        <v>0</v>
      </c>
      <c r="NB64" s="158" t="b">
        <v>0</v>
      </c>
      <c r="NC64" s="158" t="b">
        <v>0</v>
      </c>
      <c r="ND64" s="158" t="b">
        <v>0</v>
      </c>
      <c r="NE64" s="158" t="b">
        <v>0</v>
      </c>
      <c r="NF64" s="158" t="b">
        <v>0</v>
      </c>
      <c r="NG64" s="158" t="b">
        <v>0</v>
      </c>
      <c r="NH64" s="158" t="b">
        <v>0</v>
      </c>
      <c r="NI64" s="158" t="b">
        <v>0</v>
      </c>
      <c r="NJ64" s="158" t="b">
        <v>0</v>
      </c>
      <c r="NK64" s="158" t="b">
        <v>0</v>
      </c>
      <c r="NL64" s="158" t="b">
        <v>0</v>
      </c>
      <c r="NM64" s="158" t="b">
        <v>0</v>
      </c>
      <c r="NN64" s="158" t="b">
        <v>0</v>
      </c>
      <c r="NO64" s="158" t="b">
        <v>0</v>
      </c>
    </row>
    <row r="65" spans="1:379" ht="29.25" x14ac:dyDescent="0.4">
      <c r="A65" s="511" t="str">
        <v>Vespa Cart #1</v>
      </c>
      <c r="B65" s="158" t="b">
        <v>0</v>
      </c>
      <c r="C65" s="158" t="b">
        <v>0</v>
      </c>
      <c r="D65" s="158" t="b">
        <v>0</v>
      </c>
      <c r="E65" s="158" t="b">
        <v>0</v>
      </c>
      <c r="F65" s="158" t="b">
        <v>0</v>
      </c>
      <c r="G65" s="158" t="b">
        <v>0</v>
      </c>
      <c r="H65" s="158" t="b">
        <v>0</v>
      </c>
      <c r="I65" s="158" t="b">
        <v>0</v>
      </c>
      <c r="J65" s="158" t="b">
        <v>0</v>
      </c>
      <c r="K65" s="158" t="b">
        <v>0</v>
      </c>
      <c r="L65" s="158" t="b">
        <v>0</v>
      </c>
      <c r="M65" s="158" t="b">
        <v>0</v>
      </c>
      <c r="N65" s="158" t="b">
        <v>0</v>
      </c>
      <c r="O65" s="158" t="b">
        <v>0</v>
      </c>
      <c r="P65" s="158" t="b">
        <v>0</v>
      </c>
      <c r="Q65" s="158" t="b">
        <v>0</v>
      </c>
      <c r="R65" s="158" t="b">
        <v>0</v>
      </c>
      <c r="S65" s="158" t="b">
        <v>0</v>
      </c>
      <c r="T65" s="158" t="b">
        <v>0</v>
      </c>
      <c r="U65" s="158" t="b">
        <v>0</v>
      </c>
      <c r="V65" s="158" t="b">
        <v>0</v>
      </c>
      <c r="W65" s="158" t="b">
        <v>0</v>
      </c>
      <c r="X65" s="158" t="b">
        <v>0</v>
      </c>
      <c r="Y65" s="158" t="b">
        <v>0</v>
      </c>
      <c r="Z65" s="158" t="b">
        <v>0</v>
      </c>
      <c r="AA65" s="158" t="b">
        <v>0</v>
      </c>
      <c r="AB65" s="158" t="b">
        <v>0</v>
      </c>
      <c r="AC65" s="158" t="b">
        <v>0</v>
      </c>
      <c r="AD65" s="158" t="b">
        <v>0</v>
      </c>
      <c r="AE65" s="158" t="b">
        <v>0</v>
      </c>
      <c r="AF65" s="158" t="b">
        <v>0</v>
      </c>
      <c r="AG65" s="158" t="b">
        <v>0</v>
      </c>
      <c r="AH65" s="158" t="b">
        <v>0</v>
      </c>
      <c r="AI65" s="158" t="b">
        <v>0</v>
      </c>
      <c r="AJ65" s="158" t="b">
        <v>0</v>
      </c>
      <c r="AK65" s="158" t="b">
        <v>0</v>
      </c>
      <c r="AL65" s="158" t="b">
        <v>0</v>
      </c>
      <c r="AM65" s="158" t="b">
        <v>0</v>
      </c>
      <c r="AN65" s="158" t="b">
        <v>0</v>
      </c>
      <c r="AO65" s="158" t="b">
        <v>0</v>
      </c>
      <c r="AP65" s="158" t="b">
        <v>0</v>
      </c>
      <c r="AQ65" s="158" t="b">
        <v>0</v>
      </c>
      <c r="AR65" s="158" t="b">
        <v>0</v>
      </c>
      <c r="AS65" s="158" t="b">
        <v>0</v>
      </c>
      <c r="AT65" s="158" t="b">
        <v>0</v>
      </c>
      <c r="AU65" s="158" t="b">
        <v>0</v>
      </c>
      <c r="AV65" s="158" t="b">
        <v>0</v>
      </c>
      <c r="AW65" s="158" t="b">
        <v>0</v>
      </c>
      <c r="AX65" s="158" t="b">
        <v>0</v>
      </c>
      <c r="AY65" s="158" t="b">
        <v>0</v>
      </c>
      <c r="AZ65" s="158" t="b">
        <v>0</v>
      </c>
      <c r="BA65" s="158" t="b">
        <v>0</v>
      </c>
      <c r="BB65" s="158" t="b">
        <v>0</v>
      </c>
      <c r="BC65" s="158" t="b">
        <v>0</v>
      </c>
      <c r="BD65" s="158" t="b">
        <v>0</v>
      </c>
      <c r="BE65" s="158" t="b">
        <v>0</v>
      </c>
      <c r="BF65" s="158" t="b">
        <v>0</v>
      </c>
      <c r="BG65" s="158" t="b">
        <v>0</v>
      </c>
      <c r="BH65" s="158" t="b">
        <v>0</v>
      </c>
      <c r="BI65" s="158" t="b">
        <v>0</v>
      </c>
      <c r="BJ65" s="158" t="b">
        <v>0</v>
      </c>
      <c r="BK65" s="158" t="b">
        <v>0</v>
      </c>
      <c r="BL65" s="158" t="b">
        <v>0</v>
      </c>
      <c r="BM65" s="158" t="b">
        <v>0</v>
      </c>
      <c r="BN65" s="158" t="b">
        <v>0</v>
      </c>
      <c r="BO65" s="158" t="b">
        <v>0</v>
      </c>
      <c r="BP65" s="158" t="b">
        <v>0</v>
      </c>
      <c r="BQ65" s="158" t="b">
        <v>0</v>
      </c>
      <c r="BR65" s="158" t="b">
        <v>0</v>
      </c>
      <c r="BS65" s="158" t="b">
        <v>0</v>
      </c>
      <c r="BT65" s="158" t="b">
        <v>0</v>
      </c>
      <c r="BU65" s="158" t="b">
        <v>0</v>
      </c>
      <c r="BV65" s="158" t="b">
        <v>0</v>
      </c>
      <c r="BW65" s="158" t="b">
        <v>0</v>
      </c>
      <c r="BX65" s="158" t="b">
        <v>0</v>
      </c>
      <c r="BY65" s="158" t="b">
        <v>0</v>
      </c>
      <c r="BZ65" s="158" t="b">
        <v>0</v>
      </c>
      <c r="CA65" s="158" t="b">
        <v>0</v>
      </c>
      <c r="CB65" s="158" t="b">
        <v>0</v>
      </c>
      <c r="CC65" s="158" t="b">
        <v>0</v>
      </c>
      <c r="CD65" s="158" t="b">
        <v>0</v>
      </c>
      <c r="CE65" s="158" t="b">
        <v>0</v>
      </c>
      <c r="CF65" s="158" t="b">
        <v>0</v>
      </c>
      <c r="CG65" s="158" t="b">
        <v>0</v>
      </c>
      <c r="CH65" s="158" t="b">
        <v>0</v>
      </c>
      <c r="CI65" s="158" t="b">
        <v>0</v>
      </c>
      <c r="CJ65" s="158" t="b">
        <v>0</v>
      </c>
      <c r="CK65" s="158" t="b">
        <v>0</v>
      </c>
      <c r="CL65" s="158" t="b">
        <v>0</v>
      </c>
      <c r="CM65" s="158" t="b">
        <v>0</v>
      </c>
      <c r="CN65" s="158" t="b">
        <v>0</v>
      </c>
      <c r="CO65" s="158" t="b">
        <v>0</v>
      </c>
      <c r="CP65" s="158" t="b">
        <v>0</v>
      </c>
      <c r="CQ65" s="158" t="b">
        <v>0</v>
      </c>
      <c r="CR65" s="158" t="b">
        <v>0</v>
      </c>
      <c r="CS65" s="158" t="b">
        <v>0</v>
      </c>
      <c r="CT65" s="158" t="b">
        <v>0</v>
      </c>
      <c r="CU65" s="158" t="b">
        <v>0</v>
      </c>
      <c r="CV65" s="158" t="b">
        <v>0</v>
      </c>
      <c r="CW65" s="158" t="b">
        <v>0</v>
      </c>
      <c r="CX65" s="158" t="b">
        <v>0</v>
      </c>
      <c r="CY65" s="158" t="b">
        <v>0</v>
      </c>
      <c r="CZ65" s="158" t="b">
        <v>0</v>
      </c>
      <c r="DA65" s="158" t="b">
        <v>0</v>
      </c>
      <c r="DB65" s="158" t="b">
        <v>0</v>
      </c>
      <c r="DC65" s="158" t="b">
        <v>0</v>
      </c>
      <c r="DD65" s="158" t="b">
        <v>0</v>
      </c>
      <c r="DE65" s="158" t="b">
        <v>0</v>
      </c>
      <c r="DF65" s="158" t="b">
        <v>0</v>
      </c>
      <c r="DG65" s="158" t="b">
        <v>0</v>
      </c>
      <c r="DH65" s="158" t="b">
        <v>0</v>
      </c>
      <c r="DI65" s="158" t="b">
        <v>0</v>
      </c>
      <c r="DJ65" s="158" t="b">
        <v>0</v>
      </c>
      <c r="DK65" s="158" t="b">
        <v>0</v>
      </c>
      <c r="DL65" s="158" t="b">
        <v>0</v>
      </c>
      <c r="DM65" s="158" t="b">
        <v>0</v>
      </c>
      <c r="DN65" s="158" t="b">
        <v>0</v>
      </c>
      <c r="DO65" s="158" t="b">
        <v>0</v>
      </c>
      <c r="DP65" s="158" t="b">
        <v>0</v>
      </c>
      <c r="DQ65" s="158" t="b">
        <v>0</v>
      </c>
      <c r="DR65" s="158" t="b">
        <v>0</v>
      </c>
      <c r="DS65" s="158" t="b">
        <v>0</v>
      </c>
      <c r="DT65" s="158" t="b">
        <v>0</v>
      </c>
      <c r="DU65" s="158" t="b">
        <v>0</v>
      </c>
      <c r="DV65" s="158" t="b">
        <v>0</v>
      </c>
      <c r="DW65" s="158" t="b">
        <v>0</v>
      </c>
      <c r="DX65" s="158" t="b">
        <v>0</v>
      </c>
      <c r="DY65" s="158" t="b">
        <v>0</v>
      </c>
      <c r="DZ65" s="158" t="b">
        <v>0</v>
      </c>
      <c r="EA65" s="158" t="b">
        <v>0</v>
      </c>
      <c r="EB65" s="158" t="b">
        <v>0</v>
      </c>
      <c r="EC65" s="158" t="b">
        <v>0</v>
      </c>
      <c r="ED65" s="158" t="b">
        <v>0</v>
      </c>
      <c r="EE65" s="158" t="b">
        <v>0</v>
      </c>
      <c r="EF65" s="158" t="b">
        <v>0</v>
      </c>
      <c r="EG65" s="158" t="b">
        <v>0</v>
      </c>
      <c r="EH65" s="158" t="b">
        <v>0</v>
      </c>
      <c r="EI65" s="158" t="b">
        <v>0</v>
      </c>
      <c r="EJ65" s="158" t="b">
        <v>0</v>
      </c>
      <c r="EK65" s="158" t="b">
        <v>0</v>
      </c>
      <c r="EL65" s="158" t="b">
        <v>0</v>
      </c>
      <c r="EM65" s="158" t="b">
        <v>0</v>
      </c>
      <c r="EN65" s="158" t="b">
        <v>0</v>
      </c>
      <c r="EO65" s="158" t="b">
        <v>0</v>
      </c>
      <c r="EP65" s="158" t="b">
        <v>0</v>
      </c>
      <c r="EQ65" s="158" t="b">
        <v>0</v>
      </c>
      <c r="ER65" s="158" t="b">
        <v>0</v>
      </c>
      <c r="ES65" s="158" t="b">
        <v>0</v>
      </c>
      <c r="ET65" s="158" t="b">
        <v>0</v>
      </c>
      <c r="EU65" s="158" t="b">
        <v>0</v>
      </c>
      <c r="EV65" s="158" t="b">
        <v>0</v>
      </c>
      <c r="EW65" s="158" t="b">
        <v>0</v>
      </c>
      <c r="EX65" s="158" t="b">
        <v>0</v>
      </c>
      <c r="EY65" s="158" t="b">
        <v>0</v>
      </c>
      <c r="EZ65" s="158" t="b">
        <v>0</v>
      </c>
      <c r="FA65" s="158" t="b">
        <v>0</v>
      </c>
      <c r="FB65" s="158" t="b">
        <v>0</v>
      </c>
      <c r="FC65" s="158" t="b">
        <v>0</v>
      </c>
      <c r="FD65" s="158" t="b">
        <v>0</v>
      </c>
      <c r="FE65" s="158" t="b">
        <v>0</v>
      </c>
      <c r="FF65" s="158" t="b">
        <v>0</v>
      </c>
      <c r="FG65" s="158" t="b">
        <v>0</v>
      </c>
      <c r="FH65" s="158" t="b">
        <v>0</v>
      </c>
      <c r="FI65" s="158" t="b">
        <v>0</v>
      </c>
      <c r="FJ65" s="158" t="b">
        <v>0</v>
      </c>
      <c r="FK65" s="158" t="b">
        <v>0</v>
      </c>
      <c r="FL65" s="158" t="b">
        <v>0</v>
      </c>
      <c r="FM65" s="158" t="b">
        <v>0</v>
      </c>
      <c r="FN65" s="158" t="b">
        <v>0</v>
      </c>
      <c r="FO65" s="158" t="b">
        <v>0</v>
      </c>
      <c r="FP65" s="158" t="b">
        <v>0</v>
      </c>
      <c r="FQ65" s="158" t="b">
        <v>0</v>
      </c>
      <c r="FR65" s="158" t="b">
        <v>0</v>
      </c>
      <c r="FS65" s="158" t="b">
        <v>0</v>
      </c>
      <c r="FT65" s="158" t="b">
        <v>0</v>
      </c>
      <c r="FU65" s="158" t="b">
        <v>0</v>
      </c>
      <c r="FV65" s="158" t="b">
        <v>0</v>
      </c>
      <c r="FW65" s="158" t="b">
        <v>0</v>
      </c>
      <c r="FX65" s="158" t="b">
        <v>0</v>
      </c>
      <c r="FY65" s="158" t="b">
        <v>0</v>
      </c>
      <c r="FZ65" s="158" t="b">
        <v>0</v>
      </c>
      <c r="GA65" s="158" t="b">
        <v>0</v>
      </c>
      <c r="GB65" s="158" t="b">
        <v>0</v>
      </c>
      <c r="GC65" s="158" t="b">
        <v>0</v>
      </c>
      <c r="GD65" s="158" t="b">
        <v>0</v>
      </c>
      <c r="GE65" s="158" t="b">
        <v>0</v>
      </c>
      <c r="GF65" s="158" t="b">
        <v>0</v>
      </c>
      <c r="GG65" s="158" t="b">
        <v>0</v>
      </c>
      <c r="GH65" s="158" t="b">
        <v>0</v>
      </c>
      <c r="GI65" s="158" t="b">
        <v>0</v>
      </c>
      <c r="GJ65" s="158" t="b">
        <v>0</v>
      </c>
      <c r="GK65" s="158" t="b">
        <v>0</v>
      </c>
      <c r="GL65" s="158" t="b">
        <v>0</v>
      </c>
      <c r="GM65" s="158" t="b">
        <v>0</v>
      </c>
      <c r="GN65" s="158" t="b">
        <v>0</v>
      </c>
      <c r="GO65" s="158" t="b">
        <v>0</v>
      </c>
      <c r="GP65" s="158" t="b">
        <v>0</v>
      </c>
      <c r="GQ65" s="158" t="b">
        <v>0</v>
      </c>
      <c r="GR65" s="158" t="b">
        <v>0</v>
      </c>
      <c r="GS65" s="158" t="b">
        <v>0</v>
      </c>
      <c r="GT65" s="158" t="b">
        <v>0</v>
      </c>
      <c r="GU65" s="158" t="b">
        <v>0</v>
      </c>
      <c r="GV65" s="158" t="b">
        <v>0</v>
      </c>
      <c r="GW65" s="158" t="b">
        <v>0</v>
      </c>
      <c r="GX65" s="158" t="b">
        <v>0</v>
      </c>
      <c r="GY65" s="158" t="b">
        <v>0</v>
      </c>
      <c r="GZ65" s="158" t="b">
        <v>0</v>
      </c>
      <c r="HA65" s="158" t="b">
        <v>0</v>
      </c>
      <c r="HB65" s="158" t="b">
        <v>0</v>
      </c>
      <c r="HC65" s="158" t="b">
        <v>0</v>
      </c>
      <c r="HD65" s="158" t="b">
        <v>0</v>
      </c>
      <c r="HE65" s="158" t="b">
        <v>0</v>
      </c>
      <c r="HF65" s="158" t="b">
        <v>0</v>
      </c>
      <c r="HG65" s="158" t="b">
        <v>0</v>
      </c>
      <c r="HH65" s="158" t="b">
        <v>0</v>
      </c>
      <c r="HI65" s="158" t="b">
        <v>0</v>
      </c>
      <c r="HJ65" s="158" t="b">
        <v>0</v>
      </c>
      <c r="HK65" s="158" t="b">
        <v>0</v>
      </c>
      <c r="HL65" s="158" t="b">
        <v>0</v>
      </c>
      <c r="HM65" s="158" t="b">
        <v>0</v>
      </c>
      <c r="HN65" s="158" t="b">
        <v>0</v>
      </c>
      <c r="HO65" s="158" t="b">
        <v>0</v>
      </c>
      <c r="HP65" s="158" t="b">
        <v>0</v>
      </c>
      <c r="HQ65" s="158" t="b">
        <v>0</v>
      </c>
      <c r="HR65" s="158" t="b">
        <v>0</v>
      </c>
      <c r="HS65" s="158" t="b">
        <v>0</v>
      </c>
      <c r="HT65" s="158" t="b">
        <v>0</v>
      </c>
      <c r="HU65" s="158" t="b">
        <v>0</v>
      </c>
      <c r="HV65" s="158" t="b">
        <v>0</v>
      </c>
      <c r="HW65" s="158" t="b">
        <v>0</v>
      </c>
      <c r="HX65" s="158" t="b">
        <v>0</v>
      </c>
      <c r="HY65" s="158" t="b">
        <v>0</v>
      </c>
      <c r="HZ65" s="158" t="b">
        <v>0</v>
      </c>
      <c r="IA65" s="158" t="b">
        <v>0</v>
      </c>
      <c r="IB65" s="158" t="b">
        <v>0</v>
      </c>
      <c r="IC65" s="158" t="b">
        <v>0</v>
      </c>
      <c r="ID65" s="158" t="b">
        <v>0</v>
      </c>
      <c r="IE65" s="158" t="b">
        <v>0</v>
      </c>
      <c r="IF65" s="158" t="b">
        <v>0</v>
      </c>
      <c r="IG65" s="158" t="b">
        <v>0</v>
      </c>
      <c r="IH65" s="158" t="b">
        <v>0</v>
      </c>
      <c r="II65" s="158" t="b">
        <v>0</v>
      </c>
      <c r="IJ65" s="158" t="b">
        <v>0</v>
      </c>
      <c r="IK65" s="158" t="b">
        <v>0</v>
      </c>
      <c r="IL65" s="158" t="b">
        <v>0</v>
      </c>
      <c r="IM65" s="158" t="b">
        <v>0</v>
      </c>
      <c r="IN65" s="158" t="b">
        <v>0</v>
      </c>
      <c r="IO65" s="158" t="b">
        <v>0</v>
      </c>
      <c r="IP65" s="158" t="b">
        <v>0</v>
      </c>
      <c r="IQ65" s="158" t="b">
        <v>0</v>
      </c>
      <c r="IR65" s="158" t="b">
        <v>0</v>
      </c>
      <c r="IS65" s="158" t="b">
        <v>0</v>
      </c>
      <c r="IT65" s="158" t="b">
        <v>0</v>
      </c>
      <c r="IU65" s="158" t="b">
        <v>0</v>
      </c>
      <c r="IV65" s="158" t="b">
        <v>0</v>
      </c>
      <c r="IW65" s="158" t="b">
        <v>0</v>
      </c>
      <c r="IX65" s="158" t="b">
        <v>0</v>
      </c>
      <c r="IY65" s="158" t="b">
        <v>0</v>
      </c>
      <c r="IZ65" s="158" t="b">
        <v>0</v>
      </c>
      <c r="JA65" s="158" t="b">
        <v>0</v>
      </c>
      <c r="JB65" s="158" t="b">
        <v>0</v>
      </c>
      <c r="JC65" s="158" t="b">
        <v>0</v>
      </c>
      <c r="JD65" s="158" t="b">
        <v>0</v>
      </c>
      <c r="JE65" s="158" t="b">
        <v>0</v>
      </c>
      <c r="JF65" s="158" t="b">
        <v>0</v>
      </c>
      <c r="JG65" s="158" t="b">
        <v>0</v>
      </c>
      <c r="JH65" s="158" t="b">
        <v>0</v>
      </c>
      <c r="JI65" s="158" t="b">
        <v>0</v>
      </c>
      <c r="JJ65" s="158" t="b">
        <v>0</v>
      </c>
      <c r="JK65" s="158" t="b">
        <v>0</v>
      </c>
      <c r="JL65" s="158" t="b">
        <v>0</v>
      </c>
      <c r="JM65" s="158" t="b">
        <v>0</v>
      </c>
      <c r="JN65" s="158" t="b">
        <v>0</v>
      </c>
      <c r="JO65" s="158" t="b">
        <v>0</v>
      </c>
      <c r="JP65" s="158" t="b">
        <v>0</v>
      </c>
      <c r="JQ65" s="158" t="b">
        <v>0</v>
      </c>
      <c r="JR65" s="158" t="b">
        <v>0</v>
      </c>
      <c r="JS65" s="158" t="b">
        <v>0</v>
      </c>
      <c r="JT65" s="158" t="b">
        <v>0</v>
      </c>
      <c r="JU65" s="158" t="b">
        <v>0</v>
      </c>
      <c r="JV65" s="158" t="b">
        <v>0</v>
      </c>
      <c r="JW65" s="158" t="b">
        <v>0</v>
      </c>
      <c r="JX65" s="158" t="b">
        <v>0</v>
      </c>
      <c r="JY65" s="158" t="b">
        <v>0</v>
      </c>
      <c r="JZ65" s="158" t="b">
        <v>0</v>
      </c>
      <c r="KA65" s="158" t="b">
        <v>0</v>
      </c>
      <c r="KB65" s="158" t="b">
        <v>0</v>
      </c>
      <c r="KC65" s="158" t="b">
        <v>0</v>
      </c>
      <c r="KD65" s="158" t="b">
        <v>0</v>
      </c>
      <c r="KE65" s="158" t="b">
        <v>0</v>
      </c>
      <c r="KF65" s="158" t="b">
        <v>0</v>
      </c>
      <c r="KG65" s="158" t="b">
        <v>0</v>
      </c>
      <c r="KH65" s="158" t="b">
        <v>0</v>
      </c>
      <c r="KI65" s="158" t="b">
        <v>0</v>
      </c>
      <c r="KJ65" s="158" t="b">
        <v>0</v>
      </c>
      <c r="KK65" s="158" t="b">
        <v>0</v>
      </c>
      <c r="KL65" s="158" t="b">
        <v>0</v>
      </c>
      <c r="KM65" s="158" t="b">
        <v>0</v>
      </c>
      <c r="KN65" s="158" t="b">
        <v>0</v>
      </c>
      <c r="KO65" s="158" t="b">
        <v>0</v>
      </c>
      <c r="KP65" s="158" t="b">
        <v>0</v>
      </c>
      <c r="KQ65" s="158" t="b">
        <v>0</v>
      </c>
      <c r="KR65" s="158" t="b">
        <v>0</v>
      </c>
      <c r="KS65" s="158" t="b">
        <v>0</v>
      </c>
      <c r="KT65" s="158" t="b">
        <v>0</v>
      </c>
      <c r="KU65" s="158" t="b">
        <v>0</v>
      </c>
      <c r="KV65" s="158" t="b">
        <v>0</v>
      </c>
      <c r="KW65" s="158" t="b">
        <v>0</v>
      </c>
      <c r="KX65" s="158" t="b">
        <v>0</v>
      </c>
      <c r="KY65" s="158" t="b">
        <v>0</v>
      </c>
      <c r="KZ65" s="158" t="b">
        <v>0</v>
      </c>
      <c r="LA65" s="158" t="b">
        <v>0</v>
      </c>
      <c r="LB65" s="158" t="b">
        <v>0</v>
      </c>
      <c r="LC65" s="158" t="b">
        <v>0</v>
      </c>
      <c r="LD65" s="158" t="b">
        <v>0</v>
      </c>
      <c r="LE65" s="158" t="b">
        <v>0</v>
      </c>
      <c r="LF65" s="158" t="b">
        <v>0</v>
      </c>
      <c r="LG65" s="158" t="b">
        <v>0</v>
      </c>
      <c r="LH65" s="158" t="b">
        <v>0</v>
      </c>
      <c r="LI65" s="158" t="b">
        <v>0</v>
      </c>
      <c r="LJ65" s="158" t="b">
        <v>0</v>
      </c>
      <c r="LK65" s="158" t="b">
        <v>0</v>
      </c>
      <c r="LL65" s="158" t="b">
        <v>0</v>
      </c>
      <c r="LM65" s="158" t="b">
        <v>0</v>
      </c>
      <c r="LN65" s="158" t="b">
        <v>0</v>
      </c>
      <c r="LO65" s="158" t="b">
        <v>0</v>
      </c>
      <c r="LP65" s="158" t="b">
        <v>0</v>
      </c>
      <c r="LQ65" s="158" t="b">
        <v>0</v>
      </c>
      <c r="LR65" s="158" t="b">
        <v>0</v>
      </c>
      <c r="LS65" s="158" t="b">
        <v>0</v>
      </c>
      <c r="LT65" s="158" t="b">
        <v>0</v>
      </c>
      <c r="LU65" s="158" t="b">
        <v>0</v>
      </c>
      <c r="LV65" s="158" t="b">
        <v>0</v>
      </c>
      <c r="LW65" s="158" t="b">
        <v>0</v>
      </c>
      <c r="LX65" s="158" t="b">
        <v>0</v>
      </c>
      <c r="LY65" s="158" t="b">
        <v>0</v>
      </c>
      <c r="LZ65" s="158" t="b">
        <v>0</v>
      </c>
      <c r="MA65" s="158" t="b">
        <v>0</v>
      </c>
      <c r="MB65" s="158" t="b">
        <v>0</v>
      </c>
      <c r="MC65" s="158" t="b">
        <v>0</v>
      </c>
      <c r="MD65" s="158" t="b">
        <v>0</v>
      </c>
      <c r="ME65" s="158" t="b">
        <v>0</v>
      </c>
      <c r="MF65" s="158" t="b">
        <v>0</v>
      </c>
      <c r="MG65" s="158" t="b">
        <v>0</v>
      </c>
      <c r="MH65" s="158" t="b">
        <v>0</v>
      </c>
      <c r="MI65" s="158" t="b">
        <v>0</v>
      </c>
      <c r="MJ65" s="158" t="b">
        <v>0</v>
      </c>
      <c r="MK65" s="158" t="b">
        <v>0</v>
      </c>
      <c r="ML65" s="158" t="b">
        <v>0</v>
      </c>
      <c r="MM65" s="158" t="b">
        <v>0</v>
      </c>
      <c r="MN65" s="158" t="b">
        <v>0</v>
      </c>
      <c r="MO65" s="158" t="b">
        <v>0</v>
      </c>
      <c r="MP65" s="158" t="b">
        <v>0</v>
      </c>
      <c r="MQ65" s="158" t="b">
        <v>0</v>
      </c>
      <c r="MR65" s="158" t="b">
        <v>0</v>
      </c>
      <c r="MS65" s="158" t="b">
        <v>0</v>
      </c>
      <c r="MT65" s="158" t="b">
        <v>0</v>
      </c>
      <c r="MU65" s="158" t="b">
        <v>0</v>
      </c>
      <c r="MV65" s="158" t="b">
        <v>0</v>
      </c>
      <c r="MW65" s="158" t="b">
        <v>0</v>
      </c>
      <c r="MX65" s="158" t="b">
        <v>0</v>
      </c>
      <c r="MY65" s="158" t="b">
        <v>0</v>
      </c>
      <c r="MZ65" s="158" t="b">
        <v>0</v>
      </c>
      <c r="NA65" s="158" t="b">
        <v>0</v>
      </c>
      <c r="NB65" s="158" t="b">
        <v>0</v>
      </c>
      <c r="NC65" s="158" t="b">
        <v>0</v>
      </c>
      <c r="ND65" s="158" t="b">
        <v>0</v>
      </c>
      <c r="NE65" s="158" t="b">
        <v>0</v>
      </c>
      <c r="NF65" s="158" t="b">
        <v>0</v>
      </c>
      <c r="NG65" s="158" t="b">
        <v>0</v>
      </c>
      <c r="NH65" s="158" t="b">
        <v>0</v>
      </c>
      <c r="NI65" s="158" t="b">
        <v>0</v>
      </c>
      <c r="NJ65" s="158" t="b">
        <v>0</v>
      </c>
      <c r="NK65" s="158" t="b">
        <v>0</v>
      </c>
      <c r="NL65" s="158" t="b">
        <v>0</v>
      </c>
      <c r="NM65" s="158" t="b">
        <v>0</v>
      </c>
      <c r="NN65" s="158" t="b">
        <v>0</v>
      </c>
      <c r="NO65" s="158" t="b">
        <v>0</v>
      </c>
    </row>
    <row r="66" spans="1:379" ht="29.25" x14ac:dyDescent="0.4">
      <c r="A66" s="511" t="str">
        <v>Vespa Cart #2</v>
      </c>
    </row>
    <row r="67" spans="1:379" ht="29.25" x14ac:dyDescent="0.4">
      <c r="A67" s="511" t="str">
        <v xml:space="preserve">Sweet Cart </v>
      </c>
    </row>
    <row r="68" spans="1:379" ht="29.25" x14ac:dyDescent="0.4">
      <c r="A68" s="511"/>
    </row>
    <row r="69" spans="1:379" ht="29.25" x14ac:dyDescent="0.4">
      <c r="A69" s="511"/>
    </row>
    <row r="70" spans="1:379" ht="29.25" x14ac:dyDescent="0.4">
      <c r="A70" s="511"/>
    </row>
    <row r="71" spans="1:379" ht="29.25" x14ac:dyDescent="0.4">
      <c r="A71" s="511"/>
    </row>
    <row r="72" spans="1:379" ht="29.25" x14ac:dyDescent="0.4">
      <c r="A72" s="511"/>
    </row>
    <row r="73" spans="1:379" ht="29.25" x14ac:dyDescent="0.4">
      <c r="A73" s="511"/>
    </row>
    <row r="74" spans="1:379" ht="29.25" x14ac:dyDescent="0.4">
      <c r="A74" s="511"/>
    </row>
    <row r="75" spans="1:379" ht="29.25" x14ac:dyDescent="0.4">
      <c r="A75" s="511"/>
    </row>
    <row r="76" spans="1:379" ht="29.25" x14ac:dyDescent="0.4">
      <c r="A76" s="511"/>
    </row>
    <row r="77" spans="1:379" ht="29.25" x14ac:dyDescent="0.4">
      <c r="A77" s="511"/>
    </row>
    <row r="78" spans="1:379" ht="29.25" x14ac:dyDescent="0.4">
      <c r="A78" s="511"/>
    </row>
    <row r="79" spans="1:379" ht="29.25" x14ac:dyDescent="0.4">
      <c r="A79" s="511"/>
    </row>
    <row r="80" spans="1:379" ht="29.25" x14ac:dyDescent="0.4">
      <c r="A80" s="511"/>
    </row>
    <row r="81" spans="1:1" ht="29.25" x14ac:dyDescent="0.4">
      <c r="A81" s="511"/>
    </row>
    <row r="82" spans="1:1" ht="29.25" x14ac:dyDescent="0.4">
      <c r="A82" s="511"/>
    </row>
    <row r="83" spans="1:1" ht="29.25" x14ac:dyDescent="0.4">
      <c r="A83" s="511"/>
    </row>
    <row r="84" spans="1:1" ht="29.25" x14ac:dyDescent="0.4">
      <c r="A84" s="511"/>
    </row>
    <row r="85" spans="1:1" ht="29.25" x14ac:dyDescent="0.4">
      <c r="A85" s="511"/>
    </row>
    <row r="86" spans="1:1" ht="29.25" x14ac:dyDescent="0.4">
      <c r="A86" s="511"/>
    </row>
    <row r="87" spans="1:1" ht="29.25" x14ac:dyDescent="0.4">
      <c r="A87" s="511"/>
    </row>
    <row r="88" spans="1:1" ht="29.25" x14ac:dyDescent="0.4">
      <c r="A88" s="511"/>
    </row>
    <row r="89" spans="1:1" ht="29.25" x14ac:dyDescent="0.4">
      <c r="A89" s="511"/>
    </row>
    <row r="90" spans="1:1" ht="29.25" x14ac:dyDescent="0.4">
      <c r="A90" s="511"/>
    </row>
    <row r="91" spans="1:1" ht="29.25" x14ac:dyDescent="0.4">
      <c r="A91" s="511"/>
    </row>
    <row r="92" spans="1:1" ht="29.25" x14ac:dyDescent="0.4">
      <c r="A92" s="511"/>
    </row>
    <row r="93" spans="1:1" ht="29.25" x14ac:dyDescent="0.4">
      <c r="A93" s="511"/>
    </row>
    <row r="94" spans="1:1" ht="29.25" x14ac:dyDescent="0.4">
      <c r="A94" s="511"/>
    </row>
    <row r="95" spans="1:1" ht="29.25" x14ac:dyDescent="0.4">
      <c r="A95" s="511"/>
    </row>
    <row r="96" spans="1:1" ht="29.25" x14ac:dyDescent="0.4">
      <c r="A96" s="511"/>
    </row>
    <row r="97" spans="1:1" ht="29.25" x14ac:dyDescent="0.4">
      <c r="A97" s="511"/>
    </row>
    <row r="98" spans="1:1" ht="29.25" x14ac:dyDescent="0.4">
      <c r="A98" s="511"/>
    </row>
    <row r="99" spans="1:1" ht="29.25" x14ac:dyDescent="0.4">
      <c r="A99" s="511"/>
    </row>
    <row r="100" spans="1:1" ht="29.25" x14ac:dyDescent="0.4">
      <c r="A100" s="511"/>
    </row>
    <row r="101" spans="1:1" ht="29.25" x14ac:dyDescent="0.4">
      <c r="A101" s="511"/>
    </row>
    <row r="102" spans="1:1" ht="29.25" x14ac:dyDescent="0.4">
      <c r="A102" s="511"/>
    </row>
    <row r="103" spans="1:1" ht="29.25" x14ac:dyDescent="0.4">
      <c r="A103" s="511"/>
    </row>
    <row r="104" spans="1:1" ht="29.25" x14ac:dyDescent="0.4">
      <c r="A104" s="511"/>
    </row>
    <row r="105" spans="1:1" ht="29.25" x14ac:dyDescent="0.4">
      <c r="A105" s="511"/>
    </row>
    <row r="106" spans="1:1" ht="29.25" x14ac:dyDescent="0.4">
      <c r="A106" s="511"/>
    </row>
    <row r="107" spans="1:1" ht="29.25" x14ac:dyDescent="0.4">
      <c r="A107" s="511"/>
    </row>
    <row r="108" spans="1:1" ht="29.25" x14ac:dyDescent="0.4">
      <c r="A108" s="511"/>
    </row>
    <row r="109" spans="1:1" ht="29.25" x14ac:dyDescent="0.4">
      <c r="A109" s="511"/>
    </row>
    <row r="110" spans="1:1" ht="29.25" x14ac:dyDescent="0.4">
      <c r="A110" s="511"/>
    </row>
    <row r="111" spans="1:1" ht="29.25" x14ac:dyDescent="0.4">
      <c r="A111" s="511"/>
    </row>
    <row r="112" spans="1:1" ht="29.25" x14ac:dyDescent="0.4">
      <c r="A112" s="511"/>
    </row>
    <row r="113" spans="1:1" ht="29.25" x14ac:dyDescent="0.4">
      <c r="A113" s="511"/>
    </row>
    <row r="114" spans="1:1" ht="29.25" x14ac:dyDescent="0.4">
      <c r="A114" s="511"/>
    </row>
    <row r="115" spans="1:1" ht="29.25" x14ac:dyDescent="0.4">
      <c r="A115" s="511"/>
    </row>
    <row r="116" spans="1:1" ht="29.25" x14ac:dyDescent="0.4">
      <c r="A116" s="511"/>
    </row>
    <row r="117" spans="1:1" ht="29.25" x14ac:dyDescent="0.4">
      <c r="A117" s="511"/>
    </row>
    <row r="118" spans="1:1" ht="29.25" x14ac:dyDescent="0.4">
      <c r="A118" s="511"/>
    </row>
    <row r="119" spans="1:1" ht="29.25" x14ac:dyDescent="0.4">
      <c r="A119" s="511"/>
    </row>
    <row r="120" spans="1:1" ht="29.25" x14ac:dyDescent="0.4">
      <c r="A120" s="511"/>
    </row>
    <row r="121" spans="1:1" ht="29.25" x14ac:dyDescent="0.4">
      <c r="A121" s="511"/>
    </row>
    <row r="122" spans="1:1" ht="29.25" x14ac:dyDescent="0.4">
      <c r="A122" s="511"/>
    </row>
    <row r="123" spans="1:1" ht="29.25" x14ac:dyDescent="0.4">
      <c r="A123" s="511"/>
    </row>
    <row r="124" spans="1:1" ht="29.25" x14ac:dyDescent="0.4">
      <c r="A124" s="511"/>
    </row>
    <row r="125" spans="1:1" ht="29.25" x14ac:dyDescent="0.4">
      <c r="A125" s="511"/>
    </row>
    <row r="126" spans="1:1" ht="29.25" x14ac:dyDescent="0.4">
      <c r="A126" s="511"/>
    </row>
    <row r="127" spans="1:1" ht="29.25" x14ac:dyDescent="0.4">
      <c r="A127" s="511"/>
    </row>
    <row r="128" spans="1:1" ht="29.25" x14ac:dyDescent="0.4">
      <c r="A128" s="511"/>
    </row>
    <row r="129" spans="1:1" ht="29.25" x14ac:dyDescent="0.4">
      <c r="A129" s="511"/>
    </row>
    <row r="130" spans="1:1" ht="29.25" x14ac:dyDescent="0.4">
      <c r="A130" s="511"/>
    </row>
    <row r="131" spans="1:1" ht="29.25" x14ac:dyDescent="0.4">
      <c r="A131" s="511"/>
    </row>
    <row r="132" spans="1:1" ht="29.25" x14ac:dyDescent="0.4">
      <c r="A132" s="511"/>
    </row>
    <row r="133" spans="1:1" ht="29.25" x14ac:dyDescent="0.4">
      <c r="A133" s="511"/>
    </row>
    <row r="134" spans="1:1" ht="29.25" x14ac:dyDescent="0.4">
      <c r="A134" s="511"/>
    </row>
    <row r="135" spans="1:1" ht="29.25" x14ac:dyDescent="0.4">
      <c r="A135" s="511"/>
    </row>
    <row r="136" spans="1:1" ht="29.25" x14ac:dyDescent="0.4">
      <c r="A136" s="511"/>
    </row>
    <row r="137" spans="1:1" ht="29.25" x14ac:dyDescent="0.4">
      <c r="A137" s="511"/>
    </row>
    <row r="138" spans="1:1" ht="29.25" x14ac:dyDescent="0.4">
      <c r="A138" s="511"/>
    </row>
    <row r="139" spans="1:1" ht="29.25" x14ac:dyDescent="0.4">
      <c r="A139" s="511"/>
    </row>
    <row r="140" spans="1:1" ht="29.25" x14ac:dyDescent="0.4">
      <c r="A140" s="511"/>
    </row>
    <row r="141" spans="1:1" ht="29.25" x14ac:dyDescent="0.4">
      <c r="A141" s="511"/>
    </row>
    <row r="142" spans="1:1" ht="29.25" x14ac:dyDescent="0.4">
      <c r="A142" s="511"/>
    </row>
    <row r="143" spans="1:1" ht="29.25" x14ac:dyDescent="0.4">
      <c r="A143" s="511"/>
    </row>
    <row r="144" spans="1:1" ht="29.25" x14ac:dyDescent="0.4">
      <c r="A144" s="511"/>
    </row>
    <row r="145" spans="1:1" ht="29.25" x14ac:dyDescent="0.4">
      <c r="A145" s="511"/>
    </row>
    <row r="146" spans="1:1" ht="29.25" x14ac:dyDescent="0.4">
      <c r="A146" s="511"/>
    </row>
    <row r="147" spans="1:1" ht="29.25" x14ac:dyDescent="0.4">
      <c r="A147" s="511"/>
    </row>
    <row r="148" spans="1:1" ht="29.25" x14ac:dyDescent="0.4">
      <c r="A148" s="511"/>
    </row>
    <row r="149" spans="1:1" ht="29.25" x14ac:dyDescent="0.4">
      <c r="A149" s="511"/>
    </row>
    <row r="150" spans="1:1" ht="29.25" x14ac:dyDescent="0.4">
      <c r="A150" s="511"/>
    </row>
    <row r="151" spans="1:1" ht="29.25" x14ac:dyDescent="0.4">
      <c r="A151" s="511"/>
    </row>
    <row r="152" spans="1:1" ht="29.25" x14ac:dyDescent="0.4">
      <c r="A152" s="511"/>
    </row>
    <row r="153" spans="1:1" ht="29.25" x14ac:dyDescent="0.4">
      <c r="A153" s="511"/>
    </row>
    <row r="154" spans="1:1" ht="29.25" x14ac:dyDescent="0.4">
      <c r="A154" s="511"/>
    </row>
    <row r="155" spans="1:1" ht="29.25" x14ac:dyDescent="0.4">
      <c r="A155" s="511"/>
    </row>
    <row r="156" spans="1:1" ht="29.25" x14ac:dyDescent="0.4">
      <c r="A156" s="511"/>
    </row>
    <row r="157" spans="1:1" ht="29.25" x14ac:dyDescent="0.4">
      <c r="A157" s="511"/>
    </row>
    <row r="158" spans="1:1" ht="29.25" x14ac:dyDescent="0.4">
      <c r="A158" s="511"/>
    </row>
    <row r="159" spans="1:1" ht="29.25" x14ac:dyDescent="0.4">
      <c r="A159" s="511"/>
    </row>
    <row r="160" spans="1:1" ht="29.25" x14ac:dyDescent="0.4">
      <c r="A160" s="511"/>
    </row>
    <row r="161" spans="1:1" ht="29.25" x14ac:dyDescent="0.4">
      <c r="A161" s="511"/>
    </row>
    <row r="162" spans="1:1" ht="29.25" x14ac:dyDescent="0.4">
      <c r="A162" s="511"/>
    </row>
    <row r="163" spans="1:1" ht="29.25" x14ac:dyDescent="0.4">
      <c r="A163" s="511"/>
    </row>
    <row r="164" spans="1:1" ht="29.25" x14ac:dyDescent="0.4">
      <c r="A164" s="511"/>
    </row>
    <row r="165" spans="1:1" ht="29.25" x14ac:dyDescent="0.4">
      <c r="A165" s="511"/>
    </row>
    <row r="166" spans="1:1" ht="29.25" x14ac:dyDescent="0.4">
      <c r="A166" s="511"/>
    </row>
    <row r="167" spans="1:1" ht="29.25" x14ac:dyDescent="0.4">
      <c r="A167" s="511"/>
    </row>
    <row r="168" spans="1:1" ht="29.25" x14ac:dyDescent="0.4">
      <c r="A168" s="511"/>
    </row>
    <row r="169" spans="1:1" ht="29.25" x14ac:dyDescent="0.4">
      <c r="A169" s="511"/>
    </row>
    <row r="170" spans="1:1" ht="29.25" x14ac:dyDescent="0.4">
      <c r="A170" s="511"/>
    </row>
    <row r="171" spans="1:1" ht="29.25" x14ac:dyDescent="0.4">
      <c r="A171" s="511"/>
    </row>
    <row r="172" spans="1:1" ht="29.25" x14ac:dyDescent="0.4">
      <c r="A172" s="511"/>
    </row>
    <row r="173" spans="1:1" ht="29.25" x14ac:dyDescent="0.4">
      <c r="A173" s="511"/>
    </row>
    <row r="174" spans="1:1" ht="29.25" x14ac:dyDescent="0.4">
      <c r="A174" s="511"/>
    </row>
    <row r="175" spans="1:1" ht="29.25" x14ac:dyDescent="0.4">
      <c r="A175" s="511"/>
    </row>
    <row r="176" spans="1:1" ht="29.25" x14ac:dyDescent="0.4">
      <c r="A176" s="511"/>
    </row>
    <row r="177" spans="1:1" ht="29.25" x14ac:dyDescent="0.4">
      <c r="A177" s="511"/>
    </row>
    <row r="178" spans="1:1" ht="29.25" x14ac:dyDescent="0.4">
      <c r="A178" s="511"/>
    </row>
    <row r="179" spans="1:1" ht="29.25" x14ac:dyDescent="0.4">
      <c r="A179" s="511"/>
    </row>
    <row r="180" spans="1:1" ht="29.25" x14ac:dyDescent="0.4">
      <c r="A180" s="511"/>
    </row>
    <row r="181" spans="1:1" ht="29.25" x14ac:dyDescent="0.4">
      <c r="A181" s="511"/>
    </row>
    <row r="182" spans="1:1" ht="29.25" x14ac:dyDescent="0.4">
      <c r="A182" s="511"/>
    </row>
    <row r="183" spans="1:1" ht="29.25" x14ac:dyDescent="0.4">
      <c r="A183" s="511"/>
    </row>
    <row r="184" spans="1:1" ht="29.25" x14ac:dyDescent="0.4">
      <c r="A184" s="511"/>
    </row>
    <row r="185" spans="1:1" ht="29.25" x14ac:dyDescent="0.4">
      <c r="A185" s="511"/>
    </row>
    <row r="186" spans="1:1" ht="29.25" x14ac:dyDescent="0.4">
      <c r="A186" s="511"/>
    </row>
    <row r="187" spans="1:1" ht="29.25" x14ac:dyDescent="0.4">
      <c r="A187" s="511"/>
    </row>
    <row r="188" spans="1:1" ht="29.25" x14ac:dyDescent="0.4">
      <c r="A188" s="511"/>
    </row>
    <row r="189" spans="1:1" ht="29.25" x14ac:dyDescent="0.4">
      <c r="A189" s="511"/>
    </row>
    <row r="190" spans="1:1" ht="29.25" x14ac:dyDescent="0.4">
      <c r="A190" s="511"/>
    </row>
    <row r="191" spans="1:1" ht="29.25" x14ac:dyDescent="0.4">
      <c r="A191" s="511"/>
    </row>
    <row r="192" spans="1:1" ht="29.25" x14ac:dyDescent="0.4">
      <c r="A192" s="511"/>
    </row>
    <row r="193" spans="1:1" ht="29.25" x14ac:dyDescent="0.4">
      <c r="A193" s="511"/>
    </row>
    <row r="194" spans="1:1" ht="29.25" x14ac:dyDescent="0.4">
      <c r="A194" s="511"/>
    </row>
    <row r="195" spans="1:1" ht="29.25" x14ac:dyDescent="0.4">
      <c r="A195" s="511"/>
    </row>
    <row r="196" spans="1:1" ht="29.25" x14ac:dyDescent="0.4">
      <c r="A196" s="511"/>
    </row>
    <row r="197" spans="1:1" ht="29.25" x14ac:dyDescent="0.4">
      <c r="A197" s="511"/>
    </row>
    <row r="198" spans="1:1" ht="29.25" x14ac:dyDescent="0.4">
      <c r="A198" s="511"/>
    </row>
    <row r="199" spans="1:1" ht="29.25" x14ac:dyDescent="0.4">
      <c r="A199" s="511"/>
    </row>
    <row r="200" spans="1:1" ht="29.25" x14ac:dyDescent="0.4">
      <c r="A200" s="511"/>
    </row>
    <row r="201" spans="1:1" ht="29.25" x14ac:dyDescent="0.4">
      <c r="A201" s="511"/>
    </row>
    <row r="202" spans="1:1" ht="29.25" x14ac:dyDescent="0.4">
      <c r="A202" s="511"/>
    </row>
    <row r="203" spans="1:1" ht="29.25" x14ac:dyDescent="0.4">
      <c r="A203" s="511"/>
    </row>
    <row r="204" spans="1:1" ht="29.25" x14ac:dyDescent="0.4">
      <c r="A204" s="511"/>
    </row>
    <row r="205" spans="1:1" ht="29.25" x14ac:dyDescent="0.4">
      <c r="A205" s="511"/>
    </row>
    <row r="206" spans="1:1" ht="29.25" x14ac:dyDescent="0.4">
      <c r="A206" s="511"/>
    </row>
    <row r="207" spans="1:1" ht="29.25" x14ac:dyDescent="0.4">
      <c r="A207" s="511"/>
    </row>
    <row r="208" spans="1:1" ht="29.25" x14ac:dyDescent="0.4">
      <c r="A208" s="511"/>
    </row>
    <row r="209" spans="1:1" ht="29.25" x14ac:dyDescent="0.4">
      <c r="A209" s="511"/>
    </row>
    <row r="210" spans="1:1" ht="29.25" x14ac:dyDescent="0.4">
      <c r="A210" s="511"/>
    </row>
    <row r="211" spans="1:1" ht="29.25" x14ac:dyDescent="0.4">
      <c r="A211" s="511"/>
    </row>
    <row r="212" spans="1:1" ht="29.25" x14ac:dyDescent="0.4">
      <c r="A212" s="511"/>
    </row>
    <row r="213" spans="1:1" ht="29.25" x14ac:dyDescent="0.4">
      <c r="A213" s="511"/>
    </row>
    <row r="214" spans="1:1" ht="29.25" x14ac:dyDescent="0.4">
      <c r="A214" s="511"/>
    </row>
    <row r="215" spans="1:1" ht="29.25" x14ac:dyDescent="0.4">
      <c r="A215" s="511"/>
    </row>
    <row r="216" spans="1:1" ht="29.25" x14ac:dyDescent="0.4">
      <c r="A216" s="511"/>
    </row>
    <row r="217" spans="1:1" ht="29.25" x14ac:dyDescent="0.4">
      <c r="A217" s="511"/>
    </row>
    <row r="218" spans="1:1" ht="29.25" x14ac:dyDescent="0.4">
      <c r="A218" s="511"/>
    </row>
    <row r="219" spans="1:1" ht="29.25" x14ac:dyDescent="0.4">
      <c r="A219" s="511"/>
    </row>
    <row r="220" spans="1:1" ht="29.25" x14ac:dyDescent="0.4">
      <c r="A220" s="511"/>
    </row>
    <row r="221" spans="1:1" ht="29.25" x14ac:dyDescent="0.4">
      <c r="A221" s="511"/>
    </row>
    <row r="222" spans="1:1" ht="29.25" x14ac:dyDescent="0.4">
      <c r="A222" s="511"/>
    </row>
    <row r="223" spans="1:1" ht="29.25" x14ac:dyDescent="0.4">
      <c r="A223" s="511"/>
    </row>
    <row r="224" spans="1:1" ht="29.25" x14ac:dyDescent="0.4">
      <c r="A224" s="511"/>
    </row>
    <row r="225" spans="1:1" ht="29.25" x14ac:dyDescent="0.4">
      <c r="A225" s="511"/>
    </row>
    <row r="226" spans="1:1" ht="29.25" x14ac:dyDescent="0.4">
      <c r="A226" s="511"/>
    </row>
    <row r="227" spans="1:1" ht="29.25" x14ac:dyDescent="0.4">
      <c r="A227" s="511"/>
    </row>
    <row r="228" spans="1:1" ht="29.25" x14ac:dyDescent="0.4">
      <c r="A228" s="511"/>
    </row>
    <row r="229" spans="1:1" ht="29.25" x14ac:dyDescent="0.4">
      <c r="A229" s="511"/>
    </row>
    <row r="230" spans="1:1" ht="29.25" x14ac:dyDescent="0.4">
      <c r="A230" s="511"/>
    </row>
    <row r="231" spans="1:1" ht="29.25" x14ac:dyDescent="0.4">
      <c r="A231" s="511"/>
    </row>
    <row r="232" spans="1:1" ht="29.25" x14ac:dyDescent="0.4">
      <c r="A232" s="511"/>
    </row>
    <row r="233" spans="1:1" ht="29.25" x14ac:dyDescent="0.4">
      <c r="A233" s="511"/>
    </row>
    <row r="234" spans="1:1" ht="29.25" x14ac:dyDescent="0.4">
      <c r="A234" s="511"/>
    </row>
    <row r="235" spans="1:1" ht="29.25" x14ac:dyDescent="0.4">
      <c r="A235" s="511"/>
    </row>
    <row r="236" spans="1:1" ht="29.25" x14ac:dyDescent="0.4">
      <c r="A236" s="511"/>
    </row>
    <row r="237" spans="1:1" ht="29.25" x14ac:dyDescent="0.4">
      <c r="A237" s="511"/>
    </row>
    <row r="238" spans="1:1" ht="29.25" x14ac:dyDescent="0.4">
      <c r="A238" s="511"/>
    </row>
    <row r="239" spans="1:1" ht="29.25" x14ac:dyDescent="0.4">
      <c r="A239" s="511"/>
    </row>
    <row r="240" spans="1:1" ht="29.25" x14ac:dyDescent="0.4">
      <c r="A240" s="511"/>
    </row>
    <row r="241" spans="1:1" ht="29.25" x14ac:dyDescent="0.4">
      <c r="A241" s="511"/>
    </row>
    <row r="242" spans="1:1" ht="29.25" x14ac:dyDescent="0.4">
      <c r="A242" s="511"/>
    </row>
    <row r="243" spans="1:1" ht="29.25" x14ac:dyDescent="0.4">
      <c r="A243" s="511"/>
    </row>
    <row r="244" spans="1:1" ht="29.25" x14ac:dyDescent="0.4">
      <c r="A244" s="511"/>
    </row>
    <row r="245" spans="1:1" ht="29.25" x14ac:dyDescent="0.4">
      <c r="A245" s="511"/>
    </row>
    <row r="246" spans="1:1" ht="29.25" x14ac:dyDescent="0.4">
      <c r="A246" s="511"/>
    </row>
    <row r="247" spans="1:1" ht="29.25" x14ac:dyDescent="0.4">
      <c r="A247" s="511"/>
    </row>
    <row r="248" spans="1:1" ht="29.25" x14ac:dyDescent="0.4">
      <c r="A248" s="511"/>
    </row>
    <row r="249" spans="1:1" ht="29.25" x14ac:dyDescent="0.4">
      <c r="A249" s="511"/>
    </row>
    <row r="250" spans="1:1" ht="29.25" x14ac:dyDescent="0.4">
      <c r="A250" s="511"/>
    </row>
    <row r="251" spans="1:1" ht="29.25" x14ac:dyDescent="0.4">
      <c r="A251" s="511"/>
    </row>
    <row r="252" spans="1:1" ht="29.25" x14ac:dyDescent="0.4">
      <c r="A252" s="511"/>
    </row>
    <row r="253" spans="1:1" ht="29.25" x14ac:dyDescent="0.4">
      <c r="A253" s="511"/>
    </row>
    <row r="254" spans="1:1" ht="29.25" x14ac:dyDescent="0.4">
      <c r="A254" s="511"/>
    </row>
    <row r="255" spans="1:1" ht="29.25" x14ac:dyDescent="0.4">
      <c r="A255" s="511"/>
    </row>
    <row r="256" spans="1:1" ht="29.25" x14ac:dyDescent="0.4">
      <c r="A256" s="511"/>
    </row>
    <row r="257" spans="1:1" ht="29.25" x14ac:dyDescent="0.4">
      <c r="A257" s="511"/>
    </row>
    <row r="258" spans="1:1" ht="29.25" x14ac:dyDescent="0.4">
      <c r="A258" s="511"/>
    </row>
    <row r="259" spans="1:1" ht="29.25" x14ac:dyDescent="0.4">
      <c r="A259" s="511"/>
    </row>
    <row r="260" spans="1:1" ht="29.25" x14ac:dyDescent="0.4">
      <c r="A260" s="511"/>
    </row>
    <row r="261" spans="1:1" ht="29.25" x14ac:dyDescent="0.4">
      <c r="A261" s="511"/>
    </row>
    <row r="262" spans="1:1" ht="29.25" x14ac:dyDescent="0.4">
      <c r="A262" s="511"/>
    </row>
    <row r="263" spans="1:1" ht="29.25" x14ac:dyDescent="0.4">
      <c r="A263" s="511"/>
    </row>
    <row r="264" spans="1:1" ht="29.25" x14ac:dyDescent="0.4">
      <c r="A264" s="511"/>
    </row>
    <row r="265" spans="1:1" ht="29.25" x14ac:dyDescent="0.4">
      <c r="A265" s="511"/>
    </row>
    <row r="266" spans="1:1" ht="29.25" x14ac:dyDescent="0.4">
      <c r="A266" s="511"/>
    </row>
    <row r="267" spans="1:1" ht="29.25" x14ac:dyDescent="0.4">
      <c r="A267" s="511"/>
    </row>
    <row r="268" spans="1:1" ht="29.25" x14ac:dyDescent="0.4">
      <c r="A268" s="511"/>
    </row>
    <row r="269" spans="1:1" ht="29.25" x14ac:dyDescent="0.4">
      <c r="A269" s="511"/>
    </row>
    <row r="270" spans="1:1" ht="29.25" x14ac:dyDescent="0.4">
      <c r="A270" s="511"/>
    </row>
    <row r="271" spans="1:1" ht="29.25" x14ac:dyDescent="0.4">
      <c r="A271" s="511"/>
    </row>
    <row r="272" spans="1:1" ht="29.25" x14ac:dyDescent="0.4">
      <c r="A272" s="511"/>
    </row>
    <row r="273" spans="1:1" ht="29.25" x14ac:dyDescent="0.4">
      <c r="A273" s="511"/>
    </row>
    <row r="274" spans="1:1" ht="29.25" x14ac:dyDescent="0.4">
      <c r="A274" s="511"/>
    </row>
    <row r="275" spans="1:1" ht="29.25" x14ac:dyDescent="0.4">
      <c r="A275" s="511"/>
    </row>
    <row r="276" spans="1:1" ht="29.25" x14ac:dyDescent="0.4">
      <c r="A276" s="511"/>
    </row>
    <row r="277" spans="1:1" ht="29.25" x14ac:dyDescent="0.4">
      <c r="A277" s="511"/>
    </row>
    <row r="278" spans="1:1" ht="29.25" x14ac:dyDescent="0.4">
      <c r="A278" s="511"/>
    </row>
    <row r="279" spans="1:1" ht="29.25" x14ac:dyDescent="0.4">
      <c r="A279" s="511"/>
    </row>
    <row r="280" spans="1:1" ht="29.25" x14ac:dyDescent="0.4">
      <c r="A280" s="511"/>
    </row>
    <row r="281" spans="1:1" ht="29.25" x14ac:dyDescent="0.4">
      <c r="A281" s="511"/>
    </row>
    <row r="282" spans="1:1" ht="29.25" x14ac:dyDescent="0.4">
      <c r="A282" s="511"/>
    </row>
    <row r="283" spans="1:1" ht="29.25" x14ac:dyDescent="0.4">
      <c r="A283" s="511"/>
    </row>
    <row r="284" spans="1:1" ht="29.25" x14ac:dyDescent="0.4">
      <c r="A284" s="511"/>
    </row>
    <row r="285" spans="1:1" ht="29.25" x14ac:dyDescent="0.4">
      <c r="A285" s="511"/>
    </row>
    <row r="286" spans="1:1" ht="29.25" x14ac:dyDescent="0.4">
      <c r="A286" s="511"/>
    </row>
    <row r="287" spans="1:1" ht="29.25" x14ac:dyDescent="0.4">
      <c r="A287" s="511"/>
    </row>
    <row r="288" spans="1:1" ht="29.25" x14ac:dyDescent="0.4">
      <c r="A288" s="511"/>
    </row>
    <row r="289" spans="1:1" ht="29.25" x14ac:dyDescent="0.4">
      <c r="A289" s="511"/>
    </row>
    <row r="290" spans="1:1" ht="29.25" x14ac:dyDescent="0.4">
      <c r="A290" s="511"/>
    </row>
    <row r="291" spans="1:1" ht="29.25" x14ac:dyDescent="0.4">
      <c r="A291" s="511"/>
    </row>
    <row r="292" spans="1:1" ht="29.25" x14ac:dyDescent="0.4">
      <c r="A292" s="511"/>
    </row>
    <row r="293" spans="1:1" ht="29.25" x14ac:dyDescent="0.4">
      <c r="A293" s="511"/>
    </row>
    <row r="294" spans="1:1" ht="29.25" x14ac:dyDescent="0.4">
      <c r="A294" s="511"/>
    </row>
    <row r="295" spans="1:1" ht="29.25" x14ac:dyDescent="0.4">
      <c r="A295" s="511"/>
    </row>
    <row r="296" spans="1:1" ht="29.25" x14ac:dyDescent="0.4">
      <c r="A296" s="511"/>
    </row>
    <row r="297" spans="1:1" ht="29.25" x14ac:dyDescent="0.4">
      <c r="A297" s="511"/>
    </row>
    <row r="298" spans="1:1" ht="29.25" x14ac:dyDescent="0.4">
      <c r="A298" s="511"/>
    </row>
    <row r="299" spans="1:1" ht="29.25" x14ac:dyDescent="0.4">
      <c r="A299" s="511"/>
    </row>
    <row r="300" spans="1:1" ht="29.25" x14ac:dyDescent="0.4">
      <c r="A300" s="511"/>
    </row>
    <row r="301" spans="1:1" ht="29.25" x14ac:dyDescent="0.4">
      <c r="A301" s="511"/>
    </row>
    <row r="302" spans="1:1" ht="29.25" x14ac:dyDescent="0.4">
      <c r="A302" s="511"/>
    </row>
    <row r="303" spans="1:1" ht="29.25" x14ac:dyDescent="0.4">
      <c r="A303" s="511"/>
    </row>
    <row r="304" spans="1:1" ht="29.25" x14ac:dyDescent="0.4">
      <c r="A304" s="511"/>
    </row>
    <row r="305" spans="1:1" ht="29.25" x14ac:dyDescent="0.4">
      <c r="A305" s="511"/>
    </row>
    <row r="306" spans="1:1" ht="29.25" x14ac:dyDescent="0.4">
      <c r="A306" s="511"/>
    </row>
    <row r="307" spans="1:1" ht="29.25" x14ac:dyDescent="0.4">
      <c r="A307" s="511"/>
    </row>
    <row r="308" spans="1:1" ht="29.25" x14ac:dyDescent="0.4">
      <c r="A308" s="511"/>
    </row>
    <row r="309" spans="1:1" ht="29.25" x14ac:dyDescent="0.4">
      <c r="A309" s="511"/>
    </row>
    <row r="310" spans="1:1" ht="29.25" x14ac:dyDescent="0.4">
      <c r="A310" s="511"/>
    </row>
    <row r="311" spans="1:1" ht="29.25" x14ac:dyDescent="0.4">
      <c r="A311" s="511"/>
    </row>
    <row r="312" spans="1:1" ht="29.25" x14ac:dyDescent="0.4">
      <c r="A312" s="511"/>
    </row>
    <row r="313" spans="1:1" ht="29.25" x14ac:dyDescent="0.4">
      <c r="A313" s="511"/>
    </row>
    <row r="314" spans="1:1" ht="29.25" x14ac:dyDescent="0.4">
      <c r="A314" s="511"/>
    </row>
    <row r="315" spans="1:1" ht="29.25" x14ac:dyDescent="0.4">
      <c r="A315" s="511"/>
    </row>
    <row r="316" spans="1:1" ht="29.25" x14ac:dyDescent="0.4">
      <c r="A316" s="511"/>
    </row>
    <row r="317" spans="1:1" ht="29.25" x14ac:dyDescent="0.4">
      <c r="A317" s="511"/>
    </row>
    <row r="318" spans="1:1" ht="29.25" x14ac:dyDescent="0.4">
      <c r="A318" s="511"/>
    </row>
    <row r="319" spans="1:1" ht="29.25" x14ac:dyDescent="0.4">
      <c r="A319" s="511"/>
    </row>
    <row r="320" spans="1:1" ht="29.25" x14ac:dyDescent="0.4">
      <c r="A320" s="511"/>
    </row>
    <row r="321" spans="1:1" ht="29.25" x14ac:dyDescent="0.4">
      <c r="A321" s="511"/>
    </row>
    <row r="322" spans="1:1" ht="29.25" x14ac:dyDescent="0.4">
      <c r="A322" s="511"/>
    </row>
    <row r="323" spans="1:1" ht="29.25" x14ac:dyDescent="0.4">
      <c r="A323" s="511"/>
    </row>
    <row r="324" spans="1:1" ht="29.25" x14ac:dyDescent="0.4">
      <c r="A324" s="511"/>
    </row>
    <row r="325" spans="1:1" ht="29.25" x14ac:dyDescent="0.4">
      <c r="A325" s="511"/>
    </row>
    <row r="326" spans="1:1" ht="29.25" x14ac:dyDescent="0.4">
      <c r="A326" s="511"/>
    </row>
    <row r="327" spans="1:1" ht="29.25" x14ac:dyDescent="0.4">
      <c r="A327" s="511"/>
    </row>
    <row r="328" spans="1:1" ht="29.25" x14ac:dyDescent="0.4">
      <c r="A328" s="511"/>
    </row>
    <row r="329" spans="1:1" ht="29.25" x14ac:dyDescent="0.4">
      <c r="A329" s="511"/>
    </row>
    <row r="330" spans="1:1" ht="29.25" x14ac:dyDescent="0.4">
      <c r="A330" s="511"/>
    </row>
    <row r="331" spans="1:1" ht="29.25" x14ac:dyDescent="0.4">
      <c r="A331" s="511"/>
    </row>
    <row r="332" spans="1:1" ht="29.25" x14ac:dyDescent="0.4">
      <c r="A332" s="511"/>
    </row>
    <row r="333" spans="1:1" ht="29.25" x14ac:dyDescent="0.4">
      <c r="A333" s="511"/>
    </row>
    <row r="334" spans="1:1" ht="29.25" x14ac:dyDescent="0.4">
      <c r="A334" s="511"/>
    </row>
    <row r="335" spans="1:1" ht="29.25" x14ac:dyDescent="0.4">
      <c r="A335" s="511"/>
    </row>
    <row r="336" spans="1:1" ht="29.25" x14ac:dyDescent="0.4">
      <c r="A336" s="511"/>
    </row>
    <row r="337" spans="1:1" ht="29.25" x14ac:dyDescent="0.4">
      <c r="A337" s="511"/>
    </row>
    <row r="338" spans="1:1" ht="29.25" x14ac:dyDescent="0.4">
      <c r="A338" s="511"/>
    </row>
    <row r="339" spans="1:1" ht="29.25" x14ac:dyDescent="0.4">
      <c r="A339" s="511"/>
    </row>
    <row r="340" spans="1:1" ht="29.25" x14ac:dyDescent="0.4">
      <c r="A340" s="511"/>
    </row>
    <row r="341" spans="1:1" ht="29.25" x14ac:dyDescent="0.4">
      <c r="A341" s="511"/>
    </row>
    <row r="342" spans="1:1" ht="29.25" x14ac:dyDescent="0.4">
      <c r="A342" s="511"/>
    </row>
    <row r="343" spans="1:1" ht="29.25" x14ac:dyDescent="0.4">
      <c r="A343" s="511"/>
    </row>
    <row r="344" spans="1:1" ht="29.25" x14ac:dyDescent="0.4">
      <c r="A344" s="511"/>
    </row>
    <row r="345" spans="1:1" ht="29.25" x14ac:dyDescent="0.4">
      <c r="A345" s="511"/>
    </row>
    <row r="346" spans="1:1" ht="29.25" x14ac:dyDescent="0.4">
      <c r="A346" s="511"/>
    </row>
    <row r="347" spans="1:1" ht="29.25" x14ac:dyDescent="0.4">
      <c r="A347" s="511"/>
    </row>
    <row r="348" spans="1:1" ht="29.25" x14ac:dyDescent="0.4">
      <c r="A348" s="511"/>
    </row>
    <row r="349" spans="1:1" ht="29.25" x14ac:dyDescent="0.4">
      <c r="A349" s="511"/>
    </row>
    <row r="350" spans="1:1" ht="29.25" x14ac:dyDescent="0.4">
      <c r="A350" s="511"/>
    </row>
    <row r="351" spans="1:1" ht="29.25" x14ac:dyDescent="0.4">
      <c r="A351" s="511"/>
    </row>
    <row r="352" spans="1:1" ht="29.25" x14ac:dyDescent="0.4">
      <c r="A352" s="511"/>
    </row>
    <row r="353" spans="1:1" ht="29.25" x14ac:dyDescent="0.4">
      <c r="A353" s="511"/>
    </row>
    <row r="354" spans="1:1" ht="29.25" x14ac:dyDescent="0.4">
      <c r="A354" s="511"/>
    </row>
    <row r="355" spans="1:1" ht="29.25" x14ac:dyDescent="0.4">
      <c r="A355" s="511"/>
    </row>
    <row r="356" spans="1:1" ht="29.25" x14ac:dyDescent="0.4">
      <c r="A356" s="511"/>
    </row>
    <row r="357" spans="1:1" ht="29.25" x14ac:dyDescent="0.4">
      <c r="A357" s="511"/>
    </row>
    <row r="358" spans="1:1" ht="29.25" x14ac:dyDescent="0.4">
      <c r="A358" s="511"/>
    </row>
    <row r="359" spans="1:1" ht="29.25" x14ac:dyDescent="0.4">
      <c r="A359" s="511"/>
    </row>
    <row r="360" spans="1:1" ht="29.25" x14ac:dyDescent="0.4">
      <c r="A360" s="511"/>
    </row>
    <row r="361" spans="1:1" ht="29.25" x14ac:dyDescent="0.4">
      <c r="A361" s="511"/>
    </row>
    <row r="362" spans="1:1" ht="29.25" x14ac:dyDescent="0.4">
      <c r="A362" s="511"/>
    </row>
    <row r="363" spans="1:1" ht="29.25" x14ac:dyDescent="0.4">
      <c r="A363" s="511"/>
    </row>
    <row r="364" spans="1:1" ht="29.25" x14ac:dyDescent="0.4">
      <c r="A364" s="511"/>
    </row>
    <row r="365" spans="1:1" ht="29.25" x14ac:dyDescent="0.4">
      <c r="A365" s="511"/>
    </row>
    <row r="366" spans="1:1" ht="29.25" x14ac:dyDescent="0.4">
      <c r="A366" s="511"/>
    </row>
    <row r="367" spans="1:1" ht="29.25" x14ac:dyDescent="0.4">
      <c r="A367" s="511"/>
    </row>
    <row r="368" spans="1:1" ht="29.25" x14ac:dyDescent="0.4">
      <c r="A368" s="511"/>
    </row>
    <row r="369" spans="1:1" ht="29.25" x14ac:dyDescent="0.4">
      <c r="A369" s="511"/>
    </row>
    <row r="370" spans="1:1" ht="29.25" x14ac:dyDescent="0.4">
      <c r="A370" s="511"/>
    </row>
    <row r="371" spans="1:1" ht="29.25" x14ac:dyDescent="0.4">
      <c r="A371" s="511"/>
    </row>
    <row r="372" spans="1:1" ht="29.25" x14ac:dyDescent="0.4">
      <c r="A372" s="511"/>
    </row>
    <row r="373" spans="1:1" ht="29.25" x14ac:dyDescent="0.4">
      <c r="A373" s="511"/>
    </row>
    <row r="374" spans="1:1" ht="29.25" x14ac:dyDescent="0.4">
      <c r="A374" s="511"/>
    </row>
    <row r="375" spans="1:1" ht="29.25" x14ac:dyDescent="0.4">
      <c r="A375" s="511"/>
    </row>
    <row r="376" spans="1:1" ht="29.25" x14ac:dyDescent="0.4">
      <c r="A376" s="511"/>
    </row>
    <row r="377" spans="1:1" ht="29.25" x14ac:dyDescent="0.4">
      <c r="A377" s="511"/>
    </row>
    <row r="378" spans="1:1" ht="29.25" x14ac:dyDescent="0.4">
      <c r="A378" s="511"/>
    </row>
    <row r="379" spans="1:1" ht="29.25" x14ac:dyDescent="0.4">
      <c r="A379" s="511"/>
    </row>
    <row r="380" spans="1:1" ht="29.25" x14ac:dyDescent="0.4">
      <c r="A380" s="511"/>
    </row>
    <row r="381" spans="1:1" ht="29.25" x14ac:dyDescent="0.4">
      <c r="A381" s="511"/>
    </row>
    <row r="382" spans="1:1" ht="29.25" x14ac:dyDescent="0.4">
      <c r="A382" s="511"/>
    </row>
    <row r="383" spans="1:1" ht="29.25" x14ac:dyDescent="0.4">
      <c r="A383" s="511"/>
    </row>
    <row r="384" spans="1:1" ht="29.25" x14ac:dyDescent="0.4">
      <c r="A384" s="511"/>
    </row>
    <row r="385" spans="1:1" ht="29.25" x14ac:dyDescent="0.4">
      <c r="A385" s="511"/>
    </row>
    <row r="386" spans="1:1" ht="29.25" x14ac:dyDescent="0.4">
      <c r="A386" s="511"/>
    </row>
    <row r="387" spans="1:1" ht="29.25" x14ac:dyDescent="0.4">
      <c r="A387" s="511"/>
    </row>
    <row r="388" spans="1:1" ht="29.25" x14ac:dyDescent="0.4">
      <c r="A388" s="511"/>
    </row>
    <row r="389" spans="1:1" ht="29.25" x14ac:dyDescent="0.4">
      <c r="A389" s="511"/>
    </row>
    <row r="390" spans="1:1" ht="29.25" x14ac:dyDescent="0.4">
      <c r="A390" s="511"/>
    </row>
    <row r="391" spans="1:1" ht="29.25" x14ac:dyDescent="0.4">
      <c r="A391" s="511"/>
    </row>
    <row r="392" spans="1:1" ht="29.25" x14ac:dyDescent="0.4">
      <c r="A392" s="511"/>
    </row>
    <row r="393" spans="1:1" ht="29.25" x14ac:dyDescent="0.4">
      <c r="A393" s="511"/>
    </row>
    <row r="394" spans="1:1" ht="29.25" x14ac:dyDescent="0.4">
      <c r="A394" s="511"/>
    </row>
    <row r="395" spans="1:1" ht="29.25" x14ac:dyDescent="0.4">
      <c r="A395" s="511"/>
    </row>
    <row r="396" spans="1:1" ht="29.25" x14ac:dyDescent="0.4">
      <c r="A396" s="511"/>
    </row>
    <row r="397" spans="1:1" ht="29.25" x14ac:dyDescent="0.4">
      <c r="A397" s="511"/>
    </row>
    <row r="398" spans="1:1" ht="29.25" x14ac:dyDescent="0.4">
      <c r="A398" s="511"/>
    </row>
    <row r="399" spans="1:1" ht="29.25" x14ac:dyDescent="0.4">
      <c r="A399" s="511"/>
    </row>
    <row r="400" spans="1:1" ht="29.25" x14ac:dyDescent="0.4">
      <c r="A400" s="511"/>
    </row>
    <row r="401" spans="1:1" ht="29.25" x14ac:dyDescent="0.4">
      <c r="A401" s="511"/>
    </row>
    <row r="402" spans="1:1" ht="29.25" x14ac:dyDescent="0.4">
      <c r="A402" s="511"/>
    </row>
    <row r="403" spans="1:1" ht="29.25" x14ac:dyDescent="0.4">
      <c r="A403" s="511"/>
    </row>
    <row r="404" spans="1:1" ht="29.25" x14ac:dyDescent="0.4">
      <c r="A404" s="511"/>
    </row>
    <row r="405" spans="1:1" ht="29.25" x14ac:dyDescent="0.4">
      <c r="A405" s="511"/>
    </row>
    <row r="406" spans="1:1" ht="29.25" x14ac:dyDescent="0.4">
      <c r="A406" s="511"/>
    </row>
    <row r="407" spans="1:1" ht="29.25" x14ac:dyDescent="0.4">
      <c r="A407" s="511"/>
    </row>
    <row r="408" spans="1:1" ht="29.25" x14ac:dyDescent="0.4">
      <c r="A408" s="511"/>
    </row>
    <row r="409" spans="1:1" ht="29.25" x14ac:dyDescent="0.4">
      <c r="A409" s="511"/>
    </row>
    <row r="410" spans="1:1" ht="29.25" x14ac:dyDescent="0.4">
      <c r="A410" s="511"/>
    </row>
    <row r="411" spans="1:1" ht="29.25" x14ac:dyDescent="0.4">
      <c r="A411" s="511"/>
    </row>
    <row r="412" spans="1:1" ht="29.25" x14ac:dyDescent="0.4">
      <c r="A412" s="511"/>
    </row>
    <row r="413" spans="1:1" ht="29.25" x14ac:dyDescent="0.4">
      <c r="A413" s="511"/>
    </row>
    <row r="414" spans="1:1" ht="29.25" x14ac:dyDescent="0.4">
      <c r="A414" s="511"/>
    </row>
    <row r="415" spans="1:1" ht="29.25" x14ac:dyDescent="0.4">
      <c r="A415" s="511"/>
    </row>
    <row r="416" spans="1:1" ht="29.25" x14ac:dyDescent="0.4">
      <c r="A416" s="511"/>
    </row>
    <row r="417" spans="1:1" ht="29.25" x14ac:dyDescent="0.4">
      <c r="A417" s="511"/>
    </row>
    <row r="418" spans="1:1" ht="29.25" x14ac:dyDescent="0.4">
      <c r="A418" s="511"/>
    </row>
    <row r="419" spans="1:1" ht="29.25" x14ac:dyDescent="0.4">
      <c r="A419" s="511"/>
    </row>
    <row r="420" spans="1:1" ht="29.25" x14ac:dyDescent="0.4">
      <c r="A420" s="511"/>
    </row>
    <row r="421" spans="1:1" ht="29.25" x14ac:dyDescent="0.4">
      <c r="A421" s="511"/>
    </row>
    <row r="422" spans="1:1" ht="29.25" x14ac:dyDescent="0.4">
      <c r="A422" s="511"/>
    </row>
    <row r="423" spans="1:1" ht="29.25" x14ac:dyDescent="0.4">
      <c r="A423" s="511"/>
    </row>
    <row r="424" spans="1:1" ht="29.25" x14ac:dyDescent="0.4">
      <c r="A424" s="511"/>
    </row>
    <row r="425" spans="1:1" ht="29.25" x14ac:dyDescent="0.4">
      <c r="A425" s="511"/>
    </row>
    <row r="426" spans="1:1" ht="29.25" x14ac:dyDescent="0.4">
      <c r="A426" s="511"/>
    </row>
    <row r="427" spans="1:1" ht="29.25" x14ac:dyDescent="0.4">
      <c r="A427" s="511"/>
    </row>
    <row r="428" spans="1:1" ht="29.25" x14ac:dyDescent="0.4">
      <c r="A428" s="511"/>
    </row>
    <row r="429" spans="1:1" ht="29.25" x14ac:dyDescent="0.4">
      <c r="A429" s="511"/>
    </row>
    <row r="430" spans="1:1" ht="29.25" x14ac:dyDescent="0.4">
      <c r="A430" s="511"/>
    </row>
    <row r="431" spans="1:1" ht="29.25" x14ac:dyDescent="0.4">
      <c r="A431" s="511"/>
    </row>
    <row r="432" spans="1:1" ht="29.25" x14ac:dyDescent="0.4">
      <c r="A432" s="511"/>
    </row>
    <row r="433" spans="1:1" ht="29.25" x14ac:dyDescent="0.4">
      <c r="A433" s="511"/>
    </row>
    <row r="434" spans="1:1" ht="29.25" x14ac:dyDescent="0.4">
      <c r="A434" s="511"/>
    </row>
    <row r="435" spans="1:1" ht="29.25" x14ac:dyDescent="0.4">
      <c r="A435" s="511"/>
    </row>
    <row r="436" spans="1:1" ht="29.25" x14ac:dyDescent="0.4">
      <c r="A436" s="511"/>
    </row>
    <row r="437" spans="1:1" ht="29.25" x14ac:dyDescent="0.4">
      <c r="A437" s="511"/>
    </row>
    <row r="438" spans="1:1" ht="29.25" x14ac:dyDescent="0.4">
      <c r="A438" s="511"/>
    </row>
    <row r="439" spans="1:1" ht="29.25" x14ac:dyDescent="0.4">
      <c r="A439" s="511"/>
    </row>
    <row r="440" spans="1:1" ht="29.25" x14ac:dyDescent="0.4">
      <c r="A440" s="511"/>
    </row>
    <row r="441" spans="1:1" ht="29.25" x14ac:dyDescent="0.4">
      <c r="A441" s="511"/>
    </row>
    <row r="442" spans="1:1" ht="29.25" x14ac:dyDescent="0.4">
      <c r="A442" s="511"/>
    </row>
    <row r="443" spans="1:1" ht="29.25" x14ac:dyDescent="0.4">
      <c r="A443" s="511"/>
    </row>
    <row r="444" spans="1:1" ht="29.25" x14ac:dyDescent="0.4">
      <c r="A444" s="511"/>
    </row>
    <row r="445" spans="1:1" ht="29.25" x14ac:dyDescent="0.4">
      <c r="A445" s="511"/>
    </row>
    <row r="446" spans="1:1" ht="29.25" x14ac:dyDescent="0.4">
      <c r="A446" s="511"/>
    </row>
    <row r="447" spans="1:1" ht="29.25" x14ac:dyDescent="0.4">
      <c r="A447" s="511"/>
    </row>
    <row r="448" spans="1:1" ht="29.25" x14ac:dyDescent="0.4">
      <c r="A448" s="511"/>
    </row>
    <row r="449" spans="1:1" ht="29.25" x14ac:dyDescent="0.4">
      <c r="A449" s="511"/>
    </row>
    <row r="450" spans="1:1" ht="29.25" x14ac:dyDescent="0.4">
      <c r="A450" s="511"/>
    </row>
    <row r="451" spans="1:1" ht="29.25" x14ac:dyDescent="0.4">
      <c r="A451" s="511"/>
    </row>
    <row r="452" spans="1:1" ht="29.25" x14ac:dyDescent="0.4">
      <c r="A452" s="511"/>
    </row>
    <row r="453" spans="1:1" ht="29.25" x14ac:dyDescent="0.4">
      <c r="A453" s="511"/>
    </row>
    <row r="454" spans="1:1" ht="29.25" x14ac:dyDescent="0.4">
      <c r="A454" s="511"/>
    </row>
    <row r="455" spans="1:1" ht="29.25" x14ac:dyDescent="0.4">
      <c r="A455" s="511"/>
    </row>
    <row r="456" spans="1:1" ht="29.25" x14ac:dyDescent="0.4">
      <c r="A456" s="511"/>
    </row>
    <row r="457" spans="1:1" ht="29.25" x14ac:dyDescent="0.4">
      <c r="A457" s="511"/>
    </row>
    <row r="458" spans="1:1" ht="29.25" x14ac:dyDescent="0.4">
      <c r="A458" s="511"/>
    </row>
    <row r="459" spans="1:1" ht="29.25" x14ac:dyDescent="0.4">
      <c r="A459" s="511"/>
    </row>
    <row r="460" spans="1:1" ht="29.25" x14ac:dyDescent="0.4">
      <c r="A460" s="511"/>
    </row>
    <row r="461" spans="1:1" ht="29.25" x14ac:dyDescent="0.4">
      <c r="A461" s="511"/>
    </row>
    <row r="462" spans="1:1" ht="29.25" x14ac:dyDescent="0.4">
      <c r="A462" s="511"/>
    </row>
    <row r="463" spans="1:1" ht="29.25" x14ac:dyDescent="0.4">
      <c r="A463" s="511"/>
    </row>
    <row r="464" spans="1:1" ht="29.25" x14ac:dyDescent="0.4">
      <c r="A464" s="511"/>
    </row>
    <row r="465" spans="1:1" ht="29.25" x14ac:dyDescent="0.4">
      <c r="A465" s="511"/>
    </row>
    <row r="466" spans="1:1" ht="29.25" x14ac:dyDescent="0.4">
      <c r="A466" s="511"/>
    </row>
    <row r="467" spans="1:1" ht="29.25" x14ac:dyDescent="0.4">
      <c r="A467" s="511"/>
    </row>
    <row r="468" spans="1:1" ht="29.25" x14ac:dyDescent="0.4">
      <c r="A468" s="511"/>
    </row>
    <row r="469" spans="1:1" ht="29.25" x14ac:dyDescent="0.4">
      <c r="A469" s="511"/>
    </row>
    <row r="470" spans="1:1" ht="29.25" x14ac:dyDescent="0.4">
      <c r="A470" s="511"/>
    </row>
    <row r="471" spans="1:1" ht="29.25" x14ac:dyDescent="0.4">
      <c r="A471" s="511"/>
    </row>
    <row r="472" spans="1:1" ht="29.25" x14ac:dyDescent="0.4">
      <c r="A472" s="511"/>
    </row>
    <row r="473" spans="1:1" ht="29.25" x14ac:dyDescent="0.4">
      <c r="A473" s="511"/>
    </row>
    <row r="474" spans="1:1" ht="29.25" x14ac:dyDescent="0.4">
      <c r="A474" s="511"/>
    </row>
    <row r="475" spans="1:1" ht="29.25" x14ac:dyDescent="0.4">
      <c r="A475" s="511"/>
    </row>
    <row r="476" spans="1:1" ht="29.25" x14ac:dyDescent="0.4">
      <c r="A476" s="511"/>
    </row>
    <row r="477" spans="1:1" ht="29.25" x14ac:dyDescent="0.4">
      <c r="A477" s="511"/>
    </row>
    <row r="478" spans="1:1" ht="29.25" x14ac:dyDescent="0.4">
      <c r="A478" s="511"/>
    </row>
    <row r="479" spans="1:1" ht="29.25" x14ac:dyDescent="0.4">
      <c r="A479" s="511"/>
    </row>
    <row r="480" spans="1:1" ht="29.25" x14ac:dyDescent="0.4">
      <c r="A480" s="511"/>
    </row>
    <row r="481" spans="1:1" ht="29.25" x14ac:dyDescent="0.4">
      <c r="A481" s="511"/>
    </row>
    <row r="482" spans="1:1" ht="29.25" x14ac:dyDescent="0.4">
      <c r="A482" s="511"/>
    </row>
    <row r="483" spans="1:1" ht="29.25" x14ac:dyDescent="0.4">
      <c r="A483" s="511"/>
    </row>
    <row r="484" spans="1:1" ht="29.25" x14ac:dyDescent="0.4">
      <c r="A484" s="511"/>
    </row>
    <row r="485" spans="1:1" ht="29.25" x14ac:dyDescent="0.4">
      <c r="A485" s="511"/>
    </row>
    <row r="486" spans="1:1" ht="29.25" x14ac:dyDescent="0.4">
      <c r="A486" s="511"/>
    </row>
    <row r="487" spans="1:1" ht="29.25" x14ac:dyDescent="0.4">
      <c r="A487" s="511"/>
    </row>
    <row r="488" spans="1:1" ht="29.25" x14ac:dyDescent="0.4">
      <c r="A488" s="511"/>
    </row>
    <row r="489" spans="1:1" ht="29.25" x14ac:dyDescent="0.4">
      <c r="A489" s="511"/>
    </row>
    <row r="490" spans="1:1" ht="29.25" x14ac:dyDescent="0.4">
      <c r="A490" s="511"/>
    </row>
    <row r="491" spans="1:1" ht="29.25" x14ac:dyDescent="0.4">
      <c r="A491" s="511"/>
    </row>
    <row r="492" spans="1:1" ht="29.25" x14ac:dyDescent="0.4">
      <c r="A492" s="511"/>
    </row>
    <row r="493" spans="1:1" ht="29.25" x14ac:dyDescent="0.4">
      <c r="A493" s="511"/>
    </row>
    <row r="494" spans="1:1" ht="29.25" x14ac:dyDescent="0.4">
      <c r="A494" s="511"/>
    </row>
    <row r="495" spans="1:1" ht="29.25" x14ac:dyDescent="0.4">
      <c r="A495" s="511"/>
    </row>
    <row r="496" spans="1:1" ht="29.25" x14ac:dyDescent="0.4">
      <c r="A496" s="511"/>
    </row>
    <row r="497" spans="1:1" ht="29.25" x14ac:dyDescent="0.4">
      <c r="A497" s="511"/>
    </row>
    <row r="498" spans="1:1" ht="29.25" x14ac:dyDescent="0.4">
      <c r="A498" s="511"/>
    </row>
    <row r="499" spans="1:1" ht="29.25" x14ac:dyDescent="0.4">
      <c r="A499" s="511"/>
    </row>
    <row r="500" spans="1:1" ht="29.25" x14ac:dyDescent="0.4">
      <c r="A500" s="511"/>
    </row>
    <row r="501" spans="1:1" ht="29.25" x14ac:dyDescent="0.4">
      <c r="A501" s="511"/>
    </row>
    <row r="502" spans="1:1" ht="29.25" x14ac:dyDescent="0.4">
      <c r="A502" s="511"/>
    </row>
    <row r="503" spans="1:1" ht="29.25" x14ac:dyDescent="0.4">
      <c r="A503" s="511"/>
    </row>
    <row r="504" spans="1:1" ht="29.25" x14ac:dyDescent="0.4">
      <c r="A504" s="511"/>
    </row>
    <row r="505" spans="1:1" ht="29.25" x14ac:dyDescent="0.4">
      <c r="A505" s="511"/>
    </row>
    <row r="506" spans="1:1" ht="29.25" x14ac:dyDescent="0.4">
      <c r="A506" s="511"/>
    </row>
    <row r="507" spans="1:1" ht="29.25" x14ac:dyDescent="0.4">
      <c r="A507" s="511"/>
    </row>
    <row r="508" spans="1:1" ht="29.25" x14ac:dyDescent="0.4">
      <c r="A508" s="511"/>
    </row>
    <row r="509" spans="1:1" ht="29.25" x14ac:dyDescent="0.4">
      <c r="A509" s="511"/>
    </row>
    <row r="510" spans="1:1" ht="29.25" x14ac:dyDescent="0.4">
      <c r="A510" s="511"/>
    </row>
    <row r="511" spans="1:1" ht="29.25" x14ac:dyDescent="0.4">
      <c r="A511" s="511"/>
    </row>
    <row r="512" spans="1:1" ht="29.25" x14ac:dyDescent="0.4">
      <c r="A512" s="511"/>
    </row>
    <row r="513" spans="1:1" ht="29.25" x14ac:dyDescent="0.4">
      <c r="A513" s="511"/>
    </row>
    <row r="514" spans="1:1" ht="29.25" x14ac:dyDescent="0.4">
      <c r="A514" s="511"/>
    </row>
    <row r="515" spans="1:1" ht="29.25" x14ac:dyDescent="0.4">
      <c r="A515" s="511"/>
    </row>
    <row r="516" spans="1:1" ht="29.25" x14ac:dyDescent="0.4">
      <c r="A516" s="511"/>
    </row>
    <row r="517" spans="1:1" ht="29.25" x14ac:dyDescent="0.4">
      <c r="A517" s="511"/>
    </row>
    <row r="518" spans="1:1" ht="29.25" x14ac:dyDescent="0.4">
      <c r="A518" s="511"/>
    </row>
    <row r="519" spans="1:1" ht="29.25" x14ac:dyDescent="0.4">
      <c r="A519" s="511"/>
    </row>
    <row r="520" spans="1:1" ht="29.25" x14ac:dyDescent="0.4">
      <c r="A520" s="511"/>
    </row>
    <row r="521" spans="1:1" ht="29.25" x14ac:dyDescent="0.4">
      <c r="A521" s="511"/>
    </row>
    <row r="522" spans="1:1" ht="29.25" x14ac:dyDescent="0.4">
      <c r="A522" s="511"/>
    </row>
    <row r="523" spans="1:1" ht="29.25" x14ac:dyDescent="0.4">
      <c r="A523" s="511"/>
    </row>
    <row r="524" spans="1:1" ht="29.25" x14ac:dyDescent="0.4">
      <c r="A524" s="511"/>
    </row>
    <row r="525" spans="1:1" ht="29.25" x14ac:dyDescent="0.4">
      <c r="A525" s="511"/>
    </row>
    <row r="526" spans="1:1" ht="29.25" x14ac:dyDescent="0.4">
      <c r="A526" s="511"/>
    </row>
    <row r="527" spans="1:1" ht="29.25" x14ac:dyDescent="0.4">
      <c r="A527" s="511"/>
    </row>
    <row r="528" spans="1:1" ht="29.25" x14ac:dyDescent="0.4">
      <c r="A528" s="511"/>
    </row>
    <row r="529" spans="1:1" ht="29.25" x14ac:dyDescent="0.4">
      <c r="A529" s="511"/>
    </row>
    <row r="530" spans="1:1" ht="29.25" x14ac:dyDescent="0.4">
      <c r="A530" s="511"/>
    </row>
    <row r="531" spans="1:1" ht="29.25" x14ac:dyDescent="0.4">
      <c r="A531" s="511"/>
    </row>
    <row r="532" spans="1:1" ht="29.25" x14ac:dyDescent="0.4">
      <c r="A532" s="511"/>
    </row>
    <row r="533" spans="1:1" ht="29.25" x14ac:dyDescent="0.4">
      <c r="A533" s="511"/>
    </row>
    <row r="534" spans="1:1" ht="29.25" x14ac:dyDescent="0.4">
      <c r="A534" s="511"/>
    </row>
    <row r="535" spans="1:1" ht="29.25" x14ac:dyDescent="0.4">
      <c r="A535" s="511"/>
    </row>
    <row r="536" spans="1:1" ht="29.25" x14ac:dyDescent="0.4">
      <c r="A536" s="511"/>
    </row>
    <row r="537" spans="1:1" ht="29.25" x14ac:dyDescent="0.4">
      <c r="A537" s="511"/>
    </row>
    <row r="538" spans="1:1" ht="29.25" x14ac:dyDescent="0.4">
      <c r="A538" s="511"/>
    </row>
    <row r="539" spans="1:1" ht="29.25" x14ac:dyDescent="0.4">
      <c r="A539" s="511"/>
    </row>
    <row r="540" spans="1:1" ht="29.25" x14ac:dyDescent="0.4">
      <c r="A540" s="511"/>
    </row>
    <row r="541" spans="1:1" ht="29.25" x14ac:dyDescent="0.4">
      <c r="A541" s="511"/>
    </row>
    <row r="542" spans="1:1" ht="29.25" x14ac:dyDescent="0.4">
      <c r="A542" s="511"/>
    </row>
    <row r="543" spans="1:1" ht="29.25" x14ac:dyDescent="0.4">
      <c r="A543" s="511"/>
    </row>
    <row r="544" spans="1:1" ht="29.25" x14ac:dyDescent="0.4">
      <c r="A544" s="511"/>
    </row>
    <row r="545" spans="1:1" ht="29.25" x14ac:dyDescent="0.4">
      <c r="A545" s="511"/>
    </row>
    <row r="546" spans="1:1" ht="29.25" x14ac:dyDescent="0.4">
      <c r="A546" s="511"/>
    </row>
    <row r="547" spans="1:1" ht="29.25" x14ac:dyDescent="0.4">
      <c r="A547" s="511"/>
    </row>
    <row r="548" spans="1:1" ht="29.25" x14ac:dyDescent="0.4">
      <c r="A548" s="511"/>
    </row>
    <row r="549" spans="1:1" ht="29.25" x14ac:dyDescent="0.4">
      <c r="A549" s="511"/>
    </row>
    <row r="550" spans="1:1" ht="29.25" x14ac:dyDescent="0.4">
      <c r="A550" s="511"/>
    </row>
    <row r="551" spans="1:1" ht="29.25" x14ac:dyDescent="0.4">
      <c r="A551" s="511"/>
    </row>
    <row r="552" spans="1:1" ht="29.25" x14ac:dyDescent="0.4">
      <c r="A552" s="511"/>
    </row>
    <row r="553" spans="1:1" ht="29.25" x14ac:dyDescent="0.4">
      <c r="A553" s="511"/>
    </row>
    <row r="554" spans="1:1" ht="29.25" x14ac:dyDescent="0.4">
      <c r="A554" s="511"/>
    </row>
    <row r="555" spans="1:1" ht="29.25" x14ac:dyDescent="0.4">
      <c r="A555" s="511"/>
    </row>
    <row r="556" spans="1:1" ht="29.25" x14ac:dyDescent="0.4">
      <c r="A556" s="511"/>
    </row>
    <row r="557" spans="1:1" ht="29.25" x14ac:dyDescent="0.4">
      <c r="A557" s="511"/>
    </row>
    <row r="558" spans="1:1" ht="29.25" x14ac:dyDescent="0.4">
      <c r="A558" s="511"/>
    </row>
    <row r="559" spans="1:1" ht="29.25" x14ac:dyDescent="0.4">
      <c r="A559" s="511"/>
    </row>
    <row r="560" spans="1:1" ht="29.25" x14ac:dyDescent="0.4">
      <c r="A560" s="511"/>
    </row>
    <row r="561" spans="1:1" ht="29.25" x14ac:dyDescent="0.4">
      <c r="A561" s="511"/>
    </row>
    <row r="562" spans="1:1" ht="29.25" x14ac:dyDescent="0.4">
      <c r="A562" s="511"/>
    </row>
    <row r="563" spans="1:1" ht="29.25" x14ac:dyDescent="0.4">
      <c r="A563" s="511"/>
    </row>
    <row r="564" spans="1:1" ht="29.25" x14ac:dyDescent="0.4">
      <c r="A564" s="511"/>
    </row>
    <row r="565" spans="1:1" ht="29.25" x14ac:dyDescent="0.4">
      <c r="A565" s="511"/>
    </row>
    <row r="566" spans="1:1" ht="29.25" x14ac:dyDescent="0.4">
      <c r="A566" s="511"/>
    </row>
    <row r="567" spans="1:1" ht="29.25" x14ac:dyDescent="0.4">
      <c r="A567" s="511"/>
    </row>
    <row r="568" spans="1:1" ht="29.25" x14ac:dyDescent="0.4">
      <c r="A568" s="511"/>
    </row>
    <row r="569" spans="1:1" ht="29.25" x14ac:dyDescent="0.4">
      <c r="A569" s="511"/>
    </row>
    <row r="570" spans="1:1" ht="29.25" x14ac:dyDescent="0.4">
      <c r="A570" s="511"/>
    </row>
    <row r="571" spans="1:1" ht="29.25" x14ac:dyDescent="0.4">
      <c r="A571" s="511"/>
    </row>
    <row r="572" spans="1:1" ht="29.25" x14ac:dyDescent="0.4">
      <c r="A572" s="511"/>
    </row>
    <row r="573" spans="1:1" ht="29.25" x14ac:dyDescent="0.4">
      <c r="A573" s="511"/>
    </row>
    <row r="574" spans="1:1" ht="29.25" x14ac:dyDescent="0.4">
      <c r="A574" s="511"/>
    </row>
    <row r="575" spans="1:1" ht="29.25" x14ac:dyDescent="0.4">
      <c r="A575" s="511"/>
    </row>
    <row r="576" spans="1:1" ht="29.25" x14ac:dyDescent="0.4">
      <c r="A576" s="511"/>
    </row>
    <row r="577" spans="1:1" ht="29.25" x14ac:dyDescent="0.4">
      <c r="A577" s="511"/>
    </row>
    <row r="578" spans="1:1" ht="29.25" x14ac:dyDescent="0.4">
      <c r="A578" s="511"/>
    </row>
    <row r="579" spans="1:1" ht="29.25" x14ac:dyDescent="0.4">
      <c r="A579" s="511"/>
    </row>
    <row r="580" spans="1:1" ht="29.25" x14ac:dyDescent="0.4">
      <c r="A580" s="511"/>
    </row>
    <row r="581" spans="1:1" ht="29.25" x14ac:dyDescent="0.4">
      <c r="A581" s="511"/>
    </row>
    <row r="582" spans="1:1" ht="29.25" x14ac:dyDescent="0.4">
      <c r="A582" s="511"/>
    </row>
    <row r="583" spans="1:1" ht="29.25" x14ac:dyDescent="0.4">
      <c r="A583" s="511"/>
    </row>
    <row r="584" spans="1:1" ht="29.25" x14ac:dyDescent="0.4">
      <c r="A584" s="511"/>
    </row>
    <row r="585" spans="1:1" ht="29.25" x14ac:dyDescent="0.4">
      <c r="A585" s="511"/>
    </row>
    <row r="586" spans="1:1" ht="29.25" x14ac:dyDescent="0.4">
      <c r="A586" s="511"/>
    </row>
    <row r="587" spans="1:1" ht="29.25" x14ac:dyDescent="0.4">
      <c r="A587" s="511"/>
    </row>
    <row r="588" spans="1:1" ht="29.25" x14ac:dyDescent="0.4">
      <c r="A588" s="511"/>
    </row>
    <row r="589" spans="1:1" ht="29.25" x14ac:dyDescent="0.4">
      <c r="A589" s="511"/>
    </row>
    <row r="590" spans="1:1" ht="29.25" x14ac:dyDescent="0.4">
      <c r="A590" s="511"/>
    </row>
    <row r="591" spans="1:1" ht="29.25" x14ac:dyDescent="0.4">
      <c r="A591" s="511"/>
    </row>
    <row r="592" spans="1:1" ht="29.25" x14ac:dyDescent="0.4">
      <c r="A592" s="511"/>
    </row>
    <row r="593" spans="1:1" ht="29.25" x14ac:dyDescent="0.4">
      <c r="A593" s="511"/>
    </row>
    <row r="594" spans="1:1" ht="29.25" x14ac:dyDescent="0.4">
      <c r="A594" s="511"/>
    </row>
    <row r="595" spans="1:1" ht="29.25" x14ac:dyDescent="0.4">
      <c r="A595" s="511"/>
    </row>
    <row r="596" spans="1:1" ht="29.25" x14ac:dyDescent="0.4">
      <c r="A596" s="511"/>
    </row>
    <row r="597" spans="1:1" ht="29.25" x14ac:dyDescent="0.4">
      <c r="A597" s="511"/>
    </row>
    <row r="598" spans="1:1" ht="29.25" x14ac:dyDescent="0.4">
      <c r="A598" s="511"/>
    </row>
    <row r="599" spans="1:1" ht="29.25" x14ac:dyDescent="0.4">
      <c r="A599" s="511"/>
    </row>
    <row r="600" spans="1:1" ht="29.25" x14ac:dyDescent="0.4">
      <c r="A600" s="511"/>
    </row>
    <row r="601" spans="1:1" ht="29.25" x14ac:dyDescent="0.4">
      <c r="A601" s="511"/>
    </row>
    <row r="602" spans="1:1" ht="29.25" x14ac:dyDescent="0.4">
      <c r="A602" s="511"/>
    </row>
    <row r="603" spans="1:1" ht="29.25" x14ac:dyDescent="0.4">
      <c r="A603" s="511"/>
    </row>
    <row r="604" spans="1:1" ht="29.25" x14ac:dyDescent="0.4">
      <c r="A604" s="511"/>
    </row>
    <row r="605" spans="1:1" ht="29.25" x14ac:dyDescent="0.4">
      <c r="A605" s="511"/>
    </row>
    <row r="606" spans="1:1" ht="29.25" x14ac:dyDescent="0.4">
      <c r="A606" s="511"/>
    </row>
    <row r="607" spans="1:1" ht="29.25" x14ac:dyDescent="0.4">
      <c r="A607" s="511"/>
    </row>
    <row r="608" spans="1:1" ht="29.25" x14ac:dyDescent="0.4">
      <c r="A608" s="511"/>
    </row>
    <row r="609" spans="1:1" ht="29.25" x14ac:dyDescent="0.4">
      <c r="A609" s="511"/>
    </row>
    <row r="610" spans="1:1" ht="29.25" x14ac:dyDescent="0.4">
      <c r="A610" s="511"/>
    </row>
    <row r="611" spans="1:1" ht="29.25" x14ac:dyDescent="0.4">
      <c r="A611" s="511"/>
    </row>
    <row r="612" spans="1:1" ht="29.25" x14ac:dyDescent="0.4">
      <c r="A612" s="511"/>
    </row>
    <row r="613" spans="1:1" ht="29.25" x14ac:dyDescent="0.4">
      <c r="A613" s="511"/>
    </row>
    <row r="614" spans="1:1" ht="29.25" x14ac:dyDescent="0.4">
      <c r="A614" s="511"/>
    </row>
    <row r="615" spans="1:1" ht="29.25" x14ac:dyDescent="0.4">
      <c r="A615" s="511"/>
    </row>
    <row r="616" spans="1:1" ht="29.25" x14ac:dyDescent="0.4">
      <c r="A616" s="511"/>
    </row>
    <row r="617" spans="1:1" ht="29.25" x14ac:dyDescent="0.4">
      <c r="A617" s="511"/>
    </row>
    <row r="618" spans="1:1" ht="29.25" x14ac:dyDescent="0.4">
      <c r="A618" s="511"/>
    </row>
    <row r="619" spans="1:1" ht="29.25" x14ac:dyDescent="0.4">
      <c r="A619" s="511"/>
    </row>
    <row r="620" spans="1:1" ht="29.25" x14ac:dyDescent="0.4">
      <c r="A620" s="511"/>
    </row>
    <row r="621" spans="1:1" ht="29.25" x14ac:dyDescent="0.4">
      <c r="A621" s="511"/>
    </row>
    <row r="622" spans="1:1" ht="29.25" x14ac:dyDescent="0.4">
      <c r="A622" s="511"/>
    </row>
    <row r="623" spans="1:1" ht="29.25" x14ac:dyDescent="0.4">
      <c r="A623" s="511"/>
    </row>
    <row r="624" spans="1:1" ht="29.25" x14ac:dyDescent="0.4">
      <c r="A624" s="511"/>
    </row>
    <row r="625" spans="1:1" ht="29.25" x14ac:dyDescent="0.4">
      <c r="A625" s="511"/>
    </row>
    <row r="626" spans="1:1" ht="29.25" x14ac:dyDescent="0.4">
      <c r="A626" s="511"/>
    </row>
    <row r="627" spans="1:1" ht="29.25" x14ac:dyDescent="0.4">
      <c r="A627" s="511"/>
    </row>
    <row r="628" spans="1:1" ht="29.25" x14ac:dyDescent="0.4">
      <c r="A628" s="511"/>
    </row>
    <row r="629" spans="1:1" ht="29.25" x14ac:dyDescent="0.4">
      <c r="A629" s="511"/>
    </row>
    <row r="630" spans="1:1" ht="29.25" x14ac:dyDescent="0.4">
      <c r="A630" s="511"/>
    </row>
    <row r="631" spans="1:1" ht="29.25" x14ac:dyDescent="0.4">
      <c r="A631" s="511"/>
    </row>
    <row r="632" spans="1:1" ht="29.25" x14ac:dyDescent="0.4">
      <c r="A632" s="511"/>
    </row>
    <row r="633" spans="1:1" ht="29.25" x14ac:dyDescent="0.4">
      <c r="A633" s="511"/>
    </row>
    <row r="634" spans="1:1" ht="29.25" x14ac:dyDescent="0.4">
      <c r="A634" s="511"/>
    </row>
    <row r="635" spans="1:1" ht="29.25" x14ac:dyDescent="0.4">
      <c r="A635" s="511"/>
    </row>
    <row r="636" spans="1:1" ht="29.25" x14ac:dyDescent="0.4">
      <c r="A636" s="511"/>
    </row>
    <row r="637" spans="1:1" ht="29.25" x14ac:dyDescent="0.4">
      <c r="A637" s="511"/>
    </row>
    <row r="638" spans="1:1" ht="29.25" x14ac:dyDescent="0.4">
      <c r="A638" s="511"/>
    </row>
    <row r="639" spans="1:1" ht="29.25" x14ac:dyDescent="0.4">
      <c r="A639" s="511"/>
    </row>
    <row r="640" spans="1:1" ht="29.25" x14ac:dyDescent="0.4">
      <c r="A640" s="511"/>
    </row>
    <row r="641" spans="1:1" ht="29.25" x14ac:dyDescent="0.4">
      <c r="A641" s="511"/>
    </row>
    <row r="642" spans="1:1" ht="29.25" x14ac:dyDescent="0.4">
      <c r="A642" s="511"/>
    </row>
    <row r="643" spans="1:1" ht="29.25" x14ac:dyDescent="0.4">
      <c r="A643" s="511"/>
    </row>
    <row r="644" spans="1:1" ht="29.25" x14ac:dyDescent="0.4">
      <c r="A644" s="511"/>
    </row>
    <row r="645" spans="1:1" ht="29.25" x14ac:dyDescent="0.4">
      <c r="A645" s="511"/>
    </row>
    <row r="646" spans="1:1" ht="29.25" x14ac:dyDescent="0.4">
      <c r="A646" s="511"/>
    </row>
    <row r="647" spans="1:1" ht="29.25" x14ac:dyDescent="0.4">
      <c r="A647" s="511"/>
    </row>
    <row r="648" spans="1:1" ht="29.25" x14ac:dyDescent="0.4">
      <c r="A648" s="511"/>
    </row>
    <row r="649" spans="1:1" ht="29.25" x14ac:dyDescent="0.4">
      <c r="A649" s="511"/>
    </row>
    <row r="650" spans="1:1" ht="29.25" x14ac:dyDescent="0.4">
      <c r="A650" s="511"/>
    </row>
    <row r="651" spans="1:1" ht="29.25" x14ac:dyDescent="0.4">
      <c r="A651" s="511"/>
    </row>
    <row r="652" spans="1:1" ht="29.25" x14ac:dyDescent="0.4">
      <c r="A652" s="511"/>
    </row>
    <row r="653" spans="1:1" ht="29.25" x14ac:dyDescent="0.4">
      <c r="A653" s="511"/>
    </row>
    <row r="654" spans="1:1" ht="29.25" x14ac:dyDescent="0.4">
      <c r="A654" s="511"/>
    </row>
    <row r="655" spans="1:1" ht="29.25" x14ac:dyDescent="0.4">
      <c r="A655" s="511"/>
    </row>
    <row r="656" spans="1:1" ht="29.25" x14ac:dyDescent="0.4">
      <c r="A656" s="511"/>
    </row>
    <row r="657" spans="1:1" ht="29.25" x14ac:dyDescent="0.4">
      <c r="A657" s="511"/>
    </row>
    <row r="658" spans="1:1" ht="29.25" x14ac:dyDescent="0.4">
      <c r="A658" s="511"/>
    </row>
    <row r="659" spans="1:1" ht="29.25" x14ac:dyDescent="0.4">
      <c r="A659" s="511"/>
    </row>
    <row r="660" spans="1:1" ht="29.25" x14ac:dyDescent="0.4">
      <c r="A660" s="511"/>
    </row>
    <row r="661" spans="1:1" ht="29.25" x14ac:dyDescent="0.4">
      <c r="A661" s="511"/>
    </row>
    <row r="662" spans="1:1" ht="29.25" x14ac:dyDescent="0.4">
      <c r="A662" s="511"/>
    </row>
    <row r="663" spans="1:1" ht="29.25" x14ac:dyDescent="0.4">
      <c r="A663" s="511"/>
    </row>
    <row r="664" spans="1:1" ht="29.25" x14ac:dyDescent="0.4">
      <c r="A664" s="511"/>
    </row>
    <row r="665" spans="1:1" ht="29.25" x14ac:dyDescent="0.4">
      <c r="A665" s="511"/>
    </row>
    <row r="666" spans="1:1" ht="29.25" x14ac:dyDescent="0.4">
      <c r="A666" s="511"/>
    </row>
    <row r="667" spans="1:1" ht="29.25" x14ac:dyDescent="0.4">
      <c r="A667" s="511"/>
    </row>
    <row r="668" spans="1:1" ht="29.25" x14ac:dyDescent="0.4">
      <c r="A668" s="511"/>
    </row>
    <row r="669" spans="1:1" ht="29.25" x14ac:dyDescent="0.4">
      <c r="A669" s="511"/>
    </row>
    <row r="670" spans="1:1" ht="29.25" x14ac:dyDescent="0.4">
      <c r="A670" s="511"/>
    </row>
    <row r="671" spans="1:1" ht="29.25" x14ac:dyDescent="0.4">
      <c r="A671" s="511"/>
    </row>
    <row r="672" spans="1:1" ht="29.25" x14ac:dyDescent="0.4">
      <c r="A672" s="511"/>
    </row>
    <row r="673" spans="1:1" ht="29.25" x14ac:dyDescent="0.4">
      <c r="A673" s="511"/>
    </row>
    <row r="674" spans="1:1" ht="29.25" x14ac:dyDescent="0.4">
      <c r="A674" s="511"/>
    </row>
    <row r="675" spans="1:1" ht="29.25" x14ac:dyDescent="0.4">
      <c r="A675" s="511"/>
    </row>
    <row r="676" spans="1:1" ht="29.25" x14ac:dyDescent="0.4">
      <c r="A676" s="511"/>
    </row>
    <row r="677" spans="1:1" ht="29.25" x14ac:dyDescent="0.4">
      <c r="A677" s="511"/>
    </row>
    <row r="678" spans="1:1" ht="29.25" x14ac:dyDescent="0.4">
      <c r="A678" s="511"/>
    </row>
    <row r="679" spans="1:1" ht="29.25" x14ac:dyDescent="0.4">
      <c r="A679" s="511"/>
    </row>
    <row r="680" spans="1:1" ht="29.25" x14ac:dyDescent="0.4">
      <c r="A680" s="511"/>
    </row>
    <row r="681" spans="1:1" ht="29.25" x14ac:dyDescent="0.4">
      <c r="A681" s="511"/>
    </row>
    <row r="682" spans="1:1" ht="29.25" x14ac:dyDescent="0.4">
      <c r="A682" s="511"/>
    </row>
    <row r="683" spans="1:1" ht="29.25" x14ac:dyDescent="0.4">
      <c r="A683" s="511"/>
    </row>
    <row r="684" spans="1:1" ht="29.25" x14ac:dyDescent="0.4">
      <c r="A684" s="511"/>
    </row>
    <row r="685" spans="1:1" ht="29.25" x14ac:dyDescent="0.4">
      <c r="A685" s="511"/>
    </row>
    <row r="686" spans="1:1" ht="29.25" x14ac:dyDescent="0.4">
      <c r="A686" s="511"/>
    </row>
    <row r="687" spans="1:1" ht="29.25" x14ac:dyDescent="0.4">
      <c r="A687" s="511"/>
    </row>
    <row r="688" spans="1:1" ht="29.25" x14ac:dyDescent="0.4">
      <c r="A688" s="511"/>
    </row>
    <row r="689" spans="1:1" ht="29.25" x14ac:dyDescent="0.4">
      <c r="A689" s="511"/>
    </row>
    <row r="690" spans="1:1" ht="29.25" x14ac:dyDescent="0.4">
      <c r="A690" s="511"/>
    </row>
    <row r="691" spans="1:1" ht="29.25" x14ac:dyDescent="0.4">
      <c r="A691" s="511"/>
    </row>
    <row r="692" spans="1:1" ht="29.25" x14ac:dyDescent="0.4">
      <c r="A692" s="511"/>
    </row>
    <row r="693" spans="1:1" ht="29.25" x14ac:dyDescent="0.4">
      <c r="A693" s="511"/>
    </row>
    <row r="694" spans="1:1" ht="29.25" x14ac:dyDescent="0.4">
      <c r="A694" s="511"/>
    </row>
    <row r="695" spans="1:1" ht="29.25" x14ac:dyDescent="0.4">
      <c r="A695" s="511"/>
    </row>
    <row r="696" spans="1:1" ht="29.25" x14ac:dyDescent="0.4">
      <c r="A696" s="511"/>
    </row>
    <row r="697" spans="1:1" ht="29.25" x14ac:dyDescent="0.4">
      <c r="A697" s="511"/>
    </row>
    <row r="698" spans="1:1" ht="29.25" x14ac:dyDescent="0.4">
      <c r="A698" s="511"/>
    </row>
    <row r="699" spans="1:1" ht="29.25" x14ac:dyDescent="0.4">
      <c r="A699" s="511"/>
    </row>
    <row r="700" spans="1:1" ht="29.25" x14ac:dyDescent="0.4">
      <c r="A700" s="511"/>
    </row>
    <row r="701" spans="1:1" ht="29.25" x14ac:dyDescent="0.4">
      <c r="A701" s="511"/>
    </row>
    <row r="702" spans="1:1" ht="29.25" x14ac:dyDescent="0.4">
      <c r="A702" s="511"/>
    </row>
    <row r="703" spans="1:1" ht="29.25" x14ac:dyDescent="0.4">
      <c r="A703" s="511"/>
    </row>
    <row r="704" spans="1:1" ht="29.25" x14ac:dyDescent="0.4">
      <c r="A704" s="511"/>
    </row>
    <row r="705" spans="1:1" ht="29.25" x14ac:dyDescent="0.4">
      <c r="A705" s="511"/>
    </row>
    <row r="706" spans="1:1" ht="29.25" x14ac:dyDescent="0.4">
      <c r="A706" s="511"/>
    </row>
    <row r="707" spans="1:1" ht="29.25" x14ac:dyDescent="0.4">
      <c r="A707" s="511"/>
    </row>
    <row r="708" spans="1:1" ht="29.25" x14ac:dyDescent="0.4">
      <c r="A708" s="511"/>
    </row>
    <row r="709" spans="1:1" ht="29.25" x14ac:dyDescent="0.4">
      <c r="A709" s="511"/>
    </row>
    <row r="710" spans="1:1" ht="29.25" x14ac:dyDescent="0.4">
      <c r="A710" s="511"/>
    </row>
    <row r="711" spans="1:1" ht="29.25" x14ac:dyDescent="0.4">
      <c r="A711" s="511"/>
    </row>
    <row r="712" spans="1:1" ht="29.25" x14ac:dyDescent="0.4">
      <c r="A712" s="511"/>
    </row>
    <row r="713" spans="1:1" ht="29.25" x14ac:dyDescent="0.4">
      <c r="A713" s="511"/>
    </row>
    <row r="714" spans="1:1" ht="29.25" x14ac:dyDescent="0.4">
      <c r="A714" s="511"/>
    </row>
    <row r="715" spans="1:1" ht="29.25" x14ac:dyDescent="0.4">
      <c r="A715" s="511"/>
    </row>
    <row r="716" spans="1:1" ht="29.25" x14ac:dyDescent="0.4">
      <c r="A716" s="511"/>
    </row>
    <row r="717" spans="1:1" ht="29.25" x14ac:dyDescent="0.4">
      <c r="A717" s="511"/>
    </row>
    <row r="718" spans="1:1" ht="29.25" x14ac:dyDescent="0.4">
      <c r="A718" s="511"/>
    </row>
    <row r="719" spans="1:1" ht="29.25" x14ac:dyDescent="0.4">
      <c r="A719" s="511"/>
    </row>
    <row r="720" spans="1:1" ht="29.25" x14ac:dyDescent="0.4">
      <c r="A720" s="511"/>
    </row>
    <row r="721" spans="1:1" ht="29.25" x14ac:dyDescent="0.4">
      <c r="A721" s="511"/>
    </row>
    <row r="722" spans="1:1" ht="29.25" x14ac:dyDescent="0.4">
      <c r="A722" s="511"/>
    </row>
    <row r="723" spans="1:1" ht="29.25" x14ac:dyDescent="0.4">
      <c r="A723" s="511"/>
    </row>
    <row r="724" spans="1:1" ht="29.25" x14ac:dyDescent="0.4">
      <c r="A724" s="511"/>
    </row>
    <row r="725" spans="1:1" ht="29.25" x14ac:dyDescent="0.4">
      <c r="A725" s="511"/>
    </row>
    <row r="726" spans="1:1" ht="29.25" x14ac:dyDescent="0.4">
      <c r="A726" s="511"/>
    </row>
    <row r="727" spans="1:1" ht="29.25" x14ac:dyDescent="0.4">
      <c r="A727" s="511"/>
    </row>
    <row r="728" spans="1:1" ht="29.25" x14ac:dyDescent="0.4">
      <c r="A728" s="511"/>
    </row>
    <row r="729" spans="1:1" ht="29.25" x14ac:dyDescent="0.4">
      <c r="A729" s="511"/>
    </row>
    <row r="730" spans="1:1" ht="29.25" x14ac:dyDescent="0.4">
      <c r="A730" s="511"/>
    </row>
    <row r="731" spans="1:1" ht="29.25" x14ac:dyDescent="0.4">
      <c r="A731" s="511"/>
    </row>
    <row r="732" spans="1:1" ht="29.25" x14ac:dyDescent="0.4">
      <c r="A732" s="511"/>
    </row>
    <row r="733" spans="1:1" ht="29.25" x14ac:dyDescent="0.4">
      <c r="A733" s="511"/>
    </row>
    <row r="734" spans="1:1" ht="29.25" x14ac:dyDescent="0.4">
      <c r="A734" s="511"/>
    </row>
    <row r="735" spans="1:1" ht="29.25" x14ac:dyDescent="0.4">
      <c r="A735" s="511"/>
    </row>
    <row r="736" spans="1:1" ht="29.25" x14ac:dyDescent="0.4">
      <c r="A736" s="511"/>
    </row>
    <row r="737" spans="1:1" ht="29.25" x14ac:dyDescent="0.4">
      <c r="A737" s="511"/>
    </row>
    <row r="738" spans="1:1" ht="29.25" x14ac:dyDescent="0.4">
      <c r="A738" s="511"/>
    </row>
    <row r="739" spans="1:1" ht="29.25" x14ac:dyDescent="0.4">
      <c r="A739" s="511"/>
    </row>
    <row r="740" spans="1:1" ht="29.25" x14ac:dyDescent="0.4">
      <c r="A740" s="511"/>
    </row>
    <row r="741" spans="1:1" ht="29.25" x14ac:dyDescent="0.4">
      <c r="A741" s="511"/>
    </row>
    <row r="742" spans="1:1" ht="29.25" x14ac:dyDescent="0.4">
      <c r="A742" s="511"/>
    </row>
    <row r="743" spans="1:1" ht="29.25" x14ac:dyDescent="0.4">
      <c r="A743" s="511"/>
    </row>
    <row r="744" spans="1:1" ht="29.25" x14ac:dyDescent="0.4">
      <c r="A744" s="511"/>
    </row>
    <row r="745" spans="1:1" ht="29.25" x14ac:dyDescent="0.4">
      <c r="A745" s="511"/>
    </row>
    <row r="746" spans="1:1" ht="29.25" x14ac:dyDescent="0.4">
      <c r="A746" s="511"/>
    </row>
    <row r="747" spans="1:1" ht="29.25" x14ac:dyDescent="0.4">
      <c r="A747" s="511"/>
    </row>
    <row r="748" spans="1:1" ht="29.25" x14ac:dyDescent="0.4">
      <c r="A748" s="511"/>
    </row>
    <row r="749" spans="1:1" ht="29.25" x14ac:dyDescent="0.4">
      <c r="A749" s="511"/>
    </row>
    <row r="750" spans="1:1" ht="29.25" x14ac:dyDescent="0.4">
      <c r="A750" s="511"/>
    </row>
    <row r="751" spans="1:1" ht="29.25" x14ac:dyDescent="0.4">
      <c r="A751" s="511"/>
    </row>
    <row r="752" spans="1:1" ht="29.25" x14ac:dyDescent="0.4">
      <c r="A752" s="511"/>
    </row>
    <row r="753" spans="1:1" ht="29.25" x14ac:dyDescent="0.4">
      <c r="A753" s="511"/>
    </row>
    <row r="754" spans="1:1" ht="29.25" x14ac:dyDescent="0.4">
      <c r="A754" s="511"/>
    </row>
    <row r="755" spans="1:1" ht="29.25" x14ac:dyDescent="0.4">
      <c r="A755" s="511"/>
    </row>
    <row r="756" spans="1:1" ht="29.25" x14ac:dyDescent="0.4">
      <c r="A756" s="511"/>
    </row>
    <row r="757" spans="1:1" ht="29.25" x14ac:dyDescent="0.4">
      <c r="A757" s="511"/>
    </row>
    <row r="758" spans="1:1" ht="29.25" x14ac:dyDescent="0.4">
      <c r="A758" s="511"/>
    </row>
    <row r="759" spans="1:1" ht="29.25" x14ac:dyDescent="0.4">
      <c r="A759" s="511"/>
    </row>
    <row r="760" spans="1:1" ht="29.25" x14ac:dyDescent="0.4">
      <c r="A760" s="511"/>
    </row>
    <row r="761" spans="1:1" ht="29.25" x14ac:dyDescent="0.4">
      <c r="A761" s="511"/>
    </row>
    <row r="762" spans="1:1" ht="29.25" x14ac:dyDescent="0.4">
      <c r="A762" s="511"/>
    </row>
    <row r="763" spans="1:1" ht="29.25" x14ac:dyDescent="0.4">
      <c r="A763" s="511"/>
    </row>
    <row r="764" spans="1:1" ht="29.25" x14ac:dyDescent="0.4">
      <c r="A764" s="511"/>
    </row>
    <row r="765" spans="1:1" ht="29.25" x14ac:dyDescent="0.4">
      <c r="A765" s="511"/>
    </row>
    <row r="766" spans="1:1" ht="29.25" x14ac:dyDescent="0.4">
      <c r="A766" s="511"/>
    </row>
    <row r="767" spans="1:1" ht="29.25" x14ac:dyDescent="0.4">
      <c r="A767" s="511"/>
    </row>
    <row r="768" spans="1:1" ht="29.25" x14ac:dyDescent="0.4">
      <c r="A768" s="511"/>
    </row>
    <row r="769" spans="1:1" ht="29.25" x14ac:dyDescent="0.4">
      <c r="A769" s="511"/>
    </row>
    <row r="770" spans="1:1" ht="29.25" x14ac:dyDescent="0.4">
      <c r="A770" s="511"/>
    </row>
    <row r="771" spans="1:1" ht="29.25" x14ac:dyDescent="0.4">
      <c r="A771" s="511"/>
    </row>
    <row r="772" spans="1:1" ht="29.25" x14ac:dyDescent="0.4">
      <c r="A772" s="511"/>
    </row>
    <row r="773" spans="1:1" ht="29.25" x14ac:dyDescent="0.4">
      <c r="A773" s="511"/>
    </row>
    <row r="774" spans="1:1" ht="29.25" x14ac:dyDescent="0.4">
      <c r="A774" s="511"/>
    </row>
    <row r="775" spans="1:1" ht="29.25" x14ac:dyDescent="0.4">
      <c r="A775" s="511"/>
    </row>
    <row r="776" spans="1:1" ht="29.25" x14ac:dyDescent="0.4">
      <c r="A776" s="511"/>
    </row>
    <row r="777" spans="1:1" ht="29.25" x14ac:dyDescent="0.4">
      <c r="A777" s="511"/>
    </row>
    <row r="778" spans="1:1" ht="29.25" x14ac:dyDescent="0.4">
      <c r="A778" s="511"/>
    </row>
    <row r="779" spans="1:1" ht="29.25" x14ac:dyDescent="0.4">
      <c r="A779" s="511"/>
    </row>
    <row r="780" spans="1:1" ht="29.25" x14ac:dyDescent="0.4">
      <c r="A780" s="511"/>
    </row>
    <row r="781" spans="1:1" ht="29.25" x14ac:dyDescent="0.4">
      <c r="A781" s="511"/>
    </row>
    <row r="782" spans="1:1" ht="29.25" x14ac:dyDescent="0.4">
      <c r="A782" s="511"/>
    </row>
    <row r="783" spans="1:1" ht="29.25" x14ac:dyDescent="0.4">
      <c r="A783" s="511"/>
    </row>
    <row r="784" spans="1:1" ht="29.25" x14ac:dyDescent="0.4">
      <c r="A784" s="511"/>
    </row>
    <row r="785" spans="1:1" ht="29.25" x14ac:dyDescent="0.4">
      <c r="A785" s="511"/>
    </row>
    <row r="786" spans="1:1" ht="29.25" x14ac:dyDescent="0.4">
      <c r="A786" s="511"/>
    </row>
    <row r="787" spans="1:1" ht="29.25" x14ac:dyDescent="0.4">
      <c r="A787" s="511"/>
    </row>
    <row r="788" spans="1:1" ht="29.25" x14ac:dyDescent="0.4">
      <c r="A788" s="511"/>
    </row>
    <row r="789" spans="1:1" ht="29.25" x14ac:dyDescent="0.4">
      <c r="A789" s="511"/>
    </row>
    <row r="790" spans="1:1" ht="29.25" x14ac:dyDescent="0.4">
      <c r="A790" s="511"/>
    </row>
    <row r="791" spans="1:1" ht="29.25" x14ac:dyDescent="0.4">
      <c r="A791" s="511"/>
    </row>
    <row r="792" spans="1:1" ht="29.25" x14ac:dyDescent="0.4">
      <c r="A792" s="511"/>
    </row>
    <row r="793" spans="1:1" ht="29.25" x14ac:dyDescent="0.4">
      <c r="A793" s="511"/>
    </row>
    <row r="794" spans="1:1" ht="29.25" x14ac:dyDescent="0.4">
      <c r="A794" s="511"/>
    </row>
    <row r="795" spans="1:1" ht="29.25" x14ac:dyDescent="0.4">
      <c r="A795" s="511"/>
    </row>
    <row r="796" spans="1:1" ht="29.25" x14ac:dyDescent="0.4">
      <c r="A796" s="511"/>
    </row>
    <row r="797" spans="1:1" ht="29.25" x14ac:dyDescent="0.4">
      <c r="A797" s="511"/>
    </row>
    <row r="798" spans="1:1" ht="29.25" x14ac:dyDescent="0.4">
      <c r="A798" s="511"/>
    </row>
    <row r="799" spans="1:1" ht="29.25" x14ac:dyDescent="0.4">
      <c r="A799" s="511"/>
    </row>
    <row r="800" spans="1:1" ht="29.25" x14ac:dyDescent="0.4">
      <c r="A800" s="511"/>
    </row>
    <row r="801" spans="1:1" ht="29.25" x14ac:dyDescent="0.4">
      <c r="A801" s="511"/>
    </row>
    <row r="802" spans="1:1" ht="29.25" x14ac:dyDescent="0.4">
      <c r="A802" s="511"/>
    </row>
    <row r="803" spans="1:1" ht="29.25" x14ac:dyDescent="0.4">
      <c r="A803" s="511"/>
    </row>
    <row r="804" spans="1:1" ht="29.25" x14ac:dyDescent="0.4">
      <c r="A804" s="511"/>
    </row>
    <row r="805" spans="1:1" ht="29.25" x14ac:dyDescent="0.4">
      <c r="A805" s="511"/>
    </row>
    <row r="806" spans="1:1" ht="29.25" x14ac:dyDescent="0.4">
      <c r="A806" s="511"/>
    </row>
    <row r="807" spans="1:1" ht="29.25" x14ac:dyDescent="0.4">
      <c r="A807" s="511"/>
    </row>
    <row r="808" spans="1:1" ht="29.25" x14ac:dyDescent="0.4">
      <c r="A808" s="511"/>
    </row>
    <row r="809" spans="1:1" ht="29.25" x14ac:dyDescent="0.4">
      <c r="A809" s="511"/>
    </row>
    <row r="810" spans="1:1" ht="29.25" x14ac:dyDescent="0.4">
      <c r="A810" s="511"/>
    </row>
    <row r="811" spans="1:1" ht="29.25" x14ac:dyDescent="0.4">
      <c r="A811" s="511"/>
    </row>
    <row r="812" spans="1:1" ht="29.25" x14ac:dyDescent="0.4">
      <c r="A812" s="511"/>
    </row>
    <row r="813" spans="1:1" ht="29.25" x14ac:dyDescent="0.4">
      <c r="A813" s="511"/>
    </row>
    <row r="814" spans="1:1" ht="29.25" x14ac:dyDescent="0.4">
      <c r="A814" s="511"/>
    </row>
    <row r="815" spans="1:1" ht="29.25" x14ac:dyDescent="0.4">
      <c r="A815" s="511"/>
    </row>
    <row r="816" spans="1:1" ht="29.25" x14ac:dyDescent="0.4">
      <c r="A816" s="511"/>
    </row>
    <row r="817" spans="1:1" ht="29.25" x14ac:dyDescent="0.4">
      <c r="A817" s="511"/>
    </row>
    <row r="818" spans="1:1" ht="29.25" x14ac:dyDescent="0.4">
      <c r="A818" s="511"/>
    </row>
    <row r="819" spans="1:1" ht="29.25" x14ac:dyDescent="0.4">
      <c r="A819" s="511"/>
    </row>
    <row r="820" spans="1:1" ht="29.25" x14ac:dyDescent="0.4">
      <c r="A820" s="511"/>
    </row>
    <row r="821" spans="1:1" ht="29.25" x14ac:dyDescent="0.4">
      <c r="A821" s="511"/>
    </row>
    <row r="822" spans="1:1" ht="29.25" x14ac:dyDescent="0.4">
      <c r="A822" s="511"/>
    </row>
    <row r="823" spans="1:1" ht="29.25" x14ac:dyDescent="0.4">
      <c r="A823" s="511"/>
    </row>
    <row r="824" spans="1:1" ht="29.25" x14ac:dyDescent="0.4">
      <c r="A824" s="511"/>
    </row>
    <row r="825" spans="1:1" ht="29.25" x14ac:dyDescent="0.4">
      <c r="A825" s="511"/>
    </row>
    <row r="826" spans="1:1" ht="29.25" x14ac:dyDescent="0.4">
      <c r="A826" s="511"/>
    </row>
    <row r="827" spans="1:1" ht="29.25" x14ac:dyDescent="0.4">
      <c r="A827" s="511"/>
    </row>
    <row r="828" spans="1:1" ht="29.25" x14ac:dyDescent="0.4">
      <c r="A828" s="511"/>
    </row>
    <row r="829" spans="1:1" ht="29.25" x14ac:dyDescent="0.4">
      <c r="A829" s="511"/>
    </row>
    <row r="830" spans="1:1" ht="29.25" x14ac:dyDescent="0.4">
      <c r="A830" s="511"/>
    </row>
    <row r="831" spans="1:1" ht="29.25" x14ac:dyDescent="0.4">
      <c r="A831" s="511"/>
    </row>
    <row r="832" spans="1:1" ht="29.25" x14ac:dyDescent="0.4">
      <c r="A832" s="511"/>
    </row>
    <row r="833" spans="1:1" ht="29.25" x14ac:dyDescent="0.4">
      <c r="A833" s="511"/>
    </row>
    <row r="834" spans="1:1" ht="29.25" x14ac:dyDescent="0.4">
      <c r="A834" s="511"/>
    </row>
    <row r="835" spans="1:1" ht="29.25" x14ac:dyDescent="0.4">
      <c r="A835" s="511"/>
    </row>
    <row r="836" spans="1:1" ht="29.25" x14ac:dyDescent="0.4">
      <c r="A836" s="511"/>
    </row>
    <row r="837" spans="1:1" ht="29.25" x14ac:dyDescent="0.4">
      <c r="A837" s="511"/>
    </row>
    <row r="838" spans="1:1" ht="29.25" x14ac:dyDescent="0.4">
      <c r="A838" s="511"/>
    </row>
    <row r="839" spans="1:1" ht="29.25" x14ac:dyDescent="0.4">
      <c r="A839" s="511"/>
    </row>
    <row r="840" spans="1:1" ht="29.25" x14ac:dyDescent="0.4">
      <c r="A840" s="511"/>
    </row>
    <row r="841" spans="1:1" ht="29.25" x14ac:dyDescent="0.4">
      <c r="A841" s="511"/>
    </row>
    <row r="842" spans="1:1" ht="29.25" x14ac:dyDescent="0.4">
      <c r="A842" s="511"/>
    </row>
    <row r="843" spans="1:1" ht="29.25" x14ac:dyDescent="0.4">
      <c r="A843" s="511"/>
    </row>
    <row r="844" spans="1:1" ht="29.25" x14ac:dyDescent="0.4">
      <c r="A844" s="511"/>
    </row>
    <row r="845" spans="1:1" ht="29.25" x14ac:dyDescent="0.4">
      <c r="A845" s="511"/>
    </row>
    <row r="846" spans="1:1" ht="29.25" x14ac:dyDescent="0.4">
      <c r="A846" s="511"/>
    </row>
    <row r="847" spans="1:1" ht="29.25" x14ac:dyDescent="0.4">
      <c r="A847" s="511"/>
    </row>
    <row r="848" spans="1:1" ht="29.25" x14ac:dyDescent="0.4">
      <c r="A848" s="511"/>
    </row>
    <row r="849" spans="1:1" ht="29.25" x14ac:dyDescent="0.4">
      <c r="A849" s="511"/>
    </row>
    <row r="850" spans="1:1" ht="29.25" x14ac:dyDescent="0.4">
      <c r="A850" s="511"/>
    </row>
    <row r="851" spans="1:1" ht="29.25" x14ac:dyDescent="0.4">
      <c r="A851" s="511"/>
    </row>
    <row r="852" spans="1:1" ht="29.25" x14ac:dyDescent="0.4">
      <c r="A852" s="511"/>
    </row>
    <row r="853" spans="1:1" ht="29.25" x14ac:dyDescent="0.4">
      <c r="A853" s="511"/>
    </row>
    <row r="854" spans="1:1" ht="29.25" x14ac:dyDescent="0.4">
      <c r="A854" s="511"/>
    </row>
    <row r="855" spans="1:1" ht="29.25" x14ac:dyDescent="0.4">
      <c r="A855" s="511"/>
    </row>
    <row r="856" spans="1:1" ht="29.25" x14ac:dyDescent="0.4">
      <c r="A856" s="511"/>
    </row>
    <row r="857" spans="1:1" ht="29.25" x14ac:dyDescent="0.4">
      <c r="A857" s="511"/>
    </row>
    <row r="858" spans="1:1" ht="29.25" x14ac:dyDescent="0.4">
      <c r="A858" s="511"/>
    </row>
    <row r="859" spans="1:1" ht="29.25" x14ac:dyDescent="0.4">
      <c r="A859" s="511"/>
    </row>
    <row r="860" spans="1:1" ht="29.25" x14ac:dyDescent="0.4">
      <c r="A860" s="511"/>
    </row>
    <row r="861" spans="1:1" ht="29.25" x14ac:dyDescent="0.4">
      <c r="A861" s="511"/>
    </row>
    <row r="862" spans="1:1" ht="29.25" x14ac:dyDescent="0.4">
      <c r="A862" s="511"/>
    </row>
    <row r="863" spans="1:1" ht="29.25" x14ac:dyDescent="0.4">
      <c r="A863" s="511"/>
    </row>
    <row r="864" spans="1:1" ht="29.25" x14ac:dyDescent="0.4">
      <c r="A864" s="511"/>
    </row>
    <row r="865" spans="1:1" ht="29.25" x14ac:dyDescent="0.4">
      <c r="A865" s="511"/>
    </row>
    <row r="866" spans="1:1" ht="29.25" x14ac:dyDescent="0.4">
      <c r="A866" s="511"/>
    </row>
    <row r="867" spans="1:1" ht="29.25" x14ac:dyDescent="0.4">
      <c r="A867" s="511"/>
    </row>
    <row r="868" spans="1:1" ht="29.25" x14ac:dyDescent="0.4">
      <c r="A868" s="511"/>
    </row>
    <row r="869" spans="1:1" ht="29.25" x14ac:dyDescent="0.4">
      <c r="A869" s="511"/>
    </row>
    <row r="870" spans="1:1" ht="29.25" x14ac:dyDescent="0.4">
      <c r="A870" s="511"/>
    </row>
    <row r="871" spans="1:1" ht="29.25" x14ac:dyDescent="0.4">
      <c r="A871" s="511"/>
    </row>
    <row r="872" spans="1:1" ht="29.25" x14ac:dyDescent="0.4">
      <c r="A872" s="511"/>
    </row>
    <row r="873" spans="1:1" ht="29.25" x14ac:dyDescent="0.4">
      <c r="A873" s="511"/>
    </row>
    <row r="874" spans="1:1" ht="29.25" x14ac:dyDescent="0.4">
      <c r="A874" s="511"/>
    </row>
    <row r="875" spans="1:1" ht="29.25" x14ac:dyDescent="0.4">
      <c r="A875" s="511"/>
    </row>
    <row r="876" spans="1:1" ht="29.25" x14ac:dyDescent="0.4">
      <c r="A876" s="511"/>
    </row>
    <row r="877" spans="1:1" ht="29.25" x14ac:dyDescent="0.4">
      <c r="A877" s="511"/>
    </row>
    <row r="878" spans="1:1" ht="29.25" x14ac:dyDescent="0.4">
      <c r="A878" s="511"/>
    </row>
    <row r="879" spans="1:1" ht="29.25" x14ac:dyDescent="0.4">
      <c r="A879" s="511"/>
    </row>
    <row r="880" spans="1:1" ht="29.25" x14ac:dyDescent="0.4">
      <c r="A880" s="511"/>
    </row>
    <row r="881" spans="1:1" ht="29.25" x14ac:dyDescent="0.4">
      <c r="A881" s="511"/>
    </row>
    <row r="882" spans="1:1" ht="29.25" x14ac:dyDescent="0.4">
      <c r="A882" s="511"/>
    </row>
    <row r="883" spans="1:1" ht="29.25" x14ac:dyDescent="0.4">
      <c r="A883" s="511"/>
    </row>
    <row r="884" spans="1:1" ht="29.25" x14ac:dyDescent="0.4">
      <c r="A884" s="511"/>
    </row>
    <row r="885" spans="1:1" ht="29.25" x14ac:dyDescent="0.4">
      <c r="A885" s="511"/>
    </row>
    <row r="886" spans="1:1" ht="29.25" x14ac:dyDescent="0.4">
      <c r="A886" s="511"/>
    </row>
    <row r="887" spans="1:1" ht="29.25" x14ac:dyDescent="0.4">
      <c r="A887" s="511"/>
    </row>
    <row r="888" spans="1:1" ht="29.25" x14ac:dyDescent="0.4">
      <c r="A888" s="511"/>
    </row>
    <row r="889" spans="1:1" ht="29.25" x14ac:dyDescent="0.4">
      <c r="A889" s="511"/>
    </row>
    <row r="890" spans="1:1" ht="29.25" x14ac:dyDescent="0.4">
      <c r="A890" s="511"/>
    </row>
    <row r="891" spans="1:1" ht="29.25" x14ac:dyDescent="0.4">
      <c r="A891" s="511"/>
    </row>
    <row r="892" spans="1:1" ht="29.25" x14ac:dyDescent="0.4">
      <c r="A892" s="511"/>
    </row>
    <row r="893" spans="1:1" ht="29.25" x14ac:dyDescent="0.4">
      <c r="A893" s="511"/>
    </row>
    <row r="894" spans="1:1" ht="29.25" x14ac:dyDescent="0.4">
      <c r="A894" s="511"/>
    </row>
    <row r="895" spans="1:1" ht="29.25" x14ac:dyDescent="0.4">
      <c r="A895" s="511"/>
    </row>
    <row r="896" spans="1:1" ht="29.25" x14ac:dyDescent="0.4">
      <c r="A896" s="511"/>
    </row>
    <row r="897" spans="1:1" ht="29.25" x14ac:dyDescent="0.4">
      <c r="A897" s="511"/>
    </row>
    <row r="898" spans="1:1" ht="29.25" x14ac:dyDescent="0.4">
      <c r="A898" s="511"/>
    </row>
    <row r="899" spans="1:1" ht="29.25" x14ac:dyDescent="0.4">
      <c r="A899" s="511"/>
    </row>
    <row r="900" spans="1:1" ht="29.25" x14ac:dyDescent="0.4">
      <c r="A900" s="511"/>
    </row>
    <row r="901" spans="1:1" ht="29.25" x14ac:dyDescent="0.4">
      <c r="A901" s="511"/>
    </row>
    <row r="902" spans="1:1" ht="29.25" x14ac:dyDescent="0.4">
      <c r="A902" s="511"/>
    </row>
    <row r="903" spans="1:1" ht="29.25" x14ac:dyDescent="0.4">
      <c r="A903" s="511"/>
    </row>
    <row r="904" spans="1:1" ht="29.25" x14ac:dyDescent="0.4">
      <c r="A904" s="511"/>
    </row>
    <row r="905" spans="1:1" ht="29.25" x14ac:dyDescent="0.4">
      <c r="A905" s="511"/>
    </row>
    <row r="906" spans="1:1" ht="29.25" x14ac:dyDescent="0.4">
      <c r="A906" s="511"/>
    </row>
    <row r="907" spans="1:1" ht="29.25" x14ac:dyDescent="0.4">
      <c r="A907" s="511"/>
    </row>
    <row r="908" spans="1:1" ht="29.25" x14ac:dyDescent="0.4">
      <c r="A908" s="511"/>
    </row>
    <row r="909" spans="1:1" ht="29.25" x14ac:dyDescent="0.4">
      <c r="A909" s="511"/>
    </row>
    <row r="910" spans="1:1" ht="29.25" x14ac:dyDescent="0.4">
      <c r="A910" s="511"/>
    </row>
    <row r="911" spans="1:1" ht="29.25" x14ac:dyDescent="0.4">
      <c r="A911" s="511"/>
    </row>
    <row r="912" spans="1:1" ht="29.25" x14ac:dyDescent="0.4">
      <c r="A912" s="511"/>
    </row>
    <row r="913" spans="1:1" ht="29.25" x14ac:dyDescent="0.4">
      <c r="A913" s="511"/>
    </row>
    <row r="914" spans="1:1" ht="29.25" x14ac:dyDescent="0.4">
      <c r="A914" s="511"/>
    </row>
    <row r="915" spans="1:1" ht="29.25" x14ac:dyDescent="0.4">
      <c r="A915" s="511"/>
    </row>
    <row r="916" spans="1:1" ht="29.25" x14ac:dyDescent="0.4">
      <c r="A916" s="511"/>
    </row>
    <row r="917" spans="1:1" ht="29.25" x14ac:dyDescent="0.4">
      <c r="A917" s="511"/>
    </row>
    <row r="918" spans="1:1" ht="29.25" x14ac:dyDescent="0.4">
      <c r="A918" s="511"/>
    </row>
    <row r="919" spans="1:1" ht="29.25" x14ac:dyDescent="0.4">
      <c r="A919" s="511"/>
    </row>
    <row r="920" spans="1:1" ht="29.25" x14ac:dyDescent="0.4">
      <c r="A920" s="511"/>
    </row>
    <row r="921" spans="1:1" ht="29.25" x14ac:dyDescent="0.4">
      <c r="A921" s="511"/>
    </row>
    <row r="922" spans="1:1" ht="29.25" x14ac:dyDescent="0.4">
      <c r="A922" s="511"/>
    </row>
    <row r="923" spans="1:1" ht="29.25" x14ac:dyDescent="0.4">
      <c r="A923" s="511"/>
    </row>
    <row r="924" spans="1:1" ht="29.25" x14ac:dyDescent="0.4">
      <c r="A924" s="511"/>
    </row>
    <row r="925" spans="1:1" ht="29.25" x14ac:dyDescent="0.4">
      <c r="A925" s="511"/>
    </row>
    <row r="926" spans="1:1" ht="29.25" x14ac:dyDescent="0.4">
      <c r="A926" s="511"/>
    </row>
    <row r="927" spans="1:1" ht="29.25" x14ac:dyDescent="0.4">
      <c r="A927" s="511"/>
    </row>
    <row r="928" spans="1:1" ht="29.25" x14ac:dyDescent="0.4">
      <c r="A928" s="511"/>
    </row>
    <row r="929" spans="1:1" ht="29.25" x14ac:dyDescent="0.4">
      <c r="A929" s="511"/>
    </row>
    <row r="930" spans="1:1" ht="29.25" x14ac:dyDescent="0.4">
      <c r="A930" s="511"/>
    </row>
    <row r="931" spans="1:1" ht="29.25" x14ac:dyDescent="0.4">
      <c r="A931" s="511"/>
    </row>
    <row r="932" spans="1:1" ht="29.25" x14ac:dyDescent="0.4">
      <c r="A932" s="511"/>
    </row>
    <row r="933" spans="1:1" ht="29.25" x14ac:dyDescent="0.4">
      <c r="A933" s="511"/>
    </row>
    <row r="934" spans="1:1" ht="29.25" x14ac:dyDescent="0.4">
      <c r="A934" s="511"/>
    </row>
    <row r="935" spans="1:1" ht="29.25" x14ac:dyDescent="0.4">
      <c r="A935" s="511"/>
    </row>
    <row r="936" spans="1:1" ht="29.25" x14ac:dyDescent="0.4">
      <c r="A936" s="511"/>
    </row>
    <row r="937" spans="1:1" ht="29.25" x14ac:dyDescent="0.4">
      <c r="A937" s="511"/>
    </row>
    <row r="938" spans="1:1" ht="29.25" x14ac:dyDescent="0.4">
      <c r="A938" s="511"/>
    </row>
    <row r="939" spans="1:1" ht="29.25" x14ac:dyDescent="0.4">
      <c r="A939" s="511"/>
    </row>
    <row r="940" spans="1:1" ht="29.25" x14ac:dyDescent="0.4">
      <c r="A940" s="511"/>
    </row>
    <row r="941" spans="1:1" ht="29.25" x14ac:dyDescent="0.4">
      <c r="A941" s="511"/>
    </row>
    <row r="942" spans="1:1" ht="29.25" x14ac:dyDescent="0.4">
      <c r="A942" s="511"/>
    </row>
    <row r="943" spans="1:1" ht="29.25" x14ac:dyDescent="0.4">
      <c r="A943" s="511"/>
    </row>
    <row r="944" spans="1:1" ht="29.25" x14ac:dyDescent="0.4">
      <c r="A944" s="511"/>
    </row>
    <row r="945" spans="1:1" ht="29.25" x14ac:dyDescent="0.4">
      <c r="A945" s="511"/>
    </row>
    <row r="946" spans="1:1" ht="29.25" x14ac:dyDescent="0.4">
      <c r="A946" s="511"/>
    </row>
    <row r="947" spans="1:1" ht="29.25" x14ac:dyDescent="0.4">
      <c r="A947" s="511"/>
    </row>
    <row r="948" spans="1:1" ht="29.25" x14ac:dyDescent="0.4">
      <c r="A948" s="511"/>
    </row>
    <row r="949" spans="1:1" ht="29.25" x14ac:dyDescent="0.4">
      <c r="A949" s="511"/>
    </row>
    <row r="950" spans="1:1" ht="29.25" x14ac:dyDescent="0.4">
      <c r="A950" s="511"/>
    </row>
    <row r="951" spans="1:1" ht="29.25" x14ac:dyDescent="0.4">
      <c r="A951" s="511"/>
    </row>
    <row r="952" spans="1:1" ht="29.25" x14ac:dyDescent="0.4">
      <c r="A952" s="511"/>
    </row>
    <row r="953" spans="1:1" ht="29.25" x14ac:dyDescent="0.4">
      <c r="A953" s="511"/>
    </row>
    <row r="954" spans="1:1" ht="29.25" x14ac:dyDescent="0.4">
      <c r="A954" s="511"/>
    </row>
    <row r="955" spans="1:1" ht="29.25" x14ac:dyDescent="0.4">
      <c r="A955" s="511"/>
    </row>
    <row r="956" spans="1:1" ht="29.25" x14ac:dyDescent="0.4">
      <c r="A956" s="511"/>
    </row>
    <row r="957" spans="1:1" ht="29.25" x14ac:dyDescent="0.4">
      <c r="A957" s="511"/>
    </row>
    <row r="958" spans="1:1" ht="29.25" x14ac:dyDescent="0.4">
      <c r="A958" s="511"/>
    </row>
    <row r="959" spans="1:1" ht="29.25" x14ac:dyDescent="0.4">
      <c r="A959" s="511"/>
    </row>
    <row r="960" spans="1:1" ht="29.25" x14ac:dyDescent="0.4">
      <c r="A960" s="511"/>
    </row>
    <row r="961" spans="1:1" ht="29.25" x14ac:dyDescent="0.4">
      <c r="A961" s="511"/>
    </row>
    <row r="962" spans="1:1" ht="29.25" x14ac:dyDescent="0.4">
      <c r="A962" s="511"/>
    </row>
    <row r="963" spans="1:1" ht="29.25" x14ac:dyDescent="0.4">
      <c r="A963" s="511"/>
    </row>
    <row r="964" spans="1:1" ht="29.25" x14ac:dyDescent="0.4">
      <c r="A964" s="511"/>
    </row>
    <row r="965" spans="1:1" ht="29.25" x14ac:dyDescent="0.4">
      <c r="A965" s="511"/>
    </row>
    <row r="966" spans="1:1" ht="29.25" x14ac:dyDescent="0.4">
      <c r="A966" s="511"/>
    </row>
    <row r="967" spans="1:1" ht="29.25" x14ac:dyDescent="0.4">
      <c r="A967" s="511"/>
    </row>
    <row r="968" spans="1:1" ht="29.25" x14ac:dyDescent="0.4">
      <c r="A968" s="511"/>
    </row>
    <row r="969" spans="1:1" ht="29.25" x14ac:dyDescent="0.4">
      <c r="A969" s="511"/>
    </row>
    <row r="970" spans="1:1" ht="29.25" x14ac:dyDescent="0.4">
      <c r="A970" s="511"/>
    </row>
    <row r="971" spans="1:1" ht="29.25" x14ac:dyDescent="0.4">
      <c r="A971" s="511"/>
    </row>
    <row r="972" spans="1:1" ht="29.25" x14ac:dyDescent="0.4">
      <c r="A972" s="511"/>
    </row>
    <row r="973" spans="1:1" ht="29.25" x14ac:dyDescent="0.4">
      <c r="A973" s="511"/>
    </row>
    <row r="974" spans="1:1" ht="29.25" x14ac:dyDescent="0.4">
      <c r="A974" s="511"/>
    </row>
    <row r="975" spans="1:1" ht="29.25" x14ac:dyDescent="0.4">
      <c r="A975" s="511"/>
    </row>
    <row r="976" spans="1:1" ht="29.25" x14ac:dyDescent="0.4">
      <c r="A976" s="511"/>
    </row>
    <row r="977" spans="1:1" ht="29.25" x14ac:dyDescent="0.4">
      <c r="A977" s="511"/>
    </row>
    <row r="978" spans="1:1" ht="29.25" x14ac:dyDescent="0.4">
      <c r="A978" s="511"/>
    </row>
    <row r="979" spans="1:1" ht="29.25" x14ac:dyDescent="0.4">
      <c r="A979" s="511"/>
    </row>
    <row r="980" spans="1:1" ht="29.25" x14ac:dyDescent="0.4">
      <c r="A980" s="511"/>
    </row>
    <row r="981" spans="1:1" ht="29.25" x14ac:dyDescent="0.4">
      <c r="A981" s="511"/>
    </row>
    <row r="982" spans="1:1" ht="29.25" x14ac:dyDescent="0.4">
      <c r="A982" s="511"/>
    </row>
    <row r="983" spans="1:1" ht="29.25" x14ac:dyDescent="0.4">
      <c r="A983" s="511"/>
    </row>
    <row r="984" spans="1:1" ht="29.25" x14ac:dyDescent="0.4">
      <c r="A984" s="511"/>
    </row>
    <row r="985" spans="1:1" ht="29.25" x14ac:dyDescent="0.4">
      <c r="A985" s="511"/>
    </row>
    <row r="986" spans="1:1" ht="29.25" x14ac:dyDescent="0.4">
      <c r="A986" s="511"/>
    </row>
    <row r="987" spans="1:1" ht="29.25" x14ac:dyDescent="0.4">
      <c r="A987" s="511"/>
    </row>
    <row r="988" spans="1:1" ht="29.25" x14ac:dyDescent="0.4">
      <c r="A988" s="511"/>
    </row>
    <row r="989" spans="1:1" ht="29.25" x14ac:dyDescent="0.4">
      <c r="A989" s="511"/>
    </row>
    <row r="990" spans="1:1" ht="29.25" x14ac:dyDescent="0.4">
      <c r="A990" s="511"/>
    </row>
    <row r="991" spans="1:1" ht="29.25" x14ac:dyDescent="0.4">
      <c r="A991" s="511"/>
    </row>
    <row r="992" spans="1:1" ht="29.25" x14ac:dyDescent="0.4">
      <c r="A992" s="511"/>
    </row>
    <row r="993" spans="1:1" ht="29.25" x14ac:dyDescent="0.4">
      <c r="A993" s="511"/>
    </row>
    <row r="994" spans="1:1" ht="29.25" x14ac:dyDescent="0.4">
      <c r="A994" s="511"/>
    </row>
    <row r="995" spans="1:1" ht="29.25" x14ac:dyDescent="0.4">
      <c r="A995" s="511"/>
    </row>
    <row r="996" spans="1:1" ht="29.25" x14ac:dyDescent="0.4">
      <c r="A996" s="511"/>
    </row>
    <row r="997" spans="1:1" ht="29.25" x14ac:dyDescent="0.4">
      <c r="A997" s="511"/>
    </row>
    <row r="998" spans="1:1" ht="29.25" x14ac:dyDescent="0.4">
      <c r="A998" s="511"/>
    </row>
  </sheetData>
  <mergeCells count="14">
    <mergeCell ref="LY1:NC1"/>
    <mergeCell ref="ND1:NO1"/>
    <mergeCell ref="A1:A2"/>
    <mergeCell ref="B1:AF1"/>
    <mergeCell ref="AG1:BI1"/>
    <mergeCell ref="BJ1:CN1"/>
    <mergeCell ref="CO1:DR1"/>
    <mergeCell ref="DS1:EW1"/>
    <mergeCell ref="EX1:GA1"/>
    <mergeCell ref="GB1:HF1"/>
    <mergeCell ref="HG1:IK1"/>
    <mergeCell ref="IL1:JO1"/>
    <mergeCell ref="JP1:KT1"/>
    <mergeCell ref="KU1:LX1"/>
  </mergeCells>
  <conditionalFormatting sqref="A2:NO2">
    <cfRule type="timePeriod" dxfId="8" priority="1" timePeriod="today"/>
    <cfRule type="expression" dxfId="7" priority="2">
      <formula>AND(ISNUMBER(A2),TRUNC(A2)&lt;TODAY())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B1000"/>
  <sheetViews>
    <sheetView workbookViewId="0"/>
  </sheetViews>
  <sheetFormatPr defaultColWidth="11.21875" defaultRowHeight="15" customHeight="1" x14ac:dyDescent="0.2"/>
  <cols>
    <col min="1" max="1" width="19.11328125" customWidth="1"/>
  </cols>
  <sheetData>
    <row r="1" spans="1:2" x14ac:dyDescent="0.2">
      <c r="A1" s="512" t="s">
        <v>1944</v>
      </c>
      <c r="B1" s="49" t="s">
        <v>1945</v>
      </c>
    </row>
    <row r="2" spans="1:2" x14ac:dyDescent="0.2">
      <c r="A2" s="513" t="str">
        <f t="array" ref="A2:A63">Calendar!A4:A65</f>
        <v>Burger/Chipper Units</v>
      </c>
      <c r="B2" s="380"/>
    </row>
    <row r="3" spans="1:2" x14ac:dyDescent="0.2">
      <c r="A3" s="158" t="str">
        <v>O'Briens Chipper 1</v>
      </c>
      <c r="B3" s="380">
        <f>COUNTIFS(Calendar!B5:NO5,TRUE)</f>
        <v>14</v>
      </c>
    </row>
    <row r="4" spans="1:2" x14ac:dyDescent="0.2">
      <c r="A4" s="158" t="str">
        <v>O'Briens Chipper 2</v>
      </c>
      <c r="B4" s="380">
        <f>COUNTIFS(Calendar!B6:NO6,TRUE)</f>
        <v>0</v>
      </c>
    </row>
    <row r="5" spans="1:2" x14ac:dyDescent="0.2">
      <c r="A5" s="158" t="str">
        <v>Smash Burger 1</v>
      </c>
      <c r="B5" s="380">
        <f>COUNTIFS(Calendar!B7:NO7,TRUE)</f>
        <v>0</v>
      </c>
    </row>
    <row r="6" spans="1:2" x14ac:dyDescent="0.2">
      <c r="A6" s="158" t="str">
        <v>Smash Burger 2</v>
      </c>
      <c r="B6" s="380">
        <f>COUNTIFS(Calendar!B8:NO8,TRUE)</f>
        <v>14</v>
      </c>
    </row>
    <row r="7" spans="1:2" x14ac:dyDescent="0.2">
      <c r="A7" s="158" t="str">
        <v>Loaded Burger</v>
      </c>
      <c r="B7" s="380">
        <f>COUNTIFS(Calendar!B9:NO9,TRUE)</f>
        <v>1</v>
      </c>
    </row>
    <row r="8" spans="1:2" x14ac:dyDescent="0.2">
      <c r="A8" s="158" t="str">
        <v>Misc. Food Units</v>
      </c>
      <c r="B8" s="380">
        <f>COUNTIFS(Calendar!B10:NO10,TRUE)</f>
        <v>20</v>
      </c>
    </row>
    <row r="9" spans="1:2" x14ac:dyDescent="0.2">
      <c r="A9" s="513" t="str">
        <v>Flex Use Airstream</v>
      </c>
      <c r="B9" s="380">
        <f>COUNTIFS(Calendar!B11:NO11,TRUE)</f>
        <v>0</v>
      </c>
    </row>
    <row r="10" spans="1:2" x14ac:dyDescent="0.2">
      <c r="A10" s="158" t="str">
        <v>Angelo's Pizza</v>
      </c>
      <c r="B10" s="380">
        <f>COUNTIFS(Calendar!B12:NO12,TRUE)</f>
        <v>16</v>
      </c>
    </row>
    <row r="11" spans="1:2" x14ac:dyDescent="0.2">
      <c r="A11" s="158" t="str">
        <v>Angelo's Pizza &amp; Pasta</v>
      </c>
      <c r="B11" s="380">
        <f>COUNTIFS(Calendar!B13:NO13,TRUE)</f>
        <v>10</v>
      </c>
    </row>
    <row r="12" spans="1:2" x14ac:dyDescent="0.2">
      <c r="A12" s="158" t="str">
        <v>Fried Chicken Truck</v>
      </c>
      <c r="B12" s="380">
        <f>COUNTIFS(Calendar!B14:NO14,TRUE)</f>
        <v>0</v>
      </c>
    </row>
    <row r="13" spans="1:2" x14ac:dyDescent="0.2">
      <c r="A13" s="158" t="str">
        <v>Thindi</v>
      </c>
      <c r="B13" s="380">
        <f>COUNTIFS(Calendar!B15:NO15,TRUE)</f>
        <v>0</v>
      </c>
    </row>
    <row r="14" spans="1:2" x14ac:dyDescent="0.2">
      <c r="A14" s="158" t="str">
        <v xml:space="preserve">Toasted </v>
      </c>
      <c r="B14" s="380">
        <f>COUNTIFS(Calendar!B16:NO16,TRUE)</f>
        <v>25</v>
      </c>
    </row>
    <row r="15" spans="1:2" x14ac:dyDescent="0.2">
      <c r="A15" s="158" t="str">
        <v>Bun Club Hot Dogs</v>
      </c>
      <c r="B15" s="380">
        <f>COUNTIFS(Calendar!B17:NO17,TRUE)</f>
        <v>7</v>
      </c>
    </row>
    <row r="16" spans="1:2" x14ac:dyDescent="0.2">
      <c r="A16" s="158" t="str">
        <v xml:space="preserve">Zambrero </v>
      </c>
      <c r="B16" s="380">
        <f>COUNTIFS(Calendar!B18:NO18,TRUE)</f>
        <v>14</v>
      </c>
    </row>
    <row r="17" spans="1:2" x14ac:dyDescent="0.2">
      <c r="A17" s="158" t="str">
        <v>Pitt Bros BBQ</v>
      </c>
      <c r="B17" s="380">
        <f>COUNTIFS(Calendar!B19:NO19,TRUE)</f>
        <v>21</v>
      </c>
    </row>
    <row r="18" spans="1:2" x14ac:dyDescent="0.2">
      <c r="A18" s="158" t="str">
        <v>Lucky Bao Buns</v>
      </c>
      <c r="B18" s="380">
        <f>COUNTIFS(Calendar!B20:NO20,TRUE)</f>
        <v>26</v>
      </c>
    </row>
    <row r="19" spans="1:2" x14ac:dyDescent="0.2">
      <c r="A19" s="158" t="str">
        <v>Camile Thai 2.0</v>
      </c>
      <c r="B19" s="380">
        <f>COUNTIFS(Calendar!B21:NO21,TRUE)</f>
        <v>0</v>
      </c>
    </row>
    <row r="20" spans="1:2" x14ac:dyDescent="0.2">
      <c r="A20" s="158" t="str">
        <v xml:space="preserve">Camile Thai </v>
      </c>
      <c r="B20" s="380">
        <f>COUNTIFS(Calendar!B22:NO22,TRUE)</f>
        <v>16</v>
      </c>
    </row>
    <row r="21" spans="1:2" x14ac:dyDescent="0.2">
      <c r="A21" s="513" t="str">
        <v>Coffee/Beverages</v>
      </c>
      <c r="B21" s="380">
        <f>COUNTIFS(Calendar!B23:NO23,TRUE)</f>
        <v>0</v>
      </c>
    </row>
    <row r="22" spans="1:2" x14ac:dyDescent="0.2">
      <c r="A22" s="158" t="str">
        <v xml:space="preserve">Caffe Duomo 1 </v>
      </c>
      <c r="B22" s="380">
        <f>COUNTIFS(Calendar!B24:NO24,TRUE)</f>
        <v>26</v>
      </c>
    </row>
    <row r="23" spans="1:2" x14ac:dyDescent="0.2">
      <c r="A23" s="158" t="str">
        <v>Caffe Duomo 2</v>
      </c>
      <c r="B23" s="380">
        <f>COUNTIFS(Calendar!B25:NO25,TRUE)</f>
        <v>3</v>
      </c>
    </row>
    <row r="24" spans="1:2" x14ac:dyDescent="0.2">
      <c r="A24" s="158" t="str">
        <v xml:space="preserve">Caffe Duomo 3 </v>
      </c>
      <c r="B24" s="380">
        <f>COUNTIFS(Calendar!B26:NO26,TRUE)</f>
        <v>7</v>
      </c>
    </row>
    <row r="25" spans="1:2" x14ac:dyDescent="0.2">
      <c r="A25" s="158" t="str">
        <v>Caffe Duomo Van</v>
      </c>
      <c r="B25" s="380">
        <f>COUNTIFS(Calendar!B27:NO27,TRUE)</f>
        <v>6</v>
      </c>
    </row>
    <row r="26" spans="1:2" x14ac:dyDescent="0.2">
      <c r="A26" s="158" t="str">
        <v>Caffe Duomo/Torelli</v>
      </c>
      <c r="B26" s="380">
        <f>COUNTIFS(Calendar!B28:NO28,TRUE)</f>
        <v>5</v>
      </c>
    </row>
    <row r="27" spans="1:2" x14ac:dyDescent="0.2">
      <c r="A27" s="158" t="str">
        <v>Freshly Ground Coffee 1</v>
      </c>
      <c r="B27" s="380">
        <f>COUNTIFS(Calendar!B29:NO29,TRUE)</f>
        <v>8</v>
      </c>
    </row>
    <row r="28" spans="1:2" x14ac:dyDescent="0.2">
      <c r="A28" s="158" t="str">
        <v xml:space="preserve">Freshly Ground Coffee 2 </v>
      </c>
      <c r="B28" s="380">
        <f>COUNTIFS(Calendar!B30:NO30,TRUE)</f>
        <v>0</v>
      </c>
    </row>
    <row r="29" spans="1:2" x14ac:dyDescent="0.2">
      <c r="A29" s="158" t="str">
        <v>Smoothies &amp; Shakes 1</v>
      </c>
      <c r="B29" s="380">
        <f>COUNTIFS(Calendar!B31:NO31,TRUE)</f>
        <v>5</v>
      </c>
    </row>
    <row r="30" spans="1:2" x14ac:dyDescent="0.2">
      <c r="A30" s="158" t="str">
        <v>Nobo/Citroen</v>
      </c>
      <c r="B30" s="380">
        <f>COUNTIFS(Calendar!B32:NO32,TRUE)</f>
        <v>3</v>
      </c>
    </row>
    <row r="31" spans="1:2" x14ac:dyDescent="0.2">
      <c r="A31" s="513" t="str">
        <v>Confectionery</v>
      </c>
      <c r="B31" s="380">
        <f>COUNTIFS(Calendar!B33:NO33,TRUE)</f>
        <v>0</v>
      </c>
    </row>
    <row r="32" spans="1:2" x14ac:dyDescent="0.2">
      <c r="A32" s="158" t="str">
        <v>Off Beat Donuts 2</v>
      </c>
      <c r="B32" s="380">
        <f>COUNTIFS(Calendar!B34:NO34,TRUE)</f>
        <v>0</v>
      </c>
    </row>
    <row r="33" spans="1:2" x14ac:dyDescent="0.2">
      <c r="A33" s="158" t="str">
        <v>Off Beat Donuts</v>
      </c>
      <c r="B33" s="380">
        <f>COUNTIFS(Calendar!B35:NO35,TRUE)</f>
        <v>28</v>
      </c>
    </row>
    <row r="34" spans="1:2" x14ac:dyDescent="0.2">
      <c r="A34" s="158" t="str">
        <v xml:space="preserve">Chocolate Fountain </v>
      </c>
      <c r="B34" s="380">
        <f>COUNTIFS(Calendar!B36:NO36,TRUE)</f>
        <v>5</v>
      </c>
    </row>
    <row r="35" spans="1:2" x14ac:dyDescent="0.2">
      <c r="A35" s="158" t="str">
        <v>Pick'n'Mix</v>
      </c>
      <c r="B35" s="380">
        <f>COUNTIFS(Calendar!B37:NO37,TRUE)</f>
        <v>0</v>
      </c>
    </row>
    <row r="36" spans="1:2" x14ac:dyDescent="0.2">
      <c r="A36" s="158" t="str">
        <v xml:space="preserve">The Village Kiosk 1 </v>
      </c>
      <c r="B36" s="380">
        <f>COUNTIFS(Calendar!B38:NO38,TRUE)</f>
        <v>10</v>
      </c>
    </row>
    <row r="37" spans="1:2" x14ac:dyDescent="0.2">
      <c r="A37" s="158" t="str">
        <v>The Village Kiosk 2</v>
      </c>
      <c r="B37" s="380">
        <f>COUNTIFS(Calendar!B39:NO39,TRUE)</f>
        <v>3</v>
      </c>
    </row>
    <row r="38" spans="1:2" x14ac:dyDescent="0.2">
      <c r="A38" s="158" t="str">
        <v>Sprinkles Churros</v>
      </c>
      <c r="B38" s="380">
        <f>COUNTIFS(Calendar!B40:NO40,TRUE)</f>
        <v>8</v>
      </c>
    </row>
    <row r="39" spans="1:2" x14ac:dyDescent="0.2">
      <c r="A39" s="158" t="str">
        <v>Sprinkles Desserts</v>
      </c>
      <c r="B39" s="380">
        <f>COUNTIFS(Calendar!B41:NO41,TRUE)</f>
        <v>1</v>
      </c>
    </row>
    <row r="40" spans="1:2" x14ac:dyDescent="0.2">
      <c r="A40" s="513" t="str">
        <v xml:space="preserve">Ice Cream Vans </v>
      </c>
      <c r="B40" s="380">
        <f>COUNTIFS(Calendar!B42:NO42,TRUE)</f>
        <v>0</v>
      </c>
    </row>
    <row r="41" spans="1:2" x14ac:dyDescent="0.2">
      <c r="A41" s="158" t="str">
        <v>231-D</v>
      </c>
      <c r="B41" s="380">
        <f>COUNTIFS(Calendar!B43:NO43,TRUE)</f>
        <v>17</v>
      </c>
    </row>
    <row r="42" spans="1:2" x14ac:dyDescent="0.2">
      <c r="A42" s="158" t="str">
        <v>201-D</v>
      </c>
      <c r="B42" s="380">
        <f>COUNTIFS(Calendar!B44:NO44,TRUE)</f>
        <v>14</v>
      </c>
    </row>
    <row r="43" spans="1:2" x14ac:dyDescent="0.2">
      <c r="A43" s="158" t="str">
        <v xml:space="preserve">152-D </v>
      </c>
      <c r="B43" s="380">
        <f>COUNTIFS(Calendar!B45:NO45,TRUE)</f>
        <v>0</v>
      </c>
    </row>
    <row r="44" spans="1:2" x14ac:dyDescent="0.2">
      <c r="A44" s="158" t="str">
        <v>142-D</v>
      </c>
      <c r="B44" s="380">
        <f>COUNTIFS(Calendar!B46:NO46,TRUE)</f>
        <v>0</v>
      </c>
    </row>
    <row r="45" spans="1:2" x14ac:dyDescent="0.2">
      <c r="A45" s="158" t="str">
        <v>09-D</v>
      </c>
      <c r="B45" s="380">
        <f>COUNTIFS(Calendar!B47:NO47,TRUE)</f>
        <v>0</v>
      </c>
    </row>
    <row r="46" spans="1:2" x14ac:dyDescent="0.2">
      <c r="A46" s="158" t="str">
        <v>07-D</v>
      </c>
      <c r="B46" s="380">
        <f>COUNTIFS(Calendar!B48:NO48,TRUE)</f>
        <v>0</v>
      </c>
    </row>
    <row r="47" spans="1:2" x14ac:dyDescent="0.2">
      <c r="A47" s="158" t="str">
        <v>07-RN</v>
      </c>
      <c r="B47" s="380">
        <f>COUNTIFS(Calendar!B49:NO49,TRUE)</f>
        <v>0</v>
      </c>
    </row>
    <row r="48" spans="1:2" x14ac:dyDescent="0.2">
      <c r="A48" s="158" t="str">
        <v>05-D</v>
      </c>
      <c r="B48" s="380">
        <f>COUNTIFS(Calendar!B50:NO50,TRUE)</f>
        <v>0</v>
      </c>
    </row>
    <row r="49" spans="1:2" x14ac:dyDescent="0.2">
      <c r="A49" s="158" t="str">
        <v>05-WH</v>
      </c>
      <c r="B49" s="380">
        <f>COUNTIFS(Calendar!B51:NO51,TRUE)</f>
        <v>0</v>
      </c>
    </row>
    <row r="50" spans="1:2" x14ac:dyDescent="0.2">
      <c r="A50" s="158" t="str">
        <v>04-D</v>
      </c>
      <c r="B50" s="380">
        <f>COUNTIFS(Calendar!B52:NO52,TRUE)</f>
        <v>0</v>
      </c>
    </row>
    <row r="51" spans="1:2" x14ac:dyDescent="0.2">
      <c r="A51" s="158" t="str">
        <v>03-D</v>
      </c>
      <c r="B51" s="380">
        <f>COUNTIFS(Calendar!B53:NO53,TRUE)</f>
        <v>0</v>
      </c>
    </row>
    <row r="52" spans="1:2" x14ac:dyDescent="0.2">
      <c r="A52" s="158" t="str">
        <v>02-WW</v>
      </c>
      <c r="B52" s="380">
        <f>COUNTIFS(Calendar!B54:NO54,TRUE)</f>
        <v>0</v>
      </c>
    </row>
    <row r="53" spans="1:2" x14ac:dyDescent="0.2">
      <c r="A53" s="158" t="str">
        <v>02-C</v>
      </c>
      <c r="B53" s="380">
        <f>COUNTIFS(Calendar!B55:NO55,TRUE)</f>
        <v>10</v>
      </c>
    </row>
    <row r="54" spans="1:2" x14ac:dyDescent="0.2">
      <c r="A54" s="158" t="str">
        <v>01-D</v>
      </c>
      <c r="B54" s="380">
        <f>COUNTIFS(Calendar!B56:NO56,TRUE)</f>
        <v>3</v>
      </c>
    </row>
    <row r="55" spans="1:2" x14ac:dyDescent="0.2">
      <c r="A55" s="158" t="str">
        <v xml:space="preserve">BMC </v>
      </c>
      <c r="B55" s="380">
        <f>COUNTIFS(Calendar!B57:NO57,TRUE)</f>
        <v>10</v>
      </c>
    </row>
    <row r="56" spans="1:2" x14ac:dyDescent="0.2">
      <c r="A56" s="158" t="str">
        <v>LD</v>
      </c>
      <c r="B56" s="380">
        <f>COUNTIFS(Calendar!B58:NO58,TRUE)</f>
        <v>10</v>
      </c>
    </row>
    <row r="57" spans="1:2" x14ac:dyDescent="0.2">
      <c r="A57" s="158" t="str">
        <v>Pink Bedford</v>
      </c>
      <c r="B57" s="380">
        <f>COUNTIFS(Calendar!B59:NO59,TRUE)</f>
        <v>0</v>
      </c>
    </row>
    <row r="58" spans="1:2" x14ac:dyDescent="0.2">
      <c r="A58" s="513" t="str">
        <v xml:space="preserve">Yellow Transit </v>
      </c>
      <c r="B58" s="380">
        <f>COUNTIFS(Calendar!B60:NO60,TRUE)</f>
        <v>0</v>
      </c>
    </row>
    <row r="59" spans="1:2" x14ac:dyDescent="0.2">
      <c r="A59" s="158" t="str">
        <v>88-WX</v>
      </c>
      <c r="B59" s="380">
        <f>COUNTIFS(Calendar!B61:NO61,TRUE)</f>
        <v>0</v>
      </c>
    </row>
    <row r="60" spans="1:2" x14ac:dyDescent="0.2">
      <c r="A60" s="158" t="str">
        <v>Carts &amp; Trikes</v>
      </c>
      <c r="B60" s="380">
        <f>COUNTIFS(Calendar!B62:NO62,TRUE)</f>
        <v>0</v>
      </c>
    </row>
    <row r="61" spans="1:2" x14ac:dyDescent="0.2">
      <c r="A61" s="158" t="str">
        <v>Camile Cart</v>
      </c>
      <c r="B61" s="380">
        <f>COUNTIFS(Calendar!B63:NO63,TRUE)</f>
        <v>0</v>
      </c>
    </row>
    <row r="62" spans="1:2" x14ac:dyDescent="0.2">
      <c r="A62" s="158" t="str">
        <v>Zambrero Cart</v>
      </c>
      <c r="B62" s="380">
        <f>COUNTIFS(Calendar!B64:NO64,TRUE)</f>
        <v>0</v>
      </c>
    </row>
    <row r="63" spans="1:2" x14ac:dyDescent="0.2">
      <c r="A63" s="158" t="str">
        <v>Vespa Cart #1</v>
      </c>
      <c r="B63" s="380">
        <f>COUNTIFS(Calendar!B65:NO65,TRUE)</f>
        <v>0</v>
      </c>
    </row>
    <row r="64" spans="1:2" x14ac:dyDescent="0.2">
      <c r="B64" s="380"/>
    </row>
    <row r="65" spans="2:2" x14ac:dyDescent="0.2">
      <c r="B65" s="380"/>
    </row>
    <row r="66" spans="2:2" x14ac:dyDescent="0.2">
      <c r="B66" s="380"/>
    </row>
    <row r="67" spans="2:2" x14ac:dyDescent="0.2">
      <c r="B67" s="380"/>
    </row>
    <row r="68" spans="2:2" x14ac:dyDescent="0.2">
      <c r="B68" s="380"/>
    </row>
    <row r="69" spans="2:2" x14ac:dyDescent="0.2">
      <c r="B69" s="380"/>
    </row>
    <row r="70" spans="2:2" x14ac:dyDescent="0.2">
      <c r="B70" s="380"/>
    </row>
    <row r="71" spans="2:2" x14ac:dyDescent="0.2">
      <c r="B71" s="380"/>
    </row>
    <row r="72" spans="2:2" x14ac:dyDescent="0.2">
      <c r="B72" s="380"/>
    </row>
    <row r="73" spans="2:2" x14ac:dyDescent="0.2">
      <c r="B73" s="380"/>
    </row>
    <row r="74" spans="2:2" x14ac:dyDescent="0.2">
      <c r="B74" s="380"/>
    </row>
    <row r="75" spans="2:2" x14ac:dyDescent="0.2">
      <c r="B75" s="380"/>
    </row>
    <row r="76" spans="2:2" x14ac:dyDescent="0.2">
      <c r="B76" s="380"/>
    </row>
    <row r="77" spans="2:2" x14ac:dyDescent="0.2">
      <c r="B77" s="380"/>
    </row>
    <row r="78" spans="2:2" x14ac:dyDescent="0.2">
      <c r="B78" s="380"/>
    </row>
    <row r="79" spans="2:2" x14ac:dyDescent="0.2">
      <c r="B79" s="380"/>
    </row>
    <row r="80" spans="2:2" x14ac:dyDescent="0.2">
      <c r="B80" s="380"/>
    </row>
    <row r="81" spans="2:2" x14ac:dyDescent="0.2">
      <c r="B81" s="380"/>
    </row>
    <row r="82" spans="2:2" x14ac:dyDescent="0.2">
      <c r="B82" s="380"/>
    </row>
    <row r="83" spans="2:2" x14ac:dyDescent="0.2">
      <c r="B83" s="380"/>
    </row>
    <row r="84" spans="2:2" x14ac:dyDescent="0.2">
      <c r="B84" s="380"/>
    </row>
    <row r="85" spans="2:2" x14ac:dyDescent="0.2">
      <c r="B85" s="380"/>
    </row>
    <row r="86" spans="2:2" x14ac:dyDescent="0.2">
      <c r="B86" s="380"/>
    </row>
    <row r="87" spans="2:2" x14ac:dyDescent="0.2">
      <c r="B87" s="380"/>
    </row>
    <row r="88" spans="2:2" x14ac:dyDescent="0.2">
      <c r="B88" s="380"/>
    </row>
    <row r="89" spans="2:2" x14ac:dyDescent="0.2">
      <c r="B89" s="380"/>
    </row>
    <row r="90" spans="2:2" x14ac:dyDescent="0.2">
      <c r="B90" s="380"/>
    </row>
    <row r="91" spans="2:2" x14ac:dyDescent="0.2">
      <c r="B91" s="380"/>
    </row>
    <row r="92" spans="2:2" x14ac:dyDescent="0.2">
      <c r="B92" s="380"/>
    </row>
    <row r="93" spans="2:2" x14ac:dyDescent="0.2">
      <c r="B93" s="380"/>
    </row>
    <row r="94" spans="2:2" x14ac:dyDescent="0.2">
      <c r="B94" s="380"/>
    </row>
    <row r="95" spans="2:2" x14ac:dyDescent="0.2">
      <c r="B95" s="380"/>
    </row>
    <row r="96" spans="2:2" x14ac:dyDescent="0.2">
      <c r="B96" s="380"/>
    </row>
    <row r="97" spans="2:2" x14ac:dyDescent="0.2">
      <c r="B97" s="380"/>
    </row>
    <row r="98" spans="2:2" x14ac:dyDescent="0.2">
      <c r="B98" s="380"/>
    </row>
    <row r="99" spans="2:2" x14ac:dyDescent="0.2">
      <c r="B99" s="380"/>
    </row>
    <row r="100" spans="2:2" x14ac:dyDescent="0.2">
      <c r="B100" s="380"/>
    </row>
    <row r="101" spans="2:2" x14ac:dyDescent="0.2">
      <c r="B101" s="380"/>
    </row>
    <row r="102" spans="2:2" x14ac:dyDescent="0.2">
      <c r="B102" s="380"/>
    </row>
    <row r="103" spans="2:2" x14ac:dyDescent="0.2">
      <c r="B103" s="380"/>
    </row>
    <row r="104" spans="2:2" x14ac:dyDescent="0.2">
      <c r="B104" s="380"/>
    </row>
    <row r="105" spans="2:2" x14ac:dyDescent="0.2">
      <c r="B105" s="380"/>
    </row>
    <row r="106" spans="2:2" x14ac:dyDescent="0.2">
      <c r="B106" s="380"/>
    </row>
    <row r="107" spans="2:2" x14ac:dyDescent="0.2">
      <c r="B107" s="380"/>
    </row>
    <row r="108" spans="2:2" x14ac:dyDescent="0.2">
      <c r="B108" s="380"/>
    </row>
    <row r="109" spans="2:2" x14ac:dyDescent="0.2">
      <c r="B109" s="380"/>
    </row>
    <row r="110" spans="2:2" x14ac:dyDescent="0.2">
      <c r="B110" s="380"/>
    </row>
    <row r="111" spans="2:2" x14ac:dyDescent="0.2">
      <c r="B111" s="380"/>
    </row>
    <row r="112" spans="2:2" x14ac:dyDescent="0.2">
      <c r="B112" s="380"/>
    </row>
    <row r="113" spans="2:2" x14ac:dyDescent="0.2">
      <c r="B113" s="380"/>
    </row>
    <row r="114" spans="2:2" x14ac:dyDescent="0.2">
      <c r="B114" s="380"/>
    </row>
    <row r="115" spans="2:2" x14ac:dyDescent="0.2">
      <c r="B115" s="380"/>
    </row>
    <row r="116" spans="2:2" x14ac:dyDescent="0.2">
      <c r="B116" s="380"/>
    </row>
    <row r="117" spans="2:2" x14ac:dyDescent="0.2">
      <c r="B117" s="380"/>
    </row>
    <row r="118" spans="2:2" x14ac:dyDescent="0.2">
      <c r="B118" s="380"/>
    </row>
    <row r="119" spans="2:2" x14ac:dyDescent="0.2">
      <c r="B119" s="380"/>
    </row>
    <row r="120" spans="2:2" x14ac:dyDescent="0.2">
      <c r="B120" s="380"/>
    </row>
    <row r="121" spans="2:2" x14ac:dyDescent="0.2">
      <c r="B121" s="380"/>
    </row>
    <row r="122" spans="2:2" x14ac:dyDescent="0.2">
      <c r="B122" s="380"/>
    </row>
    <row r="123" spans="2:2" x14ac:dyDescent="0.2">
      <c r="B123" s="380"/>
    </row>
    <row r="124" spans="2:2" x14ac:dyDescent="0.2">
      <c r="B124" s="380"/>
    </row>
    <row r="125" spans="2:2" x14ac:dyDescent="0.2">
      <c r="B125" s="380"/>
    </row>
    <row r="126" spans="2:2" x14ac:dyDescent="0.2">
      <c r="B126" s="380"/>
    </row>
    <row r="127" spans="2:2" x14ac:dyDescent="0.2">
      <c r="B127" s="380"/>
    </row>
    <row r="128" spans="2:2" x14ac:dyDescent="0.2">
      <c r="B128" s="380"/>
    </row>
    <row r="129" spans="2:2" x14ac:dyDescent="0.2">
      <c r="B129" s="380"/>
    </row>
    <row r="130" spans="2:2" x14ac:dyDescent="0.2">
      <c r="B130" s="380"/>
    </row>
    <row r="131" spans="2:2" x14ac:dyDescent="0.2">
      <c r="B131" s="380"/>
    </row>
    <row r="132" spans="2:2" x14ac:dyDescent="0.2">
      <c r="B132" s="380"/>
    </row>
    <row r="133" spans="2:2" x14ac:dyDescent="0.2">
      <c r="B133" s="380"/>
    </row>
    <row r="134" spans="2:2" x14ac:dyDescent="0.2">
      <c r="B134" s="380"/>
    </row>
    <row r="135" spans="2:2" x14ac:dyDescent="0.2">
      <c r="B135" s="380"/>
    </row>
    <row r="136" spans="2:2" x14ac:dyDescent="0.2">
      <c r="B136" s="380"/>
    </row>
    <row r="137" spans="2:2" x14ac:dyDescent="0.2">
      <c r="B137" s="380"/>
    </row>
    <row r="138" spans="2:2" x14ac:dyDescent="0.2">
      <c r="B138" s="380"/>
    </row>
    <row r="139" spans="2:2" x14ac:dyDescent="0.2">
      <c r="B139" s="380"/>
    </row>
    <row r="140" spans="2:2" x14ac:dyDescent="0.2">
      <c r="B140" s="380"/>
    </row>
    <row r="141" spans="2:2" x14ac:dyDescent="0.2">
      <c r="B141" s="380"/>
    </row>
    <row r="142" spans="2:2" x14ac:dyDescent="0.2">
      <c r="B142" s="380"/>
    </row>
    <row r="143" spans="2:2" x14ac:dyDescent="0.2">
      <c r="B143" s="380"/>
    </row>
    <row r="144" spans="2:2" x14ac:dyDescent="0.2">
      <c r="B144" s="380"/>
    </row>
    <row r="145" spans="2:2" x14ac:dyDescent="0.2">
      <c r="B145" s="380"/>
    </row>
    <row r="146" spans="2:2" x14ac:dyDescent="0.2">
      <c r="B146" s="380"/>
    </row>
    <row r="147" spans="2:2" x14ac:dyDescent="0.2">
      <c r="B147" s="380"/>
    </row>
    <row r="148" spans="2:2" x14ac:dyDescent="0.2">
      <c r="B148" s="380"/>
    </row>
    <row r="149" spans="2:2" x14ac:dyDescent="0.2">
      <c r="B149" s="380"/>
    </row>
    <row r="150" spans="2:2" x14ac:dyDescent="0.2">
      <c r="B150" s="380"/>
    </row>
    <row r="151" spans="2:2" x14ac:dyDescent="0.2">
      <c r="B151" s="380"/>
    </row>
    <row r="152" spans="2:2" x14ac:dyDescent="0.2">
      <c r="B152" s="380"/>
    </row>
    <row r="153" spans="2:2" x14ac:dyDescent="0.2">
      <c r="B153" s="380"/>
    </row>
    <row r="154" spans="2:2" x14ac:dyDescent="0.2">
      <c r="B154" s="380"/>
    </row>
    <row r="155" spans="2:2" x14ac:dyDescent="0.2">
      <c r="B155" s="380"/>
    </row>
    <row r="156" spans="2:2" x14ac:dyDescent="0.2">
      <c r="B156" s="380"/>
    </row>
    <row r="157" spans="2:2" x14ac:dyDescent="0.2">
      <c r="B157" s="380"/>
    </row>
    <row r="158" spans="2:2" x14ac:dyDescent="0.2">
      <c r="B158" s="380"/>
    </row>
    <row r="159" spans="2:2" x14ac:dyDescent="0.2">
      <c r="B159" s="380"/>
    </row>
    <row r="160" spans="2:2" x14ac:dyDescent="0.2">
      <c r="B160" s="380"/>
    </row>
    <row r="161" spans="2:2" x14ac:dyDescent="0.2">
      <c r="B161" s="380"/>
    </row>
    <row r="162" spans="2:2" x14ac:dyDescent="0.2">
      <c r="B162" s="380"/>
    </row>
    <row r="163" spans="2:2" x14ac:dyDescent="0.2">
      <c r="B163" s="380"/>
    </row>
    <row r="164" spans="2:2" x14ac:dyDescent="0.2">
      <c r="B164" s="380"/>
    </row>
    <row r="165" spans="2:2" x14ac:dyDescent="0.2">
      <c r="B165" s="380"/>
    </row>
    <row r="166" spans="2:2" x14ac:dyDescent="0.2">
      <c r="B166" s="380"/>
    </row>
    <row r="167" spans="2:2" x14ac:dyDescent="0.2">
      <c r="B167" s="380"/>
    </row>
    <row r="168" spans="2:2" x14ac:dyDescent="0.2">
      <c r="B168" s="380"/>
    </row>
    <row r="169" spans="2:2" x14ac:dyDescent="0.2">
      <c r="B169" s="380"/>
    </row>
    <row r="170" spans="2:2" x14ac:dyDescent="0.2">
      <c r="B170" s="380"/>
    </row>
    <row r="171" spans="2:2" x14ac:dyDescent="0.2">
      <c r="B171" s="380"/>
    </row>
    <row r="172" spans="2:2" x14ac:dyDescent="0.2">
      <c r="B172" s="380"/>
    </row>
    <row r="173" spans="2:2" x14ac:dyDescent="0.2">
      <c r="B173" s="380"/>
    </row>
    <row r="174" spans="2:2" x14ac:dyDescent="0.2">
      <c r="B174" s="380"/>
    </row>
    <row r="175" spans="2:2" x14ac:dyDescent="0.2">
      <c r="B175" s="380"/>
    </row>
    <row r="176" spans="2:2" x14ac:dyDescent="0.2">
      <c r="B176" s="380"/>
    </row>
    <row r="177" spans="2:2" x14ac:dyDescent="0.2">
      <c r="B177" s="380"/>
    </row>
    <row r="178" spans="2:2" x14ac:dyDescent="0.2">
      <c r="B178" s="380"/>
    </row>
    <row r="179" spans="2:2" x14ac:dyDescent="0.2">
      <c r="B179" s="380"/>
    </row>
    <row r="180" spans="2:2" x14ac:dyDescent="0.2">
      <c r="B180" s="380"/>
    </row>
    <row r="181" spans="2:2" x14ac:dyDescent="0.2">
      <c r="B181" s="380"/>
    </row>
    <row r="182" spans="2:2" x14ac:dyDescent="0.2">
      <c r="B182" s="380"/>
    </row>
    <row r="183" spans="2:2" x14ac:dyDescent="0.2">
      <c r="B183" s="380"/>
    </row>
    <row r="184" spans="2:2" x14ac:dyDescent="0.2">
      <c r="B184" s="380"/>
    </row>
    <row r="185" spans="2:2" x14ac:dyDescent="0.2">
      <c r="B185" s="380"/>
    </row>
    <row r="186" spans="2:2" x14ac:dyDescent="0.2">
      <c r="B186" s="380"/>
    </row>
    <row r="187" spans="2:2" x14ac:dyDescent="0.2">
      <c r="B187" s="380"/>
    </row>
    <row r="188" spans="2:2" x14ac:dyDescent="0.2">
      <c r="B188" s="380"/>
    </row>
    <row r="189" spans="2:2" x14ac:dyDescent="0.2">
      <c r="B189" s="380"/>
    </row>
    <row r="190" spans="2:2" x14ac:dyDescent="0.2">
      <c r="B190" s="380"/>
    </row>
    <row r="191" spans="2:2" x14ac:dyDescent="0.2">
      <c r="B191" s="380"/>
    </row>
    <row r="192" spans="2:2" x14ac:dyDescent="0.2">
      <c r="B192" s="380"/>
    </row>
    <row r="193" spans="2:2" x14ac:dyDescent="0.2">
      <c r="B193" s="380"/>
    </row>
    <row r="194" spans="2:2" x14ac:dyDescent="0.2">
      <c r="B194" s="380"/>
    </row>
    <row r="195" spans="2:2" x14ac:dyDescent="0.2">
      <c r="B195" s="380"/>
    </row>
    <row r="196" spans="2:2" x14ac:dyDescent="0.2">
      <c r="B196" s="380"/>
    </row>
    <row r="197" spans="2:2" x14ac:dyDescent="0.2">
      <c r="B197" s="380"/>
    </row>
    <row r="198" spans="2:2" x14ac:dyDescent="0.2">
      <c r="B198" s="380"/>
    </row>
    <row r="199" spans="2:2" x14ac:dyDescent="0.2">
      <c r="B199" s="380"/>
    </row>
    <row r="200" spans="2:2" x14ac:dyDescent="0.2">
      <c r="B200" s="380"/>
    </row>
    <row r="201" spans="2:2" x14ac:dyDescent="0.2">
      <c r="B201" s="380"/>
    </row>
    <row r="202" spans="2:2" x14ac:dyDescent="0.2">
      <c r="B202" s="380"/>
    </row>
    <row r="203" spans="2:2" x14ac:dyDescent="0.2">
      <c r="B203" s="380"/>
    </row>
    <row r="204" spans="2:2" x14ac:dyDescent="0.2">
      <c r="B204" s="380"/>
    </row>
    <row r="205" spans="2:2" x14ac:dyDescent="0.2">
      <c r="B205" s="380"/>
    </row>
    <row r="206" spans="2:2" x14ac:dyDescent="0.2">
      <c r="B206" s="380"/>
    </row>
    <row r="207" spans="2:2" x14ac:dyDescent="0.2">
      <c r="B207" s="380"/>
    </row>
    <row r="208" spans="2:2" x14ac:dyDescent="0.2">
      <c r="B208" s="380"/>
    </row>
    <row r="209" spans="2:2" x14ac:dyDescent="0.2">
      <c r="B209" s="380"/>
    </row>
    <row r="210" spans="2:2" x14ac:dyDescent="0.2">
      <c r="B210" s="380"/>
    </row>
    <row r="211" spans="2:2" x14ac:dyDescent="0.2">
      <c r="B211" s="380"/>
    </row>
    <row r="212" spans="2:2" x14ac:dyDescent="0.2">
      <c r="B212" s="380"/>
    </row>
    <row r="213" spans="2:2" x14ac:dyDescent="0.2">
      <c r="B213" s="380"/>
    </row>
    <row r="214" spans="2:2" x14ac:dyDescent="0.2">
      <c r="B214" s="380"/>
    </row>
    <row r="215" spans="2:2" x14ac:dyDescent="0.2">
      <c r="B215" s="380"/>
    </row>
    <row r="216" spans="2:2" x14ac:dyDescent="0.2">
      <c r="B216" s="380"/>
    </row>
    <row r="217" spans="2:2" x14ac:dyDescent="0.2">
      <c r="B217" s="380"/>
    </row>
    <row r="218" spans="2:2" x14ac:dyDescent="0.2">
      <c r="B218" s="380"/>
    </row>
    <row r="219" spans="2:2" x14ac:dyDescent="0.2">
      <c r="B219" s="380"/>
    </row>
    <row r="220" spans="2:2" x14ac:dyDescent="0.2">
      <c r="B220" s="380"/>
    </row>
    <row r="221" spans="2:2" x14ac:dyDescent="0.2">
      <c r="B221" s="380"/>
    </row>
    <row r="222" spans="2:2" x14ac:dyDescent="0.2">
      <c r="B222" s="380"/>
    </row>
    <row r="223" spans="2:2" x14ac:dyDescent="0.2">
      <c r="B223" s="380"/>
    </row>
    <row r="224" spans="2:2" x14ac:dyDescent="0.2">
      <c r="B224" s="380"/>
    </row>
    <row r="225" spans="2:2" x14ac:dyDescent="0.2">
      <c r="B225" s="380"/>
    </row>
    <row r="226" spans="2:2" x14ac:dyDescent="0.2">
      <c r="B226" s="380"/>
    </row>
    <row r="227" spans="2:2" x14ac:dyDescent="0.2">
      <c r="B227" s="380"/>
    </row>
    <row r="228" spans="2:2" x14ac:dyDescent="0.2">
      <c r="B228" s="380"/>
    </row>
    <row r="229" spans="2:2" x14ac:dyDescent="0.2">
      <c r="B229" s="380"/>
    </row>
    <row r="230" spans="2:2" x14ac:dyDescent="0.2">
      <c r="B230" s="380"/>
    </row>
    <row r="231" spans="2:2" x14ac:dyDescent="0.2">
      <c r="B231" s="380"/>
    </row>
    <row r="232" spans="2:2" x14ac:dyDescent="0.2">
      <c r="B232" s="380"/>
    </row>
    <row r="233" spans="2:2" x14ac:dyDescent="0.2">
      <c r="B233" s="380"/>
    </row>
    <row r="234" spans="2:2" x14ac:dyDescent="0.2">
      <c r="B234" s="380"/>
    </row>
    <row r="235" spans="2:2" x14ac:dyDescent="0.2">
      <c r="B235" s="380"/>
    </row>
    <row r="236" spans="2:2" x14ac:dyDescent="0.2">
      <c r="B236" s="380"/>
    </row>
    <row r="237" spans="2:2" x14ac:dyDescent="0.2">
      <c r="B237" s="380"/>
    </row>
    <row r="238" spans="2:2" x14ac:dyDescent="0.2">
      <c r="B238" s="380"/>
    </row>
    <row r="239" spans="2:2" x14ac:dyDescent="0.2">
      <c r="B239" s="380"/>
    </row>
    <row r="240" spans="2:2" x14ac:dyDescent="0.2">
      <c r="B240" s="380"/>
    </row>
    <row r="241" spans="2:2" x14ac:dyDescent="0.2">
      <c r="B241" s="380"/>
    </row>
    <row r="242" spans="2:2" x14ac:dyDescent="0.2">
      <c r="B242" s="380"/>
    </row>
    <row r="243" spans="2:2" x14ac:dyDescent="0.2">
      <c r="B243" s="380"/>
    </row>
    <row r="244" spans="2:2" x14ac:dyDescent="0.2">
      <c r="B244" s="380"/>
    </row>
    <row r="245" spans="2:2" x14ac:dyDescent="0.2">
      <c r="B245" s="380"/>
    </row>
    <row r="246" spans="2:2" x14ac:dyDescent="0.2">
      <c r="B246" s="380"/>
    </row>
    <row r="247" spans="2:2" x14ac:dyDescent="0.2">
      <c r="B247" s="380"/>
    </row>
    <row r="248" spans="2:2" x14ac:dyDescent="0.2">
      <c r="B248" s="380"/>
    </row>
    <row r="249" spans="2:2" x14ac:dyDescent="0.2">
      <c r="B249" s="380"/>
    </row>
    <row r="250" spans="2:2" x14ac:dyDescent="0.2">
      <c r="B250" s="380"/>
    </row>
    <row r="251" spans="2:2" x14ac:dyDescent="0.2">
      <c r="B251" s="380"/>
    </row>
    <row r="252" spans="2:2" x14ac:dyDescent="0.2">
      <c r="B252" s="380"/>
    </row>
    <row r="253" spans="2:2" x14ac:dyDescent="0.2">
      <c r="B253" s="380"/>
    </row>
    <row r="254" spans="2:2" x14ac:dyDescent="0.2">
      <c r="B254" s="380"/>
    </row>
    <row r="255" spans="2:2" x14ac:dyDescent="0.2">
      <c r="B255" s="380"/>
    </row>
    <row r="256" spans="2:2" x14ac:dyDescent="0.2">
      <c r="B256" s="380"/>
    </row>
    <row r="257" spans="2:2" x14ac:dyDescent="0.2">
      <c r="B257" s="380"/>
    </row>
    <row r="258" spans="2:2" x14ac:dyDescent="0.2">
      <c r="B258" s="380"/>
    </row>
    <row r="259" spans="2:2" x14ac:dyDescent="0.2">
      <c r="B259" s="380"/>
    </row>
    <row r="260" spans="2:2" x14ac:dyDescent="0.2">
      <c r="B260" s="380"/>
    </row>
    <row r="261" spans="2:2" x14ac:dyDescent="0.2">
      <c r="B261" s="380"/>
    </row>
    <row r="262" spans="2:2" x14ac:dyDescent="0.2">
      <c r="B262" s="380"/>
    </row>
    <row r="263" spans="2:2" x14ac:dyDescent="0.2">
      <c r="B263" s="380"/>
    </row>
    <row r="264" spans="2:2" x14ac:dyDescent="0.2">
      <c r="B264" s="380"/>
    </row>
    <row r="265" spans="2:2" x14ac:dyDescent="0.2">
      <c r="B265" s="380"/>
    </row>
    <row r="266" spans="2:2" x14ac:dyDescent="0.2">
      <c r="B266" s="380"/>
    </row>
    <row r="267" spans="2:2" x14ac:dyDescent="0.2">
      <c r="B267" s="380"/>
    </row>
    <row r="268" spans="2:2" x14ac:dyDescent="0.2">
      <c r="B268" s="380"/>
    </row>
    <row r="269" spans="2:2" x14ac:dyDescent="0.2">
      <c r="B269" s="380"/>
    </row>
    <row r="270" spans="2:2" x14ac:dyDescent="0.2">
      <c r="B270" s="380"/>
    </row>
    <row r="271" spans="2:2" x14ac:dyDescent="0.2">
      <c r="B271" s="380"/>
    </row>
    <row r="272" spans="2:2" x14ac:dyDescent="0.2">
      <c r="B272" s="380"/>
    </row>
    <row r="273" spans="2:2" x14ac:dyDescent="0.2">
      <c r="B273" s="380"/>
    </row>
    <row r="274" spans="2:2" x14ac:dyDescent="0.2">
      <c r="B274" s="380"/>
    </row>
    <row r="275" spans="2:2" x14ac:dyDescent="0.2">
      <c r="B275" s="380"/>
    </row>
    <row r="276" spans="2:2" x14ac:dyDescent="0.2">
      <c r="B276" s="380"/>
    </row>
    <row r="277" spans="2:2" x14ac:dyDescent="0.2">
      <c r="B277" s="380"/>
    </row>
    <row r="278" spans="2:2" x14ac:dyDescent="0.2">
      <c r="B278" s="380"/>
    </row>
    <row r="279" spans="2:2" x14ac:dyDescent="0.2">
      <c r="B279" s="380"/>
    </row>
    <row r="280" spans="2:2" x14ac:dyDescent="0.2">
      <c r="B280" s="380"/>
    </row>
    <row r="281" spans="2:2" x14ac:dyDescent="0.2">
      <c r="B281" s="380"/>
    </row>
    <row r="282" spans="2:2" x14ac:dyDescent="0.2">
      <c r="B282" s="380"/>
    </row>
    <row r="283" spans="2:2" x14ac:dyDescent="0.2">
      <c r="B283" s="380"/>
    </row>
    <row r="284" spans="2:2" x14ac:dyDescent="0.2">
      <c r="B284" s="380"/>
    </row>
    <row r="285" spans="2:2" x14ac:dyDescent="0.2">
      <c r="B285" s="380"/>
    </row>
    <row r="286" spans="2:2" x14ac:dyDescent="0.2">
      <c r="B286" s="380"/>
    </row>
    <row r="287" spans="2:2" x14ac:dyDescent="0.2">
      <c r="B287" s="380"/>
    </row>
    <row r="288" spans="2:2" x14ac:dyDescent="0.2">
      <c r="B288" s="380"/>
    </row>
    <row r="289" spans="2:2" x14ac:dyDescent="0.2">
      <c r="B289" s="380"/>
    </row>
    <row r="290" spans="2:2" x14ac:dyDescent="0.2">
      <c r="B290" s="380"/>
    </row>
    <row r="291" spans="2:2" x14ac:dyDescent="0.2">
      <c r="B291" s="380"/>
    </row>
    <row r="292" spans="2:2" x14ac:dyDescent="0.2">
      <c r="B292" s="380"/>
    </row>
    <row r="293" spans="2:2" x14ac:dyDescent="0.2">
      <c r="B293" s="380"/>
    </row>
    <row r="294" spans="2:2" x14ac:dyDescent="0.2">
      <c r="B294" s="380"/>
    </row>
    <row r="295" spans="2:2" x14ac:dyDescent="0.2">
      <c r="B295" s="380"/>
    </row>
    <row r="296" spans="2:2" x14ac:dyDescent="0.2">
      <c r="B296" s="380"/>
    </row>
    <row r="297" spans="2:2" x14ac:dyDescent="0.2">
      <c r="B297" s="380"/>
    </row>
    <row r="298" spans="2:2" x14ac:dyDescent="0.2">
      <c r="B298" s="380"/>
    </row>
    <row r="299" spans="2:2" x14ac:dyDescent="0.2">
      <c r="B299" s="380"/>
    </row>
    <row r="300" spans="2:2" x14ac:dyDescent="0.2">
      <c r="B300" s="380"/>
    </row>
    <row r="301" spans="2:2" x14ac:dyDescent="0.2">
      <c r="B301" s="380"/>
    </row>
    <row r="302" spans="2:2" x14ac:dyDescent="0.2">
      <c r="B302" s="380"/>
    </row>
    <row r="303" spans="2:2" x14ac:dyDescent="0.2">
      <c r="B303" s="380"/>
    </row>
    <row r="304" spans="2:2" x14ac:dyDescent="0.2">
      <c r="B304" s="380"/>
    </row>
    <row r="305" spans="2:2" x14ac:dyDescent="0.2">
      <c r="B305" s="380"/>
    </row>
    <row r="306" spans="2:2" x14ac:dyDescent="0.2">
      <c r="B306" s="380"/>
    </row>
    <row r="307" spans="2:2" x14ac:dyDescent="0.2">
      <c r="B307" s="380"/>
    </row>
    <row r="308" spans="2:2" x14ac:dyDescent="0.2">
      <c r="B308" s="380"/>
    </row>
    <row r="309" spans="2:2" x14ac:dyDescent="0.2">
      <c r="B309" s="380"/>
    </row>
    <row r="310" spans="2:2" x14ac:dyDescent="0.2">
      <c r="B310" s="380"/>
    </row>
    <row r="311" spans="2:2" x14ac:dyDescent="0.2">
      <c r="B311" s="380"/>
    </row>
    <row r="312" spans="2:2" x14ac:dyDescent="0.2">
      <c r="B312" s="380"/>
    </row>
    <row r="313" spans="2:2" x14ac:dyDescent="0.2">
      <c r="B313" s="380"/>
    </row>
    <row r="314" spans="2:2" x14ac:dyDescent="0.2">
      <c r="B314" s="380"/>
    </row>
    <row r="315" spans="2:2" x14ac:dyDescent="0.2">
      <c r="B315" s="380"/>
    </row>
    <row r="316" spans="2:2" x14ac:dyDescent="0.2">
      <c r="B316" s="380"/>
    </row>
    <row r="317" spans="2:2" x14ac:dyDescent="0.2">
      <c r="B317" s="380"/>
    </row>
    <row r="318" spans="2:2" x14ac:dyDescent="0.2">
      <c r="B318" s="380"/>
    </row>
    <row r="319" spans="2:2" x14ac:dyDescent="0.2">
      <c r="B319" s="380"/>
    </row>
    <row r="320" spans="2:2" x14ac:dyDescent="0.2">
      <c r="B320" s="380"/>
    </row>
    <row r="321" spans="2:2" x14ac:dyDescent="0.2">
      <c r="B321" s="380"/>
    </row>
    <row r="322" spans="2:2" x14ac:dyDescent="0.2">
      <c r="B322" s="380"/>
    </row>
    <row r="323" spans="2:2" x14ac:dyDescent="0.2">
      <c r="B323" s="380"/>
    </row>
    <row r="324" spans="2:2" x14ac:dyDescent="0.2">
      <c r="B324" s="380"/>
    </row>
    <row r="325" spans="2:2" x14ac:dyDescent="0.2">
      <c r="B325" s="380"/>
    </row>
    <row r="326" spans="2:2" x14ac:dyDescent="0.2">
      <c r="B326" s="380"/>
    </row>
    <row r="327" spans="2:2" x14ac:dyDescent="0.2">
      <c r="B327" s="380"/>
    </row>
    <row r="328" spans="2:2" x14ac:dyDescent="0.2">
      <c r="B328" s="380"/>
    </row>
    <row r="329" spans="2:2" x14ac:dyDescent="0.2">
      <c r="B329" s="380"/>
    </row>
    <row r="330" spans="2:2" x14ac:dyDescent="0.2">
      <c r="B330" s="380"/>
    </row>
    <row r="331" spans="2:2" x14ac:dyDescent="0.2">
      <c r="B331" s="380"/>
    </row>
    <row r="332" spans="2:2" x14ac:dyDescent="0.2">
      <c r="B332" s="380"/>
    </row>
    <row r="333" spans="2:2" x14ac:dyDescent="0.2">
      <c r="B333" s="380"/>
    </row>
    <row r="334" spans="2:2" x14ac:dyDescent="0.2">
      <c r="B334" s="380"/>
    </row>
    <row r="335" spans="2:2" x14ac:dyDescent="0.2">
      <c r="B335" s="380"/>
    </row>
    <row r="336" spans="2:2" x14ac:dyDescent="0.2">
      <c r="B336" s="380"/>
    </row>
    <row r="337" spans="2:2" x14ac:dyDescent="0.2">
      <c r="B337" s="380"/>
    </row>
    <row r="338" spans="2:2" x14ac:dyDescent="0.2">
      <c r="B338" s="380"/>
    </row>
    <row r="339" spans="2:2" x14ac:dyDescent="0.2">
      <c r="B339" s="380"/>
    </row>
    <row r="340" spans="2:2" x14ac:dyDescent="0.2">
      <c r="B340" s="380"/>
    </row>
    <row r="341" spans="2:2" x14ac:dyDescent="0.2">
      <c r="B341" s="380"/>
    </row>
    <row r="342" spans="2:2" x14ac:dyDescent="0.2">
      <c r="B342" s="380"/>
    </row>
    <row r="343" spans="2:2" x14ac:dyDescent="0.2">
      <c r="B343" s="380"/>
    </row>
    <row r="344" spans="2:2" x14ac:dyDescent="0.2">
      <c r="B344" s="380"/>
    </row>
    <row r="345" spans="2:2" x14ac:dyDescent="0.2">
      <c r="B345" s="380"/>
    </row>
    <row r="346" spans="2:2" x14ac:dyDescent="0.2">
      <c r="B346" s="380"/>
    </row>
    <row r="347" spans="2:2" x14ac:dyDescent="0.2">
      <c r="B347" s="380"/>
    </row>
    <row r="348" spans="2:2" x14ac:dyDescent="0.2">
      <c r="B348" s="380"/>
    </row>
    <row r="349" spans="2:2" x14ac:dyDescent="0.2">
      <c r="B349" s="380"/>
    </row>
    <row r="350" spans="2:2" x14ac:dyDescent="0.2">
      <c r="B350" s="380"/>
    </row>
    <row r="351" spans="2:2" x14ac:dyDescent="0.2">
      <c r="B351" s="380"/>
    </row>
    <row r="352" spans="2:2" x14ac:dyDescent="0.2">
      <c r="B352" s="380"/>
    </row>
    <row r="353" spans="2:2" x14ac:dyDescent="0.2">
      <c r="B353" s="380"/>
    </row>
    <row r="354" spans="2:2" x14ac:dyDescent="0.2">
      <c r="B354" s="380"/>
    </row>
    <row r="355" spans="2:2" x14ac:dyDescent="0.2">
      <c r="B355" s="380"/>
    </row>
    <row r="356" spans="2:2" x14ac:dyDescent="0.2">
      <c r="B356" s="380"/>
    </row>
    <row r="357" spans="2:2" x14ac:dyDescent="0.2">
      <c r="B357" s="380"/>
    </row>
    <row r="358" spans="2:2" x14ac:dyDescent="0.2">
      <c r="B358" s="380"/>
    </row>
    <row r="359" spans="2:2" x14ac:dyDescent="0.2">
      <c r="B359" s="380"/>
    </row>
    <row r="360" spans="2:2" x14ac:dyDescent="0.2">
      <c r="B360" s="380"/>
    </row>
    <row r="361" spans="2:2" x14ac:dyDescent="0.2">
      <c r="B361" s="380"/>
    </row>
    <row r="362" spans="2:2" x14ac:dyDescent="0.2">
      <c r="B362" s="380"/>
    </row>
    <row r="363" spans="2:2" x14ac:dyDescent="0.2">
      <c r="B363" s="380"/>
    </row>
    <row r="364" spans="2:2" x14ac:dyDescent="0.2">
      <c r="B364" s="380"/>
    </row>
    <row r="365" spans="2:2" x14ac:dyDescent="0.2">
      <c r="B365" s="380"/>
    </row>
    <row r="366" spans="2:2" x14ac:dyDescent="0.2">
      <c r="B366" s="380"/>
    </row>
    <row r="367" spans="2:2" x14ac:dyDescent="0.2">
      <c r="B367" s="380"/>
    </row>
    <row r="368" spans="2:2" x14ac:dyDescent="0.2">
      <c r="B368" s="380"/>
    </row>
    <row r="369" spans="2:2" x14ac:dyDescent="0.2">
      <c r="B369" s="380"/>
    </row>
    <row r="370" spans="2:2" x14ac:dyDescent="0.2">
      <c r="B370" s="380"/>
    </row>
    <row r="371" spans="2:2" x14ac:dyDescent="0.2">
      <c r="B371" s="380"/>
    </row>
    <row r="372" spans="2:2" x14ac:dyDescent="0.2">
      <c r="B372" s="380"/>
    </row>
    <row r="373" spans="2:2" x14ac:dyDescent="0.2">
      <c r="B373" s="380"/>
    </row>
    <row r="374" spans="2:2" x14ac:dyDescent="0.2">
      <c r="B374" s="380"/>
    </row>
    <row r="375" spans="2:2" x14ac:dyDescent="0.2">
      <c r="B375" s="380"/>
    </row>
    <row r="376" spans="2:2" x14ac:dyDescent="0.2">
      <c r="B376" s="380"/>
    </row>
    <row r="377" spans="2:2" x14ac:dyDescent="0.2">
      <c r="B377" s="380"/>
    </row>
    <row r="378" spans="2:2" x14ac:dyDescent="0.2">
      <c r="B378" s="380"/>
    </row>
    <row r="379" spans="2:2" x14ac:dyDescent="0.2">
      <c r="B379" s="380"/>
    </row>
    <row r="380" spans="2:2" x14ac:dyDescent="0.2">
      <c r="B380" s="380"/>
    </row>
    <row r="381" spans="2:2" x14ac:dyDescent="0.2">
      <c r="B381" s="380"/>
    </row>
    <row r="382" spans="2:2" x14ac:dyDescent="0.2">
      <c r="B382" s="380"/>
    </row>
    <row r="383" spans="2:2" x14ac:dyDescent="0.2">
      <c r="B383" s="380"/>
    </row>
    <row r="384" spans="2:2" x14ac:dyDescent="0.2">
      <c r="B384" s="380"/>
    </row>
    <row r="385" spans="2:2" x14ac:dyDescent="0.2">
      <c r="B385" s="380"/>
    </row>
    <row r="386" spans="2:2" x14ac:dyDescent="0.2">
      <c r="B386" s="380"/>
    </row>
    <row r="387" spans="2:2" x14ac:dyDescent="0.2">
      <c r="B387" s="380"/>
    </row>
    <row r="388" spans="2:2" x14ac:dyDescent="0.2">
      <c r="B388" s="380"/>
    </row>
    <row r="389" spans="2:2" x14ac:dyDescent="0.2">
      <c r="B389" s="380"/>
    </row>
    <row r="390" spans="2:2" x14ac:dyDescent="0.2">
      <c r="B390" s="380"/>
    </row>
    <row r="391" spans="2:2" x14ac:dyDescent="0.2">
      <c r="B391" s="380"/>
    </row>
    <row r="392" spans="2:2" x14ac:dyDescent="0.2">
      <c r="B392" s="380"/>
    </row>
    <row r="393" spans="2:2" x14ac:dyDescent="0.2">
      <c r="B393" s="380"/>
    </row>
    <row r="394" spans="2:2" x14ac:dyDescent="0.2">
      <c r="B394" s="380"/>
    </row>
    <row r="395" spans="2:2" x14ac:dyDescent="0.2">
      <c r="B395" s="380"/>
    </row>
    <row r="396" spans="2:2" x14ac:dyDescent="0.2">
      <c r="B396" s="380"/>
    </row>
    <row r="397" spans="2:2" x14ac:dyDescent="0.2">
      <c r="B397" s="380"/>
    </row>
    <row r="398" spans="2:2" x14ac:dyDescent="0.2">
      <c r="B398" s="380"/>
    </row>
    <row r="399" spans="2:2" x14ac:dyDescent="0.2">
      <c r="B399" s="380"/>
    </row>
    <row r="400" spans="2:2" x14ac:dyDescent="0.2">
      <c r="B400" s="380"/>
    </row>
    <row r="401" spans="2:2" x14ac:dyDescent="0.2">
      <c r="B401" s="380"/>
    </row>
    <row r="402" spans="2:2" x14ac:dyDescent="0.2">
      <c r="B402" s="380"/>
    </row>
    <row r="403" spans="2:2" x14ac:dyDescent="0.2">
      <c r="B403" s="380"/>
    </row>
    <row r="404" spans="2:2" x14ac:dyDescent="0.2">
      <c r="B404" s="380"/>
    </row>
    <row r="405" spans="2:2" x14ac:dyDescent="0.2">
      <c r="B405" s="380"/>
    </row>
    <row r="406" spans="2:2" x14ac:dyDescent="0.2">
      <c r="B406" s="380"/>
    </row>
    <row r="407" spans="2:2" x14ac:dyDescent="0.2">
      <c r="B407" s="380"/>
    </row>
    <row r="408" spans="2:2" x14ac:dyDescent="0.2">
      <c r="B408" s="380"/>
    </row>
    <row r="409" spans="2:2" x14ac:dyDescent="0.2">
      <c r="B409" s="380"/>
    </row>
    <row r="410" spans="2:2" x14ac:dyDescent="0.2">
      <c r="B410" s="380"/>
    </row>
    <row r="411" spans="2:2" x14ac:dyDescent="0.2">
      <c r="B411" s="380"/>
    </row>
    <row r="412" spans="2:2" x14ac:dyDescent="0.2">
      <c r="B412" s="380"/>
    </row>
    <row r="413" spans="2:2" x14ac:dyDescent="0.2">
      <c r="B413" s="380"/>
    </row>
    <row r="414" spans="2:2" x14ac:dyDescent="0.2">
      <c r="B414" s="380"/>
    </row>
    <row r="415" spans="2:2" x14ac:dyDescent="0.2">
      <c r="B415" s="380"/>
    </row>
    <row r="416" spans="2:2" x14ac:dyDescent="0.2">
      <c r="B416" s="380"/>
    </row>
    <row r="417" spans="2:2" x14ac:dyDescent="0.2">
      <c r="B417" s="380"/>
    </row>
    <row r="418" spans="2:2" x14ac:dyDescent="0.2">
      <c r="B418" s="380"/>
    </row>
    <row r="419" spans="2:2" x14ac:dyDescent="0.2">
      <c r="B419" s="380"/>
    </row>
    <row r="420" spans="2:2" x14ac:dyDescent="0.2">
      <c r="B420" s="380"/>
    </row>
    <row r="421" spans="2:2" x14ac:dyDescent="0.2">
      <c r="B421" s="380"/>
    </row>
    <row r="422" spans="2:2" x14ac:dyDescent="0.2">
      <c r="B422" s="380"/>
    </row>
    <row r="423" spans="2:2" x14ac:dyDescent="0.2">
      <c r="B423" s="380"/>
    </row>
    <row r="424" spans="2:2" x14ac:dyDescent="0.2">
      <c r="B424" s="380"/>
    </row>
    <row r="425" spans="2:2" x14ac:dyDescent="0.2">
      <c r="B425" s="380"/>
    </row>
    <row r="426" spans="2:2" x14ac:dyDescent="0.2">
      <c r="B426" s="380"/>
    </row>
    <row r="427" spans="2:2" x14ac:dyDescent="0.2">
      <c r="B427" s="380"/>
    </row>
    <row r="428" spans="2:2" x14ac:dyDescent="0.2">
      <c r="B428" s="380"/>
    </row>
    <row r="429" spans="2:2" x14ac:dyDescent="0.2">
      <c r="B429" s="380"/>
    </row>
    <row r="430" spans="2:2" x14ac:dyDescent="0.2">
      <c r="B430" s="380"/>
    </row>
    <row r="431" spans="2:2" x14ac:dyDescent="0.2">
      <c r="B431" s="380"/>
    </row>
    <row r="432" spans="2:2" x14ac:dyDescent="0.2">
      <c r="B432" s="380"/>
    </row>
    <row r="433" spans="2:2" x14ac:dyDescent="0.2">
      <c r="B433" s="380"/>
    </row>
    <row r="434" spans="2:2" x14ac:dyDescent="0.2">
      <c r="B434" s="380"/>
    </row>
    <row r="435" spans="2:2" x14ac:dyDescent="0.2">
      <c r="B435" s="380"/>
    </row>
    <row r="436" spans="2:2" x14ac:dyDescent="0.2">
      <c r="B436" s="380"/>
    </row>
    <row r="437" spans="2:2" x14ac:dyDescent="0.2">
      <c r="B437" s="380"/>
    </row>
    <row r="438" spans="2:2" x14ac:dyDescent="0.2">
      <c r="B438" s="380"/>
    </row>
    <row r="439" spans="2:2" x14ac:dyDescent="0.2">
      <c r="B439" s="380"/>
    </row>
    <row r="440" spans="2:2" x14ac:dyDescent="0.2">
      <c r="B440" s="380"/>
    </row>
    <row r="441" spans="2:2" x14ac:dyDescent="0.2">
      <c r="B441" s="380"/>
    </row>
    <row r="442" spans="2:2" x14ac:dyDescent="0.2">
      <c r="B442" s="380"/>
    </row>
    <row r="443" spans="2:2" x14ac:dyDescent="0.2">
      <c r="B443" s="380"/>
    </row>
    <row r="444" spans="2:2" x14ac:dyDescent="0.2">
      <c r="B444" s="380"/>
    </row>
    <row r="445" spans="2:2" x14ac:dyDescent="0.2">
      <c r="B445" s="380"/>
    </row>
    <row r="446" spans="2:2" x14ac:dyDescent="0.2">
      <c r="B446" s="380"/>
    </row>
    <row r="447" spans="2:2" x14ac:dyDescent="0.2">
      <c r="B447" s="380"/>
    </row>
    <row r="448" spans="2:2" x14ac:dyDescent="0.2">
      <c r="B448" s="380"/>
    </row>
    <row r="449" spans="2:2" x14ac:dyDescent="0.2">
      <c r="B449" s="380"/>
    </row>
    <row r="450" spans="2:2" x14ac:dyDescent="0.2">
      <c r="B450" s="380"/>
    </row>
    <row r="451" spans="2:2" x14ac:dyDescent="0.2">
      <c r="B451" s="380"/>
    </row>
    <row r="452" spans="2:2" x14ac:dyDescent="0.2">
      <c r="B452" s="380"/>
    </row>
    <row r="453" spans="2:2" x14ac:dyDescent="0.2">
      <c r="B453" s="380"/>
    </row>
    <row r="454" spans="2:2" x14ac:dyDescent="0.2">
      <c r="B454" s="380"/>
    </row>
    <row r="455" spans="2:2" x14ac:dyDescent="0.2">
      <c r="B455" s="380"/>
    </row>
    <row r="456" spans="2:2" x14ac:dyDescent="0.2">
      <c r="B456" s="380"/>
    </row>
    <row r="457" spans="2:2" x14ac:dyDescent="0.2">
      <c r="B457" s="380"/>
    </row>
    <row r="458" spans="2:2" x14ac:dyDescent="0.2">
      <c r="B458" s="380"/>
    </row>
    <row r="459" spans="2:2" x14ac:dyDescent="0.2">
      <c r="B459" s="380"/>
    </row>
    <row r="460" spans="2:2" x14ac:dyDescent="0.2">
      <c r="B460" s="380"/>
    </row>
    <row r="461" spans="2:2" x14ac:dyDescent="0.2">
      <c r="B461" s="380"/>
    </row>
    <row r="462" spans="2:2" x14ac:dyDescent="0.2">
      <c r="B462" s="380"/>
    </row>
    <row r="463" spans="2:2" x14ac:dyDescent="0.2">
      <c r="B463" s="380"/>
    </row>
    <row r="464" spans="2:2" x14ac:dyDescent="0.2">
      <c r="B464" s="380"/>
    </row>
    <row r="465" spans="2:2" x14ac:dyDescent="0.2">
      <c r="B465" s="380"/>
    </row>
    <row r="466" spans="2:2" x14ac:dyDescent="0.2">
      <c r="B466" s="380"/>
    </row>
    <row r="467" spans="2:2" x14ac:dyDescent="0.2">
      <c r="B467" s="380"/>
    </row>
    <row r="468" spans="2:2" x14ac:dyDescent="0.2">
      <c r="B468" s="380"/>
    </row>
    <row r="469" spans="2:2" x14ac:dyDescent="0.2">
      <c r="B469" s="380"/>
    </row>
    <row r="470" spans="2:2" x14ac:dyDescent="0.2">
      <c r="B470" s="380"/>
    </row>
    <row r="471" spans="2:2" x14ac:dyDescent="0.2">
      <c r="B471" s="380"/>
    </row>
    <row r="472" spans="2:2" x14ac:dyDescent="0.2">
      <c r="B472" s="380"/>
    </row>
    <row r="473" spans="2:2" x14ac:dyDescent="0.2">
      <c r="B473" s="380"/>
    </row>
    <row r="474" spans="2:2" x14ac:dyDescent="0.2">
      <c r="B474" s="380"/>
    </row>
    <row r="475" spans="2:2" x14ac:dyDescent="0.2">
      <c r="B475" s="380"/>
    </row>
    <row r="476" spans="2:2" x14ac:dyDescent="0.2">
      <c r="B476" s="380"/>
    </row>
    <row r="477" spans="2:2" x14ac:dyDescent="0.2">
      <c r="B477" s="380"/>
    </row>
    <row r="478" spans="2:2" x14ac:dyDescent="0.2">
      <c r="B478" s="380"/>
    </row>
    <row r="479" spans="2:2" x14ac:dyDescent="0.2">
      <c r="B479" s="380"/>
    </row>
    <row r="480" spans="2:2" x14ac:dyDescent="0.2">
      <c r="B480" s="380"/>
    </row>
    <row r="481" spans="2:2" x14ac:dyDescent="0.2">
      <c r="B481" s="380"/>
    </row>
    <row r="482" spans="2:2" x14ac:dyDescent="0.2">
      <c r="B482" s="380"/>
    </row>
    <row r="483" spans="2:2" x14ac:dyDescent="0.2">
      <c r="B483" s="380"/>
    </row>
    <row r="484" spans="2:2" x14ac:dyDescent="0.2">
      <c r="B484" s="380"/>
    </row>
    <row r="485" spans="2:2" x14ac:dyDescent="0.2">
      <c r="B485" s="380"/>
    </row>
    <row r="486" spans="2:2" x14ac:dyDescent="0.2">
      <c r="B486" s="380"/>
    </row>
    <row r="487" spans="2:2" x14ac:dyDescent="0.2">
      <c r="B487" s="380"/>
    </row>
    <row r="488" spans="2:2" x14ac:dyDescent="0.2">
      <c r="B488" s="380"/>
    </row>
    <row r="489" spans="2:2" x14ac:dyDescent="0.2">
      <c r="B489" s="380"/>
    </row>
    <row r="490" spans="2:2" x14ac:dyDescent="0.2">
      <c r="B490" s="380"/>
    </row>
    <row r="491" spans="2:2" x14ac:dyDescent="0.2">
      <c r="B491" s="380"/>
    </row>
    <row r="492" spans="2:2" x14ac:dyDescent="0.2">
      <c r="B492" s="380"/>
    </row>
    <row r="493" spans="2:2" x14ac:dyDescent="0.2">
      <c r="B493" s="380"/>
    </row>
    <row r="494" spans="2:2" x14ac:dyDescent="0.2">
      <c r="B494" s="380"/>
    </row>
    <row r="495" spans="2:2" x14ac:dyDescent="0.2">
      <c r="B495" s="380"/>
    </row>
    <row r="496" spans="2:2" x14ac:dyDescent="0.2">
      <c r="B496" s="380"/>
    </row>
    <row r="497" spans="2:2" x14ac:dyDescent="0.2">
      <c r="B497" s="380"/>
    </row>
    <row r="498" spans="2:2" x14ac:dyDescent="0.2">
      <c r="B498" s="380"/>
    </row>
    <row r="499" spans="2:2" x14ac:dyDescent="0.2">
      <c r="B499" s="380"/>
    </row>
    <row r="500" spans="2:2" x14ac:dyDescent="0.2">
      <c r="B500" s="380"/>
    </row>
    <row r="501" spans="2:2" x14ac:dyDescent="0.2">
      <c r="B501" s="380"/>
    </row>
    <row r="502" spans="2:2" x14ac:dyDescent="0.2">
      <c r="B502" s="380"/>
    </row>
    <row r="503" spans="2:2" x14ac:dyDescent="0.2">
      <c r="B503" s="380"/>
    </row>
    <row r="504" spans="2:2" x14ac:dyDescent="0.2">
      <c r="B504" s="380"/>
    </row>
    <row r="505" spans="2:2" x14ac:dyDescent="0.2">
      <c r="B505" s="380"/>
    </row>
    <row r="506" spans="2:2" x14ac:dyDescent="0.2">
      <c r="B506" s="380"/>
    </row>
    <row r="507" spans="2:2" x14ac:dyDescent="0.2">
      <c r="B507" s="380"/>
    </row>
    <row r="508" spans="2:2" x14ac:dyDescent="0.2">
      <c r="B508" s="380"/>
    </row>
    <row r="509" spans="2:2" x14ac:dyDescent="0.2">
      <c r="B509" s="380"/>
    </row>
    <row r="510" spans="2:2" x14ac:dyDescent="0.2">
      <c r="B510" s="380"/>
    </row>
    <row r="511" spans="2:2" x14ac:dyDescent="0.2">
      <c r="B511" s="380"/>
    </row>
    <row r="512" spans="2:2" x14ac:dyDescent="0.2">
      <c r="B512" s="380"/>
    </row>
    <row r="513" spans="2:2" x14ac:dyDescent="0.2">
      <c r="B513" s="380"/>
    </row>
    <row r="514" spans="2:2" x14ac:dyDescent="0.2">
      <c r="B514" s="380"/>
    </row>
    <row r="515" spans="2:2" x14ac:dyDescent="0.2">
      <c r="B515" s="380"/>
    </row>
    <row r="516" spans="2:2" x14ac:dyDescent="0.2">
      <c r="B516" s="380"/>
    </row>
    <row r="517" spans="2:2" x14ac:dyDescent="0.2">
      <c r="B517" s="380"/>
    </row>
    <row r="518" spans="2:2" x14ac:dyDescent="0.2">
      <c r="B518" s="380"/>
    </row>
    <row r="519" spans="2:2" x14ac:dyDescent="0.2">
      <c r="B519" s="380"/>
    </row>
    <row r="520" spans="2:2" x14ac:dyDescent="0.2">
      <c r="B520" s="380"/>
    </row>
    <row r="521" spans="2:2" x14ac:dyDescent="0.2">
      <c r="B521" s="380"/>
    </row>
    <row r="522" spans="2:2" x14ac:dyDescent="0.2">
      <c r="B522" s="380"/>
    </row>
    <row r="523" spans="2:2" x14ac:dyDescent="0.2">
      <c r="B523" s="380"/>
    </row>
    <row r="524" spans="2:2" x14ac:dyDescent="0.2">
      <c r="B524" s="380"/>
    </row>
    <row r="525" spans="2:2" x14ac:dyDescent="0.2">
      <c r="B525" s="380"/>
    </row>
    <row r="526" spans="2:2" x14ac:dyDescent="0.2">
      <c r="B526" s="380"/>
    </row>
    <row r="527" spans="2:2" x14ac:dyDescent="0.2">
      <c r="B527" s="380"/>
    </row>
    <row r="528" spans="2:2" x14ac:dyDescent="0.2">
      <c r="B528" s="380"/>
    </row>
    <row r="529" spans="2:2" x14ac:dyDescent="0.2">
      <c r="B529" s="380"/>
    </row>
    <row r="530" spans="2:2" x14ac:dyDescent="0.2">
      <c r="B530" s="380"/>
    </row>
    <row r="531" spans="2:2" x14ac:dyDescent="0.2">
      <c r="B531" s="380"/>
    </row>
    <row r="532" spans="2:2" x14ac:dyDescent="0.2">
      <c r="B532" s="380"/>
    </row>
    <row r="533" spans="2:2" x14ac:dyDescent="0.2">
      <c r="B533" s="380"/>
    </row>
    <row r="534" spans="2:2" x14ac:dyDescent="0.2">
      <c r="B534" s="380"/>
    </row>
    <row r="535" spans="2:2" x14ac:dyDescent="0.2">
      <c r="B535" s="380"/>
    </row>
    <row r="536" spans="2:2" x14ac:dyDescent="0.2">
      <c r="B536" s="380"/>
    </row>
    <row r="537" spans="2:2" x14ac:dyDescent="0.2">
      <c r="B537" s="380"/>
    </row>
    <row r="538" spans="2:2" x14ac:dyDescent="0.2">
      <c r="B538" s="380"/>
    </row>
    <row r="539" spans="2:2" x14ac:dyDescent="0.2">
      <c r="B539" s="380"/>
    </row>
    <row r="540" spans="2:2" x14ac:dyDescent="0.2">
      <c r="B540" s="380"/>
    </row>
    <row r="541" spans="2:2" x14ac:dyDescent="0.2">
      <c r="B541" s="380"/>
    </row>
    <row r="542" spans="2:2" x14ac:dyDescent="0.2">
      <c r="B542" s="380"/>
    </row>
    <row r="543" spans="2:2" x14ac:dyDescent="0.2">
      <c r="B543" s="380"/>
    </row>
    <row r="544" spans="2:2" x14ac:dyDescent="0.2">
      <c r="B544" s="380"/>
    </row>
    <row r="545" spans="2:2" x14ac:dyDescent="0.2">
      <c r="B545" s="380"/>
    </row>
    <row r="546" spans="2:2" x14ac:dyDescent="0.2">
      <c r="B546" s="380"/>
    </row>
    <row r="547" spans="2:2" x14ac:dyDescent="0.2">
      <c r="B547" s="380"/>
    </row>
    <row r="548" spans="2:2" x14ac:dyDescent="0.2">
      <c r="B548" s="380"/>
    </row>
    <row r="549" spans="2:2" x14ac:dyDescent="0.2">
      <c r="B549" s="380"/>
    </row>
    <row r="550" spans="2:2" x14ac:dyDescent="0.2">
      <c r="B550" s="380"/>
    </row>
    <row r="551" spans="2:2" x14ac:dyDescent="0.2">
      <c r="B551" s="380"/>
    </row>
    <row r="552" spans="2:2" x14ac:dyDescent="0.2">
      <c r="B552" s="380"/>
    </row>
    <row r="553" spans="2:2" x14ac:dyDescent="0.2">
      <c r="B553" s="380"/>
    </row>
    <row r="554" spans="2:2" x14ac:dyDescent="0.2">
      <c r="B554" s="380"/>
    </row>
    <row r="555" spans="2:2" x14ac:dyDescent="0.2">
      <c r="B555" s="380"/>
    </row>
    <row r="556" spans="2:2" x14ac:dyDescent="0.2">
      <c r="B556" s="380"/>
    </row>
    <row r="557" spans="2:2" x14ac:dyDescent="0.2">
      <c r="B557" s="380"/>
    </row>
    <row r="558" spans="2:2" x14ac:dyDescent="0.2">
      <c r="B558" s="380"/>
    </row>
    <row r="559" spans="2:2" x14ac:dyDescent="0.2">
      <c r="B559" s="380"/>
    </row>
    <row r="560" spans="2:2" x14ac:dyDescent="0.2">
      <c r="B560" s="380"/>
    </row>
    <row r="561" spans="2:2" x14ac:dyDescent="0.2">
      <c r="B561" s="380"/>
    </row>
    <row r="562" spans="2:2" x14ac:dyDescent="0.2">
      <c r="B562" s="380"/>
    </row>
    <row r="563" spans="2:2" x14ac:dyDescent="0.2">
      <c r="B563" s="380"/>
    </row>
    <row r="564" spans="2:2" x14ac:dyDescent="0.2">
      <c r="B564" s="380"/>
    </row>
    <row r="565" spans="2:2" x14ac:dyDescent="0.2">
      <c r="B565" s="380"/>
    </row>
    <row r="566" spans="2:2" x14ac:dyDescent="0.2">
      <c r="B566" s="380"/>
    </row>
    <row r="567" spans="2:2" x14ac:dyDescent="0.2">
      <c r="B567" s="380"/>
    </row>
    <row r="568" spans="2:2" x14ac:dyDescent="0.2">
      <c r="B568" s="380"/>
    </row>
    <row r="569" spans="2:2" x14ac:dyDescent="0.2">
      <c r="B569" s="380"/>
    </row>
    <row r="570" spans="2:2" x14ac:dyDescent="0.2">
      <c r="B570" s="380"/>
    </row>
    <row r="571" spans="2:2" x14ac:dyDescent="0.2">
      <c r="B571" s="380"/>
    </row>
    <row r="572" spans="2:2" x14ac:dyDescent="0.2">
      <c r="B572" s="380"/>
    </row>
    <row r="573" spans="2:2" x14ac:dyDescent="0.2">
      <c r="B573" s="380"/>
    </row>
    <row r="574" spans="2:2" x14ac:dyDescent="0.2">
      <c r="B574" s="380"/>
    </row>
    <row r="575" spans="2:2" x14ac:dyDescent="0.2">
      <c r="B575" s="380"/>
    </row>
    <row r="576" spans="2:2" x14ac:dyDescent="0.2">
      <c r="B576" s="380"/>
    </row>
    <row r="577" spans="2:2" x14ac:dyDescent="0.2">
      <c r="B577" s="380"/>
    </row>
    <row r="578" spans="2:2" x14ac:dyDescent="0.2">
      <c r="B578" s="380"/>
    </row>
    <row r="579" spans="2:2" x14ac:dyDescent="0.2">
      <c r="B579" s="380"/>
    </row>
    <row r="580" spans="2:2" x14ac:dyDescent="0.2">
      <c r="B580" s="380"/>
    </row>
    <row r="581" spans="2:2" x14ac:dyDescent="0.2">
      <c r="B581" s="380"/>
    </row>
    <row r="582" spans="2:2" x14ac:dyDescent="0.2">
      <c r="B582" s="380"/>
    </row>
    <row r="583" spans="2:2" x14ac:dyDescent="0.2">
      <c r="B583" s="380"/>
    </row>
    <row r="584" spans="2:2" x14ac:dyDescent="0.2">
      <c r="B584" s="380"/>
    </row>
    <row r="585" spans="2:2" x14ac:dyDescent="0.2">
      <c r="B585" s="380"/>
    </row>
    <row r="586" spans="2:2" x14ac:dyDescent="0.2">
      <c r="B586" s="380"/>
    </row>
    <row r="587" spans="2:2" x14ac:dyDescent="0.2">
      <c r="B587" s="380"/>
    </row>
    <row r="588" spans="2:2" x14ac:dyDescent="0.2">
      <c r="B588" s="380"/>
    </row>
    <row r="589" spans="2:2" x14ac:dyDescent="0.2">
      <c r="B589" s="380"/>
    </row>
    <row r="590" spans="2:2" x14ac:dyDescent="0.2">
      <c r="B590" s="380"/>
    </row>
    <row r="591" spans="2:2" x14ac:dyDescent="0.2">
      <c r="B591" s="380"/>
    </row>
    <row r="592" spans="2:2" x14ac:dyDescent="0.2">
      <c r="B592" s="380"/>
    </row>
    <row r="593" spans="2:2" x14ac:dyDescent="0.2">
      <c r="B593" s="380"/>
    </row>
    <row r="594" spans="2:2" x14ac:dyDescent="0.2">
      <c r="B594" s="380"/>
    </row>
    <row r="595" spans="2:2" x14ac:dyDescent="0.2">
      <c r="B595" s="380"/>
    </row>
    <row r="596" spans="2:2" x14ac:dyDescent="0.2">
      <c r="B596" s="380"/>
    </row>
    <row r="597" spans="2:2" x14ac:dyDescent="0.2">
      <c r="B597" s="380"/>
    </row>
    <row r="598" spans="2:2" x14ac:dyDescent="0.2">
      <c r="B598" s="380"/>
    </row>
    <row r="599" spans="2:2" x14ac:dyDescent="0.2">
      <c r="B599" s="380"/>
    </row>
    <row r="600" spans="2:2" x14ac:dyDescent="0.2">
      <c r="B600" s="380"/>
    </row>
    <row r="601" spans="2:2" x14ac:dyDescent="0.2">
      <c r="B601" s="380"/>
    </row>
    <row r="602" spans="2:2" x14ac:dyDescent="0.2">
      <c r="B602" s="380"/>
    </row>
    <row r="603" spans="2:2" x14ac:dyDescent="0.2">
      <c r="B603" s="380"/>
    </row>
    <row r="604" spans="2:2" x14ac:dyDescent="0.2">
      <c r="B604" s="380"/>
    </row>
    <row r="605" spans="2:2" x14ac:dyDescent="0.2">
      <c r="B605" s="380"/>
    </row>
    <row r="606" spans="2:2" x14ac:dyDescent="0.2">
      <c r="B606" s="380"/>
    </row>
    <row r="607" spans="2:2" x14ac:dyDescent="0.2">
      <c r="B607" s="380"/>
    </row>
    <row r="608" spans="2:2" x14ac:dyDescent="0.2">
      <c r="B608" s="380"/>
    </row>
    <row r="609" spans="2:2" x14ac:dyDescent="0.2">
      <c r="B609" s="380"/>
    </row>
    <row r="610" spans="2:2" x14ac:dyDescent="0.2">
      <c r="B610" s="380"/>
    </row>
    <row r="611" spans="2:2" x14ac:dyDescent="0.2">
      <c r="B611" s="380"/>
    </row>
    <row r="612" spans="2:2" x14ac:dyDescent="0.2">
      <c r="B612" s="380"/>
    </row>
    <row r="613" spans="2:2" x14ac:dyDescent="0.2">
      <c r="B613" s="380"/>
    </row>
    <row r="614" spans="2:2" x14ac:dyDescent="0.2">
      <c r="B614" s="380"/>
    </row>
    <row r="615" spans="2:2" x14ac:dyDescent="0.2">
      <c r="B615" s="380"/>
    </row>
    <row r="616" spans="2:2" x14ac:dyDescent="0.2">
      <c r="B616" s="380"/>
    </row>
    <row r="617" spans="2:2" x14ac:dyDescent="0.2">
      <c r="B617" s="380"/>
    </row>
    <row r="618" spans="2:2" x14ac:dyDescent="0.2">
      <c r="B618" s="380"/>
    </row>
    <row r="619" spans="2:2" x14ac:dyDescent="0.2">
      <c r="B619" s="380"/>
    </row>
    <row r="620" spans="2:2" x14ac:dyDescent="0.2">
      <c r="B620" s="380"/>
    </row>
    <row r="621" spans="2:2" x14ac:dyDescent="0.2">
      <c r="B621" s="380"/>
    </row>
    <row r="622" spans="2:2" x14ac:dyDescent="0.2">
      <c r="B622" s="380"/>
    </row>
    <row r="623" spans="2:2" x14ac:dyDescent="0.2">
      <c r="B623" s="380"/>
    </row>
    <row r="624" spans="2:2" x14ac:dyDescent="0.2">
      <c r="B624" s="380"/>
    </row>
    <row r="625" spans="2:2" x14ac:dyDescent="0.2">
      <c r="B625" s="380"/>
    </row>
    <row r="626" spans="2:2" x14ac:dyDescent="0.2">
      <c r="B626" s="380"/>
    </row>
    <row r="627" spans="2:2" x14ac:dyDescent="0.2">
      <c r="B627" s="380"/>
    </row>
    <row r="628" spans="2:2" x14ac:dyDescent="0.2">
      <c r="B628" s="380"/>
    </row>
    <row r="629" spans="2:2" x14ac:dyDescent="0.2">
      <c r="B629" s="380"/>
    </row>
    <row r="630" spans="2:2" x14ac:dyDescent="0.2">
      <c r="B630" s="380"/>
    </row>
    <row r="631" spans="2:2" x14ac:dyDescent="0.2">
      <c r="B631" s="380"/>
    </row>
    <row r="632" spans="2:2" x14ac:dyDescent="0.2">
      <c r="B632" s="380"/>
    </row>
    <row r="633" spans="2:2" x14ac:dyDescent="0.2">
      <c r="B633" s="380"/>
    </row>
    <row r="634" spans="2:2" x14ac:dyDescent="0.2">
      <c r="B634" s="380"/>
    </row>
    <row r="635" spans="2:2" x14ac:dyDescent="0.2">
      <c r="B635" s="380"/>
    </row>
    <row r="636" spans="2:2" x14ac:dyDescent="0.2">
      <c r="B636" s="380"/>
    </row>
    <row r="637" spans="2:2" x14ac:dyDescent="0.2">
      <c r="B637" s="380"/>
    </row>
    <row r="638" spans="2:2" x14ac:dyDescent="0.2">
      <c r="B638" s="380"/>
    </row>
    <row r="639" spans="2:2" x14ac:dyDescent="0.2">
      <c r="B639" s="380"/>
    </row>
    <row r="640" spans="2:2" x14ac:dyDescent="0.2">
      <c r="B640" s="380"/>
    </row>
    <row r="641" spans="2:2" x14ac:dyDescent="0.2">
      <c r="B641" s="380"/>
    </row>
    <row r="642" spans="2:2" x14ac:dyDescent="0.2">
      <c r="B642" s="380"/>
    </row>
    <row r="643" spans="2:2" x14ac:dyDescent="0.2">
      <c r="B643" s="380"/>
    </row>
    <row r="644" spans="2:2" x14ac:dyDescent="0.2">
      <c r="B644" s="380"/>
    </row>
    <row r="645" spans="2:2" x14ac:dyDescent="0.2">
      <c r="B645" s="380"/>
    </row>
    <row r="646" spans="2:2" x14ac:dyDescent="0.2">
      <c r="B646" s="380"/>
    </row>
    <row r="647" spans="2:2" x14ac:dyDescent="0.2">
      <c r="B647" s="380"/>
    </row>
    <row r="648" spans="2:2" x14ac:dyDescent="0.2">
      <c r="B648" s="380"/>
    </row>
    <row r="649" spans="2:2" x14ac:dyDescent="0.2">
      <c r="B649" s="380"/>
    </row>
    <row r="650" spans="2:2" x14ac:dyDescent="0.2">
      <c r="B650" s="380"/>
    </row>
    <row r="651" spans="2:2" x14ac:dyDescent="0.2">
      <c r="B651" s="380"/>
    </row>
    <row r="652" spans="2:2" x14ac:dyDescent="0.2">
      <c r="B652" s="380"/>
    </row>
    <row r="653" spans="2:2" x14ac:dyDescent="0.2">
      <c r="B653" s="380"/>
    </row>
    <row r="654" spans="2:2" x14ac:dyDescent="0.2">
      <c r="B654" s="380"/>
    </row>
    <row r="655" spans="2:2" x14ac:dyDescent="0.2">
      <c r="B655" s="380"/>
    </row>
    <row r="656" spans="2:2" x14ac:dyDescent="0.2">
      <c r="B656" s="380"/>
    </row>
    <row r="657" spans="2:2" x14ac:dyDescent="0.2">
      <c r="B657" s="380"/>
    </row>
    <row r="658" spans="2:2" x14ac:dyDescent="0.2">
      <c r="B658" s="380"/>
    </row>
    <row r="659" spans="2:2" x14ac:dyDescent="0.2">
      <c r="B659" s="380"/>
    </row>
    <row r="660" spans="2:2" x14ac:dyDescent="0.2">
      <c r="B660" s="380"/>
    </row>
    <row r="661" spans="2:2" x14ac:dyDescent="0.2">
      <c r="B661" s="380"/>
    </row>
    <row r="662" spans="2:2" x14ac:dyDescent="0.2">
      <c r="B662" s="380"/>
    </row>
    <row r="663" spans="2:2" x14ac:dyDescent="0.2">
      <c r="B663" s="380"/>
    </row>
    <row r="664" spans="2:2" x14ac:dyDescent="0.2">
      <c r="B664" s="380"/>
    </row>
    <row r="665" spans="2:2" x14ac:dyDescent="0.2">
      <c r="B665" s="380"/>
    </row>
    <row r="666" spans="2:2" x14ac:dyDescent="0.2">
      <c r="B666" s="380"/>
    </row>
    <row r="667" spans="2:2" x14ac:dyDescent="0.2">
      <c r="B667" s="380"/>
    </row>
    <row r="668" spans="2:2" x14ac:dyDescent="0.2">
      <c r="B668" s="380"/>
    </row>
    <row r="669" spans="2:2" x14ac:dyDescent="0.2">
      <c r="B669" s="380"/>
    </row>
    <row r="670" spans="2:2" x14ac:dyDescent="0.2">
      <c r="B670" s="380"/>
    </row>
    <row r="671" spans="2:2" x14ac:dyDescent="0.2">
      <c r="B671" s="380"/>
    </row>
    <row r="672" spans="2:2" x14ac:dyDescent="0.2">
      <c r="B672" s="380"/>
    </row>
    <row r="673" spans="2:2" x14ac:dyDescent="0.2">
      <c r="B673" s="380"/>
    </row>
    <row r="674" spans="2:2" x14ac:dyDescent="0.2">
      <c r="B674" s="380"/>
    </row>
    <row r="675" spans="2:2" x14ac:dyDescent="0.2">
      <c r="B675" s="380"/>
    </row>
    <row r="676" spans="2:2" x14ac:dyDescent="0.2">
      <c r="B676" s="380"/>
    </row>
    <row r="677" spans="2:2" x14ac:dyDescent="0.2">
      <c r="B677" s="380"/>
    </row>
    <row r="678" spans="2:2" x14ac:dyDescent="0.2">
      <c r="B678" s="380"/>
    </row>
    <row r="679" spans="2:2" x14ac:dyDescent="0.2">
      <c r="B679" s="380"/>
    </row>
    <row r="680" spans="2:2" x14ac:dyDescent="0.2">
      <c r="B680" s="380"/>
    </row>
    <row r="681" spans="2:2" x14ac:dyDescent="0.2">
      <c r="B681" s="380"/>
    </row>
    <row r="682" spans="2:2" x14ac:dyDescent="0.2">
      <c r="B682" s="380"/>
    </row>
    <row r="683" spans="2:2" x14ac:dyDescent="0.2">
      <c r="B683" s="380"/>
    </row>
    <row r="684" spans="2:2" x14ac:dyDescent="0.2">
      <c r="B684" s="380"/>
    </row>
    <row r="685" spans="2:2" x14ac:dyDescent="0.2">
      <c r="B685" s="380"/>
    </row>
    <row r="686" spans="2:2" x14ac:dyDescent="0.2">
      <c r="B686" s="380"/>
    </row>
    <row r="687" spans="2:2" x14ac:dyDescent="0.2">
      <c r="B687" s="380"/>
    </row>
    <row r="688" spans="2:2" x14ac:dyDescent="0.2">
      <c r="B688" s="380"/>
    </row>
    <row r="689" spans="2:2" x14ac:dyDescent="0.2">
      <c r="B689" s="380"/>
    </row>
    <row r="690" spans="2:2" x14ac:dyDescent="0.2">
      <c r="B690" s="380"/>
    </row>
    <row r="691" spans="2:2" x14ac:dyDescent="0.2">
      <c r="B691" s="380"/>
    </row>
    <row r="692" spans="2:2" x14ac:dyDescent="0.2">
      <c r="B692" s="380"/>
    </row>
    <row r="693" spans="2:2" x14ac:dyDescent="0.2">
      <c r="B693" s="380"/>
    </row>
    <row r="694" spans="2:2" x14ac:dyDescent="0.2">
      <c r="B694" s="380"/>
    </row>
    <row r="695" spans="2:2" x14ac:dyDescent="0.2">
      <c r="B695" s="380"/>
    </row>
    <row r="696" spans="2:2" x14ac:dyDescent="0.2">
      <c r="B696" s="380"/>
    </row>
    <row r="697" spans="2:2" x14ac:dyDescent="0.2">
      <c r="B697" s="380"/>
    </row>
    <row r="698" spans="2:2" x14ac:dyDescent="0.2">
      <c r="B698" s="380"/>
    </row>
    <row r="699" spans="2:2" x14ac:dyDescent="0.2">
      <c r="B699" s="380"/>
    </row>
    <row r="700" spans="2:2" x14ac:dyDescent="0.2">
      <c r="B700" s="380"/>
    </row>
    <row r="701" spans="2:2" x14ac:dyDescent="0.2">
      <c r="B701" s="380"/>
    </row>
    <row r="702" spans="2:2" x14ac:dyDescent="0.2">
      <c r="B702" s="380"/>
    </row>
    <row r="703" spans="2:2" x14ac:dyDescent="0.2">
      <c r="B703" s="380"/>
    </row>
    <row r="704" spans="2:2" x14ac:dyDescent="0.2">
      <c r="B704" s="380"/>
    </row>
    <row r="705" spans="2:2" x14ac:dyDescent="0.2">
      <c r="B705" s="380"/>
    </row>
    <row r="706" spans="2:2" x14ac:dyDescent="0.2">
      <c r="B706" s="380"/>
    </row>
    <row r="707" spans="2:2" x14ac:dyDescent="0.2">
      <c r="B707" s="380"/>
    </row>
    <row r="708" spans="2:2" x14ac:dyDescent="0.2">
      <c r="B708" s="380"/>
    </row>
    <row r="709" spans="2:2" x14ac:dyDescent="0.2">
      <c r="B709" s="380"/>
    </row>
    <row r="710" spans="2:2" x14ac:dyDescent="0.2">
      <c r="B710" s="380"/>
    </row>
    <row r="711" spans="2:2" x14ac:dyDescent="0.2">
      <c r="B711" s="380"/>
    </row>
    <row r="712" spans="2:2" x14ac:dyDescent="0.2">
      <c r="B712" s="380"/>
    </row>
    <row r="713" spans="2:2" x14ac:dyDescent="0.2">
      <c r="B713" s="380"/>
    </row>
    <row r="714" spans="2:2" x14ac:dyDescent="0.2">
      <c r="B714" s="380"/>
    </row>
    <row r="715" spans="2:2" x14ac:dyDescent="0.2">
      <c r="B715" s="380"/>
    </row>
    <row r="716" spans="2:2" x14ac:dyDescent="0.2">
      <c r="B716" s="380"/>
    </row>
    <row r="717" spans="2:2" x14ac:dyDescent="0.2">
      <c r="B717" s="380"/>
    </row>
    <row r="718" spans="2:2" x14ac:dyDescent="0.2">
      <c r="B718" s="380"/>
    </row>
    <row r="719" spans="2:2" x14ac:dyDescent="0.2">
      <c r="B719" s="380"/>
    </row>
    <row r="720" spans="2:2" x14ac:dyDescent="0.2">
      <c r="B720" s="380"/>
    </row>
    <row r="721" spans="2:2" x14ac:dyDescent="0.2">
      <c r="B721" s="380"/>
    </row>
    <row r="722" spans="2:2" x14ac:dyDescent="0.2">
      <c r="B722" s="380"/>
    </row>
    <row r="723" spans="2:2" x14ac:dyDescent="0.2">
      <c r="B723" s="380"/>
    </row>
    <row r="724" spans="2:2" x14ac:dyDescent="0.2">
      <c r="B724" s="380"/>
    </row>
    <row r="725" spans="2:2" x14ac:dyDescent="0.2">
      <c r="B725" s="380"/>
    </row>
    <row r="726" spans="2:2" x14ac:dyDescent="0.2">
      <c r="B726" s="380"/>
    </row>
    <row r="727" spans="2:2" x14ac:dyDescent="0.2">
      <c r="B727" s="380"/>
    </row>
    <row r="728" spans="2:2" x14ac:dyDescent="0.2">
      <c r="B728" s="380"/>
    </row>
    <row r="729" spans="2:2" x14ac:dyDescent="0.2">
      <c r="B729" s="380"/>
    </row>
    <row r="730" spans="2:2" x14ac:dyDescent="0.2">
      <c r="B730" s="380"/>
    </row>
    <row r="731" spans="2:2" x14ac:dyDescent="0.2">
      <c r="B731" s="380"/>
    </row>
    <row r="732" spans="2:2" x14ac:dyDescent="0.2">
      <c r="B732" s="380"/>
    </row>
    <row r="733" spans="2:2" x14ac:dyDescent="0.2">
      <c r="B733" s="380"/>
    </row>
    <row r="734" spans="2:2" x14ac:dyDescent="0.2">
      <c r="B734" s="380"/>
    </row>
    <row r="735" spans="2:2" x14ac:dyDescent="0.2">
      <c r="B735" s="380"/>
    </row>
    <row r="736" spans="2:2" x14ac:dyDescent="0.2">
      <c r="B736" s="380"/>
    </row>
    <row r="737" spans="2:2" x14ac:dyDescent="0.2">
      <c r="B737" s="380"/>
    </row>
    <row r="738" spans="2:2" x14ac:dyDescent="0.2">
      <c r="B738" s="380"/>
    </row>
    <row r="739" spans="2:2" x14ac:dyDescent="0.2">
      <c r="B739" s="380"/>
    </row>
    <row r="740" spans="2:2" x14ac:dyDescent="0.2">
      <c r="B740" s="380"/>
    </row>
    <row r="741" spans="2:2" x14ac:dyDescent="0.2">
      <c r="B741" s="380"/>
    </row>
    <row r="742" spans="2:2" x14ac:dyDescent="0.2">
      <c r="B742" s="380"/>
    </row>
    <row r="743" spans="2:2" x14ac:dyDescent="0.2">
      <c r="B743" s="380"/>
    </row>
    <row r="744" spans="2:2" x14ac:dyDescent="0.2">
      <c r="B744" s="380"/>
    </row>
    <row r="745" spans="2:2" x14ac:dyDescent="0.2">
      <c r="B745" s="380"/>
    </row>
    <row r="746" spans="2:2" x14ac:dyDescent="0.2">
      <c r="B746" s="380"/>
    </row>
    <row r="747" spans="2:2" x14ac:dyDescent="0.2">
      <c r="B747" s="380"/>
    </row>
    <row r="748" spans="2:2" x14ac:dyDescent="0.2">
      <c r="B748" s="380"/>
    </row>
    <row r="749" spans="2:2" x14ac:dyDescent="0.2">
      <c r="B749" s="380"/>
    </row>
    <row r="750" spans="2:2" x14ac:dyDescent="0.2">
      <c r="B750" s="380"/>
    </row>
    <row r="751" spans="2:2" x14ac:dyDescent="0.2">
      <c r="B751" s="380"/>
    </row>
    <row r="752" spans="2:2" x14ac:dyDescent="0.2">
      <c r="B752" s="380"/>
    </row>
    <row r="753" spans="2:2" x14ac:dyDescent="0.2">
      <c r="B753" s="380"/>
    </row>
    <row r="754" spans="2:2" x14ac:dyDescent="0.2">
      <c r="B754" s="380"/>
    </row>
    <row r="755" spans="2:2" x14ac:dyDescent="0.2">
      <c r="B755" s="380"/>
    </row>
    <row r="756" spans="2:2" x14ac:dyDescent="0.2">
      <c r="B756" s="380"/>
    </row>
    <row r="757" spans="2:2" x14ac:dyDescent="0.2">
      <c r="B757" s="380"/>
    </row>
    <row r="758" spans="2:2" x14ac:dyDescent="0.2">
      <c r="B758" s="380"/>
    </row>
    <row r="759" spans="2:2" x14ac:dyDescent="0.2">
      <c r="B759" s="380"/>
    </row>
    <row r="760" spans="2:2" x14ac:dyDescent="0.2">
      <c r="B760" s="380"/>
    </row>
    <row r="761" spans="2:2" x14ac:dyDescent="0.2">
      <c r="B761" s="380"/>
    </row>
    <row r="762" spans="2:2" x14ac:dyDescent="0.2">
      <c r="B762" s="380"/>
    </row>
    <row r="763" spans="2:2" x14ac:dyDescent="0.2">
      <c r="B763" s="380"/>
    </row>
    <row r="764" spans="2:2" x14ac:dyDescent="0.2">
      <c r="B764" s="380"/>
    </row>
    <row r="765" spans="2:2" x14ac:dyDescent="0.2">
      <c r="B765" s="380"/>
    </row>
    <row r="766" spans="2:2" x14ac:dyDescent="0.2">
      <c r="B766" s="380"/>
    </row>
    <row r="767" spans="2:2" x14ac:dyDescent="0.2">
      <c r="B767" s="380"/>
    </row>
    <row r="768" spans="2:2" x14ac:dyDescent="0.2">
      <c r="B768" s="380"/>
    </row>
    <row r="769" spans="2:2" x14ac:dyDescent="0.2">
      <c r="B769" s="380"/>
    </row>
    <row r="770" spans="2:2" x14ac:dyDescent="0.2">
      <c r="B770" s="380"/>
    </row>
    <row r="771" spans="2:2" x14ac:dyDescent="0.2">
      <c r="B771" s="380"/>
    </row>
    <row r="772" spans="2:2" x14ac:dyDescent="0.2">
      <c r="B772" s="380"/>
    </row>
    <row r="773" spans="2:2" x14ac:dyDescent="0.2">
      <c r="B773" s="380"/>
    </row>
    <row r="774" spans="2:2" x14ac:dyDescent="0.2">
      <c r="B774" s="380"/>
    </row>
    <row r="775" spans="2:2" x14ac:dyDescent="0.2">
      <c r="B775" s="380"/>
    </row>
    <row r="776" spans="2:2" x14ac:dyDescent="0.2">
      <c r="B776" s="380"/>
    </row>
    <row r="777" spans="2:2" x14ac:dyDescent="0.2">
      <c r="B777" s="380"/>
    </row>
    <row r="778" spans="2:2" x14ac:dyDescent="0.2">
      <c r="B778" s="380"/>
    </row>
    <row r="779" spans="2:2" x14ac:dyDescent="0.2">
      <c r="B779" s="380"/>
    </row>
    <row r="780" spans="2:2" x14ac:dyDescent="0.2">
      <c r="B780" s="380"/>
    </row>
    <row r="781" spans="2:2" x14ac:dyDescent="0.2">
      <c r="B781" s="380"/>
    </row>
    <row r="782" spans="2:2" x14ac:dyDescent="0.2">
      <c r="B782" s="380"/>
    </row>
    <row r="783" spans="2:2" x14ac:dyDescent="0.2">
      <c r="B783" s="380"/>
    </row>
    <row r="784" spans="2:2" x14ac:dyDescent="0.2">
      <c r="B784" s="380"/>
    </row>
    <row r="785" spans="2:2" x14ac:dyDescent="0.2">
      <c r="B785" s="380"/>
    </row>
    <row r="786" spans="2:2" x14ac:dyDescent="0.2">
      <c r="B786" s="380"/>
    </row>
    <row r="787" spans="2:2" x14ac:dyDescent="0.2">
      <c r="B787" s="380"/>
    </row>
    <row r="788" spans="2:2" x14ac:dyDescent="0.2">
      <c r="B788" s="380"/>
    </row>
    <row r="789" spans="2:2" x14ac:dyDescent="0.2">
      <c r="B789" s="380"/>
    </row>
    <row r="790" spans="2:2" x14ac:dyDescent="0.2">
      <c r="B790" s="380"/>
    </row>
    <row r="791" spans="2:2" x14ac:dyDescent="0.2">
      <c r="B791" s="380"/>
    </row>
    <row r="792" spans="2:2" x14ac:dyDescent="0.2">
      <c r="B792" s="380"/>
    </row>
    <row r="793" spans="2:2" x14ac:dyDescent="0.2">
      <c r="B793" s="380"/>
    </row>
    <row r="794" spans="2:2" x14ac:dyDescent="0.2">
      <c r="B794" s="380"/>
    </row>
    <row r="795" spans="2:2" x14ac:dyDescent="0.2">
      <c r="B795" s="380"/>
    </row>
    <row r="796" spans="2:2" x14ac:dyDescent="0.2">
      <c r="B796" s="380"/>
    </row>
    <row r="797" spans="2:2" x14ac:dyDescent="0.2">
      <c r="B797" s="380"/>
    </row>
    <row r="798" spans="2:2" x14ac:dyDescent="0.2">
      <c r="B798" s="380"/>
    </row>
    <row r="799" spans="2:2" x14ac:dyDescent="0.2">
      <c r="B799" s="380"/>
    </row>
    <row r="800" spans="2:2" x14ac:dyDescent="0.2">
      <c r="B800" s="380"/>
    </row>
    <row r="801" spans="2:2" x14ac:dyDescent="0.2">
      <c r="B801" s="380"/>
    </row>
    <row r="802" spans="2:2" x14ac:dyDescent="0.2">
      <c r="B802" s="380"/>
    </row>
    <row r="803" spans="2:2" x14ac:dyDescent="0.2">
      <c r="B803" s="380"/>
    </row>
    <row r="804" spans="2:2" x14ac:dyDescent="0.2">
      <c r="B804" s="380"/>
    </row>
    <row r="805" spans="2:2" x14ac:dyDescent="0.2">
      <c r="B805" s="380"/>
    </row>
    <row r="806" spans="2:2" x14ac:dyDescent="0.2">
      <c r="B806" s="380"/>
    </row>
    <row r="807" spans="2:2" x14ac:dyDescent="0.2">
      <c r="B807" s="380"/>
    </row>
    <row r="808" spans="2:2" x14ac:dyDescent="0.2">
      <c r="B808" s="380"/>
    </row>
    <row r="809" spans="2:2" x14ac:dyDescent="0.2">
      <c r="B809" s="380"/>
    </row>
    <row r="810" spans="2:2" x14ac:dyDescent="0.2">
      <c r="B810" s="380"/>
    </row>
    <row r="811" spans="2:2" x14ac:dyDescent="0.2">
      <c r="B811" s="380"/>
    </row>
    <row r="812" spans="2:2" x14ac:dyDescent="0.2">
      <c r="B812" s="380"/>
    </row>
    <row r="813" spans="2:2" x14ac:dyDescent="0.2">
      <c r="B813" s="380"/>
    </row>
    <row r="814" spans="2:2" x14ac:dyDescent="0.2">
      <c r="B814" s="380"/>
    </row>
    <row r="815" spans="2:2" x14ac:dyDescent="0.2">
      <c r="B815" s="380"/>
    </row>
    <row r="816" spans="2:2" x14ac:dyDescent="0.2">
      <c r="B816" s="380"/>
    </row>
    <row r="817" spans="2:2" x14ac:dyDescent="0.2">
      <c r="B817" s="380"/>
    </row>
    <row r="818" spans="2:2" x14ac:dyDescent="0.2">
      <c r="B818" s="380"/>
    </row>
    <row r="819" spans="2:2" x14ac:dyDescent="0.2">
      <c r="B819" s="380"/>
    </row>
    <row r="820" spans="2:2" x14ac:dyDescent="0.2">
      <c r="B820" s="380"/>
    </row>
    <row r="821" spans="2:2" x14ac:dyDescent="0.2">
      <c r="B821" s="380"/>
    </row>
    <row r="822" spans="2:2" x14ac:dyDescent="0.2">
      <c r="B822" s="380"/>
    </row>
    <row r="823" spans="2:2" x14ac:dyDescent="0.2">
      <c r="B823" s="380"/>
    </row>
    <row r="824" spans="2:2" x14ac:dyDescent="0.2">
      <c r="B824" s="380"/>
    </row>
    <row r="825" spans="2:2" x14ac:dyDescent="0.2">
      <c r="B825" s="380"/>
    </row>
    <row r="826" spans="2:2" x14ac:dyDescent="0.2">
      <c r="B826" s="380"/>
    </row>
    <row r="827" spans="2:2" x14ac:dyDescent="0.2">
      <c r="B827" s="380"/>
    </row>
    <row r="828" spans="2:2" x14ac:dyDescent="0.2">
      <c r="B828" s="380"/>
    </row>
    <row r="829" spans="2:2" x14ac:dyDescent="0.2">
      <c r="B829" s="380"/>
    </row>
    <row r="830" spans="2:2" x14ac:dyDescent="0.2">
      <c r="B830" s="380"/>
    </row>
    <row r="831" spans="2:2" x14ac:dyDescent="0.2">
      <c r="B831" s="380"/>
    </row>
    <row r="832" spans="2:2" x14ac:dyDescent="0.2">
      <c r="B832" s="380"/>
    </row>
    <row r="833" spans="2:2" x14ac:dyDescent="0.2">
      <c r="B833" s="380"/>
    </row>
    <row r="834" spans="2:2" x14ac:dyDescent="0.2">
      <c r="B834" s="380"/>
    </row>
    <row r="835" spans="2:2" x14ac:dyDescent="0.2">
      <c r="B835" s="380"/>
    </row>
    <row r="836" spans="2:2" x14ac:dyDescent="0.2">
      <c r="B836" s="380"/>
    </row>
    <row r="837" spans="2:2" x14ac:dyDescent="0.2">
      <c r="B837" s="380"/>
    </row>
    <row r="838" spans="2:2" x14ac:dyDescent="0.2">
      <c r="B838" s="380"/>
    </row>
    <row r="839" spans="2:2" x14ac:dyDescent="0.2">
      <c r="B839" s="380"/>
    </row>
    <row r="840" spans="2:2" x14ac:dyDescent="0.2">
      <c r="B840" s="380"/>
    </row>
    <row r="841" spans="2:2" x14ac:dyDescent="0.2">
      <c r="B841" s="380"/>
    </row>
    <row r="842" spans="2:2" x14ac:dyDescent="0.2">
      <c r="B842" s="380"/>
    </row>
    <row r="843" spans="2:2" x14ac:dyDescent="0.2">
      <c r="B843" s="380"/>
    </row>
    <row r="844" spans="2:2" x14ac:dyDescent="0.2">
      <c r="B844" s="380"/>
    </row>
    <row r="845" spans="2:2" x14ac:dyDescent="0.2">
      <c r="B845" s="380"/>
    </row>
    <row r="846" spans="2:2" x14ac:dyDescent="0.2">
      <c r="B846" s="380"/>
    </row>
    <row r="847" spans="2:2" x14ac:dyDescent="0.2">
      <c r="B847" s="380"/>
    </row>
    <row r="848" spans="2:2" x14ac:dyDescent="0.2">
      <c r="B848" s="380"/>
    </row>
    <row r="849" spans="2:2" x14ac:dyDescent="0.2">
      <c r="B849" s="380"/>
    </row>
    <row r="850" spans="2:2" x14ac:dyDescent="0.2">
      <c r="B850" s="380"/>
    </row>
    <row r="851" spans="2:2" x14ac:dyDescent="0.2">
      <c r="B851" s="380"/>
    </row>
    <row r="852" spans="2:2" x14ac:dyDescent="0.2">
      <c r="B852" s="380"/>
    </row>
    <row r="853" spans="2:2" x14ac:dyDescent="0.2">
      <c r="B853" s="380"/>
    </row>
    <row r="854" spans="2:2" x14ac:dyDescent="0.2">
      <c r="B854" s="380"/>
    </row>
    <row r="855" spans="2:2" x14ac:dyDescent="0.2">
      <c r="B855" s="380"/>
    </row>
    <row r="856" spans="2:2" x14ac:dyDescent="0.2">
      <c r="B856" s="380"/>
    </row>
    <row r="857" spans="2:2" x14ac:dyDescent="0.2">
      <c r="B857" s="380"/>
    </row>
    <row r="858" spans="2:2" x14ac:dyDescent="0.2">
      <c r="B858" s="380"/>
    </row>
    <row r="859" spans="2:2" x14ac:dyDescent="0.2">
      <c r="B859" s="380"/>
    </row>
    <row r="860" spans="2:2" x14ac:dyDescent="0.2">
      <c r="B860" s="380"/>
    </row>
    <row r="861" spans="2:2" x14ac:dyDescent="0.2">
      <c r="B861" s="380"/>
    </row>
    <row r="862" spans="2:2" x14ac:dyDescent="0.2">
      <c r="B862" s="380"/>
    </row>
    <row r="863" spans="2:2" x14ac:dyDescent="0.2">
      <c r="B863" s="380"/>
    </row>
    <row r="864" spans="2:2" x14ac:dyDescent="0.2">
      <c r="B864" s="380"/>
    </row>
    <row r="865" spans="2:2" x14ac:dyDescent="0.2">
      <c r="B865" s="380"/>
    </row>
    <row r="866" spans="2:2" x14ac:dyDescent="0.2">
      <c r="B866" s="380"/>
    </row>
    <row r="867" spans="2:2" x14ac:dyDescent="0.2">
      <c r="B867" s="380"/>
    </row>
    <row r="868" spans="2:2" x14ac:dyDescent="0.2">
      <c r="B868" s="380"/>
    </row>
    <row r="869" spans="2:2" x14ac:dyDescent="0.2">
      <c r="B869" s="380"/>
    </row>
    <row r="870" spans="2:2" x14ac:dyDescent="0.2">
      <c r="B870" s="380"/>
    </row>
    <row r="871" spans="2:2" x14ac:dyDescent="0.2">
      <c r="B871" s="380"/>
    </row>
    <row r="872" spans="2:2" x14ac:dyDescent="0.2">
      <c r="B872" s="380"/>
    </row>
    <row r="873" spans="2:2" x14ac:dyDescent="0.2">
      <c r="B873" s="380"/>
    </row>
    <row r="874" spans="2:2" x14ac:dyDescent="0.2">
      <c r="B874" s="380"/>
    </row>
    <row r="875" spans="2:2" x14ac:dyDescent="0.2">
      <c r="B875" s="380"/>
    </row>
    <row r="876" spans="2:2" x14ac:dyDescent="0.2">
      <c r="B876" s="380"/>
    </row>
    <row r="877" spans="2:2" x14ac:dyDescent="0.2">
      <c r="B877" s="380"/>
    </row>
    <row r="878" spans="2:2" x14ac:dyDescent="0.2">
      <c r="B878" s="380"/>
    </row>
    <row r="879" spans="2:2" x14ac:dyDescent="0.2">
      <c r="B879" s="380"/>
    </row>
    <row r="880" spans="2:2" x14ac:dyDescent="0.2">
      <c r="B880" s="380"/>
    </row>
    <row r="881" spans="2:2" x14ac:dyDescent="0.2">
      <c r="B881" s="380"/>
    </row>
    <row r="882" spans="2:2" x14ac:dyDescent="0.2">
      <c r="B882" s="380"/>
    </row>
    <row r="883" spans="2:2" x14ac:dyDescent="0.2">
      <c r="B883" s="380"/>
    </row>
    <row r="884" spans="2:2" x14ac:dyDescent="0.2">
      <c r="B884" s="380"/>
    </row>
    <row r="885" spans="2:2" x14ac:dyDescent="0.2">
      <c r="B885" s="380"/>
    </row>
    <row r="886" spans="2:2" x14ac:dyDescent="0.2">
      <c r="B886" s="380"/>
    </row>
    <row r="887" spans="2:2" x14ac:dyDescent="0.2">
      <c r="B887" s="380"/>
    </row>
    <row r="888" spans="2:2" x14ac:dyDescent="0.2">
      <c r="B888" s="380"/>
    </row>
    <row r="889" spans="2:2" x14ac:dyDescent="0.2">
      <c r="B889" s="380"/>
    </row>
    <row r="890" spans="2:2" x14ac:dyDescent="0.2">
      <c r="B890" s="380"/>
    </row>
    <row r="891" spans="2:2" x14ac:dyDescent="0.2">
      <c r="B891" s="380"/>
    </row>
    <row r="892" spans="2:2" x14ac:dyDescent="0.2">
      <c r="B892" s="380"/>
    </row>
    <row r="893" spans="2:2" x14ac:dyDescent="0.2">
      <c r="B893" s="380"/>
    </row>
    <row r="894" spans="2:2" x14ac:dyDescent="0.2">
      <c r="B894" s="380"/>
    </row>
    <row r="895" spans="2:2" x14ac:dyDescent="0.2">
      <c r="B895" s="380"/>
    </row>
    <row r="896" spans="2:2" x14ac:dyDescent="0.2">
      <c r="B896" s="380"/>
    </row>
    <row r="897" spans="2:2" x14ac:dyDescent="0.2">
      <c r="B897" s="380"/>
    </row>
    <row r="898" spans="2:2" x14ac:dyDescent="0.2">
      <c r="B898" s="380"/>
    </row>
    <row r="899" spans="2:2" x14ac:dyDescent="0.2">
      <c r="B899" s="380"/>
    </row>
    <row r="900" spans="2:2" x14ac:dyDescent="0.2">
      <c r="B900" s="380"/>
    </row>
    <row r="901" spans="2:2" x14ac:dyDescent="0.2">
      <c r="B901" s="380"/>
    </row>
    <row r="902" spans="2:2" x14ac:dyDescent="0.2">
      <c r="B902" s="380"/>
    </row>
    <row r="903" spans="2:2" x14ac:dyDescent="0.2">
      <c r="B903" s="380"/>
    </row>
    <row r="904" spans="2:2" x14ac:dyDescent="0.2">
      <c r="B904" s="380"/>
    </row>
    <row r="905" spans="2:2" x14ac:dyDescent="0.2">
      <c r="B905" s="380"/>
    </row>
    <row r="906" spans="2:2" x14ac:dyDescent="0.2">
      <c r="B906" s="380"/>
    </row>
    <row r="907" spans="2:2" x14ac:dyDescent="0.2">
      <c r="B907" s="380"/>
    </row>
    <row r="908" spans="2:2" x14ac:dyDescent="0.2">
      <c r="B908" s="380"/>
    </row>
    <row r="909" spans="2:2" x14ac:dyDescent="0.2">
      <c r="B909" s="380"/>
    </row>
    <row r="910" spans="2:2" x14ac:dyDescent="0.2">
      <c r="B910" s="380"/>
    </row>
    <row r="911" spans="2:2" x14ac:dyDescent="0.2">
      <c r="B911" s="380"/>
    </row>
    <row r="912" spans="2:2" x14ac:dyDescent="0.2">
      <c r="B912" s="380"/>
    </row>
    <row r="913" spans="2:2" x14ac:dyDescent="0.2">
      <c r="B913" s="380"/>
    </row>
    <row r="914" spans="2:2" x14ac:dyDescent="0.2">
      <c r="B914" s="380"/>
    </row>
    <row r="915" spans="2:2" x14ac:dyDescent="0.2">
      <c r="B915" s="380"/>
    </row>
    <row r="916" spans="2:2" x14ac:dyDescent="0.2">
      <c r="B916" s="380"/>
    </row>
    <row r="917" spans="2:2" x14ac:dyDescent="0.2">
      <c r="B917" s="380"/>
    </row>
    <row r="918" spans="2:2" x14ac:dyDescent="0.2">
      <c r="B918" s="380"/>
    </row>
    <row r="919" spans="2:2" x14ac:dyDescent="0.2">
      <c r="B919" s="380"/>
    </row>
    <row r="920" spans="2:2" x14ac:dyDescent="0.2">
      <c r="B920" s="380"/>
    </row>
    <row r="921" spans="2:2" x14ac:dyDescent="0.2">
      <c r="B921" s="380"/>
    </row>
    <row r="922" spans="2:2" x14ac:dyDescent="0.2">
      <c r="B922" s="380"/>
    </row>
    <row r="923" spans="2:2" x14ac:dyDescent="0.2">
      <c r="B923" s="380"/>
    </row>
    <row r="924" spans="2:2" x14ac:dyDescent="0.2">
      <c r="B924" s="380"/>
    </row>
    <row r="925" spans="2:2" x14ac:dyDescent="0.2">
      <c r="B925" s="380"/>
    </row>
    <row r="926" spans="2:2" x14ac:dyDescent="0.2">
      <c r="B926" s="380"/>
    </row>
    <row r="927" spans="2:2" x14ac:dyDescent="0.2">
      <c r="B927" s="380"/>
    </row>
    <row r="928" spans="2:2" x14ac:dyDescent="0.2">
      <c r="B928" s="380"/>
    </row>
    <row r="929" spans="2:2" x14ac:dyDescent="0.2">
      <c r="B929" s="380"/>
    </row>
    <row r="930" spans="2:2" x14ac:dyDescent="0.2">
      <c r="B930" s="380"/>
    </row>
    <row r="931" spans="2:2" x14ac:dyDescent="0.2">
      <c r="B931" s="380"/>
    </row>
    <row r="932" spans="2:2" x14ac:dyDescent="0.2">
      <c r="B932" s="380"/>
    </row>
    <row r="933" spans="2:2" x14ac:dyDescent="0.2">
      <c r="B933" s="380"/>
    </row>
    <row r="934" spans="2:2" x14ac:dyDescent="0.2">
      <c r="B934" s="380"/>
    </row>
    <row r="935" spans="2:2" x14ac:dyDescent="0.2">
      <c r="B935" s="380"/>
    </row>
    <row r="936" spans="2:2" x14ac:dyDescent="0.2">
      <c r="B936" s="380"/>
    </row>
    <row r="937" spans="2:2" x14ac:dyDescent="0.2">
      <c r="B937" s="380"/>
    </row>
    <row r="938" spans="2:2" x14ac:dyDescent="0.2">
      <c r="B938" s="380"/>
    </row>
    <row r="939" spans="2:2" x14ac:dyDescent="0.2">
      <c r="B939" s="380"/>
    </row>
    <row r="940" spans="2:2" x14ac:dyDescent="0.2">
      <c r="B940" s="380"/>
    </row>
    <row r="941" spans="2:2" x14ac:dyDescent="0.2">
      <c r="B941" s="380"/>
    </row>
    <row r="942" spans="2:2" x14ac:dyDescent="0.2">
      <c r="B942" s="380"/>
    </row>
    <row r="943" spans="2:2" x14ac:dyDescent="0.2">
      <c r="B943" s="380"/>
    </row>
    <row r="944" spans="2:2" x14ac:dyDescent="0.2">
      <c r="B944" s="380"/>
    </row>
    <row r="945" spans="2:2" x14ac:dyDescent="0.2">
      <c r="B945" s="380"/>
    </row>
    <row r="946" spans="2:2" x14ac:dyDescent="0.2">
      <c r="B946" s="380"/>
    </row>
    <row r="947" spans="2:2" x14ac:dyDescent="0.2">
      <c r="B947" s="380"/>
    </row>
    <row r="948" spans="2:2" x14ac:dyDescent="0.2">
      <c r="B948" s="380"/>
    </row>
    <row r="949" spans="2:2" x14ac:dyDescent="0.2">
      <c r="B949" s="380"/>
    </row>
    <row r="950" spans="2:2" x14ac:dyDescent="0.2">
      <c r="B950" s="380"/>
    </row>
    <row r="951" spans="2:2" x14ac:dyDescent="0.2">
      <c r="B951" s="380"/>
    </row>
    <row r="952" spans="2:2" x14ac:dyDescent="0.2">
      <c r="B952" s="380"/>
    </row>
    <row r="953" spans="2:2" x14ac:dyDescent="0.2">
      <c r="B953" s="380"/>
    </row>
    <row r="954" spans="2:2" x14ac:dyDescent="0.2">
      <c r="B954" s="380"/>
    </row>
    <row r="955" spans="2:2" x14ac:dyDescent="0.2">
      <c r="B955" s="380"/>
    </row>
    <row r="956" spans="2:2" x14ac:dyDescent="0.2">
      <c r="B956" s="380"/>
    </row>
    <row r="957" spans="2:2" x14ac:dyDescent="0.2">
      <c r="B957" s="380"/>
    </row>
    <row r="958" spans="2:2" x14ac:dyDescent="0.2">
      <c r="B958" s="380"/>
    </row>
    <row r="959" spans="2:2" x14ac:dyDescent="0.2">
      <c r="B959" s="380"/>
    </row>
    <row r="960" spans="2:2" x14ac:dyDescent="0.2">
      <c r="B960" s="380"/>
    </row>
    <row r="961" spans="2:2" x14ac:dyDescent="0.2">
      <c r="B961" s="380"/>
    </row>
    <row r="962" spans="2:2" x14ac:dyDescent="0.2">
      <c r="B962" s="380"/>
    </row>
    <row r="963" spans="2:2" x14ac:dyDescent="0.2">
      <c r="B963" s="380"/>
    </row>
    <row r="964" spans="2:2" x14ac:dyDescent="0.2">
      <c r="B964" s="380"/>
    </row>
    <row r="965" spans="2:2" x14ac:dyDescent="0.2">
      <c r="B965" s="380"/>
    </row>
    <row r="966" spans="2:2" x14ac:dyDescent="0.2">
      <c r="B966" s="380"/>
    </row>
    <row r="967" spans="2:2" x14ac:dyDescent="0.2">
      <c r="B967" s="380"/>
    </row>
    <row r="968" spans="2:2" x14ac:dyDescent="0.2">
      <c r="B968" s="380"/>
    </row>
    <row r="969" spans="2:2" x14ac:dyDescent="0.2">
      <c r="B969" s="380"/>
    </row>
    <row r="970" spans="2:2" x14ac:dyDescent="0.2">
      <c r="B970" s="380"/>
    </row>
    <row r="971" spans="2:2" x14ac:dyDescent="0.2">
      <c r="B971" s="380"/>
    </row>
    <row r="972" spans="2:2" x14ac:dyDescent="0.2">
      <c r="B972" s="380"/>
    </row>
    <row r="973" spans="2:2" x14ac:dyDescent="0.2">
      <c r="B973" s="380"/>
    </row>
    <row r="974" spans="2:2" x14ac:dyDescent="0.2">
      <c r="B974" s="380"/>
    </row>
    <row r="975" spans="2:2" x14ac:dyDescent="0.2">
      <c r="B975" s="380"/>
    </row>
    <row r="976" spans="2:2" x14ac:dyDescent="0.2">
      <c r="B976" s="380"/>
    </row>
    <row r="977" spans="2:2" x14ac:dyDescent="0.2">
      <c r="B977" s="380"/>
    </row>
    <row r="978" spans="2:2" x14ac:dyDescent="0.2">
      <c r="B978" s="380"/>
    </row>
    <row r="979" spans="2:2" x14ac:dyDescent="0.2">
      <c r="B979" s="380"/>
    </row>
    <row r="980" spans="2:2" x14ac:dyDescent="0.2">
      <c r="B980" s="380"/>
    </row>
    <row r="981" spans="2:2" x14ac:dyDescent="0.2">
      <c r="B981" s="380"/>
    </row>
    <row r="982" spans="2:2" x14ac:dyDescent="0.2">
      <c r="B982" s="380"/>
    </row>
    <row r="983" spans="2:2" x14ac:dyDescent="0.2">
      <c r="B983" s="380"/>
    </row>
    <row r="984" spans="2:2" x14ac:dyDescent="0.2">
      <c r="B984" s="380"/>
    </row>
    <row r="985" spans="2:2" x14ac:dyDescent="0.2">
      <c r="B985" s="380"/>
    </row>
    <row r="986" spans="2:2" x14ac:dyDescent="0.2">
      <c r="B986" s="380"/>
    </row>
    <row r="987" spans="2:2" x14ac:dyDescent="0.2">
      <c r="B987" s="380"/>
    </row>
    <row r="988" spans="2:2" x14ac:dyDescent="0.2">
      <c r="B988" s="380"/>
    </row>
    <row r="989" spans="2:2" x14ac:dyDescent="0.2">
      <c r="B989" s="380"/>
    </row>
    <row r="990" spans="2:2" x14ac:dyDescent="0.2">
      <c r="B990" s="380"/>
    </row>
    <row r="991" spans="2:2" x14ac:dyDescent="0.2">
      <c r="B991" s="380"/>
    </row>
    <row r="992" spans="2:2" x14ac:dyDescent="0.2">
      <c r="B992" s="380"/>
    </row>
    <row r="993" spans="2:2" x14ac:dyDescent="0.2">
      <c r="B993" s="380"/>
    </row>
    <row r="994" spans="2:2" x14ac:dyDescent="0.2">
      <c r="B994" s="380"/>
    </row>
    <row r="995" spans="2:2" x14ac:dyDescent="0.2">
      <c r="B995" s="380"/>
    </row>
    <row r="996" spans="2:2" x14ac:dyDescent="0.2">
      <c r="B996" s="380"/>
    </row>
    <row r="997" spans="2:2" x14ac:dyDescent="0.2">
      <c r="B997" s="380"/>
    </row>
    <row r="998" spans="2:2" x14ac:dyDescent="0.2">
      <c r="B998" s="380"/>
    </row>
    <row r="999" spans="2:2" x14ac:dyDescent="0.2">
      <c r="B999" s="380"/>
    </row>
    <row r="1000" spans="2:2" x14ac:dyDescent="0.2">
      <c r="B1000" s="380"/>
    </row>
  </sheetData>
  <autoFilter ref="A1:B1000" xr:uid="{00000000-0009-0000-0000-000019000000}"/>
  <conditionalFormatting sqref="B3:B63">
    <cfRule type="colorScale" priority="1">
      <colorScale>
        <cfvo type="formula" val="0"/>
        <cfvo type="formula" val="1"/>
        <cfvo type="formula" val="50"/>
        <color rgb="FFE06666"/>
        <color rgb="FFD9EAD3"/>
        <color rgb="FF00FF00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C998"/>
  <sheetViews>
    <sheetView workbookViewId="0"/>
  </sheetViews>
  <sheetFormatPr defaultColWidth="11.21875" defaultRowHeight="15" customHeight="1" x14ac:dyDescent="0.2"/>
  <cols>
    <col min="1" max="1" width="11.9609375" customWidth="1"/>
    <col min="2" max="2" width="12.69921875" customWidth="1"/>
    <col min="3" max="3" width="24.16796875" customWidth="1"/>
    <col min="4" max="5" width="23.05859375" customWidth="1"/>
    <col min="6" max="7" width="35.265625" customWidth="1"/>
  </cols>
  <sheetData>
    <row r="1" spans="1:29" x14ac:dyDescent="0.2">
      <c r="A1" s="619" t="s">
        <v>1946</v>
      </c>
      <c r="B1" s="537"/>
      <c r="C1" s="537"/>
      <c r="D1" s="537"/>
      <c r="E1" s="537"/>
      <c r="F1" s="537"/>
      <c r="G1" s="531"/>
    </row>
    <row r="2" spans="1:29" x14ac:dyDescent="0.2">
      <c r="A2" s="514" t="s">
        <v>1947</v>
      </c>
      <c r="B2" s="514" t="s">
        <v>1948</v>
      </c>
      <c r="C2" s="515" t="s">
        <v>1949</v>
      </c>
      <c r="D2" s="515" t="s">
        <v>1950</v>
      </c>
      <c r="E2" s="515" t="s">
        <v>1951</v>
      </c>
      <c r="F2" s="515" t="s">
        <v>154</v>
      </c>
      <c r="G2" s="515" t="s">
        <v>352</v>
      </c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</row>
    <row r="3" spans="1:29" x14ac:dyDescent="0.2">
      <c r="A3" s="392">
        <v>45381</v>
      </c>
      <c r="B3" s="392">
        <v>45383</v>
      </c>
      <c r="C3" s="516" t="s">
        <v>1952</v>
      </c>
      <c r="D3" s="22" t="s">
        <v>1953</v>
      </c>
      <c r="E3" s="22">
        <v>864107597</v>
      </c>
      <c r="F3" s="23"/>
      <c r="G3" s="23"/>
    </row>
    <row r="4" spans="1:29" x14ac:dyDescent="0.2">
      <c r="A4" s="392">
        <v>45392</v>
      </c>
      <c r="B4" s="392">
        <v>45392</v>
      </c>
      <c r="C4" s="516" t="s">
        <v>1954</v>
      </c>
      <c r="D4" s="22" t="s">
        <v>1953</v>
      </c>
      <c r="E4" s="22">
        <v>864107597</v>
      </c>
      <c r="F4" s="23"/>
      <c r="G4" s="23"/>
    </row>
    <row r="5" spans="1:29" x14ac:dyDescent="0.2">
      <c r="A5" s="392">
        <v>45412</v>
      </c>
      <c r="B5" s="392">
        <v>45416</v>
      </c>
      <c r="C5" s="516" t="s">
        <v>1955</v>
      </c>
      <c r="D5" s="22" t="s">
        <v>1956</v>
      </c>
      <c r="E5" s="22"/>
      <c r="F5" s="23"/>
      <c r="G5" s="23"/>
    </row>
    <row r="6" spans="1:29" x14ac:dyDescent="0.2">
      <c r="A6" s="517">
        <v>45421</v>
      </c>
      <c r="B6" s="517">
        <v>45424</v>
      </c>
      <c r="C6" s="518" t="s">
        <v>1957</v>
      </c>
      <c r="D6" s="421" t="s">
        <v>1958</v>
      </c>
      <c r="E6" s="519"/>
      <c r="F6" s="421"/>
      <c r="G6" s="421" t="s">
        <v>1959</v>
      </c>
    </row>
    <row r="7" spans="1:29" x14ac:dyDescent="0.2">
      <c r="A7" s="392">
        <v>45423</v>
      </c>
      <c r="B7" s="392">
        <v>45424</v>
      </c>
      <c r="C7" s="516" t="s">
        <v>1960</v>
      </c>
      <c r="D7" s="22" t="s">
        <v>1961</v>
      </c>
      <c r="E7" s="22"/>
      <c r="F7" s="23"/>
      <c r="G7" s="23"/>
    </row>
    <row r="8" spans="1:29" x14ac:dyDescent="0.2">
      <c r="A8" s="392">
        <v>45436</v>
      </c>
      <c r="B8" s="392">
        <v>45472</v>
      </c>
      <c r="C8" s="516" t="s">
        <v>1962</v>
      </c>
      <c r="D8" s="22" t="s">
        <v>1958</v>
      </c>
      <c r="E8" s="22"/>
      <c r="F8" s="23"/>
      <c r="G8" s="23"/>
    </row>
    <row r="9" spans="1:29" x14ac:dyDescent="0.2">
      <c r="A9" s="520">
        <v>45442</v>
      </c>
      <c r="B9" s="520">
        <v>45446</v>
      </c>
      <c r="C9" s="521" t="s">
        <v>1963</v>
      </c>
      <c r="D9" s="521" t="s">
        <v>1964</v>
      </c>
      <c r="E9" s="421"/>
      <c r="F9" s="421"/>
      <c r="G9" s="421" t="s">
        <v>1965</v>
      </c>
    </row>
    <row r="10" spans="1:29" x14ac:dyDescent="0.2">
      <c r="A10" s="392">
        <v>45444</v>
      </c>
      <c r="B10" s="392">
        <v>45445</v>
      </c>
      <c r="C10" s="516" t="s">
        <v>1966</v>
      </c>
      <c r="D10" s="22" t="s">
        <v>1967</v>
      </c>
      <c r="E10" s="22"/>
      <c r="F10" s="23"/>
      <c r="G10" s="23"/>
    </row>
    <row r="11" spans="1:29" x14ac:dyDescent="0.2">
      <c r="A11" s="392">
        <v>45456</v>
      </c>
      <c r="B11" s="392">
        <v>45473</v>
      </c>
      <c r="C11" s="22" t="s">
        <v>1968</v>
      </c>
      <c r="D11" s="22" t="s">
        <v>1969</v>
      </c>
      <c r="E11" s="22">
        <v>862555651</v>
      </c>
      <c r="F11" s="23"/>
      <c r="G11" s="23"/>
    </row>
    <row r="12" spans="1:29" x14ac:dyDescent="0.2">
      <c r="A12" s="520">
        <v>45472</v>
      </c>
      <c r="B12" s="520">
        <v>45473</v>
      </c>
      <c r="C12" s="521" t="s">
        <v>1970</v>
      </c>
      <c r="D12" s="521" t="s">
        <v>1971</v>
      </c>
      <c r="E12" s="421"/>
      <c r="F12" s="519"/>
      <c r="G12" s="519"/>
    </row>
    <row r="13" spans="1:29" x14ac:dyDescent="0.2">
      <c r="A13" s="522">
        <v>45488</v>
      </c>
      <c r="B13" s="522">
        <v>45489</v>
      </c>
      <c r="C13" s="523" t="s">
        <v>1972</v>
      </c>
      <c r="D13" s="519"/>
      <c r="E13" s="519"/>
      <c r="F13" s="421"/>
      <c r="G13" s="421" t="s">
        <v>1973</v>
      </c>
    </row>
    <row r="14" spans="1:29" x14ac:dyDescent="0.2">
      <c r="A14" s="520">
        <v>45502</v>
      </c>
      <c r="B14" s="520">
        <v>45508</v>
      </c>
      <c r="C14" s="521" t="s">
        <v>1974</v>
      </c>
      <c r="D14" s="521" t="s">
        <v>1975</v>
      </c>
      <c r="E14" s="421"/>
      <c r="F14" s="421"/>
      <c r="G14" s="421" t="s">
        <v>1976</v>
      </c>
    </row>
    <row r="15" spans="1:29" x14ac:dyDescent="0.2">
      <c r="A15" s="392">
        <v>45505</v>
      </c>
      <c r="B15" s="392">
        <v>45508</v>
      </c>
      <c r="C15" s="516" t="s">
        <v>1762</v>
      </c>
      <c r="D15" s="22" t="s">
        <v>1977</v>
      </c>
      <c r="E15" s="23"/>
      <c r="F15" s="23"/>
      <c r="G15" s="23"/>
    </row>
    <row r="16" spans="1:29" x14ac:dyDescent="0.2">
      <c r="A16" s="392">
        <v>45507</v>
      </c>
      <c r="B16" s="392">
        <v>45513</v>
      </c>
      <c r="C16" s="516" t="s">
        <v>1978</v>
      </c>
      <c r="D16" s="22" t="s">
        <v>1979</v>
      </c>
      <c r="E16" s="23"/>
      <c r="F16" s="23"/>
      <c r="G16" s="23"/>
    </row>
    <row r="17" spans="1:7" x14ac:dyDescent="0.2">
      <c r="A17" s="517">
        <v>45508</v>
      </c>
      <c r="B17" s="517">
        <v>45509</v>
      </c>
      <c r="C17" s="421" t="s">
        <v>1980</v>
      </c>
      <c r="D17" s="519"/>
      <c r="E17" s="519"/>
      <c r="F17" s="519"/>
      <c r="G17" s="519"/>
    </row>
    <row r="18" spans="1:7" x14ac:dyDescent="0.2">
      <c r="A18" s="524">
        <v>45515</v>
      </c>
      <c r="B18" s="524">
        <v>45515</v>
      </c>
      <c r="C18" s="421" t="s">
        <v>1981</v>
      </c>
      <c r="D18" s="421" t="s">
        <v>1982</v>
      </c>
      <c r="E18" s="421" t="s">
        <v>1983</v>
      </c>
      <c r="F18" s="421"/>
      <c r="G18" s="421" t="s">
        <v>454</v>
      </c>
    </row>
    <row r="19" spans="1:7" x14ac:dyDescent="0.2">
      <c r="A19" s="524">
        <v>45515</v>
      </c>
      <c r="B19" s="524">
        <v>45515</v>
      </c>
      <c r="C19" s="421" t="s">
        <v>1984</v>
      </c>
      <c r="D19" s="525" t="s">
        <v>1985</v>
      </c>
      <c r="E19" s="525"/>
      <c r="F19" s="421"/>
      <c r="G19" s="421" t="s">
        <v>454</v>
      </c>
    </row>
    <row r="20" spans="1:7" x14ac:dyDescent="0.2">
      <c r="A20" s="526">
        <v>45515</v>
      </c>
      <c r="B20" s="526">
        <v>45515</v>
      </c>
      <c r="C20" s="22" t="s">
        <v>1986</v>
      </c>
      <c r="D20" s="22" t="s">
        <v>1987</v>
      </c>
      <c r="E20" s="22">
        <v>40234922</v>
      </c>
      <c r="F20" s="23"/>
      <c r="G20" s="23"/>
    </row>
    <row r="21" spans="1:7" x14ac:dyDescent="0.2">
      <c r="A21" s="517">
        <v>45517</v>
      </c>
      <c r="B21" s="517">
        <v>45522</v>
      </c>
      <c r="C21" s="518" t="s">
        <v>1988</v>
      </c>
      <c r="D21" s="22"/>
      <c r="E21" s="23"/>
      <c r="F21" s="23"/>
      <c r="G21" s="23"/>
    </row>
    <row r="22" spans="1:7" x14ac:dyDescent="0.2">
      <c r="A22" s="526">
        <v>45520</v>
      </c>
      <c r="B22" s="526">
        <v>45522</v>
      </c>
      <c r="C22" s="516" t="s">
        <v>1989</v>
      </c>
      <c r="D22" s="22" t="s">
        <v>1958</v>
      </c>
      <c r="E22" s="23"/>
      <c r="F22" s="23"/>
      <c r="G22" s="23"/>
    </row>
    <row r="23" spans="1:7" x14ac:dyDescent="0.2">
      <c r="A23" s="524">
        <v>45552</v>
      </c>
      <c r="B23" s="524">
        <v>45554</v>
      </c>
      <c r="C23" s="421" t="s">
        <v>1990</v>
      </c>
      <c r="D23" s="421" t="s">
        <v>1991</v>
      </c>
      <c r="E23" s="421"/>
      <c r="F23" s="421"/>
      <c r="G23" s="421"/>
    </row>
    <row r="24" spans="1:7" x14ac:dyDescent="0.2">
      <c r="A24" s="524" t="s">
        <v>1992</v>
      </c>
      <c r="B24" s="527"/>
      <c r="C24" s="421" t="s">
        <v>1993</v>
      </c>
      <c r="D24" s="519"/>
      <c r="E24" s="519"/>
      <c r="F24" s="519"/>
      <c r="G24" s="519"/>
    </row>
    <row r="25" spans="1:7" x14ac:dyDescent="0.2">
      <c r="A25" s="524" t="s">
        <v>1992</v>
      </c>
      <c r="B25" s="524"/>
      <c r="C25" s="421" t="s">
        <v>1994</v>
      </c>
      <c r="D25" s="525" t="s">
        <v>1995</v>
      </c>
      <c r="E25" s="525"/>
      <c r="F25" s="421"/>
      <c r="G25" s="421"/>
    </row>
    <row r="26" spans="1:7" x14ac:dyDescent="0.2">
      <c r="A26" s="524" t="s">
        <v>1996</v>
      </c>
      <c r="B26" s="527"/>
      <c r="C26" s="421" t="s">
        <v>1997</v>
      </c>
      <c r="D26" s="519"/>
      <c r="E26" s="519"/>
      <c r="F26" s="519"/>
      <c r="G26" s="519"/>
    </row>
    <row r="27" spans="1:7" x14ac:dyDescent="0.2">
      <c r="A27" s="524" t="s">
        <v>1996</v>
      </c>
      <c r="B27" s="524"/>
      <c r="C27" s="421" t="s">
        <v>1998</v>
      </c>
      <c r="D27" s="421" t="s">
        <v>1999</v>
      </c>
      <c r="E27" s="421"/>
      <c r="F27" s="421"/>
      <c r="G27" s="421" t="s">
        <v>2000</v>
      </c>
    </row>
    <row r="28" spans="1:7" x14ac:dyDescent="0.2">
      <c r="A28" s="522"/>
      <c r="B28" s="522"/>
      <c r="C28" s="421" t="s">
        <v>2001</v>
      </c>
      <c r="D28" s="421" t="s">
        <v>2002</v>
      </c>
      <c r="E28" s="421"/>
      <c r="F28" s="421"/>
      <c r="G28" s="421" t="s">
        <v>2003</v>
      </c>
    </row>
    <row r="29" spans="1:7" x14ac:dyDescent="0.2">
      <c r="A29" s="522"/>
      <c r="B29" s="522"/>
      <c r="C29" s="421" t="s">
        <v>2004</v>
      </c>
      <c r="D29" s="421" t="s">
        <v>2005</v>
      </c>
      <c r="E29" s="421"/>
      <c r="F29" s="421"/>
      <c r="G29" s="421" t="s">
        <v>2006</v>
      </c>
    </row>
    <row r="30" spans="1:7" x14ac:dyDescent="0.2">
      <c r="A30" s="522"/>
      <c r="B30" s="522"/>
      <c r="C30" s="421" t="s">
        <v>1958</v>
      </c>
      <c r="D30" s="421" t="s">
        <v>454</v>
      </c>
      <c r="E30" s="421"/>
      <c r="F30" s="519"/>
      <c r="G30" s="519"/>
    </row>
    <row r="31" spans="1:7" x14ac:dyDescent="0.2">
      <c r="A31" s="528"/>
      <c r="B31" s="528"/>
      <c r="C31" s="421" t="s">
        <v>1066</v>
      </c>
      <c r="D31" s="519"/>
      <c r="E31" s="519"/>
      <c r="F31" s="519"/>
      <c r="G31" s="519"/>
    </row>
    <row r="32" spans="1:7" x14ac:dyDescent="0.2">
      <c r="A32" s="528"/>
      <c r="B32" s="528"/>
      <c r="C32" s="421" t="s">
        <v>2007</v>
      </c>
      <c r="D32" s="519"/>
      <c r="E32" s="519"/>
      <c r="F32" s="519"/>
      <c r="G32" s="519"/>
    </row>
    <row r="33" spans="1:7" x14ac:dyDescent="0.2">
      <c r="A33" s="528"/>
      <c r="B33" s="528"/>
      <c r="C33" s="421" t="s">
        <v>2008</v>
      </c>
      <c r="D33" s="519"/>
      <c r="E33" s="519"/>
      <c r="F33" s="519"/>
      <c r="G33" s="519"/>
    </row>
    <row r="34" spans="1:7" x14ac:dyDescent="0.2">
      <c r="A34" s="528"/>
      <c r="B34" s="528"/>
      <c r="C34" s="421" t="s">
        <v>2009</v>
      </c>
      <c r="D34" s="519"/>
      <c r="E34" s="519"/>
      <c r="F34" s="519"/>
      <c r="G34" s="519"/>
    </row>
    <row r="35" spans="1:7" x14ac:dyDescent="0.2">
      <c r="D35" s="519"/>
      <c r="E35" s="519"/>
      <c r="F35" s="519"/>
      <c r="G35" s="519"/>
    </row>
    <row r="36" spans="1:7" x14ac:dyDescent="0.2">
      <c r="A36" s="529"/>
      <c r="B36" s="529"/>
      <c r="C36" s="23"/>
      <c r="D36" s="23"/>
      <c r="E36" s="23"/>
      <c r="F36" s="23"/>
      <c r="G36" s="23"/>
    </row>
    <row r="37" spans="1:7" x14ac:dyDescent="0.2">
      <c r="A37" s="529"/>
      <c r="B37" s="529"/>
      <c r="C37" s="23"/>
      <c r="D37" s="23"/>
      <c r="E37" s="23"/>
      <c r="F37" s="23"/>
      <c r="G37" s="23"/>
    </row>
    <row r="38" spans="1:7" x14ac:dyDescent="0.2">
      <c r="A38" s="393"/>
      <c r="B38" s="22" t="s">
        <v>1996</v>
      </c>
      <c r="C38" s="22" t="s">
        <v>2010</v>
      </c>
      <c r="D38" s="23"/>
      <c r="E38" s="23"/>
      <c r="F38" s="23"/>
      <c r="G38" s="23"/>
    </row>
    <row r="39" spans="1:7" x14ac:dyDescent="0.2">
      <c r="A39" s="393"/>
      <c r="B39" s="22" t="s">
        <v>1996</v>
      </c>
      <c r="C39" s="22" t="s">
        <v>2011</v>
      </c>
      <c r="D39" s="23"/>
      <c r="E39" s="23"/>
      <c r="F39" s="23"/>
      <c r="G39" s="23"/>
    </row>
    <row r="40" spans="1:7" x14ac:dyDescent="0.2">
      <c r="A40" s="393"/>
      <c r="B40" s="393"/>
      <c r="C40" s="22" t="s">
        <v>2012</v>
      </c>
      <c r="D40" s="23"/>
      <c r="E40" s="23"/>
      <c r="F40" s="23"/>
      <c r="G40" s="23"/>
    </row>
    <row r="41" spans="1:7" x14ac:dyDescent="0.2">
      <c r="A41" s="393"/>
      <c r="B41" s="393"/>
      <c r="C41" s="22" t="s">
        <v>2013</v>
      </c>
      <c r="D41" s="23"/>
      <c r="E41" s="23"/>
      <c r="F41" s="23"/>
      <c r="G41" s="23"/>
    </row>
    <row r="42" spans="1:7" x14ac:dyDescent="0.2">
      <c r="A42" s="393"/>
      <c r="B42" s="393"/>
      <c r="C42" s="22" t="s">
        <v>2014</v>
      </c>
      <c r="D42" s="23"/>
      <c r="E42" s="23"/>
      <c r="F42" s="23"/>
      <c r="G42" s="23"/>
    </row>
    <row r="43" spans="1:7" x14ac:dyDescent="0.2">
      <c r="A43" s="393"/>
      <c r="B43" s="393"/>
      <c r="C43" s="22" t="s">
        <v>2015</v>
      </c>
      <c r="D43" s="23"/>
      <c r="E43" s="23"/>
      <c r="F43" s="23"/>
      <c r="G43" s="23"/>
    </row>
    <row r="44" spans="1:7" x14ac:dyDescent="0.2">
      <c r="A44" s="393"/>
      <c r="B44" s="393"/>
      <c r="C44" s="22" t="s">
        <v>2016</v>
      </c>
      <c r="D44" s="23"/>
      <c r="E44" s="23"/>
      <c r="F44" s="23"/>
      <c r="G44" s="23"/>
    </row>
    <row r="45" spans="1:7" x14ac:dyDescent="0.2">
      <c r="A45" s="393"/>
      <c r="B45" s="393"/>
      <c r="C45" s="22" t="s">
        <v>2017</v>
      </c>
      <c r="D45" s="23"/>
      <c r="E45" s="23"/>
      <c r="F45" s="23"/>
      <c r="G45" s="23"/>
    </row>
    <row r="46" spans="1:7" x14ac:dyDescent="0.2">
      <c r="A46" s="393"/>
      <c r="B46" s="393"/>
      <c r="C46" s="22" t="s">
        <v>2018</v>
      </c>
      <c r="D46" s="23"/>
      <c r="E46" s="23"/>
      <c r="F46" s="23"/>
      <c r="G46" s="23"/>
    </row>
    <row r="47" spans="1:7" x14ac:dyDescent="0.2">
      <c r="A47" s="393"/>
      <c r="B47" s="393"/>
      <c r="C47" s="22" t="s">
        <v>2019</v>
      </c>
      <c r="D47" s="23"/>
      <c r="E47" s="23"/>
      <c r="F47" s="23"/>
      <c r="G47" s="23"/>
    </row>
    <row r="48" spans="1:7" x14ac:dyDescent="0.2">
      <c r="A48" s="393"/>
      <c r="B48" s="393"/>
      <c r="C48" s="22" t="s">
        <v>2020</v>
      </c>
      <c r="D48" s="23"/>
      <c r="E48" s="23"/>
      <c r="F48" s="23"/>
      <c r="G48" s="23"/>
    </row>
    <row r="49" spans="1:7" x14ac:dyDescent="0.2">
      <c r="A49" s="393"/>
      <c r="B49" s="393"/>
      <c r="C49" s="23"/>
      <c r="D49" s="23"/>
      <c r="E49" s="23"/>
      <c r="F49" s="23"/>
      <c r="G49" s="23"/>
    </row>
    <row r="50" spans="1:7" x14ac:dyDescent="0.2">
      <c r="A50" s="393"/>
      <c r="B50" s="393"/>
      <c r="C50" s="23"/>
      <c r="D50" s="23"/>
      <c r="E50" s="23"/>
      <c r="F50" s="23"/>
      <c r="G50" s="23"/>
    </row>
    <row r="51" spans="1:7" x14ac:dyDescent="0.2">
      <c r="A51" s="393"/>
      <c r="B51" s="393"/>
      <c r="C51" s="23"/>
      <c r="D51" s="23"/>
      <c r="E51" s="23"/>
      <c r="F51" s="23"/>
      <c r="G51" s="23"/>
    </row>
    <row r="52" spans="1:7" x14ac:dyDescent="0.2">
      <c r="A52" s="393"/>
      <c r="B52" s="393"/>
      <c r="C52" s="23"/>
      <c r="D52" s="23"/>
      <c r="E52" s="23"/>
      <c r="F52" s="23"/>
      <c r="G52" s="23"/>
    </row>
    <row r="53" spans="1:7" x14ac:dyDescent="0.2">
      <c r="A53" s="393"/>
      <c r="B53" s="393"/>
      <c r="C53" s="23"/>
      <c r="D53" s="23"/>
      <c r="E53" s="23"/>
      <c r="F53" s="23"/>
      <c r="G53" s="23"/>
    </row>
    <row r="54" spans="1:7" x14ac:dyDescent="0.2">
      <c r="A54" s="393"/>
      <c r="B54" s="393"/>
      <c r="C54" s="23"/>
      <c r="D54" s="23"/>
      <c r="E54" s="23"/>
      <c r="F54" s="23"/>
      <c r="G54" s="23"/>
    </row>
    <row r="55" spans="1:7" x14ac:dyDescent="0.2">
      <c r="A55" s="393"/>
      <c r="B55" s="393"/>
      <c r="C55" s="23"/>
      <c r="D55" s="23"/>
      <c r="E55" s="23"/>
      <c r="F55" s="23"/>
      <c r="G55" s="23"/>
    </row>
    <row r="56" spans="1:7" x14ac:dyDescent="0.2">
      <c r="A56" s="393"/>
      <c r="B56" s="393"/>
      <c r="C56" s="23"/>
      <c r="D56" s="23"/>
      <c r="E56" s="23"/>
      <c r="F56" s="23"/>
      <c r="G56" s="23"/>
    </row>
    <row r="57" spans="1:7" x14ac:dyDescent="0.2">
      <c r="A57" s="393"/>
      <c r="B57" s="393"/>
      <c r="C57" s="23"/>
      <c r="D57" s="23"/>
      <c r="E57" s="23"/>
      <c r="F57" s="23"/>
      <c r="G57" s="23"/>
    </row>
    <row r="58" spans="1:7" x14ac:dyDescent="0.2">
      <c r="A58" s="393"/>
      <c r="B58" s="393"/>
      <c r="C58" s="23"/>
      <c r="D58" s="23"/>
      <c r="E58" s="23"/>
      <c r="F58" s="23"/>
      <c r="G58" s="23"/>
    </row>
    <row r="59" spans="1:7" x14ac:dyDescent="0.2">
      <c r="A59" s="393"/>
      <c r="B59" s="393"/>
      <c r="C59" s="22"/>
      <c r="D59" s="23"/>
      <c r="E59" s="23"/>
      <c r="F59" s="23"/>
      <c r="G59" s="23"/>
    </row>
    <row r="60" spans="1:7" x14ac:dyDescent="0.2">
      <c r="A60" s="393"/>
      <c r="B60" s="393"/>
      <c r="C60" s="23"/>
      <c r="D60" s="23"/>
      <c r="E60" s="23"/>
      <c r="F60" s="23"/>
      <c r="G60" s="23"/>
    </row>
    <row r="61" spans="1:7" x14ac:dyDescent="0.2">
      <c r="A61" s="393"/>
      <c r="B61" s="393"/>
      <c r="C61" s="23"/>
      <c r="D61" s="23"/>
      <c r="E61" s="23"/>
      <c r="F61" s="23"/>
      <c r="G61" s="23"/>
    </row>
    <row r="62" spans="1:7" x14ac:dyDescent="0.2">
      <c r="A62" s="393"/>
      <c r="B62" s="393"/>
      <c r="C62" s="23"/>
      <c r="D62" s="23"/>
      <c r="E62" s="23"/>
      <c r="F62" s="23"/>
      <c r="G62" s="23"/>
    </row>
    <row r="63" spans="1:7" x14ac:dyDescent="0.2">
      <c r="A63" s="393"/>
      <c r="B63" s="393"/>
      <c r="C63" s="23"/>
      <c r="D63" s="23"/>
      <c r="E63" s="23"/>
      <c r="F63" s="23"/>
      <c r="G63" s="23"/>
    </row>
    <row r="64" spans="1:7" x14ac:dyDescent="0.2">
      <c r="A64" s="393"/>
      <c r="B64" s="393"/>
      <c r="C64" s="23"/>
      <c r="D64" s="23"/>
      <c r="E64" s="23"/>
      <c r="F64" s="23"/>
      <c r="G64" s="23"/>
    </row>
    <row r="65" spans="1:7" x14ac:dyDescent="0.2">
      <c r="A65" s="393"/>
      <c r="B65" s="393"/>
      <c r="C65" s="23"/>
      <c r="D65" s="23"/>
      <c r="E65" s="23"/>
      <c r="F65" s="23"/>
      <c r="G65" s="23"/>
    </row>
    <row r="66" spans="1:7" x14ac:dyDescent="0.2">
      <c r="A66" s="393"/>
      <c r="B66" s="393"/>
      <c r="C66" s="23"/>
      <c r="D66" s="23"/>
      <c r="E66" s="23"/>
      <c r="F66" s="23"/>
      <c r="G66" s="23"/>
    </row>
    <row r="67" spans="1:7" x14ac:dyDescent="0.2">
      <c r="A67" s="393"/>
      <c r="B67" s="393"/>
      <c r="C67" s="23"/>
      <c r="D67" s="23"/>
      <c r="E67" s="23"/>
      <c r="F67" s="23"/>
      <c r="G67" s="23"/>
    </row>
    <row r="68" spans="1:7" x14ac:dyDescent="0.2">
      <c r="A68" s="393"/>
      <c r="B68" s="393"/>
      <c r="C68" s="23"/>
      <c r="D68" s="23"/>
      <c r="E68" s="23"/>
      <c r="F68" s="23"/>
      <c r="G68" s="23"/>
    </row>
    <row r="69" spans="1:7" x14ac:dyDescent="0.2">
      <c r="A69" s="393"/>
      <c r="B69" s="393"/>
      <c r="C69" s="23"/>
      <c r="D69" s="23"/>
      <c r="E69" s="23"/>
      <c r="F69" s="23"/>
      <c r="G69" s="23"/>
    </row>
    <row r="70" spans="1:7" x14ac:dyDescent="0.2">
      <c r="A70" s="393"/>
      <c r="B70" s="393"/>
      <c r="C70" s="23"/>
      <c r="D70" s="23"/>
      <c r="E70" s="23"/>
      <c r="F70" s="23"/>
      <c r="G70" s="23"/>
    </row>
    <row r="71" spans="1:7" x14ac:dyDescent="0.2">
      <c r="A71" s="393"/>
      <c r="B71" s="393"/>
      <c r="C71" s="23"/>
      <c r="D71" s="23"/>
      <c r="E71" s="23"/>
      <c r="F71" s="23"/>
      <c r="G71" s="23"/>
    </row>
    <row r="72" spans="1:7" x14ac:dyDescent="0.2">
      <c r="A72" s="393"/>
      <c r="B72" s="393"/>
      <c r="C72" s="23"/>
      <c r="D72" s="23"/>
      <c r="E72" s="23"/>
      <c r="F72" s="23"/>
      <c r="G72" s="23"/>
    </row>
    <row r="73" spans="1:7" x14ac:dyDescent="0.2">
      <c r="A73" s="393"/>
      <c r="B73" s="393"/>
      <c r="C73" s="23"/>
      <c r="D73" s="23"/>
      <c r="E73" s="23"/>
      <c r="F73" s="23"/>
      <c r="G73" s="23"/>
    </row>
    <row r="74" spans="1:7" x14ac:dyDescent="0.2">
      <c r="A74" s="393"/>
      <c r="B74" s="393"/>
      <c r="C74" s="23"/>
      <c r="D74" s="23"/>
      <c r="E74" s="23"/>
      <c r="F74" s="23"/>
      <c r="G74" s="23"/>
    </row>
    <row r="75" spans="1:7" x14ac:dyDescent="0.2">
      <c r="A75" s="393"/>
      <c r="B75" s="393"/>
      <c r="C75" s="23"/>
      <c r="D75" s="23"/>
      <c r="E75" s="23"/>
      <c r="F75" s="23"/>
      <c r="G75" s="23"/>
    </row>
    <row r="76" spans="1:7" x14ac:dyDescent="0.2">
      <c r="A76" s="393"/>
      <c r="B76" s="393"/>
      <c r="C76" s="23"/>
      <c r="D76" s="23"/>
      <c r="E76" s="23"/>
      <c r="F76" s="23"/>
      <c r="G76" s="23"/>
    </row>
    <row r="77" spans="1:7" x14ac:dyDescent="0.2">
      <c r="A77" s="393"/>
      <c r="B77" s="393"/>
      <c r="C77" s="23"/>
      <c r="D77" s="23"/>
      <c r="E77" s="23"/>
      <c r="F77" s="23"/>
      <c r="G77" s="23"/>
    </row>
    <row r="78" spans="1:7" x14ac:dyDescent="0.2">
      <c r="A78" s="393"/>
      <c r="B78" s="393"/>
      <c r="C78" s="23"/>
      <c r="D78" s="23"/>
      <c r="E78" s="23"/>
      <c r="F78" s="23"/>
      <c r="G78" s="23"/>
    </row>
    <row r="79" spans="1:7" x14ac:dyDescent="0.2">
      <c r="A79" s="393"/>
      <c r="B79" s="393"/>
      <c r="C79" s="23"/>
      <c r="D79" s="23"/>
      <c r="E79" s="23"/>
      <c r="F79" s="23"/>
      <c r="G79" s="23"/>
    </row>
    <row r="80" spans="1:7" x14ac:dyDescent="0.2">
      <c r="A80" s="393"/>
      <c r="B80" s="393"/>
      <c r="C80" s="23"/>
      <c r="D80" s="23"/>
      <c r="E80" s="23"/>
      <c r="F80" s="23"/>
      <c r="G80" s="23"/>
    </row>
    <row r="81" spans="1:7" x14ac:dyDescent="0.2">
      <c r="A81" s="393"/>
      <c r="B81" s="393"/>
      <c r="C81" s="23"/>
      <c r="D81" s="23"/>
      <c r="E81" s="23"/>
      <c r="F81" s="23"/>
      <c r="G81" s="23"/>
    </row>
    <row r="82" spans="1:7" x14ac:dyDescent="0.2">
      <c r="A82" s="393"/>
      <c r="B82" s="393"/>
      <c r="C82" s="23"/>
      <c r="D82" s="23"/>
      <c r="E82" s="23"/>
      <c r="F82" s="23"/>
      <c r="G82" s="23"/>
    </row>
    <row r="83" spans="1:7" x14ac:dyDescent="0.2">
      <c r="A83" s="393"/>
      <c r="B83" s="393"/>
      <c r="C83" s="23"/>
      <c r="D83" s="23"/>
      <c r="E83" s="23"/>
      <c r="F83" s="23"/>
      <c r="G83" s="23"/>
    </row>
    <row r="84" spans="1:7" x14ac:dyDescent="0.2">
      <c r="A84" s="393"/>
      <c r="B84" s="393"/>
      <c r="C84" s="23"/>
      <c r="D84" s="23"/>
      <c r="E84" s="23"/>
      <c r="F84" s="23"/>
      <c r="G84" s="23"/>
    </row>
    <row r="85" spans="1:7" x14ac:dyDescent="0.2">
      <c r="A85" s="393"/>
      <c r="B85" s="393"/>
      <c r="C85" s="23"/>
      <c r="D85" s="23"/>
      <c r="E85" s="23"/>
      <c r="F85" s="23"/>
      <c r="G85" s="23"/>
    </row>
    <row r="86" spans="1:7" x14ac:dyDescent="0.2">
      <c r="A86" s="393"/>
      <c r="B86" s="393"/>
      <c r="C86" s="23"/>
      <c r="D86" s="23"/>
      <c r="E86" s="23"/>
      <c r="F86" s="23"/>
      <c r="G86" s="23"/>
    </row>
    <row r="87" spans="1:7" x14ac:dyDescent="0.2">
      <c r="A87" s="393"/>
      <c r="B87" s="393"/>
      <c r="C87" s="23"/>
      <c r="D87" s="23"/>
      <c r="E87" s="23"/>
      <c r="F87" s="23"/>
      <c r="G87" s="23"/>
    </row>
    <row r="88" spans="1:7" x14ac:dyDescent="0.2">
      <c r="A88" s="393"/>
      <c r="B88" s="393"/>
      <c r="C88" s="23"/>
      <c r="D88" s="23"/>
      <c r="E88" s="23"/>
      <c r="F88" s="23"/>
      <c r="G88" s="23"/>
    </row>
    <row r="89" spans="1:7" x14ac:dyDescent="0.2">
      <c r="A89" s="393"/>
      <c r="B89" s="393"/>
      <c r="C89" s="23"/>
      <c r="D89" s="23"/>
      <c r="E89" s="23"/>
      <c r="F89" s="23"/>
      <c r="G89" s="23"/>
    </row>
    <row r="90" spans="1:7" x14ac:dyDescent="0.2">
      <c r="A90" s="393"/>
      <c r="B90" s="393"/>
      <c r="C90" s="23"/>
      <c r="D90" s="23"/>
      <c r="E90" s="23"/>
      <c r="F90" s="23"/>
      <c r="G90" s="23"/>
    </row>
    <row r="91" spans="1:7" x14ac:dyDescent="0.2">
      <c r="A91" s="393"/>
      <c r="B91" s="393"/>
      <c r="C91" s="23"/>
      <c r="D91" s="23"/>
      <c r="E91" s="23"/>
      <c r="F91" s="23"/>
      <c r="G91" s="23"/>
    </row>
    <row r="92" spans="1:7" x14ac:dyDescent="0.2">
      <c r="A92" s="393"/>
      <c r="B92" s="393"/>
      <c r="C92" s="23"/>
      <c r="D92" s="23"/>
      <c r="E92" s="23"/>
      <c r="F92" s="23"/>
      <c r="G92" s="23"/>
    </row>
    <row r="93" spans="1:7" x14ac:dyDescent="0.2">
      <c r="A93" s="393"/>
      <c r="B93" s="393"/>
      <c r="C93" s="23"/>
      <c r="D93" s="23"/>
      <c r="E93" s="23"/>
      <c r="F93" s="23"/>
      <c r="G93" s="23"/>
    </row>
    <row r="94" spans="1:7" x14ac:dyDescent="0.2">
      <c r="A94" s="393"/>
      <c r="B94" s="393"/>
      <c r="C94" s="23"/>
      <c r="D94" s="23"/>
      <c r="E94" s="23"/>
      <c r="F94" s="23"/>
      <c r="G94" s="23"/>
    </row>
    <row r="95" spans="1:7" x14ac:dyDescent="0.2">
      <c r="A95" s="393"/>
      <c r="B95" s="393"/>
      <c r="C95" s="23"/>
      <c r="D95" s="23"/>
      <c r="E95" s="23"/>
      <c r="F95" s="23"/>
      <c r="G95" s="23"/>
    </row>
    <row r="96" spans="1:7" x14ac:dyDescent="0.2">
      <c r="A96" s="393"/>
      <c r="B96" s="393"/>
      <c r="C96" s="23"/>
      <c r="D96" s="23"/>
      <c r="E96" s="23"/>
      <c r="F96" s="23"/>
      <c r="G96" s="23"/>
    </row>
    <row r="97" spans="1:7" x14ac:dyDescent="0.2">
      <c r="A97" s="393"/>
      <c r="B97" s="393"/>
      <c r="C97" s="23"/>
      <c r="D97" s="23"/>
      <c r="E97" s="23"/>
      <c r="F97" s="23"/>
      <c r="G97" s="23"/>
    </row>
    <row r="98" spans="1:7" x14ac:dyDescent="0.2">
      <c r="A98" s="393"/>
      <c r="B98" s="393"/>
      <c r="C98" s="23"/>
      <c r="D98" s="23"/>
      <c r="E98" s="23"/>
      <c r="F98" s="23"/>
      <c r="G98" s="23"/>
    </row>
    <row r="99" spans="1:7" x14ac:dyDescent="0.2">
      <c r="A99" s="393"/>
      <c r="B99" s="393"/>
      <c r="C99" s="23"/>
      <c r="D99" s="23"/>
      <c r="E99" s="23"/>
      <c r="F99" s="23"/>
      <c r="G99" s="23"/>
    </row>
    <row r="100" spans="1:7" x14ac:dyDescent="0.2">
      <c r="A100" s="393"/>
      <c r="B100" s="393"/>
      <c r="C100" s="23"/>
      <c r="D100" s="23"/>
      <c r="E100" s="23"/>
      <c r="F100" s="23"/>
      <c r="G100" s="23"/>
    </row>
    <row r="101" spans="1:7" x14ac:dyDescent="0.2">
      <c r="A101" s="393"/>
      <c r="B101" s="393"/>
      <c r="C101" s="23"/>
      <c r="D101" s="23"/>
      <c r="E101" s="23"/>
      <c r="F101" s="23"/>
      <c r="G101" s="23"/>
    </row>
    <row r="102" spans="1:7" x14ac:dyDescent="0.2">
      <c r="A102" s="393"/>
      <c r="B102" s="393"/>
      <c r="C102" s="23"/>
      <c r="D102" s="23"/>
      <c r="E102" s="23"/>
      <c r="F102" s="23"/>
      <c r="G102" s="23"/>
    </row>
    <row r="103" spans="1:7" x14ac:dyDescent="0.2">
      <c r="A103" s="393"/>
      <c r="B103" s="393"/>
      <c r="C103" s="23"/>
      <c r="D103" s="23"/>
      <c r="E103" s="23"/>
      <c r="F103" s="23"/>
      <c r="G103" s="23"/>
    </row>
    <row r="104" spans="1:7" x14ac:dyDescent="0.2">
      <c r="A104" s="393"/>
      <c r="B104" s="393"/>
      <c r="C104" s="23"/>
      <c r="D104" s="23"/>
      <c r="E104" s="23"/>
      <c r="F104" s="23"/>
      <c r="G104" s="23"/>
    </row>
    <row r="105" spans="1:7" x14ac:dyDescent="0.2">
      <c r="A105" s="393"/>
      <c r="B105" s="393"/>
      <c r="C105" s="23"/>
      <c r="D105" s="23"/>
      <c r="E105" s="23"/>
      <c r="F105" s="23"/>
      <c r="G105" s="23"/>
    </row>
    <row r="106" spans="1:7" x14ac:dyDescent="0.2">
      <c r="A106" s="393"/>
      <c r="B106" s="393"/>
      <c r="C106" s="23"/>
      <c r="D106" s="23"/>
      <c r="E106" s="23"/>
      <c r="F106" s="23"/>
      <c r="G106" s="23"/>
    </row>
    <row r="107" spans="1:7" x14ac:dyDescent="0.2">
      <c r="A107" s="393"/>
      <c r="B107" s="393"/>
      <c r="C107" s="23"/>
      <c r="D107" s="23"/>
      <c r="E107" s="23"/>
      <c r="F107" s="23"/>
      <c r="G107" s="23"/>
    </row>
    <row r="108" spans="1:7" x14ac:dyDescent="0.2">
      <c r="A108" s="393"/>
      <c r="B108" s="393"/>
      <c r="C108" s="23"/>
      <c r="D108" s="23"/>
      <c r="E108" s="23"/>
      <c r="F108" s="23"/>
      <c r="G108" s="23"/>
    </row>
    <row r="109" spans="1:7" x14ac:dyDescent="0.2">
      <c r="A109" s="393"/>
      <c r="B109" s="393"/>
      <c r="C109" s="23"/>
      <c r="D109" s="23"/>
      <c r="E109" s="23"/>
      <c r="F109" s="23"/>
      <c r="G109" s="23"/>
    </row>
    <row r="110" spans="1:7" x14ac:dyDescent="0.2">
      <c r="A110" s="393"/>
      <c r="B110" s="393"/>
      <c r="C110" s="23"/>
      <c r="D110" s="23"/>
      <c r="E110" s="23"/>
      <c r="F110" s="23"/>
      <c r="G110" s="23"/>
    </row>
    <row r="111" spans="1:7" x14ac:dyDescent="0.2">
      <c r="A111" s="393"/>
      <c r="B111" s="393"/>
      <c r="C111" s="23"/>
      <c r="D111" s="23"/>
      <c r="E111" s="23"/>
      <c r="F111" s="23"/>
      <c r="G111" s="23"/>
    </row>
    <row r="112" spans="1:7" x14ac:dyDescent="0.2">
      <c r="A112" s="393"/>
      <c r="B112" s="393"/>
      <c r="C112" s="23"/>
      <c r="D112" s="23"/>
      <c r="E112" s="23"/>
      <c r="F112" s="23"/>
      <c r="G112" s="23"/>
    </row>
    <row r="113" spans="1:7" x14ac:dyDescent="0.2">
      <c r="A113" s="393"/>
      <c r="B113" s="393"/>
      <c r="C113" s="23"/>
      <c r="D113" s="23"/>
      <c r="E113" s="23"/>
      <c r="F113" s="23"/>
      <c r="G113" s="23"/>
    </row>
    <row r="114" spans="1:7" x14ac:dyDescent="0.2">
      <c r="A114" s="393"/>
      <c r="B114" s="393"/>
      <c r="C114" s="23"/>
      <c r="D114" s="23"/>
      <c r="E114" s="23"/>
      <c r="F114" s="23"/>
      <c r="G114" s="23"/>
    </row>
    <row r="115" spans="1:7" x14ac:dyDescent="0.2">
      <c r="A115" s="393"/>
      <c r="B115" s="393"/>
      <c r="C115" s="23"/>
      <c r="D115" s="23"/>
      <c r="E115" s="23"/>
      <c r="F115" s="23"/>
      <c r="G115" s="23"/>
    </row>
    <row r="116" spans="1:7" x14ac:dyDescent="0.2">
      <c r="A116" s="393"/>
      <c r="B116" s="393"/>
      <c r="C116" s="23"/>
      <c r="D116" s="23"/>
      <c r="E116" s="23"/>
      <c r="F116" s="23"/>
      <c r="G116" s="23"/>
    </row>
    <row r="117" spans="1:7" x14ac:dyDescent="0.2">
      <c r="A117" s="393"/>
      <c r="B117" s="393"/>
      <c r="C117" s="23"/>
      <c r="D117" s="23"/>
      <c r="E117" s="23"/>
      <c r="F117" s="23"/>
      <c r="G117" s="23"/>
    </row>
    <row r="118" spans="1:7" x14ac:dyDescent="0.2">
      <c r="A118" s="393"/>
      <c r="B118" s="393"/>
      <c r="C118" s="23"/>
      <c r="D118" s="23"/>
      <c r="E118" s="23"/>
      <c r="F118" s="23"/>
      <c r="G118" s="23"/>
    </row>
    <row r="119" spans="1:7" x14ac:dyDescent="0.2">
      <c r="A119" s="393"/>
      <c r="B119" s="393"/>
      <c r="C119" s="23"/>
      <c r="D119" s="23"/>
      <c r="E119" s="23"/>
      <c r="F119" s="23"/>
      <c r="G119" s="23"/>
    </row>
    <row r="120" spans="1:7" x14ac:dyDescent="0.2">
      <c r="A120" s="393"/>
      <c r="B120" s="393"/>
      <c r="C120" s="23"/>
      <c r="D120" s="23"/>
      <c r="E120" s="23"/>
      <c r="F120" s="23"/>
      <c r="G120" s="23"/>
    </row>
    <row r="121" spans="1:7" x14ac:dyDescent="0.2">
      <c r="A121" s="393"/>
      <c r="B121" s="393"/>
      <c r="C121" s="23"/>
      <c r="D121" s="23"/>
      <c r="E121" s="23"/>
      <c r="F121" s="23"/>
      <c r="G121" s="23"/>
    </row>
    <row r="122" spans="1:7" x14ac:dyDescent="0.2">
      <c r="A122" s="393"/>
      <c r="B122" s="393"/>
      <c r="C122" s="23"/>
      <c r="D122" s="23"/>
      <c r="E122" s="23"/>
      <c r="F122" s="23"/>
      <c r="G122" s="23"/>
    </row>
    <row r="123" spans="1:7" x14ac:dyDescent="0.2">
      <c r="A123" s="393"/>
      <c r="B123" s="393"/>
      <c r="C123" s="23"/>
      <c r="D123" s="23"/>
      <c r="E123" s="23"/>
      <c r="F123" s="23"/>
      <c r="G123" s="23"/>
    </row>
    <row r="124" spans="1:7" x14ac:dyDescent="0.2">
      <c r="A124" s="393"/>
      <c r="B124" s="393"/>
      <c r="C124" s="23"/>
      <c r="D124" s="23"/>
      <c r="E124" s="23"/>
      <c r="F124" s="23"/>
      <c r="G124" s="23"/>
    </row>
    <row r="125" spans="1:7" x14ac:dyDescent="0.2">
      <c r="A125" s="393"/>
      <c r="B125" s="393"/>
      <c r="C125" s="23"/>
      <c r="D125" s="23"/>
      <c r="E125" s="23"/>
      <c r="F125" s="23"/>
      <c r="G125" s="23"/>
    </row>
    <row r="126" spans="1:7" x14ac:dyDescent="0.2">
      <c r="A126" s="393"/>
      <c r="B126" s="393"/>
      <c r="C126" s="23"/>
      <c r="D126" s="23"/>
      <c r="E126" s="23"/>
      <c r="F126" s="23"/>
      <c r="G126" s="23"/>
    </row>
    <row r="127" spans="1:7" x14ac:dyDescent="0.2">
      <c r="A127" s="393"/>
      <c r="B127" s="393"/>
      <c r="C127" s="23"/>
      <c r="D127" s="23"/>
      <c r="E127" s="23"/>
      <c r="F127" s="23"/>
      <c r="G127" s="23"/>
    </row>
    <row r="128" spans="1:7" x14ac:dyDescent="0.2">
      <c r="A128" s="393"/>
      <c r="B128" s="393"/>
      <c r="C128" s="23"/>
      <c r="D128" s="23"/>
      <c r="E128" s="23"/>
      <c r="F128" s="23"/>
      <c r="G128" s="23"/>
    </row>
    <row r="129" spans="1:7" x14ac:dyDescent="0.2">
      <c r="A129" s="393"/>
      <c r="B129" s="393"/>
      <c r="C129" s="23"/>
      <c r="D129" s="23"/>
      <c r="E129" s="23"/>
      <c r="F129" s="23"/>
      <c r="G129" s="23"/>
    </row>
    <row r="130" spans="1:7" x14ac:dyDescent="0.2">
      <c r="A130" s="393"/>
      <c r="B130" s="393"/>
      <c r="C130" s="23"/>
      <c r="D130" s="23"/>
      <c r="E130" s="23"/>
      <c r="F130" s="23"/>
      <c r="G130" s="23"/>
    </row>
    <row r="131" spans="1:7" x14ac:dyDescent="0.2">
      <c r="A131" s="393"/>
      <c r="B131" s="393"/>
      <c r="C131" s="23"/>
      <c r="D131" s="23"/>
      <c r="E131" s="23"/>
      <c r="F131" s="23"/>
      <c r="G131" s="23"/>
    </row>
    <row r="132" spans="1:7" x14ac:dyDescent="0.2">
      <c r="A132" s="393"/>
      <c r="B132" s="393"/>
      <c r="C132" s="23"/>
      <c r="D132" s="23"/>
      <c r="E132" s="23"/>
      <c r="F132" s="23"/>
      <c r="G132" s="23"/>
    </row>
    <row r="133" spans="1:7" x14ac:dyDescent="0.2">
      <c r="A133" s="393"/>
      <c r="B133" s="393"/>
      <c r="C133" s="23"/>
      <c r="D133" s="23"/>
      <c r="E133" s="23"/>
      <c r="F133" s="23"/>
      <c r="G133" s="23"/>
    </row>
    <row r="134" spans="1:7" x14ac:dyDescent="0.2">
      <c r="A134" s="393"/>
      <c r="B134" s="393"/>
      <c r="C134" s="23"/>
      <c r="D134" s="23"/>
      <c r="E134" s="23"/>
      <c r="F134" s="23"/>
      <c r="G134" s="23"/>
    </row>
    <row r="135" spans="1:7" x14ac:dyDescent="0.2">
      <c r="A135" s="393"/>
      <c r="B135" s="393"/>
      <c r="C135" s="23"/>
      <c r="D135" s="23"/>
      <c r="E135" s="23"/>
      <c r="F135" s="23"/>
      <c r="G135" s="23"/>
    </row>
    <row r="136" spans="1:7" x14ac:dyDescent="0.2">
      <c r="A136" s="393"/>
      <c r="B136" s="393"/>
      <c r="C136" s="23"/>
      <c r="D136" s="23"/>
      <c r="E136" s="23"/>
      <c r="F136" s="23"/>
      <c r="G136" s="23"/>
    </row>
    <row r="137" spans="1:7" x14ac:dyDescent="0.2">
      <c r="A137" s="393"/>
      <c r="B137" s="393"/>
      <c r="C137" s="23"/>
      <c r="D137" s="23"/>
      <c r="E137" s="23"/>
      <c r="F137" s="23"/>
      <c r="G137" s="23"/>
    </row>
    <row r="138" spans="1:7" x14ac:dyDescent="0.2">
      <c r="A138" s="393"/>
      <c r="B138" s="393"/>
      <c r="C138" s="23"/>
      <c r="D138" s="23"/>
      <c r="E138" s="23"/>
      <c r="F138" s="23"/>
      <c r="G138" s="23"/>
    </row>
    <row r="139" spans="1:7" x14ac:dyDescent="0.2">
      <c r="A139" s="393"/>
      <c r="B139" s="393"/>
      <c r="C139" s="23"/>
      <c r="D139" s="23"/>
      <c r="E139" s="23"/>
      <c r="F139" s="23"/>
      <c r="G139" s="23"/>
    </row>
    <row r="140" spans="1:7" x14ac:dyDescent="0.2">
      <c r="A140" s="393"/>
      <c r="B140" s="393"/>
      <c r="C140" s="23"/>
      <c r="D140" s="23"/>
      <c r="E140" s="23"/>
      <c r="F140" s="23"/>
      <c r="G140" s="23"/>
    </row>
    <row r="141" spans="1:7" x14ac:dyDescent="0.2">
      <c r="A141" s="393"/>
      <c r="B141" s="393"/>
      <c r="C141" s="23"/>
      <c r="D141" s="23"/>
      <c r="E141" s="23"/>
      <c r="F141" s="23"/>
      <c r="G141" s="23"/>
    </row>
    <row r="142" spans="1:7" x14ac:dyDescent="0.2">
      <c r="A142" s="393"/>
      <c r="B142" s="393"/>
      <c r="C142" s="23"/>
      <c r="D142" s="23"/>
      <c r="E142" s="23"/>
      <c r="F142" s="23"/>
      <c r="G142" s="23"/>
    </row>
    <row r="143" spans="1:7" x14ac:dyDescent="0.2">
      <c r="A143" s="393"/>
      <c r="B143" s="393"/>
      <c r="C143" s="23"/>
      <c r="D143" s="23"/>
      <c r="E143" s="23"/>
      <c r="F143" s="23"/>
      <c r="G143" s="23"/>
    </row>
    <row r="144" spans="1:7" x14ac:dyDescent="0.2">
      <c r="A144" s="393"/>
      <c r="B144" s="393"/>
      <c r="C144" s="23"/>
      <c r="D144" s="23"/>
      <c r="E144" s="23"/>
      <c r="F144" s="23"/>
      <c r="G144" s="23"/>
    </row>
    <row r="145" spans="1:7" x14ac:dyDescent="0.2">
      <c r="A145" s="393"/>
      <c r="B145" s="393"/>
      <c r="C145" s="23"/>
      <c r="D145" s="23"/>
      <c r="E145" s="23"/>
      <c r="F145" s="23"/>
      <c r="G145" s="23"/>
    </row>
    <row r="146" spans="1:7" x14ac:dyDescent="0.2">
      <c r="A146" s="393"/>
      <c r="B146" s="393"/>
      <c r="C146" s="23"/>
      <c r="D146" s="23"/>
      <c r="E146" s="23"/>
      <c r="F146" s="23"/>
      <c r="G146" s="23"/>
    </row>
    <row r="147" spans="1:7" x14ac:dyDescent="0.2">
      <c r="A147" s="393"/>
      <c r="B147" s="393"/>
      <c r="C147" s="23"/>
      <c r="D147" s="23"/>
      <c r="E147" s="23"/>
      <c r="F147" s="23"/>
      <c r="G147" s="23"/>
    </row>
    <row r="148" spans="1:7" x14ac:dyDescent="0.2">
      <c r="A148" s="393"/>
      <c r="B148" s="393"/>
      <c r="C148" s="23"/>
      <c r="D148" s="23"/>
      <c r="E148" s="23"/>
      <c r="F148" s="23"/>
      <c r="G148" s="23"/>
    </row>
    <row r="149" spans="1:7" x14ac:dyDescent="0.2">
      <c r="A149" s="393"/>
      <c r="B149" s="393"/>
      <c r="C149" s="23"/>
      <c r="D149" s="23"/>
      <c r="E149" s="23"/>
      <c r="F149" s="23"/>
      <c r="G149" s="23"/>
    </row>
    <row r="150" spans="1:7" x14ac:dyDescent="0.2">
      <c r="A150" s="393"/>
      <c r="B150" s="393"/>
      <c r="C150" s="23"/>
      <c r="D150" s="23"/>
      <c r="E150" s="23"/>
      <c r="F150" s="23"/>
      <c r="G150" s="23"/>
    </row>
    <row r="151" spans="1:7" x14ac:dyDescent="0.2">
      <c r="A151" s="393"/>
      <c r="B151" s="393"/>
      <c r="C151" s="23"/>
      <c r="D151" s="23"/>
      <c r="E151" s="23"/>
      <c r="F151" s="23"/>
      <c r="G151" s="23"/>
    </row>
    <row r="152" spans="1:7" x14ac:dyDescent="0.2">
      <c r="A152" s="393"/>
      <c r="B152" s="393"/>
      <c r="C152" s="23"/>
      <c r="D152" s="23"/>
      <c r="E152" s="23"/>
      <c r="F152" s="23"/>
      <c r="G152" s="23"/>
    </row>
    <row r="153" spans="1:7" x14ac:dyDescent="0.2">
      <c r="A153" s="393"/>
      <c r="B153" s="393"/>
      <c r="C153" s="23"/>
      <c r="D153" s="23"/>
      <c r="E153" s="23"/>
      <c r="F153" s="23"/>
      <c r="G153" s="23"/>
    </row>
    <row r="154" spans="1:7" x14ac:dyDescent="0.2">
      <c r="A154" s="393"/>
      <c r="B154" s="393"/>
      <c r="C154" s="23"/>
      <c r="D154" s="23"/>
      <c r="E154" s="23"/>
      <c r="F154" s="23"/>
      <c r="G154" s="23"/>
    </row>
    <row r="155" spans="1:7" x14ac:dyDescent="0.2">
      <c r="A155" s="393"/>
      <c r="B155" s="393"/>
      <c r="C155" s="23"/>
      <c r="D155" s="23"/>
      <c r="E155" s="23"/>
      <c r="F155" s="23"/>
      <c r="G155" s="23"/>
    </row>
    <row r="156" spans="1:7" x14ac:dyDescent="0.2">
      <c r="A156" s="393"/>
      <c r="B156" s="393"/>
      <c r="C156" s="23"/>
      <c r="D156" s="23"/>
      <c r="E156" s="23"/>
      <c r="F156" s="23"/>
      <c r="G156" s="23"/>
    </row>
    <row r="157" spans="1:7" x14ac:dyDescent="0.2">
      <c r="A157" s="393"/>
      <c r="B157" s="393"/>
      <c r="C157" s="23"/>
      <c r="D157" s="23"/>
      <c r="E157" s="23"/>
      <c r="F157" s="23"/>
      <c r="G157" s="23"/>
    </row>
    <row r="158" spans="1:7" x14ac:dyDescent="0.2">
      <c r="A158" s="393"/>
      <c r="B158" s="393"/>
      <c r="C158" s="23"/>
      <c r="D158" s="23"/>
      <c r="E158" s="23"/>
      <c r="F158" s="23"/>
      <c r="G158" s="23"/>
    </row>
    <row r="159" spans="1:7" x14ac:dyDescent="0.2">
      <c r="A159" s="393"/>
      <c r="B159" s="393"/>
      <c r="C159" s="23"/>
      <c r="D159" s="23"/>
      <c r="E159" s="23"/>
      <c r="F159" s="23"/>
      <c r="G159" s="23"/>
    </row>
    <row r="160" spans="1:7" x14ac:dyDescent="0.2">
      <c r="A160" s="393"/>
      <c r="B160" s="393"/>
      <c r="C160" s="23"/>
      <c r="D160" s="23"/>
      <c r="E160" s="23"/>
      <c r="F160" s="23"/>
      <c r="G160" s="23"/>
    </row>
    <row r="161" spans="1:7" x14ac:dyDescent="0.2">
      <c r="A161" s="393"/>
      <c r="B161" s="393"/>
      <c r="C161" s="23"/>
      <c r="D161" s="23"/>
      <c r="E161" s="23"/>
      <c r="F161" s="23"/>
      <c r="G161" s="23"/>
    </row>
    <row r="162" spans="1:7" x14ac:dyDescent="0.2">
      <c r="A162" s="393"/>
      <c r="B162" s="393"/>
      <c r="C162" s="23"/>
      <c r="D162" s="23"/>
      <c r="E162" s="23"/>
      <c r="F162" s="23"/>
      <c r="G162" s="23"/>
    </row>
    <row r="163" spans="1:7" x14ac:dyDescent="0.2">
      <c r="A163" s="393"/>
      <c r="B163" s="393"/>
      <c r="C163" s="23"/>
      <c r="D163" s="23"/>
      <c r="E163" s="23"/>
      <c r="F163" s="23"/>
      <c r="G163" s="23"/>
    </row>
    <row r="164" spans="1:7" x14ac:dyDescent="0.2">
      <c r="A164" s="393"/>
      <c r="B164" s="393"/>
      <c r="C164" s="23"/>
      <c r="D164" s="23"/>
      <c r="E164" s="23"/>
      <c r="F164" s="23"/>
      <c r="G164" s="23"/>
    </row>
    <row r="165" spans="1:7" x14ac:dyDescent="0.2">
      <c r="A165" s="393"/>
      <c r="B165" s="393"/>
      <c r="C165" s="23"/>
      <c r="D165" s="23"/>
      <c r="E165" s="23"/>
      <c r="F165" s="23"/>
      <c r="G165" s="23"/>
    </row>
    <row r="166" spans="1:7" x14ac:dyDescent="0.2">
      <c r="A166" s="393"/>
      <c r="B166" s="393"/>
      <c r="C166" s="23"/>
      <c r="D166" s="23"/>
      <c r="E166" s="23"/>
      <c r="F166" s="23"/>
      <c r="G166" s="23"/>
    </row>
    <row r="167" spans="1:7" x14ac:dyDescent="0.2">
      <c r="A167" s="393"/>
      <c r="B167" s="393"/>
      <c r="C167" s="23"/>
      <c r="D167" s="23"/>
      <c r="E167" s="23"/>
      <c r="F167" s="23"/>
      <c r="G167" s="23"/>
    </row>
    <row r="168" spans="1:7" x14ac:dyDescent="0.2">
      <c r="A168" s="393"/>
      <c r="B168" s="393"/>
      <c r="C168" s="23"/>
      <c r="D168" s="23"/>
      <c r="E168" s="23"/>
      <c r="F168" s="23"/>
      <c r="G168" s="23"/>
    </row>
    <row r="169" spans="1:7" x14ac:dyDescent="0.2">
      <c r="A169" s="393"/>
      <c r="B169" s="393"/>
      <c r="C169" s="23"/>
      <c r="D169" s="23"/>
      <c r="E169" s="23"/>
      <c r="F169" s="23"/>
      <c r="G169" s="23"/>
    </row>
    <row r="170" spans="1:7" x14ac:dyDescent="0.2">
      <c r="A170" s="393"/>
      <c r="B170" s="393"/>
      <c r="C170" s="23"/>
      <c r="D170" s="23"/>
      <c r="E170" s="23"/>
      <c r="F170" s="23"/>
      <c r="G170" s="23"/>
    </row>
    <row r="171" spans="1:7" x14ac:dyDescent="0.2">
      <c r="A171" s="393"/>
      <c r="B171" s="393"/>
      <c r="C171" s="23"/>
      <c r="D171" s="23"/>
      <c r="E171" s="23"/>
      <c r="F171" s="23"/>
      <c r="G171" s="23"/>
    </row>
    <row r="172" spans="1:7" x14ac:dyDescent="0.2">
      <c r="A172" s="393"/>
      <c r="B172" s="393"/>
      <c r="C172" s="23"/>
      <c r="D172" s="23"/>
      <c r="E172" s="23"/>
      <c r="F172" s="23"/>
      <c r="G172" s="23"/>
    </row>
    <row r="173" spans="1:7" x14ac:dyDescent="0.2">
      <c r="A173" s="393"/>
      <c r="B173" s="393"/>
      <c r="C173" s="23"/>
      <c r="D173" s="23"/>
      <c r="E173" s="23"/>
      <c r="F173" s="23"/>
      <c r="G173" s="23"/>
    </row>
    <row r="174" spans="1:7" x14ac:dyDescent="0.2">
      <c r="A174" s="393"/>
      <c r="B174" s="393"/>
      <c r="C174" s="23"/>
      <c r="D174" s="23"/>
      <c r="E174" s="23"/>
      <c r="F174" s="23"/>
      <c r="G174" s="23"/>
    </row>
    <row r="175" spans="1:7" x14ac:dyDescent="0.2">
      <c r="A175" s="393"/>
      <c r="B175" s="393"/>
      <c r="C175" s="23"/>
      <c r="D175" s="23"/>
      <c r="E175" s="23"/>
      <c r="F175" s="23"/>
      <c r="G175" s="23"/>
    </row>
    <row r="176" spans="1:7" x14ac:dyDescent="0.2">
      <c r="A176" s="393"/>
      <c r="B176" s="393"/>
      <c r="C176" s="23"/>
      <c r="D176" s="23"/>
      <c r="E176" s="23"/>
      <c r="F176" s="23"/>
      <c r="G176" s="23"/>
    </row>
    <row r="177" spans="1:7" x14ac:dyDescent="0.2">
      <c r="A177" s="393"/>
      <c r="B177" s="393"/>
      <c r="C177" s="23"/>
      <c r="D177" s="23"/>
      <c r="E177" s="23"/>
      <c r="F177" s="23"/>
      <c r="G177" s="23"/>
    </row>
    <row r="178" spans="1:7" x14ac:dyDescent="0.2">
      <c r="A178" s="393"/>
      <c r="B178" s="393"/>
      <c r="C178" s="23"/>
      <c r="D178" s="23"/>
      <c r="E178" s="23"/>
      <c r="F178" s="23"/>
      <c r="G178" s="23"/>
    </row>
    <row r="179" spans="1:7" x14ac:dyDescent="0.2">
      <c r="A179" s="393"/>
      <c r="B179" s="393"/>
      <c r="C179" s="23"/>
      <c r="D179" s="23"/>
      <c r="E179" s="23"/>
      <c r="F179" s="23"/>
      <c r="G179" s="23"/>
    </row>
    <row r="180" spans="1:7" x14ac:dyDescent="0.2">
      <c r="A180" s="393"/>
      <c r="B180" s="393"/>
      <c r="C180" s="23"/>
      <c r="D180" s="23"/>
      <c r="E180" s="23"/>
      <c r="F180" s="23"/>
      <c r="G180" s="23"/>
    </row>
    <row r="181" spans="1:7" x14ac:dyDescent="0.2">
      <c r="A181" s="393"/>
      <c r="B181" s="393"/>
      <c r="C181" s="23"/>
      <c r="D181" s="23"/>
      <c r="E181" s="23"/>
      <c r="F181" s="23"/>
      <c r="G181" s="23"/>
    </row>
    <row r="182" spans="1:7" x14ac:dyDescent="0.2">
      <c r="A182" s="393"/>
      <c r="B182" s="393"/>
      <c r="C182" s="23"/>
      <c r="D182" s="23"/>
      <c r="E182" s="23"/>
      <c r="F182" s="23"/>
      <c r="G182" s="23"/>
    </row>
    <row r="183" spans="1:7" x14ac:dyDescent="0.2">
      <c r="A183" s="393"/>
      <c r="B183" s="393"/>
      <c r="C183" s="23"/>
      <c r="D183" s="23"/>
      <c r="E183" s="23"/>
      <c r="F183" s="23"/>
      <c r="G183" s="23"/>
    </row>
    <row r="184" spans="1:7" x14ac:dyDescent="0.2">
      <c r="A184" s="393"/>
      <c r="B184" s="393"/>
      <c r="C184" s="23"/>
      <c r="D184" s="23"/>
      <c r="E184" s="23"/>
      <c r="F184" s="23"/>
      <c r="G184" s="23"/>
    </row>
    <row r="185" spans="1:7" x14ac:dyDescent="0.2">
      <c r="A185" s="393"/>
      <c r="B185" s="393"/>
      <c r="C185" s="23"/>
      <c r="D185" s="23"/>
      <c r="E185" s="23"/>
      <c r="F185" s="23"/>
      <c r="G185" s="23"/>
    </row>
    <row r="186" spans="1:7" x14ac:dyDescent="0.2">
      <c r="A186" s="393"/>
      <c r="B186" s="393"/>
      <c r="C186" s="23"/>
      <c r="D186" s="23"/>
      <c r="E186" s="23"/>
      <c r="F186" s="23"/>
      <c r="G186" s="23"/>
    </row>
    <row r="187" spans="1:7" x14ac:dyDescent="0.2">
      <c r="A187" s="393"/>
      <c r="B187" s="393"/>
      <c r="C187" s="23"/>
      <c r="D187" s="23"/>
      <c r="E187" s="23"/>
      <c r="F187" s="23"/>
      <c r="G187" s="23"/>
    </row>
    <row r="188" spans="1:7" x14ac:dyDescent="0.2">
      <c r="A188" s="393"/>
      <c r="B188" s="393"/>
      <c r="C188" s="23"/>
      <c r="D188" s="23"/>
      <c r="E188" s="23"/>
      <c r="F188" s="23"/>
      <c r="G188" s="23"/>
    </row>
    <row r="189" spans="1:7" x14ac:dyDescent="0.2">
      <c r="A189" s="393"/>
      <c r="B189" s="393"/>
      <c r="C189" s="23"/>
      <c r="D189" s="23"/>
      <c r="E189" s="23"/>
      <c r="F189" s="23"/>
      <c r="G189" s="23"/>
    </row>
    <row r="190" spans="1:7" x14ac:dyDescent="0.2">
      <c r="A190" s="393"/>
      <c r="B190" s="393"/>
      <c r="C190" s="23"/>
      <c r="D190" s="23"/>
      <c r="E190" s="23"/>
      <c r="F190" s="23"/>
      <c r="G190" s="23"/>
    </row>
    <row r="191" spans="1:7" x14ac:dyDescent="0.2">
      <c r="A191" s="393"/>
      <c r="B191" s="393"/>
      <c r="C191" s="23"/>
      <c r="D191" s="23"/>
      <c r="E191" s="23"/>
      <c r="F191" s="23"/>
      <c r="G191" s="23"/>
    </row>
    <row r="192" spans="1:7" x14ac:dyDescent="0.2">
      <c r="A192" s="393"/>
      <c r="B192" s="393"/>
      <c r="C192" s="23"/>
      <c r="D192" s="23"/>
      <c r="E192" s="23"/>
      <c r="F192" s="23"/>
      <c r="G192" s="23"/>
    </row>
    <row r="193" spans="1:7" x14ac:dyDescent="0.2">
      <c r="A193" s="393"/>
      <c r="B193" s="393"/>
      <c r="C193" s="23"/>
      <c r="D193" s="23"/>
      <c r="E193" s="23"/>
      <c r="F193" s="23"/>
      <c r="G193" s="23"/>
    </row>
    <row r="194" spans="1:7" x14ac:dyDescent="0.2">
      <c r="A194" s="393"/>
      <c r="B194" s="393"/>
      <c r="C194" s="23"/>
      <c r="D194" s="23"/>
      <c r="E194" s="23"/>
      <c r="F194" s="23"/>
      <c r="G194" s="23"/>
    </row>
    <row r="195" spans="1:7" x14ac:dyDescent="0.2">
      <c r="A195" s="393"/>
      <c r="B195" s="393"/>
      <c r="C195" s="23"/>
      <c r="D195" s="23"/>
      <c r="E195" s="23"/>
      <c r="F195" s="23"/>
      <c r="G195" s="23"/>
    </row>
    <row r="196" spans="1:7" x14ac:dyDescent="0.2">
      <c r="A196" s="393"/>
      <c r="B196" s="393"/>
      <c r="C196" s="23"/>
      <c r="D196" s="23"/>
      <c r="E196" s="23"/>
      <c r="F196" s="23"/>
      <c r="G196" s="23"/>
    </row>
    <row r="197" spans="1:7" x14ac:dyDescent="0.2">
      <c r="A197" s="393"/>
      <c r="B197" s="393"/>
      <c r="C197" s="23"/>
      <c r="D197" s="23"/>
      <c r="E197" s="23"/>
      <c r="F197" s="23"/>
      <c r="G197" s="23"/>
    </row>
    <row r="198" spans="1:7" x14ac:dyDescent="0.2">
      <c r="A198" s="393"/>
      <c r="B198" s="393"/>
      <c r="C198" s="23"/>
      <c r="D198" s="23"/>
      <c r="E198" s="23"/>
      <c r="F198" s="23"/>
      <c r="G198" s="23"/>
    </row>
    <row r="199" spans="1:7" x14ac:dyDescent="0.2">
      <c r="A199" s="393"/>
      <c r="B199" s="393"/>
      <c r="C199" s="23"/>
      <c r="D199" s="23"/>
      <c r="E199" s="23"/>
      <c r="F199" s="23"/>
      <c r="G199" s="23"/>
    </row>
    <row r="200" spans="1:7" x14ac:dyDescent="0.2">
      <c r="A200" s="393"/>
      <c r="B200" s="393"/>
      <c r="C200" s="23"/>
      <c r="D200" s="23"/>
      <c r="E200" s="23"/>
      <c r="F200" s="23"/>
      <c r="G200" s="23"/>
    </row>
    <row r="201" spans="1:7" x14ac:dyDescent="0.2">
      <c r="A201" s="393"/>
      <c r="B201" s="393"/>
      <c r="C201" s="23"/>
      <c r="D201" s="23"/>
      <c r="E201" s="23"/>
      <c r="F201" s="23"/>
      <c r="G201" s="23"/>
    </row>
    <row r="202" spans="1:7" x14ac:dyDescent="0.2">
      <c r="A202" s="393"/>
      <c r="B202" s="393"/>
      <c r="C202" s="23"/>
      <c r="D202" s="23"/>
      <c r="E202" s="23"/>
      <c r="F202" s="23"/>
      <c r="G202" s="23"/>
    </row>
    <row r="203" spans="1:7" x14ac:dyDescent="0.2">
      <c r="A203" s="393"/>
      <c r="B203" s="393"/>
      <c r="C203" s="23"/>
      <c r="D203" s="23"/>
      <c r="E203" s="23"/>
      <c r="F203" s="23"/>
      <c r="G203" s="23"/>
    </row>
    <row r="204" spans="1:7" x14ac:dyDescent="0.2">
      <c r="A204" s="393"/>
      <c r="B204" s="393"/>
      <c r="C204" s="23"/>
      <c r="D204" s="23"/>
      <c r="E204" s="23"/>
      <c r="F204" s="23"/>
      <c r="G204" s="23"/>
    </row>
    <row r="205" spans="1:7" x14ac:dyDescent="0.2">
      <c r="A205" s="393"/>
      <c r="B205" s="393"/>
      <c r="C205" s="23"/>
      <c r="D205" s="23"/>
      <c r="E205" s="23"/>
      <c r="F205" s="23"/>
      <c r="G205" s="23"/>
    </row>
    <row r="206" spans="1:7" x14ac:dyDescent="0.2">
      <c r="A206" s="393"/>
      <c r="B206" s="393"/>
      <c r="C206" s="23"/>
      <c r="D206" s="23"/>
      <c r="E206" s="23"/>
      <c r="F206" s="23"/>
      <c r="G206" s="23"/>
    </row>
    <row r="207" spans="1:7" x14ac:dyDescent="0.2">
      <c r="A207" s="393"/>
      <c r="B207" s="393"/>
      <c r="C207" s="23"/>
      <c r="D207" s="23"/>
      <c r="E207" s="23"/>
      <c r="F207" s="23"/>
      <c r="G207" s="23"/>
    </row>
    <row r="208" spans="1:7" x14ac:dyDescent="0.2">
      <c r="A208" s="393"/>
      <c r="B208" s="393"/>
      <c r="C208" s="23"/>
      <c r="D208" s="23"/>
      <c r="E208" s="23"/>
      <c r="F208" s="23"/>
      <c r="G208" s="23"/>
    </row>
    <row r="209" spans="1:7" x14ac:dyDescent="0.2">
      <c r="A209" s="393"/>
      <c r="B209" s="393"/>
      <c r="C209" s="23"/>
      <c r="D209" s="23"/>
      <c r="E209" s="23"/>
      <c r="F209" s="23"/>
      <c r="G209" s="23"/>
    </row>
    <row r="210" spans="1:7" x14ac:dyDescent="0.2">
      <c r="A210" s="393"/>
      <c r="B210" s="393"/>
      <c r="C210" s="23"/>
      <c r="D210" s="23"/>
      <c r="E210" s="23"/>
      <c r="F210" s="23"/>
      <c r="G210" s="23"/>
    </row>
    <row r="211" spans="1:7" x14ac:dyDescent="0.2">
      <c r="A211" s="393"/>
      <c r="B211" s="393"/>
      <c r="C211" s="23"/>
      <c r="D211" s="23"/>
      <c r="E211" s="23"/>
      <c r="F211" s="23"/>
      <c r="G211" s="23"/>
    </row>
    <row r="212" spans="1:7" x14ac:dyDescent="0.2">
      <c r="A212" s="393"/>
      <c r="B212" s="393"/>
      <c r="C212" s="23"/>
      <c r="D212" s="23"/>
      <c r="E212" s="23"/>
      <c r="F212" s="23"/>
      <c r="G212" s="23"/>
    </row>
    <row r="213" spans="1:7" x14ac:dyDescent="0.2">
      <c r="A213" s="393"/>
      <c r="B213" s="393"/>
      <c r="C213" s="23"/>
      <c r="D213" s="23"/>
      <c r="E213" s="23"/>
      <c r="F213" s="23"/>
      <c r="G213" s="23"/>
    </row>
    <row r="214" spans="1:7" x14ac:dyDescent="0.2">
      <c r="A214" s="393"/>
      <c r="B214" s="393"/>
      <c r="C214" s="23"/>
      <c r="D214" s="23"/>
      <c r="E214" s="23"/>
      <c r="F214" s="23"/>
      <c r="G214" s="23"/>
    </row>
    <row r="215" spans="1:7" x14ac:dyDescent="0.2">
      <c r="A215" s="393"/>
      <c r="B215" s="393"/>
      <c r="C215" s="23"/>
      <c r="D215" s="23"/>
      <c r="E215" s="23"/>
      <c r="F215" s="23"/>
      <c r="G215" s="23"/>
    </row>
    <row r="216" spans="1:7" x14ac:dyDescent="0.2">
      <c r="A216" s="393"/>
      <c r="B216" s="393"/>
      <c r="C216" s="23"/>
      <c r="D216" s="23"/>
      <c r="E216" s="23"/>
      <c r="F216" s="23"/>
      <c r="G216" s="23"/>
    </row>
    <row r="217" spans="1:7" x14ac:dyDescent="0.2">
      <c r="A217" s="393"/>
      <c r="B217" s="393"/>
      <c r="C217" s="23"/>
      <c r="D217" s="23"/>
      <c r="E217" s="23"/>
      <c r="F217" s="23"/>
      <c r="G217" s="23"/>
    </row>
    <row r="218" spans="1:7" x14ac:dyDescent="0.2">
      <c r="A218" s="393"/>
      <c r="B218" s="393"/>
      <c r="C218" s="23"/>
      <c r="D218" s="23"/>
      <c r="E218" s="23"/>
      <c r="F218" s="23"/>
      <c r="G218" s="23"/>
    </row>
    <row r="219" spans="1:7" x14ac:dyDescent="0.2">
      <c r="A219" s="393"/>
      <c r="B219" s="393"/>
      <c r="C219" s="23"/>
      <c r="D219" s="23"/>
      <c r="E219" s="23"/>
      <c r="F219" s="23"/>
      <c r="G219" s="23"/>
    </row>
    <row r="220" spans="1:7" x14ac:dyDescent="0.2">
      <c r="A220" s="393"/>
      <c r="B220" s="393"/>
      <c r="C220" s="23"/>
      <c r="D220" s="23"/>
      <c r="E220" s="23"/>
      <c r="F220" s="23"/>
      <c r="G220" s="23"/>
    </row>
    <row r="221" spans="1:7" x14ac:dyDescent="0.2">
      <c r="A221" s="393"/>
      <c r="B221" s="393"/>
      <c r="C221" s="23"/>
      <c r="D221" s="23"/>
      <c r="E221" s="23"/>
      <c r="F221" s="23"/>
      <c r="G221" s="23"/>
    </row>
    <row r="222" spans="1:7" x14ac:dyDescent="0.2">
      <c r="A222" s="393"/>
      <c r="B222" s="393"/>
      <c r="C222" s="23"/>
      <c r="D222" s="23"/>
      <c r="E222" s="23"/>
      <c r="F222" s="23"/>
      <c r="G222" s="23"/>
    </row>
    <row r="223" spans="1:7" x14ac:dyDescent="0.2">
      <c r="A223" s="393"/>
      <c r="B223" s="393"/>
      <c r="C223" s="23"/>
      <c r="D223" s="23"/>
      <c r="E223" s="23"/>
      <c r="F223" s="23"/>
      <c r="G223" s="23"/>
    </row>
    <row r="224" spans="1:7" x14ac:dyDescent="0.2">
      <c r="A224" s="393"/>
      <c r="B224" s="393"/>
      <c r="C224" s="23"/>
      <c r="D224" s="23"/>
      <c r="E224" s="23"/>
      <c r="F224" s="23"/>
      <c r="G224" s="23"/>
    </row>
    <row r="225" spans="1:7" x14ac:dyDescent="0.2">
      <c r="A225" s="393"/>
      <c r="B225" s="393"/>
      <c r="C225" s="23"/>
      <c r="D225" s="23"/>
      <c r="E225" s="23"/>
      <c r="F225" s="23"/>
      <c r="G225" s="23"/>
    </row>
    <row r="226" spans="1:7" x14ac:dyDescent="0.2">
      <c r="A226" s="393"/>
      <c r="B226" s="393"/>
      <c r="C226" s="23"/>
      <c r="D226" s="23"/>
      <c r="E226" s="23"/>
      <c r="F226" s="23"/>
      <c r="G226" s="23"/>
    </row>
    <row r="227" spans="1:7" x14ac:dyDescent="0.2">
      <c r="A227" s="393"/>
      <c r="B227" s="393"/>
      <c r="C227" s="23"/>
      <c r="D227" s="23"/>
      <c r="E227" s="23"/>
      <c r="F227" s="23"/>
      <c r="G227" s="23"/>
    </row>
    <row r="228" spans="1:7" x14ac:dyDescent="0.2">
      <c r="A228" s="393"/>
      <c r="B228" s="393"/>
      <c r="C228" s="23"/>
      <c r="D228" s="23"/>
      <c r="E228" s="23"/>
      <c r="F228" s="23"/>
      <c r="G228" s="23"/>
    </row>
    <row r="229" spans="1:7" x14ac:dyDescent="0.2">
      <c r="A229" s="393"/>
      <c r="B229" s="393"/>
      <c r="C229" s="23"/>
      <c r="D229" s="23"/>
      <c r="E229" s="23"/>
      <c r="F229" s="23"/>
      <c r="G229" s="23"/>
    </row>
    <row r="230" spans="1:7" x14ac:dyDescent="0.2">
      <c r="A230" s="393"/>
      <c r="B230" s="393"/>
      <c r="C230" s="23"/>
      <c r="D230" s="23"/>
      <c r="E230" s="23"/>
      <c r="F230" s="23"/>
      <c r="G230" s="23"/>
    </row>
    <row r="231" spans="1:7" x14ac:dyDescent="0.2">
      <c r="A231" s="393"/>
      <c r="B231" s="393"/>
      <c r="C231" s="23"/>
      <c r="D231" s="23"/>
      <c r="E231" s="23"/>
      <c r="F231" s="23"/>
      <c r="G231" s="23"/>
    </row>
    <row r="232" spans="1:7" x14ac:dyDescent="0.2">
      <c r="A232" s="393"/>
      <c r="B232" s="393"/>
      <c r="C232" s="23"/>
      <c r="D232" s="23"/>
      <c r="E232" s="23"/>
      <c r="F232" s="23"/>
      <c r="G232" s="23"/>
    </row>
    <row r="233" spans="1:7" x14ac:dyDescent="0.2">
      <c r="A233" s="393"/>
      <c r="B233" s="393"/>
      <c r="C233" s="23"/>
      <c r="D233" s="23"/>
      <c r="E233" s="23"/>
      <c r="F233" s="23"/>
      <c r="G233" s="23"/>
    </row>
    <row r="234" spans="1:7" x14ac:dyDescent="0.2">
      <c r="A234" s="393"/>
      <c r="B234" s="393"/>
      <c r="C234" s="23"/>
      <c r="D234" s="23"/>
      <c r="E234" s="23"/>
      <c r="F234" s="23"/>
      <c r="G234" s="23"/>
    </row>
    <row r="235" spans="1:7" x14ac:dyDescent="0.2">
      <c r="A235" s="393"/>
      <c r="B235" s="393"/>
      <c r="C235" s="23"/>
      <c r="D235" s="23"/>
      <c r="E235" s="23"/>
      <c r="F235" s="23"/>
      <c r="G235" s="23"/>
    </row>
    <row r="236" spans="1:7" x14ac:dyDescent="0.2">
      <c r="A236" s="393"/>
      <c r="B236" s="393"/>
      <c r="C236" s="23"/>
      <c r="D236" s="23"/>
      <c r="E236" s="23"/>
      <c r="F236" s="23"/>
      <c r="G236" s="23"/>
    </row>
    <row r="237" spans="1:7" x14ac:dyDescent="0.2">
      <c r="A237" s="393"/>
      <c r="B237" s="393"/>
      <c r="C237" s="23"/>
      <c r="D237" s="23"/>
      <c r="E237" s="23"/>
      <c r="F237" s="23"/>
      <c r="G237" s="23"/>
    </row>
    <row r="238" spans="1:7" x14ac:dyDescent="0.2">
      <c r="A238" s="393"/>
      <c r="B238" s="393"/>
      <c r="C238" s="23"/>
      <c r="D238" s="23"/>
      <c r="E238" s="23"/>
      <c r="F238" s="23"/>
      <c r="G238" s="23"/>
    </row>
    <row r="239" spans="1:7" x14ac:dyDescent="0.2">
      <c r="A239" s="393"/>
      <c r="B239" s="393"/>
      <c r="C239" s="23"/>
      <c r="D239" s="23"/>
      <c r="E239" s="23"/>
      <c r="F239" s="23"/>
      <c r="G239" s="23"/>
    </row>
    <row r="240" spans="1:7" x14ac:dyDescent="0.2">
      <c r="A240" s="393"/>
      <c r="B240" s="393"/>
      <c r="C240" s="23"/>
      <c r="D240" s="23"/>
      <c r="E240" s="23"/>
      <c r="F240" s="23"/>
      <c r="G240" s="23"/>
    </row>
    <row r="241" spans="1:7" x14ac:dyDescent="0.2">
      <c r="A241" s="393"/>
      <c r="B241" s="393"/>
      <c r="C241" s="23"/>
      <c r="D241" s="23"/>
      <c r="E241" s="23"/>
      <c r="F241" s="23"/>
      <c r="G241" s="23"/>
    </row>
    <row r="242" spans="1:7" x14ac:dyDescent="0.2">
      <c r="A242" s="393"/>
      <c r="B242" s="393"/>
      <c r="C242" s="23"/>
      <c r="D242" s="23"/>
      <c r="E242" s="23"/>
      <c r="F242" s="23"/>
      <c r="G242" s="23"/>
    </row>
    <row r="243" spans="1:7" x14ac:dyDescent="0.2">
      <c r="A243" s="393"/>
      <c r="B243" s="393"/>
      <c r="C243" s="23"/>
      <c r="D243" s="23"/>
      <c r="E243" s="23"/>
      <c r="F243" s="23"/>
      <c r="G243" s="23"/>
    </row>
    <row r="244" spans="1:7" x14ac:dyDescent="0.2">
      <c r="A244" s="393"/>
      <c r="B244" s="393"/>
      <c r="C244" s="23"/>
      <c r="D244" s="23"/>
      <c r="E244" s="23"/>
      <c r="F244" s="23"/>
      <c r="G244" s="23"/>
    </row>
    <row r="245" spans="1:7" x14ac:dyDescent="0.2">
      <c r="A245" s="393"/>
      <c r="B245" s="393"/>
      <c r="C245" s="23"/>
      <c r="D245" s="23"/>
      <c r="E245" s="23"/>
      <c r="F245" s="23"/>
      <c r="G245" s="23"/>
    </row>
    <row r="246" spans="1:7" x14ac:dyDescent="0.2">
      <c r="A246" s="393"/>
      <c r="B246" s="393"/>
      <c r="C246" s="23"/>
      <c r="D246" s="23"/>
      <c r="E246" s="23"/>
      <c r="F246" s="23"/>
      <c r="G246" s="23"/>
    </row>
    <row r="247" spans="1:7" x14ac:dyDescent="0.2">
      <c r="A247" s="393"/>
      <c r="B247" s="393"/>
      <c r="C247" s="23"/>
      <c r="D247" s="23"/>
      <c r="E247" s="23"/>
      <c r="F247" s="23"/>
      <c r="G247" s="23"/>
    </row>
    <row r="248" spans="1:7" x14ac:dyDescent="0.2">
      <c r="A248" s="393"/>
      <c r="B248" s="393"/>
      <c r="C248" s="23"/>
      <c r="D248" s="23"/>
      <c r="E248" s="23"/>
      <c r="F248" s="23"/>
      <c r="G248" s="23"/>
    </row>
    <row r="249" spans="1:7" x14ac:dyDescent="0.2">
      <c r="A249" s="393"/>
      <c r="B249" s="393"/>
      <c r="C249" s="23"/>
      <c r="D249" s="23"/>
      <c r="E249" s="23"/>
      <c r="F249" s="23"/>
      <c r="G249" s="23"/>
    </row>
    <row r="250" spans="1:7" x14ac:dyDescent="0.2">
      <c r="A250" s="393"/>
      <c r="B250" s="393"/>
      <c r="C250" s="23"/>
      <c r="D250" s="23"/>
      <c r="E250" s="23"/>
      <c r="F250" s="23"/>
      <c r="G250" s="23"/>
    </row>
    <row r="251" spans="1:7" x14ac:dyDescent="0.2">
      <c r="A251" s="393"/>
      <c r="B251" s="393"/>
      <c r="C251" s="23"/>
      <c r="D251" s="23"/>
      <c r="E251" s="23"/>
      <c r="F251" s="23"/>
      <c r="G251" s="23"/>
    </row>
    <row r="252" spans="1:7" x14ac:dyDescent="0.2">
      <c r="A252" s="393"/>
      <c r="B252" s="393"/>
      <c r="C252" s="23"/>
      <c r="D252" s="23"/>
      <c r="E252" s="23"/>
      <c r="F252" s="23"/>
      <c r="G252" s="23"/>
    </row>
    <row r="253" spans="1:7" x14ac:dyDescent="0.2">
      <c r="A253" s="393"/>
      <c r="B253" s="393"/>
      <c r="C253" s="23"/>
      <c r="D253" s="23"/>
      <c r="E253" s="23"/>
      <c r="F253" s="23"/>
      <c r="G253" s="23"/>
    </row>
    <row r="254" spans="1:7" x14ac:dyDescent="0.2">
      <c r="A254" s="393"/>
      <c r="B254" s="393"/>
      <c r="C254" s="23"/>
      <c r="D254" s="23"/>
      <c r="E254" s="23"/>
      <c r="F254" s="23"/>
      <c r="G254" s="23"/>
    </row>
    <row r="255" spans="1:7" x14ac:dyDescent="0.2">
      <c r="A255" s="393"/>
      <c r="B255" s="393"/>
      <c r="C255" s="23"/>
      <c r="D255" s="23"/>
      <c r="E255" s="23"/>
      <c r="F255" s="23"/>
      <c r="G255" s="23"/>
    </row>
    <row r="256" spans="1:7" x14ac:dyDescent="0.2">
      <c r="A256" s="393"/>
      <c r="B256" s="393"/>
      <c r="C256" s="23"/>
      <c r="D256" s="23"/>
      <c r="E256" s="23"/>
      <c r="F256" s="23"/>
      <c r="G256" s="23"/>
    </row>
    <row r="257" spans="1:7" x14ac:dyDescent="0.2">
      <c r="A257" s="393"/>
      <c r="B257" s="393"/>
      <c r="C257" s="23"/>
      <c r="D257" s="23"/>
      <c r="E257" s="23"/>
      <c r="F257" s="23"/>
      <c r="G257" s="23"/>
    </row>
    <row r="258" spans="1:7" x14ac:dyDescent="0.2">
      <c r="A258" s="393"/>
      <c r="B258" s="393"/>
      <c r="C258" s="23"/>
      <c r="D258" s="23"/>
      <c r="E258" s="23"/>
      <c r="F258" s="23"/>
      <c r="G258" s="23"/>
    </row>
    <row r="259" spans="1:7" x14ac:dyDescent="0.2">
      <c r="A259" s="393"/>
      <c r="B259" s="393"/>
      <c r="C259" s="23"/>
      <c r="D259" s="23"/>
      <c r="E259" s="23"/>
      <c r="F259" s="23"/>
      <c r="G259" s="23"/>
    </row>
    <row r="260" spans="1:7" x14ac:dyDescent="0.2">
      <c r="A260" s="393"/>
      <c r="B260" s="393"/>
      <c r="C260" s="23"/>
      <c r="D260" s="23"/>
      <c r="E260" s="23"/>
      <c r="F260" s="23"/>
      <c r="G260" s="23"/>
    </row>
    <row r="261" spans="1:7" x14ac:dyDescent="0.2">
      <c r="A261" s="393"/>
      <c r="B261" s="393"/>
      <c r="C261" s="23"/>
      <c r="D261" s="23"/>
      <c r="E261" s="23"/>
      <c r="F261" s="23"/>
      <c r="G261" s="23"/>
    </row>
    <row r="262" spans="1:7" x14ac:dyDescent="0.2">
      <c r="A262" s="393"/>
      <c r="B262" s="393"/>
      <c r="C262" s="23"/>
      <c r="D262" s="23"/>
      <c r="E262" s="23"/>
      <c r="F262" s="23"/>
      <c r="G262" s="23"/>
    </row>
    <row r="263" spans="1:7" x14ac:dyDescent="0.2">
      <c r="A263" s="393"/>
      <c r="B263" s="393"/>
      <c r="C263" s="23"/>
      <c r="D263" s="23"/>
      <c r="E263" s="23"/>
      <c r="F263" s="23"/>
      <c r="G263" s="23"/>
    </row>
    <row r="264" spans="1:7" x14ac:dyDescent="0.2">
      <c r="A264" s="393"/>
      <c r="B264" s="393"/>
      <c r="C264" s="23"/>
      <c r="D264" s="23"/>
      <c r="E264" s="23"/>
      <c r="F264" s="23"/>
      <c r="G264" s="23"/>
    </row>
    <row r="265" spans="1:7" x14ac:dyDescent="0.2">
      <c r="A265" s="393"/>
      <c r="B265" s="393"/>
      <c r="C265" s="23"/>
      <c r="D265" s="23"/>
      <c r="E265" s="23"/>
      <c r="F265" s="23"/>
      <c r="G265" s="23"/>
    </row>
    <row r="266" spans="1:7" x14ac:dyDescent="0.2">
      <c r="A266" s="393"/>
      <c r="B266" s="393"/>
      <c r="C266" s="23"/>
      <c r="D266" s="23"/>
      <c r="E266" s="23"/>
      <c r="F266" s="23"/>
      <c r="G266" s="23"/>
    </row>
    <row r="267" spans="1:7" x14ac:dyDescent="0.2">
      <c r="A267" s="393"/>
      <c r="B267" s="393"/>
      <c r="C267" s="23"/>
      <c r="D267" s="23"/>
      <c r="E267" s="23"/>
      <c r="F267" s="23"/>
      <c r="G267" s="23"/>
    </row>
    <row r="268" spans="1:7" x14ac:dyDescent="0.2">
      <c r="A268" s="393"/>
      <c r="B268" s="393"/>
      <c r="C268" s="23"/>
      <c r="D268" s="23"/>
      <c r="E268" s="23"/>
      <c r="F268" s="23"/>
      <c r="G268" s="23"/>
    </row>
    <row r="269" spans="1:7" x14ac:dyDescent="0.2">
      <c r="A269" s="393"/>
      <c r="B269" s="393"/>
      <c r="C269" s="23"/>
      <c r="D269" s="23"/>
      <c r="E269" s="23"/>
      <c r="F269" s="23"/>
      <c r="G269" s="23"/>
    </row>
    <row r="270" spans="1:7" x14ac:dyDescent="0.2">
      <c r="A270" s="393"/>
      <c r="B270" s="393"/>
      <c r="C270" s="23"/>
      <c r="D270" s="23"/>
      <c r="E270" s="23"/>
      <c r="F270" s="23"/>
      <c r="G270" s="23"/>
    </row>
    <row r="271" spans="1:7" x14ac:dyDescent="0.2">
      <c r="A271" s="393"/>
      <c r="B271" s="393"/>
      <c r="C271" s="23"/>
      <c r="D271" s="23"/>
      <c r="E271" s="23"/>
      <c r="F271" s="23"/>
      <c r="G271" s="23"/>
    </row>
    <row r="272" spans="1:7" x14ac:dyDescent="0.2">
      <c r="A272" s="393"/>
      <c r="B272" s="393"/>
      <c r="C272" s="23"/>
      <c r="D272" s="23"/>
      <c r="E272" s="23"/>
      <c r="F272" s="23"/>
      <c r="G272" s="23"/>
    </row>
    <row r="273" spans="1:7" x14ac:dyDescent="0.2">
      <c r="A273" s="393"/>
      <c r="B273" s="393"/>
      <c r="C273" s="23"/>
      <c r="D273" s="23"/>
      <c r="E273" s="23"/>
      <c r="F273" s="23"/>
      <c r="G273" s="23"/>
    </row>
    <row r="274" spans="1:7" x14ac:dyDescent="0.2">
      <c r="A274" s="393"/>
      <c r="B274" s="393"/>
      <c r="C274" s="23"/>
      <c r="D274" s="23"/>
      <c r="E274" s="23"/>
      <c r="F274" s="23"/>
      <c r="G274" s="23"/>
    </row>
    <row r="275" spans="1:7" x14ac:dyDescent="0.2">
      <c r="A275" s="393"/>
      <c r="B275" s="393"/>
      <c r="C275" s="23"/>
      <c r="D275" s="23"/>
      <c r="E275" s="23"/>
      <c r="F275" s="23"/>
      <c r="G275" s="23"/>
    </row>
    <row r="276" spans="1:7" x14ac:dyDescent="0.2">
      <c r="A276" s="393"/>
      <c r="B276" s="393"/>
      <c r="C276" s="23"/>
      <c r="D276" s="23"/>
      <c r="E276" s="23"/>
      <c r="F276" s="23"/>
      <c r="G276" s="23"/>
    </row>
    <row r="277" spans="1:7" x14ac:dyDescent="0.2">
      <c r="A277" s="393"/>
      <c r="B277" s="393"/>
      <c r="C277" s="23"/>
      <c r="D277" s="23"/>
      <c r="E277" s="23"/>
      <c r="F277" s="23"/>
      <c r="G277" s="23"/>
    </row>
    <row r="278" spans="1:7" x14ac:dyDescent="0.2">
      <c r="A278" s="393"/>
      <c r="B278" s="393"/>
      <c r="C278" s="23"/>
      <c r="D278" s="23"/>
      <c r="E278" s="23"/>
      <c r="F278" s="23"/>
      <c r="G278" s="23"/>
    </row>
    <row r="279" spans="1:7" x14ac:dyDescent="0.2">
      <c r="A279" s="393"/>
      <c r="B279" s="393"/>
      <c r="C279" s="23"/>
      <c r="D279" s="23"/>
      <c r="E279" s="23"/>
      <c r="F279" s="23"/>
      <c r="G279" s="23"/>
    </row>
    <row r="280" spans="1:7" x14ac:dyDescent="0.2">
      <c r="A280" s="393"/>
      <c r="B280" s="393"/>
      <c r="C280" s="23"/>
      <c r="D280" s="23"/>
      <c r="E280" s="23"/>
      <c r="F280" s="23"/>
      <c r="G280" s="23"/>
    </row>
    <row r="281" spans="1:7" x14ac:dyDescent="0.2">
      <c r="A281" s="393"/>
      <c r="B281" s="393"/>
      <c r="C281" s="23"/>
      <c r="D281" s="23"/>
      <c r="E281" s="23"/>
      <c r="F281" s="23"/>
      <c r="G281" s="23"/>
    </row>
    <row r="282" spans="1:7" x14ac:dyDescent="0.2">
      <c r="A282" s="393"/>
      <c r="B282" s="393"/>
      <c r="C282" s="23"/>
      <c r="D282" s="23"/>
      <c r="E282" s="23"/>
      <c r="F282" s="23"/>
      <c r="G282" s="23"/>
    </row>
    <row r="283" spans="1:7" x14ac:dyDescent="0.2">
      <c r="A283" s="393"/>
      <c r="B283" s="393"/>
      <c r="C283" s="23"/>
      <c r="D283" s="23"/>
      <c r="E283" s="23"/>
      <c r="F283" s="23"/>
      <c r="G283" s="23"/>
    </row>
    <row r="284" spans="1:7" x14ac:dyDescent="0.2">
      <c r="A284" s="393"/>
      <c r="B284" s="393"/>
      <c r="C284" s="23"/>
      <c r="D284" s="23"/>
      <c r="E284" s="23"/>
      <c r="F284" s="23"/>
      <c r="G284" s="23"/>
    </row>
    <row r="285" spans="1:7" x14ac:dyDescent="0.2">
      <c r="A285" s="393"/>
      <c r="B285" s="393"/>
      <c r="C285" s="23"/>
      <c r="D285" s="23"/>
      <c r="E285" s="23"/>
      <c r="F285" s="23"/>
      <c r="G285" s="23"/>
    </row>
    <row r="286" spans="1:7" x14ac:dyDescent="0.2">
      <c r="A286" s="393"/>
      <c r="B286" s="393"/>
      <c r="C286" s="23"/>
      <c r="D286" s="23"/>
      <c r="E286" s="23"/>
      <c r="F286" s="23"/>
      <c r="G286" s="23"/>
    </row>
    <row r="287" spans="1:7" x14ac:dyDescent="0.2">
      <c r="A287" s="393"/>
      <c r="B287" s="393"/>
      <c r="C287" s="23"/>
      <c r="D287" s="23"/>
      <c r="E287" s="23"/>
      <c r="F287" s="23"/>
      <c r="G287" s="23"/>
    </row>
    <row r="288" spans="1:7" x14ac:dyDescent="0.2">
      <c r="A288" s="393"/>
      <c r="B288" s="393"/>
      <c r="C288" s="23"/>
      <c r="D288" s="23"/>
      <c r="E288" s="23"/>
      <c r="F288" s="23"/>
      <c r="G288" s="23"/>
    </row>
    <row r="289" spans="1:7" x14ac:dyDescent="0.2">
      <c r="A289" s="393"/>
      <c r="B289" s="393"/>
      <c r="C289" s="23"/>
      <c r="D289" s="23"/>
      <c r="E289" s="23"/>
      <c r="F289" s="23"/>
      <c r="G289" s="23"/>
    </row>
    <row r="290" spans="1:7" x14ac:dyDescent="0.2">
      <c r="A290" s="393"/>
      <c r="B290" s="393"/>
      <c r="C290" s="23"/>
      <c r="D290" s="23"/>
      <c r="E290" s="23"/>
      <c r="F290" s="23"/>
      <c r="G290" s="23"/>
    </row>
    <row r="291" spans="1:7" x14ac:dyDescent="0.2">
      <c r="A291" s="393"/>
      <c r="B291" s="393"/>
      <c r="C291" s="23"/>
      <c r="D291" s="23"/>
      <c r="E291" s="23"/>
      <c r="F291" s="23"/>
      <c r="G291" s="23"/>
    </row>
    <row r="292" spans="1:7" x14ac:dyDescent="0.2">
      <c r="A292" s="393"/>
      <c r="B292" s="393"/>
      <c r="C292" s="23"/>
      <c r="D292" s="23"/>
      <c r="E292" s="23"/>
      <c r="F292" s="23"/>
      <c r="G292" s="23"/>
    </row>
    <row r="293" spans="1:7" x14ac:dyDescent="0.2">
      <c r="A293" s="393"/>
      <c r="B293" s="393"/>
      <c r="C293" s="23"/>
      <c r="D293" s="23"/>
      <c r="E293" s="23"/>
      <c r="F293" s="23"/>
      <c r="G293" s="23"/>
    </row>
    <row r="294" spans="1:7" x14ac:dyDescent="0.2">
      <c r="A294" s="393"/>
      <c r="B294" s="393"/>
      <c r="C294" s="23"/>
      <c r="D294" s="23"/>
      <c r="E294" s="23"/>
      <c r="F294" s="23"/>
      <c r="G294" s="23"/>
    </row>
    <row r="295" spans="1:7" x14ac:dyDescent="0.2">
      <c r="A295" s="393"/>
      <c r="B295" s="393"/>
      <c r="C295" s="23"/>
      <c r="D295" s="23"/>
      <c r="E295" s="23"/>
      <c r="F295" s="23"/>
      <c r="G295" s="23"/>
    </row>
    <row r="296" spans="1:7" x14ac:dyDescent="0.2">
      <c r="A296" s="393"/>
      <c r="B296" s="393"/>
      <c r="C296" s="23"/>
      <c r="D296" s="23"/>
      <c r="E296" s="23"/>
      <c r="F296" s="23"/>
      <c r="G296" s="23"/>
    </row>
    <row r="297" spans="1:7" x14ac:dyDescent="0.2">
      <c r="A297" s="393"/>
      <c r="B297" s="393"/>
      <c r="C297" s="23"/>
      <c r="D297" s="23"/>
      <c r="E297" s="23"/>
      <c r="F297" s="23"/>
      <c r="G297" s="23"/>
    </row>
    <row r="298" spans="1:7" x14ac:dyDescent="0.2">
      <c r="A298" s="393"/>
      <c r="B298" s="393"/>
      <c r="C298" s="23"/>
      <c r="D298" s="23"/>
      <c r="E298" s="23"/>
      <c r="F298" s="23"/>
      <c r="G298" s="23"/>
    </row>
    <row r="299" spans="1:7" x14ac:dyDescent="0.2">
      <c r="A299" s="393"/>
      <c r="B299" s="393"/>
      <c r="C299" s="23"/>
      <c r="D299" s="23"/>
      <c r="E299" s="23"/>
      <c r="F299" s="23"/>
      <c r="G299" s="23"/>
    </row>
    <row r="300" spans="1:7" x14ac:dyDescent="0.2">
      <c r="A300" s="393"/>
      <c r="B300" s="393"/>
      <c r="C300" s="23"/>
      <c r="D300" s="23"/>
      <c r="E300" s="23"/>
      <c r="F300" s="23"/>
      <c r="G300" s="23"/>
    </row>
    <row r="301" spans="1:7" x14ac:dyDescent="0.2">
      <c r="A301" s="393"/>
      <c r="B301" s="393"/>
      <c r="C301" s="23"/>
      <c r="D301" s="23"/>
      <c r="E301" s="23"/>
      <c r="F301" s="23"/>
      <c r="G301" s="23"/>
    </row>
    <row r="302" spans="1:7" x14ac:dyDescent="0.2">
      <c r="A302" s="393"/>
      <c r="B302" s="393"/>
      <c r="C302" s="23"/>
      <c r="D302" s="23"/>
      <c r="E302" s="23"/>
      <c r="F302" s="23"/>
      <c r="G302" s="23"/>
    </row>
    <row r="303" spans="1:7" x14ac:dyDescent="0.2">
      <c r="A303" s="393"/>
      <c r="B303" s="393"/>
      <c r="C303" s="23"/>
      <c r="D303" s="23"/>
      <c r="E303" s="23"/>
      <c r="F303" s="23"/>
      <c r="G303" s="23"/>
    </row>
    <row r="304" spans="1:7" x14ac:dyDescent="0.2">
      <c r="A304" s="393"/>
      <c r="B304" s="393"/>
      <c r="C304" s="23"/>
      <c r="D304" s="23"/>
      <c r="E304" s="23"/>
      <c r="F304" s="23"/>
      <c r="G304" s="23"/>
    </row>
    <row r="305" spans="1:7" x14ac:dyDescent="0.2">
      <c r="A305" s="393"/>
      <c r="B305" s="393"/>
      <c r="C305" s="23"/>
      <c r="D305" s="23"/>
      <c r="E305" s="23"/>
      <c r="F305" s="23"/>
      <c r="G305" s="23"/>
    </row>
    <row r="306" spans="1:7" x14ac:dyDescent="0.2">
      <c r="A306" s="393"/>
      <c r="B306" s="393"/>
      <c r="C306" s="23"/>
      <c r="D306" s="23"/>
      <c r="E306" s="23"/>
      <c r="F306" s="23"/>
      <c r="G306" s="23"/>
    </row>
    <row r="307" spans="1:7" x14ac:dyDescent="0.2">
      <c r="A307" s="393"/>
      <c r="B307" s="393"/>
      <c r="C307" s="23"/>
      <c r="D307" s="23"/>
      <c r="E307" s="23"/>
      <c r="F307" s="23"/>
      <c r="G307" s="23"/>
    </row>
    <row r="308" spans="1:7" x14ac:dyDescent="0.2">
      <c r="A308" s="393"/>
      <c r="B308" s="393"/>
      <c r="C308" s="23"/>
      <c r="D308" s="23"/>
      <c r="E308" s="23"/>
      <c r="F308" s="23"/>
      <c r="G308" s="23"/>
    </row>
    <row r="309" spans="1:7" x14ac:dyDescent="0.2">
      <c r="A309" s="393"/>
      <c r="B309" s="393"/>
      <c r="C309" s="23"/>
      <c r="D309" s="23"/>
      <c r="E309" s="23"/>
      <c r="F309" s="23"/>
      <c r="G309" s="23"/>
    </row>
    <row r="310" spans="1:7" x14ac:dyDescent="0.2">
      <c r="A310" s="393"/>
      <c r="B310" s="393"/>
      <c r="C310" s="23"/>
      <c r="D310" s="23"/>
      <c r="E310" s="23"/>
      <c r="F310" s="23"/>
      <c r="G310" s="23"/>
    </row>
    <row r="311" spans="1:7" x14ac:dyDescent="0.2">
      <c r="A311" s="393"/>
      <c r="B311" s="393"/>
      <c r="C311" s="23"/>
      <c r="D311" s="23"/>
      <c r="E311" s="23"/>
      <c r="F311" s="23"/>
      <c r="G311" s="23"/>
    </row>
    <row r="312" spans="1:7" x14ac:dyDescent="0.2">
      <c r="A312" s="393"/>
      <c r="B312" s="393"/>
      <c r="C312" s="23"/>
      <c r="D312" s="23"/>
      <c r="E312" s="23"/>
      <c r="F312" s="23"/>
      <c r="G312" s="23"/>
    </row>
    <row r="313" spans="1:7" x14ac:dyDescent="0.2">
      <c r="A313" s="393"/>
      <c r="B313" s="393"/>
      <c r="C313" s="23"/>
      <c r="D313" s="23"/>
      <c r="E313" s="23"/>
      <c r="F313" s="23"/>
      <c r="G313" s="23"/>
    </row>
    <row r="314" spans="1:7" x14ac:dyDescent="0.2">
      <c r="A314" s="393"/>
      <c r="B314" s="393"/>
      <c r="C314" s="23"/>
      <c r="D314" s="23"/>
      <c r="E314" s="23"/>
      <c r="F314" s="23"/>
      <c r="G314" s="23"/>
    </row>
    <row r="315" spans="1:7" x14ac:dyDescent="0.2">
      <c r="A315" s="393"/>
      <c r="B315" s="393"/>
      <c r="C315" s="23"/>
      <c r="D315" s="23"/>
      <c r="E315" s="23"/>
      <c r="F315" s="23"/>
      <c r="G315" s="23"/>
    </row>
    <row r="316" spans="1:7" x14ac:dyDescent="0.2">
      <c r="A316" s="393"/>
      <c r="B316" s="393"/>
      <c r="C316" s="23"/>
      <c r="D316" s="23"/>
      <c r="E316" s="23"/>
      <c r="F316" s="23"/>
      <c r="G316" s="23"/>
    </row>
    <row r="317" spans="1:7" x14ac:dyDescent="0.2">
      <c r="A317" s="393"/>
      <c r="B317" s="393"/>
      <c r="C317" s="23"/>
      <c r="D317" s="23"/>
      <c r="E317" s="23"/>
      <c r="F317" s="23"/>
      <c r="G317" s="23"/>
    </row>
    <row r="318" spans="1:7" x14ac:dyDescent="0.2">
      <c r="A318" s="393"/>
      <c r="B318" s="393"/>
      <c r="C318" s="23"/>
      <c r="D318" s="23"/>
      <c r="E318" s="23"/>
      <c r="F318" s="23"/>
      <c r="G318" s="23"/>
    </row>
    <row r="319" spans="1:7" x14ac:dyDescent="0.2">
      <c r="A319" s="393"/>
      <c r="B319" s="393"/>
      <c r="C319" s="23"/>
      <c r="D319" s="23"/>
      <c r="E319" s="23"/>
      <c r="F319" s="23"/>
      <c r="G319" s="23"/>
    </row>
    <row r="320" spans="1:7" x14ac:dyDescent="0.2">
      <c r="A320" s="393"/>
      <c r="B320" s="393"/>
      <c r="C320" s="23"/>
      <c r="D320" s="23"/>
      <c r="E320" s="23"/>
      <c r="F320" s="23"/>
      <c r="G320" s="23"/>
    </row>
    <row r="321" spans="1:7" x14ac:dyDescent="0.2">
      <c r="A321" s="393"/>
      <c r="B321" s="393"/>
      <c r="C321" s="23"/>
      <c r="D321" s="23"/>
      <c r="E321" s="23"/>
      <c r="F321" s="23"/>
      <c r="G321" s="23"/>
    </row>
    <row r="322" spans="1:7" x14ac:dyDescent="0.2">
      <c r="A322" s="393"/>
      <c r="B322" s="393"/>
      <c r="C322" s="23"/>
      <c r="D322" s="23"/>
      <c r="E322" s="23"/>
      <c r="F322" s="23"/>
      <c r="G322" s="23"/>
    </row>
    <row r="323" spans="1:7" x14ac:dyDescent="0.2">
      <c r="A323" s="393"/>
      <c r="B323" s="393"/>
      <c r="C323" s="23"/>
      <c r="D323" s="23"/>
      <c r="E323" s="23"/>
      <c r="F323" s="23"/>
      <c r="G323" s="23"/>
    </row>
    <row r="324" spans="1:7" x14ac:dyDescent="0.2">
      <c r="A324" s="393"/>
      <c r="B324" s="393"/>
      <c r="C324" s="23"/>
      <c r="D324" s="23"/>
      <c r="E324" s="23"/>
      <c r="F324" s="23"/>
      <c r="G324" s="23"/>
    </row>
    <row r="325" spans="1:7" x14ac:dyDescent="0.2">
      <c r="A325" s="393"/>
      <c r="B325" s="393"/>
      <c r="C325" s="23"/>
      <c r="D325" s="23"/>
      <c r="E325" s="23"/>
      <c r="F325" s="23"/>
      <c r="G325" s="23"/>
    </row>
    <row r="326" spans="1:7" x14ac:dyDescent="0.2">
      <c r="A326" s="393"/>
      <c r="B326" s="393"/>
      <c r="C326" s="23"/>
      <c r="D326" s="23"/>
      <c r="E326" s="23"/>
      <c r="F326" s="23"/>
      <c r="G326" s="23"/>
    </row>
    <row r="327" spans="1:7" x14ac:dyDescent="0.2">
      <c r="A327" s="393"/>
      <c r="B327" s="393"/>
      <c r="C327" s="23"/>
      <c r="D327" s="23"/>
      <c r="E327" s="23"/>
      <c r="F327" s="23"/>
      <c r="G327" s="23"/>
    </row>
    <row r="328" spans="1:7" x14ac:dyDescent="0.2">
      <c r="A328" s="393"/>
      <c r="B328" s="393"/>
      <c r="C328" s="23"/>
      <c r="D328" s="23"/>
      <c r="E328" s="23"/>
      <c r="F328" s="23"/>
      <c r="G328" s="23"/>
    </row>
    <row r="329" spans="1:7" x14ac:dyDescent="0.2">
      <c r="A329" s="393"/>
      <c r="B329" s="393"/>
      <c r="C329" s="23"/>
      <c r="D329" s="23"/>
      <c r="E329" s="23"/>
      <c r="F329" s="23"/>
      <c r="G329" s="23"/>
    </row>
    <row r="330" spans="1:7" x14ac:dyDescent="0.2">
      <c r="A330" s="393"/>
      <c r="B330" s="393"/>
      <c r="C330" s="23"/>
      <c r="D330" s="23"/>
      <c r="E330" s="23"/>
      <c r="F330" s="23"/>
      <c r="G330" s="23"/>
    </row>
    <row r="331" spans="1:7" x14ac:dyDescent="0.2">
      <c r="A331" s="393"/>
      <c r="B331" s="393"/>
      <c r="C331" s="23"/>
      <c r="D331" s="23"/>
      <c r="E331" s="23"/>
      <c r="F331" s="23"/>
      <c r="G331" s="23"/>
    </row>
    <row r="332" spans="1:7" x14ac:dyDescent="0.2">
      <c r="A332" s="393"/>
      <c r="B332" s="393"/>
      <c r="C332" s="23"/>
      <c r="D332" s="23"/>
      <c r="E332" s="23"/>
      <c r="F332" s="23"/>
      <c r="G332" s="23"/>
    </row>
    <row r="333" spans="1:7" x14ac:dyDescent="0.2">
      <c r="A333" s="393"/>
      <c r="B333" s="393"/>
      <c r="C333" s="23"/>
      <c r="D333" s="23"/>
      <c r="E333" s="23"/>
      <c r="F333" s="23"/>
      <c r="G333" s="23"/>
    </row>
    <row r="334" spans="1:7" x14ac:dyDescent="0.2">
      <c r="A334" s="393"/>
      <c r="B334" s="393"/>
      <c r="C334" s="23"/>
      <c r="D334" s="23"/>
      <c r="E334" s="23"/>
      <c r="F334" s="23"/>
      <c r="G334" s="23"/>
    </row>
    <row r="335" spans="1:7" x14ac:dyDescent="0.2">
      <c r="A335" s="393"/>
      <c r="B335" s="393"/>
      <c r="C335" s="23"/>
      <c r="D335" s="23"/>
      <c r="E335" s="23"/>
      <c r="F335" s="23"/>
      <c r="G335" s="23"/>
    </row>
    <row r="336" spans="1:7" x14ac:dyDescent="0.2">
      <c r="A336" s="393"/>
      <c r="B336" s="393"/>
      <c r="C336" s="23"/>
      <c r="D336" s="23"/>
      <c r="E336" s="23"/>
      <c r="F336" s="23"/>
      <c r="G336" s="23"/>
    </row>
    <row r="337" spans="1:7" x14ac:dyDescent="0.2">
      <c r="A337" s="393"/>
      <c r="B337" s="393"/>
      <c r="C337" s="23"/>
      <c r="D337" s="23"/>
      <c r="E337" s="23"/>
      <c r="F337" s="23"/>
      <c r="G337" s="23"/>
    </row>
    <row r="338" spans="1:7" x14ac:dyDescent="0.2">
      <c r="A338" s="393"/>
      <c r="B338" s="393"/>
      <c r="C338" s="23"/>
      <c r="D338" s="23"/>
      <c r="E338" s="23"/>
      <c r="F338" s="23"/>
      <c r="G338" s="23"/>
    </row>
    <row r="339" spans="1:7" x14ac:dyDescent="0.2">
      <c r="A339" s="393"/>
      <c r="B339" s="393"/>
      <c r="C339" s="23"/>
      <c r="D339" s="23"/>
      <c r="E339" s="23"/>
      <c r="F339" s="23"/>
      <c r="G339" s="23"/>
    </row>
    <row r="340" spans="1:7" x14ac:dyDescent="0.2">
      <c r="A340" s="393"/>
      <c r="B340" s="393"/>
      <c r="C340" s="23"/>
      <c r="D340" s="23"/>
      <c r="E340" s="23"/>
      <c r="F340" s="23"/>
      <c r="G340" s="23"/>
    </row>
    <row r="341" spans="1:7" x14ac:dyDescent="0.2">
      <c r="A341" s="393"/>
      <c r="B341" s="393"/>
      <c r="C341" s="23"/>
      <c r="D341" s="23"/>
      <c r="E341" s="23"/>
      <c r="F341" s="23"/>
      <c r="G341" s="23"/>
    </row>
    <row r="342" spans="1:7" x14ac:dyDescent="0.2">
      <c r="A342" s="393"/>
      <c r="B342" s="393"/>
      <c r="C342" s="23"/>
      <c r="D342" s="23"/>
      <c r="E342" s="23"/>
      <c r="F342" s="23"/>
      <c r="G342" s="23"/>
    </row>
    <row r="343" spans="1:7" x14ac:dyDescent="0.2">
      <c r="A343" s="393"/>
      <c r="B343" s="393"/>
      <c r="C343" s="23"/>
      <c r="D343" s="23"/>
      <c r="E343" s="23"/>
      <c r="F343" s="23"/>
      <c r="G343" s="23"/>
    </row>
    <row r="344" spans="1:7" x14ac:dyDescent="0.2">
      <c r="A344" s="393"/>
      <c r="B344" s="393"/>
      <c r="C344" s="23"/>
      <c r="D344" s="23"/>
      <c r="E344" s="23"/>
      <c r="F344" s="23"/>
      <c r="G344" s="23"/>
    </row>
    <row r="345" spans="1:7" x14ac:dyDescent="0.2">
      <c r="A345" s="393"/>
      <c r="B345" s="393"/>
      <c r="C345" s="23"/>
      <c r="D345" s="23"/>
      <c r="E345" s="23"/>
      <c r="F345" s="23"/>
      <c r="G345" s="23"/>
    </row>
    <row r="346" spans="1:7" x14ac:dyDescent="0.2">
      <c r="A346" s="393"/>
      <c r="B346" s="393"/>
      <c r="C346" s="23"/>
      <c r="D346" s="23"/>
      <c r="E346" s="23"/>
      <c r="F346" s="23"/>
      <c r="G346" s="23"/>
    </row>
    <row r="347" spans="1:7" x14ac:dyDescent="0.2">
      <c r="A347" s="393"/>
      <c r="B347" s="393"/>
      <c r="C347" s="23"/>
      <c r="D347" s="23"/>
      <c r="E347" s="23"/>
      <c r="F347" s="23"/>
      <c r="G347" s="23"/>
    </row>
    <row r="348" spans="1:7" x14ac:dyDescent="0.2">
      <c r="A348" s="393"/>
      <c r="B348" s="393"/>
      <c r="C348" s="23"/>
      <c r="D348" s="23"/>
      <c r="E348" s="23"/>
      <c r="F348" s="23"/>
      <c r="G348" s="23"/>
    </row>
    <row r="349" spans="1:7" x14ac:dyDescent="0.2">
      <c r="A349" s="393"/>
      <c r="B349" s="393"/>
      <c r="C349" s="23"/>
      <c r="D349" s="23"/>
      <c r="E349" s="23"/>
      <c r="F349" s="23"/>
      <c r="G349" s="23"/>
    </row>
    <row r="350" spans="1:7" x14ac:dyDescent="0.2">
      <c r="A350" s="393"/>
      <c r="B350" s="393"/>
      <c r="C350" s="23"/>
      <c r="D350" s="23"/>
      <c r="E350" s="23"/>
      <c r="F350" s="23"/>
      <c r="G350" s="23"/>
    </row>
    <row r="351" spans="1:7" x14ac:dyDescent="0.2">
      <c r="A351" s="393"/>
      <c r="B351" s="393"/>
      <c r="C351" s="23"/>
      <c r="D351" s="23"/>
      <c r="E351" s="23"/>
      <c r="F351" s="23"/>
      <c r="G351" s="23"/>
    </row>
    <row r="352" spans="1:7" x14ac:dyDescent="0.2">
      <c r="A352" s="393"/>
      <c r="B352" s="393"/>
      <c r="C352" s="23"/>
      <c r="D352" s="23"/>
      <c r="E352" s="23"/>
      <c r="F352" s="23"/>
      <c r="G352" s="23"/>
    </row>
    <row r="353" spans="1:7" x14ac:dyDescent="0.2">
      <c r="A353" s="393"/>
      <c r="B353" s="393"/>
      <c r="C353" s="23"/>
      <c r="D353" s="23"/>
      <c r="E353" s="23"/>
      <c r="F353" s="23"/>
      <c r="G353" s="23"/>
    </row>
    <row r="354" spans="1:7" x14ac:dyDescent="0.2">
      <c r="A354" s="393"/>
      <c r="B354" s="393"/>
      <c r="C354" s="23"/>
      <c r="D354" s="23"/>
      <c r="E354" s="23"/>
      <c r="F354" s="23"/>
      <c r="G354" s="23"/>
    </row>
    <row r="355" spans="1:7" x14ac:dyDescent="0.2">
      <c r="A355" s="393"/>
      <c r="B355" s="393"/>
      <c r="C355" s="23"/>
      <c r="D355" s="23"/>
      <c r="E355" s="23"/>
      <c r="F355" s="23"/>
      <c r="G355" s="23"/>
    </row>
    <row r="356" spans="1:7" x14ac:dyDescent="0.2">
      <c r="A356" s="393"/>
      <c r="B356" s="393"/>
      <c r="C356" s="23"/>
      <c r="D356" s="23"/>
      <c r="E356" s="23"/>
      <c r="F356" s="23"/>
      <c r="G356" s="23"/>
    </row>
    <row r="357" spans="1:7" x14ac:dyDescent="0.2">
      <c r="A357" s="393"/>
      <c r="B357" s="393"/>
      <c r="C357" s="23"/>
      <c r="D357" s="23"/>
      <c r="E357" s="23"/>
      <c r="F357" s="23"/>
      <c r="G357" s="23"/>
    </row>
    <row r="358" spans="1:7" x14ac:dyDescent="0.2">
      <c r="A358" s="393"/>
      <c r="B358" s="393"/>
      <c r="C358" s="23"/>
      <c r="D358" s="23"/>
      <c r="E358" s="23"/>
      <c r="F358" s="23"/>
      <c r="G358" s="23"/>
    </row>
    <row r="359" spans="1:7" x14ac:dyDescent="0.2">
      <c r="A359" s="393"/>
      <c r="B359" s="393"/>
      <c r="C359" s="23"/>
      <c r="D359" s="23"/>
      <c r="E359" s="23"/>
      <c r="F359" s="23"/>
      <c r="G359" s="23"/>
    </row>
    <row r="360" spans="1:7" x14ac:dyDescent="0.2">
      <c r="A360" s="393"/>
      <c r="B360" s="393"/>
      <c r="C360" s="23"/>
      <c r="D360" s="23"/>
      <c r="E360" s="23"/>
      <c r="F360" s="23"/>
      <c r="G360" s="23"/>
    </row>
    <row r="361" spans="1:7" x14ac:dyDescent="0.2">
      <c r="A361" s="393"/>
      <c r="B361" s="393"/>
      <c r="C361" s="23"/>
      <c r="D361" s="23"/>
      <c r="E361" s="23"/>
      <c r="F361" s="23"/>
      <c r="G361" s="23"/>
    </row>
    <row r="362" spans="1:7" x14ac:dyDescent="0.2">
      <c r="A362" s="393"/>
      <c r="B362" s="393"/>
      <c r="C362" s="23"/>
      <c r="D362" s="23"/>
      <c r="E362" s="23"/>
      <c r="F362" s="23"/>
      <c r="G362" s="23"/>
    </row>
    <row r="363" spans="1:7" x14ac:dyDescent="0.2">
      <c r="A363" s="393"/>
      <c r="B363" s="393"/>
      <c r="C363" s="23"/>
      <c r="D363" s="23"/>
      <c r="E363" s="23"/>
      <c r="F363" s="23"/>
      <c r="G363" s="23"/>
    </row>
    <row r="364" spans="1:7" x14ac:dyDescent="0.2">
      <c r="A364" s="393"/>
      <c r="B364" s="393"/>
      <c r="C364" s="23"/>
      <c r="D364" s="23"/>
      <c r="E364" s="23"/>
      <c r="F364" s="23"/>
      <c r="G364" s="23"/>
    </row>
    <row r="365" spans="1:7" x14ac:dyDescent="0.2">
      <c r="A365" s="393"/>
      <c r="B365" s="393"/>
      <c r="C365" s="23"/>
      <c r="D365" s="23"/>
      <c r="E365" s="23"/>
      <c r="F365" s="23"/>
      <c r="G365" s="23"/>
    </row>
    <row r="366" spans="1:7" x14ac:dyDescent="0.2">
      <c r="A366" s="393"/>
      <c r="B366" s="393"/>
      <c r="C366" s="23"/>
      <c r="D366" s="23"/>
      <c r="E366" s="23"/>
      <c r="F366" s="23"/>
      <c r="G366" s="23"/>
    </row>
    <row r="367" spans="1:7" x14ac:dyDescent="0.2">
      <c r="A367" s="393"/>
      <c r="B367" s="393"/>
      <c r="C367" s="23"/>
      <c r="D367" s="23"/>
      <c r="E367" s="23"/>
      <c r="F367" s="23"/>
      <c r="G367" s="23"/>
    </row>
    <row r="368" spans="1:7" x14ac:dyDescent="0.2">
      <c r="A368" s="393"/>
      <c r="B368" s="393"/>
      <c r="C368" s="23"/>
      <c r="D368" s="23"/>
      <c r="E368" s="23"/>
      <c r="F368" s="23"/>
      <c r="G368" s="23"/>
    </row>
    <row r="369" spans="1:7" x14ac:dyDescent="0.2">
      <c r="A369" s="393"/>
      <c r="B369" s="393"/>
      <c r="C369" s="23"/>
      <c r="D369" s="23"/>
      <c r="E369" s="23"/>
      <c r="F369" s="23"/>
      <c r="G369" s="23"/>
    </row>
    <row r="370" spans="1:7" x14ac:dyDescent="0.2">
      <c r="A370" s="393"/>
      <c r="B370" s="393"/>
      <c r="C370" s="23"/>
      <c r="D370" s="23"/>
      <c r="E370" s="23"/>
      <c r="F370" s="23"/>
      <c r="G370" s="23"/>
    </row>
    <row r="371" spans="1:7" x14ac:dyDescent="0.2">
      <c r="A371" s="393"/>
      <c r="B371" s="393"/>
      <c r="C371" s="23"/>
      <c r="D371" s="23"/>
      <c r="E371" s="23"/>
      <c r="F371" s="23"/>
      <c r="G371" s="23"/>
    </row>
    <row r="372" spans="1:7" x14ac:dyDescent="0.2">
      <c r="A372" s="393"/>
      <c r="B372" s="393"/>
      <c r="C372" s="23"/>
      <c r="D372" s="23"/>
      <c r="E372" s="23"/>
      <c r="F372" s="23"/>
      <c r="G372" s="23"/>
    </row>
    <row r="373" spans="1:7" x14ac:dyDescent="0.2">
      <c r="A373" s="393"/>
      <c r="B373" s="393"/>
      <c r="C373" s="23"/>
      <c r="D373" s="23"/>
      <c r="E373" s="23"/>
      <c r="F373" s="23"/>
      <c r="G373" s="23"/>
    </row>
    <row r="374" spans="1:7" x14ac:dyDescent="0.2">
      <c r="A374" s="393"/>
      <c r="B374" s="393"/>
      <c r="C374" s="23"/>
      <c r="D374" s="23"/>
      <c r="E374" s="23"/>
      <c r="F374" s="23"/>
      <c r="G374" s="23"/>
    </row>
    <row r="375" spans="1:7" x14ac:dyDescent="0.2">
      <c r="A375" s="393"/>
      <c r="B375" s="393"/>
      <c r="C375" s="23"/>
      <c r="D375" s="23"/>
      <c r="E375" s="23"/>
      <c r="F375" s="23"/>
      <c r="G375" s="23"/>
    </row>
    <row r="376" spans="1:7" x14ac:dyDescent="0.2">
      <c r="A376" s="393"/>
      <c r="B376" s="393"/>
      <c r="C376" s="23"/>
      <c r="D376" s="23"/>
      <c r="E376" s="23"/>
      <c r="F376" s="23"/>
      <c r="G376" s="23"/>
    </row>
    <row r="377" spans="1:7" x14ac:dyDescent="0.2">
      <c r="A377" s="393"/>
      <c r="B377" s="393"/>
      <c r="C377" s="23"/>
      <c r="D377" s="23"/>
      <c r="E377" s="23"/>
      <c r="F377" s="23"/>
      <c r="G377" s="23"/>
    </row>
    <row r="378" spans="1:7" x14ac:dyDescent="0.2">
      <c r="A378" s="393"/>
      <c r="B378" s="393"/>
      <c r="C378" s="23"/>
      <c r="D378" s="23"/>
      <c r="E378" s="23"/>
      <c r="F378" s="23"/>
      <c r="G378" s="23"/>
    </row>
    <row r="379" spans="1:7" x14ac:dyDescent="0.2">
      <c r="A379" s="393"/>
      <c r="B379" s="393"/>
      <c r="C379" s="23"/>
      <c r="D379" s="23"/>
      <c r="E379" s="23"/>
      <c r="F379" s="23"/>
      <c r="G379" s="23"/>
    </row>
    <row r="380" spans="1:7" x14ac:dyDescent="0.2">
      <c r="A380" s="393"/>
      <c r="B380" s="393"/>
      <c r="C380" s="23"/>
      <c r="D380" s="23"/>
      <c r="E380" s="23"/>
      <c r="F380" s="23"/>
      <c r="G380" s="23"/>
    </row>
    <row r="381" spans="1:7" x14ac:dyDescent="0.2">
      <c r="A381" s="393"/>
      <c r="B381" s="393"/>
      <c r="C381" s="23"/>
      <c r="D381" s="23"/>
      <c r="E381" s="23"/>
      <c r="F381" s="23"/>
      <c r="G381" s="23"/>
    </row>
    <row r="382" spans="1:7" x14ac:dyDescent="0.2">
      <c r="A382" s="393"/>
      <c r="B382" s="393"/>
      <c r="C382" s="23"/>
      <c r="D382" s="23"/>
      <c r="E382" s="23"/>
      <c r="F382" s="23"/>
      <c r="G382" s="23"/>
    </row>
    <row r="383" spans="1:7" x14ac:dyDescent="0.2">
      <c r="A383" s="393"/>
      <c r="B383" s="393"/>
      <c r="C383" s="23"/>
      <c r="D383" s="23"/>
      <c r="E383" s="23"/>
      <c r="F383" s="23"/>
      <c r="G383" s="23"/>
    </row>
    <row r="384" spans="1:7" x14ac:dyDescent="0.2">
      <c r="A384" s="393"/>
      <c r="B384" s="393"/>
      <c r="C384" s="23"/>
      <c r="D384" s="23"/>
      <c r="E384" s="23"/>
      <c r="F384" s="23"/>
      <c r="G384" s="23"/>
    </row>
    <row r="385" spans="1:7" x14ac:dyDescent="0.2">
      <c r="A385" s="393"/>
      <c r="B385" s="393"/>
      <c r="C385" s="23"/>
      <c r="D385" s="23"/>
      <c r="E385" s="23"/>
      <c r="F385" s="23"/>
      <c r="G385" s="23"/>
    </row>
    <row r="386" spans="1:7" x14ac:dyDescent="0.2">
      <c r="A386" s="393"/>
      <c r="B386" s="393"/>
      <c r="C386" s="23"/>
      <c r="D386" s="23"/>
      <c r="E386" s="23"/>
      <c r="F386" s="23"/>
      <c r="G386" s="23"/>
    </row>
    <row r="387" spans="1:7" x14ac:dyDescent="0.2">
      <c r="A387" s="393"/>
      <c r="B387" s="393"/>
      <c r="C387" s="23"/>
      <c r="D387" s="23"/>
      <c r="E387" s="23"/>
      <c r="F387" s="23"/>
      <c r="G387" s="23"/>
    </row>
    <row r="388" spans="1:7" x14ac:dyDescent="0.2">
      <c r="A388" s="393"/>
      <c r="B388" s="393"/>
      <c r="C388" s="23"/>
      <c r="D388" s="23"/>
      <c r="E388" s="23"/>
      <c r="F388" s="23"/>
      <c r="G388" s="23"/>
    </row>
    <row r="389" spans="1:7" x14ac:dyDescent="0.2">
      <c r="A389" s="393"/>
      <c r="B389" s="393"/>
      <c r="C389" s="23"/>
      <c r="D389" s="23"/>
      <c r="E389" s="23"/>
      <c r="F389" s="23"/>
      <c r="G389" s="23"/>
    </row>
    <row r="390" spans="1:7" x14ac:dyDescent="0.2">
      <c r="A390" s="393"/>
      <c r="B390" s="393"/>
      <c r="C390" s="23"/>
      <c r="D390" s="23"/>
      <c r="E390" s="23"/>
      <c r="F390" s="23"/>
      <c r="G390" s="23"/>
    </row>
    <row r="391" spans="1:7" x14ac:dyDescent="0.2">
      <c r="A391" s="393"/>
      <c r="B391" s="393"/>
      <c r="C391" s="23"/>
      <c r="D391" s="23"/>
      <c r="E391" s="23"/>
      <c r="F391" s="23"/>
      <c r="G391" s="23"/>
    </row>
    <row r="392" spans="1:7" x14ac:dyDescent="0.2">
      <c r="A392" s="393"/>
      <c r="B392" s="393"/>
      <c r="C392" s="23"/>
      <c r="D392" s="23"/>
      <c r="E392" s="23"/>
      <c r="F392" s="23"/>
      <c r="G392" s="23"/>
    </row>
    <row r="393" spans="1:7" x14ac:dyDescent="0.2">
      <c r="A393" s="393"/>
      <c r="B393" s="393"/>
      <c r="C393" s="23"/>
      <c r="D393" s="23"/>
      <c r="E393" s="23"/>
      <c r="F393" s="23"/>
      <c r="G393" s="23"/>
    </row>
    <row r="394" spans="1:7" x14ac:dyDescent="0.2">
      <c r="A394" s="393"/>
      <c r="B394" s="393"/>
      <c r="C394" s="23"/>
      <c r="D394" s="23"/>
      <c r="E394" s="23"/>
      <c r="F394" s="23"/>
      <c r="G394" s="23"/>
    </row>
    <row r="395" spans="1:7" x14ac:dyDescent="0.2">
      <c r="A395" s="393"/>
      <c r="B395" s="393"/>
      <c r="C395" s="23"/>
      <c r="D395" s="23"/>
      <c r="E395" s="23"/>
      <c r="F395" s="23"/>
      <c r="G395" s="23"/>
    </row>
    <row r="396" spans="1:7" x14ac:dyDescent="0.2">
      <c r="A396" s="393"/>
      <c r="B396" s="393"/>
      <c r="C396" s="23"/>
      <c r="D396" s="23"/>
      <c r="E396" s="23"/>
      <c r="F396" s="23"/>
      <c r="G396" s="23"/>
    </row>
    <row r="397" spans="1:7" x14ac:dyDescent="0.2">
      <c r="A397" s="393"/>
      <c r="B397" s="393"/>
      <c r="C397" s="23"/>
      <c r="D397" s="23"/>
      <c r="E397" s="23"/>
      <c r="F397" s="23"/>
      <c r="G397" s="23"/>
    </row>
    <row r="398" spans="1:7" x14ac:dyDescent="0.2">
      <c r="A398" s="393"/>
      <c r="B398" s="393"/>
      <c r="C398" s="23"/>
      <c r="D398" s="23"/>
      <c r="E398" s="23"/>
      <c r="F398" s="23"/>
      <c r="G398" s="23"/>
    </row>
    <row r="399" spans="1:7" x14ac:dyDescent="0.2">
      <c r="A399" s="393"/>
      <c r="B399" s="393"/>
      <c r="C399" s="23"/>
      <c r="D399" s="23"/>
      <c r="E399" s="23"/>
      <c r="F399" s="23"/>
      <c r="G399" s="23"/>
    </row>
    <row r="400" spans="1:7" x14ac:dyDescent="0.2">
      <c r="A400" s="393"/>
      <c r="B400" s="393"/>
      <c r="C400" s="23"/>
      <c r="D400" s="23"/>
      <c r="E400" s="23"/>
      <c r="F400" s="23"/>
      <c r="G400" s="23"/>
    </row>
    <row r="401" spans="1:7" x14ac:dyDescent="0.2">
      <c r="A401" s="393"/>
      <c r="B401" s="393"/>
      <c r="C401" s="23"/>
      <c r="D401" s="23"/>
      <c r="E401" s="23"/>
      <c r="F401" s="23"/>
      <c r="G401" s="23"/>
    </row>
    <row r="402" spans="1:7" x14ac:dyDescent="0.2">
      <c r="A402" s="393"/>
      <c r="B402" s="393"/>
      <c r="C402" s="23"/>
      <c r="D402" s="23"/>
      <c r="E402" s="23"/>
      <c r="F402" s="23"/>
      <c r="G402" s="23"/>
    </row>
    <row r="403" spans="1:7" x14ac:dyDescent="0.2">
      <c r="A403" s="393"/>
      <c r="B403" s="393"/>
      <c r="C403" s="23"/>
      <c r="D403" s="23"/>
      <c r="E403" s="23"/>
      <c r="F403" s="23"/>
      <c r="G403" s="23"/>
    </row>
    <row r="404" spans="1:7" x14ac:dyDescent="0.2">
      <c r="A404" s="393"/>
      <c r="B404" s="393"/>
      <c r="C404" s="23"/>
      <c r="D404" s="23"/>
      <c r="E404" s="23"/>
      <c r="F404" s="23"/>
      <c r="G404" s="23"/>
    </row>
    <row r="405" spans="1:7" x14ac:dyDescent="0.2">
      <c r="A405" s="393"/>
      <c r="B405" s="393"/>
      <c r="C405" s="23"/>
      <c r="D405" s="23"/>
      <c r="E405" s="23"/>
      <c r="F405" s="23"/>
      <c r="G405" s="23"/>
    </row>
    <row r="406" spans="1:7" x14ac:dyDescent="0.2">
      <c r="A406" s="393"/>
      <c r="B406" s="393"/>
      <c r="C406" s="23"/>
      <c r="D406" s="23"/>
      <c r="E406" s="23"/>
      <c r="F406" s="23"/>
      <c r="G406" s="23"/>
    </row>
    <row r="407" spans="1:7" x14ac:dyDescent="0.2">
      <c r="A407" s="393"/>
      <c r="B407" s="393"/>
      <c r="C407" s="23"/>
      <c r="D407" s="23"/>
      <c r="E407" s="23"/>
      <c r="F407" s="23"/>
      <c r="G407" s="23"/>
    </row>
    <row r="408" spans="1:7" x14ac:dyDescent="0.2">
      <c r="A408" s="393"/>
      <c r="B408" s="393"/>
      <c r="C408" s="23"/>
      <c r="D408" s="23"/>
      <c r="E408" s="23"/>
      <c r="F408" s="23"/>
      <c r="G408" s="23"/>
    </row>
    <row r="409" spans="1:7" x14ac:dyDescent="0.2">
      <c r="A409" s="393"/>
      <c r="B409" s="393"/>
      <c r="C409" s="23"/>
      <c r="D409" s="23"/>
      <c r="E409" s="23"/>
      <c r="F409" s="23"/>
      <c r="G409" s="23"/>
    </row>
    <row r="410" spans="1:7" x14ac:dyDescent="0.2">
      <c r="A410" s="393"/>
      <c r="B410" s="393"/>
      <c r="C410" s="23"/>
      <c r="D410" s="23"/>
      <c r="E410" s="23"/>
      <c r="F410" s="23"/>
      <c r="G410" s="23"/>
    </row>
    <row r="411" spans="1:7" x14ac:dyDescent="0.2">
      <c r="A411" s="393"/>
      <c r="B411" s="393"/>
      <c r="C411" s="23"/>
      <c r="D411" s="23"/>
      <c r="E411" s="23"/>
      <c r="F411" s="23"/>
      <c r="G411" s="23"/>
    </row>
    <row r="412" spans="1:7" x14ac:dyDescent="0.2">
      <c r="A412" s="393"/>
      <c r="B412" s="393"/>
      <c r="C412" s="23"/>
      <c r="D412" s="23"/>
      <c r="E412" s="23"/>
      <c r="F412" s="23"/>
      <c r="G412" s="23"/>
    </row>
    <row r="413" spans="1:7" x14ac:dyDescent="0.2">
      <c r="A413" s="393"/>
      <c r="B413" s="393"/>
      <c r="C413" s="23"/>
      <c r="D413" s="23"/>
      <c r="E413" s="23"/>
      <c r="F413" s="23"/>
      <c r="G413" s="23"/>
    </row>
    <row r="414" spans="1:7" x14ac:dyDescent="0.2">
      <c r="A414" s="393"/>
      <c r="B414" s="393"/>
      <c r="C414" s="23"/>
      <c r="D414" s="23"/>
      <c r="E414" s="23"/>
      <c r="F414" s="23"/>
      <c r="G414" s="23"/>
    </row>
    <row r="415" spans="1:7" x14ac:dyDescent="0.2">
      <c r="A415" s="393"/>
      <c r="B415" s="393"/>
      <c r="C415" s="23"/>
      <c r="D415" s="23"/>
      <c r="E415" s="23"/>
      <c r="F415" s="23"/>
      <c r="G415" s="23"/>
    </row>
    <row r="416" spans="1:7" x14ac:dyDescent="0.2">
      <c r="A416" s="393"/>
      <c r="B416" s="393"/>
      <c r="C416" s="23"/>
      <c r="D416" s="23"/>
      <c r="E416" s="23"/>
      <c r="F416" s="23"/>
      <c r="G416" s="23"/>
    </row>
    <row r="417" spans="1:7" x14ac:dyDescent="0.2">
      <c r="A417" s="393"/>
      <c r="B417" s="393"/>
      <c r="C417" s="23"/>
      <c r="D417" s="23"/>
      <c r="E417" s="23"/>
      <c r="F417" s="23"/>
      <c r="G417" s="23"/>
    </row>
    <row r="418" spans="1:7" x14ac:dyDescent="0.2">
      <c r="A418" s="393"/>
      <c r="B418" s="393"/>
      <c r="C418" s="23"/>
      <c r="D418" s="23"/>
      <c r="E418" s="23"/>
      <c r="F418" s="23"/>
      <c r="G418" s="23"/>
    </row>
    <row r="419" spans="1:7" x14ac:dyDescent="0.2">
      <c r="A419" s="393"/>
      <c r="B419" s="393"/>
      <c r="C419" s="23"/>
      <c r="D419" s="23"/>
      <c r="E419" s="23"/>
      <c r="F419" s="23"/>
      <c r="G419" s="23"/>
    </row>
    <row r="420" spans="1:7" x14ac:dyDescent="0.2">
      <c r="A420" s="393"/>
      <c r="B420" s="393"/>
      <c r="C420" s="23"/>
      <c r="D420" s="23"/>
      <c r="E420" s="23"/>
      <c r="F420" s="23"/>
      <c r="G420" s="23"/>
    </row>
    <row r="421" spans="1:7" x14ac:dyDescent="0.2">
      <c r="A421" s="393"/>
      <c r="B421" s="393"/>
      <c r="C421" s="23"/>
      <c r="D421" s="23"/>
      <c r="E421" s="23"/>
      <c r="F421" s="23"/>
      <c r="G421" s="23"/>
    </row>
    <row r="422" spans="1:7" x14ac:dyDescent="0.2">
      <c r="A422" s="393"/>
      <c r="B422" s="393"/>
      <c r="C422" s="23"/>
      <c r="D422" s="23"/>
      <c r="E422" s="23"/>
      <c r="F422" s="23"/>
      <c r="G422" s="23"/>
    </row>
    <row r="423" spans="1:7" x14ac:dyDescent="0.2">
      <c r="A423" s="393"/>
      <c r="B423" s="393"/>
      <c r="C423" s="23"/>
      <c r="D423" s="23"/>
      <c r="E423" s="23"/>
      <c r="F423" s="23"/>
      <c r="G423" s="23"/>
    </row>
    <row r="424" spans="1:7" x14ac:dyDescent="0.2">
      <c r="A424" s="393"/>
      <c r="B424" s="393"/>
      <c r="C424" s="23"/>
      <c r="D424" s="23"/>
      <c r="E424" s="23"/>
      <c r="F424" s="23"/>
      <c r="G424" s="23"/>
    </row>
    <row r="425" spans="1:7" x14ac:dyDescent="0.2">
      <c r="A425" s="393"/>
      <c r="B425" s="393"/>
      <c r="C425" s="23"/>
      <c r="D425" s="23"/>
      <c r="E425" s="23"/>
      <c r="F425" s="23"/>
      <c r="G425" s="23"/>
    </row>
    <row r="426" spans="1:7" x14ac:dyDescent="0.2">
      <c r="A426" s="393"/>
      <c r="B426" s="393"/>
      <c r="C426" s="23"/>
      <c r="D426" s="23"/>
      <c r="E426" s="23"/>
      <c r="F426" s="23"/>
      <c r="G426" s="23"/>
    </row>
    <row r="427" spans="1:7" x14ac:dyDescent="0.2">
      <c r="A427" s="393"/>
      <c r="B427" s="393"/>
      <c r="C427" s="23"/>
      <c r="D427" s="23"/>
      <c r="E427" s="23"/>
      <c r="F427" s="23"/>
      <c r="G427" s="23"/>
    </row>
    <row r="428" spans="1:7" x14ac:dyDescent="0.2">
      <c r="A428" s="393"/>
      <c r="B428" s="393"/>
      <c r="C428" s="23"/>
      <c r="D428" s="23"/>
      <c r="E428" s="23"/>
      <c r="F428" s="23"/>
      <c r="G428" s="23"/>
    </row>
    <row r="429" spans="1:7" x14ac:dyDescent="0.2">
      <c r="A429" s="393"/>
      <c r="B429" s="393"/>
      <c r="C429" s="23"/>
      <c r="D429" s="23"/>
      <c r="E429" s="23"/>
      <c r="F429" s="23"/>
      <c r="G429" s="23"/>
    </row>
    <row r="430" spans="1:7" x14ac:dyDescent="0.2">
      <c r="A430" s="393"/>
      <c r="B430" s="393"/>
      <c r="C430" s="23"/>
      <c r="D430" s="23"/>
      <c r="E430" s="23"/>
      <c r="F430" s="23"/>
      <c r="G430" s="23"/>
    </row>
    <row r="431" spans="1:7" x14ac:dyDescent="0.2">
      <c r="A431" s="393"/>
      <c r="B431" s="393"/>
      <c r="C431" s="23"/>
      <c r="D431" s="23"/>
      <c r="E431" s="23"/>
      <c r="F431" s="23"/>
      <c r="G431" s="23"/>
    </row>
    <row r="432" spans="1:7" x14ac:dyDescent="0.2">
      <c r="A432" s="393"/>
      <c r="B432" s="393"/>
      <c r="C432" s="23"/>
      <c r="D432" s="23"/>
      <c r="E432" s="23"/>
      <c r="F432" s="23"/>
      <c r="G432" s="23"/>
    </row>
    <row r="433" spans="1:7" x14ac:dyDescent="0.2">
      <c r="A433" s="393"/>
      <c r="B433" s="393"/>
      <c r="C433" s="23"/>
      <c r="D433" s="23"/>
      <c r="E433" s="23"/>
      <c r="F433" s="23"/>
      <c r="G433" s="23"/>
    </row>
    <row r="434" spans="1:7" x14ac:dyDescent="0.2">
      <c r="A434" s="393"/>
      <c r="B434" s="393"/>
      <c r="C434" s="23"/>
      <c r="D434" s="23"/>
      <c r="E434" s="23"/>
      <c r="F434" s="23"/>
      <c r="G434" s="23"/>
    </row>
    <row r="435" spans="1:7" x14ac:dyDescent="0.2">
      <c r="A435" s="393"/>
      <c r="B435" s="393"/>
      <c r="C435" s="23"/>
      <c r="D435" s="23"/>
      <c r="E435" s="23"/>
      <c r="F435" s="23"/>
      <c r="G435" s="23"/>
    </row>
    <row r="436" spans="1:7" x14ac:dyDescent="0.2">
      <c r="A436" s="393"/>
      <c r="B436" s="393"/>
      <c r="C436" s="23"/>
      <c r="D436" s="23"/>
      <c r="E436" s="23"/>
      <c r="F436" s="23"/>
      <c r="G436" s="23"/>
    </row>
    <row r="437" spans="1:7" x14ac:dyDescent="0.2">
      <c r="A437" s="393"/>
      <c r="B437" s="393"/>
      <c r="C437" s="23"/>
      <c r="D437" s="23"/>
      <c r="E437" s="23"/>
      <c r="F437" s="23"/>
      <c r="G437" s="23"/>
    </row>
    <row r="438" spans="1:7" x14ac:dyDescent="0.2">
      <c r="A438" s="393"/>
      <c r="B438" s="393"/>
      <c r="C438" s="23"/>
      <c r="D438" s="23"/>
      <c r="E438" s="23"/>
      <c r="F438" s="23"/>
      <c r="G438" s="23"/>
    </row>
    <row r="439" spans="1:7" x14ac:dyDescent="0.2">
      <c r="A439" s="393"/>
      <c r="B439" s="393"/>
      <c r="C439" s="23"/>
      <c r="D439" s="23"/>
      <c r="E439" s="23"/>
      <c r="F439" s="23"/>
      <c r="G439" s="23"/>
    </row>
    <row r="440" spans="1:7" x14ac:dyDescent="0.2">
      <c r="A440" s="393"/>
      <c r="B440" s="393"/>
      <c r="C440" s="23"/>
      <c r="D440" s="23"/>
      <c r="E440" s="23"/>
      <c r="F440" s="23"/>
      <c r="G440" s="23"/>
    </row>
    <row r="441" spans="1:7" x14ac:dyDescent="0.2">
      <c r="A441" s="393"/>
      <c r="B441" s="393"/>
      <c r="C441" s="23"/>
      <c r="D441" s="23"/>
      <c r="E441" s="23"/>
      <c r="F441" s="23"/>
      <c r="G441" s="23"/>
    </row>
    <row r="442" spans="1:7" x14ac:dyDescent="0.2">
      <c r="A442" s="393"/>
      <c r="B442" s="393"/>
      <c r="C442" s="23"/>
      <c r="D442" s="23"/>
      <c r="E442" s="23"/>
      <c r="F442" s="23"/>
      <c r="G442" s="23"/>
    </row>
    <row r="443" spans="1:7" x14ac:dyDescent="0.2">
      <c r="A443" s="393"/>
      <c r="B443" s="393"/>
      <c r="C443" s="23"/>
      <c r="D443" s="23"/>
      <c r="E443" s="23"/>
      <c r="F443" s="23"/>
      <c r="G443" s="23"/>
    </row>
    <row r="444" spans="1:7" x14ac:dyDescent="0.2">
      <c r="A444" s="393"/>
      <c r="B444" s="393"/>
      <c r="C444" s="23"/>
      <c r="D444" s="23"/>
      <c r="E444" s="23"/>
      <c r="F444" s="23"/>
      <c r="G444" s="23"/>
    </row>
    <row r="445" spans="1:7" x14ac:dyDescent="0.2">
      <c r="A445" s="393"/>
      <c r="B445" s="393"/>
      <c r="C445" s="23"/>
      <c r="D445" s="23"/>
      <c r="E445" s="23"/>
      <c r="F445" s="23"/>
      <c r="G445" s="23"/>
    </row>
    <row r="446" spans="1:7" x14ac:dyDescent="0.2">
      <c r="A446" s="393"/>
      <c r="B446" s="393"/>
      <c r="C446" s="23"/>
      <c r="D446" s="23"/>
      <c r="E446" s="23"/>
      <c r="F446" s="23"/>
      <c r="G446" s="23"/>
    </row>
    <row r="447" spans="1:7" x14ac:dyDescent="0.2">
      <c r="A447" s="393"/>
      <c r="B447" s="393"/>
      <c r="C447" s="23"/>
      <c r="D447" s="23"/>
      <c r="E447" s="23"/>
      <c r="F447" s="23"/>
      <c r="G447" s="23"/>
    </row>
    <row r="448" spans="1:7" x14ac:dyDescent="0.2">
      <c r="A448" s="393"/>
      <c r="B448" s="393"/>
      <c r="C448" s="23"/>
      <c r="D448" s="23"/>
      <c r="E448" s="23"/>
      <c r="F448" s="23"/>
      <c r="G448" s="23"/>
    </row>
    <row r="449" spans="1:7" x14ac:dyDescent="0.2">
      <c r="A449" s="393"/>
      <c r="B449" s="393"/>
      <c r="C449" s="23"/>
      <c r="D449" s="23"/>
      <c r="E449" s="23"/>
      <c r="F449" s="23"/>
      <c r="G449" s="23"/>
    </row>
    <row r="450" spans="1:7" x14ac:dyDescent="0.2">
      <c r="A450" s="393"/>
      <c r="B450" s="393"/>
      <c r="C450" s="23"/>
      <c r="D450" s="23"/>
      <c r="E450" s="23"/>
      <c r="F450" s="23"/>
      <c r="G450" s="23"/>
    </row>
    <row r="451" spans="1:7" x14ac:dyDescent="0.2">
      <c r="A451" s="393"/>
      <c r="B451" s="393"/>
      <c r="C451" s="23"/>
      <c r="D451" s="23"/>
      <c r="E451" s="23"/>
      <c r="F451" s="23"/>
      <c r="G451" s="23"/>
    </row>
    <row r="452" spans="1:7" x14ac:dyDescent="0.2">
      <c r="A452" s="393"/>
      <c r="B452" s="393"/>
      <c r="C452" s="23"/>
      <c r="D452" s="23"/>
      <c r="E452" s="23"/>
      <c r="F452" s="23"/>
      <c r="G452" s="23"/>
    </row>
    <row r="453" spans="1:7" x14ac:dyDescent="0.2">
      <c r="A453" s="393"/>
      <c r="B453" s="393"/>
      <c r="C453" s="23"/>
      <c r="D453" s="23"/>
      <c r="E453" s="23"/>
      <c r="F453" s="23"/>
      <c r="G453" s="23"/>
    </row>
    <row r="454" spans="1:7" x14ac:dyDescent="0.2">
      <c r="A454" s="393"/>
      <c r="B454" s="393"/>
      <c r="C454" s="23"/>
      <c r="D454" s="23"/>
      <c r="E454" s="23"/>
      <c r="F454" s="23"/>
      <c r="G454" s="23"/>
    </row>
    <row r="455" spans="1:7" x14ac:dyDescent="0.2">
      <c r="A455" s="393"/>
      <c r="B455" s="393"/>
      <c r="C455" s="23"/>
      <c r="D455" s="23"/>
      <c r="E455" s="23"/>
      <c r="F455" s="23"/>
      <c r="G455" s="23"/>
    </row>
    <row r="456" spans="1:7" x14ac:dyDescent="0.2">
      <c r="A456" s="393"/>
      <c r="B456" s="393"/>
      <c r="C456" s="23"/>
      <c r="D456" s="23"/>
      <c r="E456" s="23"/>
      <c r="F456" s="23"/>
      <c r="G456" s="23"/>
    </row>
    <row r="457" spans="1:7" x14ac:dyDescent="0.2">
      <c r="A457" s="393"/>
      <c r="B457" s="393"/>
      <c r="C457" s="23"/>
      <c r="D457" s="23"/>
      <c r="E457" s="23"/>
      <c r="F457" s="23"/>
      <c r="G457" s="23"/>
    </row>
    <row r="458" spans="1:7" x14ac:dyDescent="0.2">
      <c r="A458" s="393"/>
      <c r="B458" s="393"/>
      <c r="C458" s="23"/>
      <c r="D458" s="23"/>
      <c r="E458" s="23"/>
      <c r="F458" s="23"/>
      <c r="G458" s="23"/>
    </row>
    <row r="459" spans="1:7" x14ac:dyDescent="0.2">
      <c r="A459" s="393"/>
      <c r="B459" s="393"/>
      <c r="C459" s="23"/>
      <c r="D459" s="23"/>
      <c r="E459" s="23"/>
      <c r="F459" s="23"/>
      <c r="G459" s="23"/>
    </row>
    <row r="460" spans="1:7" x14ac:dyDescent="0.2">
      <c r="A460" s="393"/>
      <c r="B460" s="393"/>
      <c r="C460" s="23"/>
      <c r="D460" s="23"/>
      <c r="E460" s="23"/>
      <c r="F460" s="23"/>
      <c r="G460" s="23"/>
    </row>
    <row r="461" spans="1:7" x14ac:dyDescent="0.2">
      <c r="A461" s="393"/>
      <c r="B461" s="393"/>
      <c r="C461" s="23"/>
      <c r="D461" s="23"/>
      <c r="E461" s="23"/>
      <c r="F461" s="23"/>
      <c r="G461" s="23"/>
    </row>
    <row r="462" spans="1:7" x14ac:dyDescent="0.2">
      <c r="A462" s="393"/>
      <c r="B462" s="393"/>
      <c r="C462" s="23"/>
      <c r="D462" s="23"/>
      <c r="E462" s="23"/>
      <c r="F462" s="23"/>
      <c r="G462" s="23"/>
    </row>
    <row r="463" spans="1:7" x14ac:dyDescent="0.2">
      <c r="A463" s="393"/>
      <c r="B463" s="393"/>
      <c r="C463" s="23"/>
      <c r="D463" s="23"/>
      <c r="E463" s="23"/>
      <c r="F463" s="23"/>
      <c r="G463" s="23"/>
    </row>
    <row r="464" spans="1:7" x14ac:dyDescent="0.2">
      <c r="A464" s="393"/>
      <c r="B464" s="393"/>
      <c r="C464" s="23"/>
      <c r="D464" s="23"/>
      <c r="E464" s="23"/>
      <c r="F464" s="23"/>
      <c r="G464" s="23"/>
    </row>
    <row r="465" spans="1:7" x14ac:dyDescent="0.2">
      <c r="A465" s="393"/>
      <c r="B465" s="393"/>
      <c r="C465" s="23"/>
      <c r="D465" s="23"/>
      <c r="E465" s="23"/>
      <c r="F465" s="23"/>
      <c r="G465" s="23"/>
    </row>
    <row r="466" spans="1:7" x14ac:dyDescent="0.2">
      <c r="A466" s="393"/>
      <c r="B466" s="393"/>
      <c r="C466" s="23"/>
      <c r="D466" s="23"/>
      <c r="E466" s="23"/>
      <c r="F466" s="23"/>
      <c r="G466" s="23"/>
    </row>
    <row r="467" spans="1:7" x14ac:dyDescent="0.2">
      <c r="A467" s="393"/>
      <c r="B467" s="393"/>
      <c r="C467" s="23"/>
      <c r="D467" s="23"/>
      <c r="E467" s="23"/>
      <c r="F467" s="23"/>
      <c r="G467" s="23"/>
    </row>
    <row r="468" spans="1:7" x14ac:dyDescent="0.2">
      <c r="A468" s="393"/>
      <c r="B468" s="393"/>
      <c r="C468" s="23"/>
      <c r="D468" s="23"/>
      <c r="E468" s="23"/>
      <c r="F468" s="23"/>
      <c r="G468" s="23"/>
    </row>
    <row r="469" spans="1:7" x14ac:dyDescent="0.2">
      <c r="A469" s="393"/>
      <c r="B469" s="393"/>
      <c r="C469" s="23"/>
      <c r="D469" s="23"/>
      <c r="E469" s="23"/>
      <c r="F469" s="23"/>
      <c r="G469" s="23"/>
    </row>
    <row r="470" spans="1:7" x14ac:dyDescent="0.2">
      <c r="A470" s="393"/>
      <c r="B470" s="393"/>
      <c r="C470" s="23"/>
      <c r="D470" s="23"/>
      <c r="E470" s="23"/>
      <c r="F470" s="23"/>
      <c r="G470" s="23"/>
    </row>
    <row r="471" spans="1:7" x14ac:dyDescent="0.2">
      <c r="A471" s="393"/>
      <c r="B471" s="393"/>
      <c r="C471" s="23"/>
      <c r="D471" s="23"/>
      <c r="E471" s="23"/>
      <c r="F471" s="23"/>
      <c r="G471" s="23"/>
    </row>
    <row r="472" spans="1:7" x14ac:dyDescent="0.2">
      <c r="A472" s="393"/>
      <c r="B472" s="393"/>
      <c r="C472" s="23"/>
      <c r="D472" s="23"/>
      <c r="E472" s="23"/>
      <c r="F472" s="23"/>
      <c r="G472" s="23"/>
    </row>
    <row r="473" spans="1:7" x14ac:dyDescent="0.2">
      <c r="A473" s="393"/>
      <c r="B473" s="393"/>
      <c r="C473" s="23"/>
      <c r="D473" s="23"/>
      <c r="E473" s="23"/>
      <c r="F473" s="23"/>
      <c r="G473" s="23"/>
    </row>
    <row r="474" spans="1:7" x14ac:dyDescent="0.2">
      <c r="A474" s="393"/>
      <c r="B474" s="393"/>
      <c r="C474" s="23"/>
      <c r="D474" s="23"/>
      <c r="E474" s="23"/>
      <c r="F474" s="23"/>
      <c r="G474" s="23"/>
    </row>
    <row r="475" spans="1:7" x14ac:dyDescent="0.2">
      <c r="A475" s="393"/>
      <c r="B475" s="393"/>
      <c r="C475" s="23"/>
      <c r="D475" s="23"/>
      <c r="E475" s="23"/>
      <c r="F475" s="23"/>
      <c r="G475" s="23"/>
    </row>
    <row r="476" spans="1:7" x14ac:dyDescent="0.2">
      <c r="A476" s="393"/>
      <c r="B476" s="393"/>
      <c r="C476" s="23"/>
      <c r="D476" s="23"/>
      <c r="E476" s="23"/>
      <c r="F476" s="23"/>
      <c r="G476" s="23"/>
    </row>
    <row r="477" spans="1:7" x14ac:dyDescent="0.2">
      <c r="A477" s="393"/>
      <c r="B477" s="393"/>
      <c r="C477" s="23"/>
      <c r="D477" s="23"/>
      <c r="E477" s="23"/>
      <c r="F477" s="23"/>
      <c r="G477" s="23"/>
    </row>
    <row r="478" spans="1:7" x14ac:dyDescent="0.2">
      <c r="A478" s="393"/>
      <c r="B478" s="393"/>
      <c r="C478" s="23"/>
      <c r="D478" s="23"/>
      <c r="E478" s="23"/>
      <c r="F478" s="23"/>
      <c r="G478" s="23"/>
    </row>
    <row r="479" spans="1:7" x14ac:dyDescent="0.2">
      <c r="A479" s="393"/>
      <c r="B479" s="393"/>
      <c r="C479" s="23"/>
      <c r="D479" s="23"/>
      <c r="E479" s="23"/>
      <c r="F479" s="23"/>
      <c r="G479" s="23"/>
    </row>
    <row r="480" spans="1:7" x14ac:dyDescent="0.2">
      <c r="A480" s="393"/>
      <c r="B480" s="393"/>
      <c r="C480" s="23"/>
      <c r="D480" s="23"/>
      <c r="E480" s="23"/>
      <c r="F480" s="23"/>
      <c r="G480" s="23"/>
    </row>
    <row r="481" spans="1:7" x14ac:dyDescent="0.2">
      <c r="A481" s="393"/>
      <c r="B481" s="393"/>
      <c r="C481" s="23"/>
      <c r="D481" s="23"/>
      <c r="E481" s="23"/>
      <c r="F481" s="23"/>
      <c r="G481" s="23"/>
    </row>
    <row r="482" spans="1:7" x14ac:dyDescent="0.2">
      <c r="A482" s="393"/>
      <c r="B482" s="393"/>
      <c r="C482" s="23"/>
      <c r="D482" s="23"/>
      <c r="E482" s="23"/>
      <c r="F482" s="23"/>
      <c r="G482" s="23"/>
    </row>
    <row r="483" spans="1:7" x14ac:dyDescent="0.2">
      <c r="A483" s="393"/>
      <c r="B483" s="393"/>
      <c r="C483" s="23"/>
      <c r="D483" s="23"/>
      <c r="E483" s="23"/>
      <c r="F483" s="23"/>
      <c r="G483" s="23"/>
    </row>
    <row r="484" spans="1:7" x14ac:dyDescent="0.2">
      <c r="A484" s="393"/>
      <c r="B484" s="393"/>
      <c r="C484" s="23"/>
      <c r="D484" s="23"/>
      <c r="E484" s="23"/>
      <c r="F484" s="23"/>
      <c r="G484" s="23"/>
    </row>
    <row r="485" spans="1:7" x14ac:dyDescent="0.2">
      <c r="A485" s="393"/>
      <c r="B485" s="393"/>
      <c r="C485" s="23"/>
      <c r="D485" s="23"/>
      <c r="E485" s="23"/>
      <c r="F485" s="23"/>
      <c r="G485" s="23"/>
    </row>
    <row r="486" spans="1:7" x14ac:dyDescent="0.2">
      <c r="A486" s="393"/>
      <c r="B486" s="393"/>
      <c r="C486" s="23"/>
      <c r="D486" s="23"/>
      <c r="E486" s="23"/>
      <c r="F486" s="23"/>
      <c r="G486" s="23"/>
    </row>
    <row r="487" spans="1:7" x14ac:dyDescent="0.2">
      <c r="A487" s="393"/>
      <c r="B487" s="393"/>
      <c r="C487" s="23"/>
      <c r="D487" s="23"/>
      <c r="E487" s="23"/>
      <c r="F487" s="23"/>
      <c r="G487" s="23"/>
    </row>
    <row r="488" spans="1:7" x14ac:dyDescent="0.2">
      <c r="A488" s="393"/>
      <c r="B488" s="393"/>
      <c r="C488" s="23"/>
      <c r="D488" s="23"/>
      <c r="E488" s="23"/>
      <c r="F488" s="23"/>
      <c r="G488" s="23"/>
    </row>
    <row r="489" spans="1:7" x14ac:dyDescent="0.2">
      <c r="A489" s="393"/>
      <c r="B489" s="393"/>
      <c r="C489" s="23"/>
      <c r="D489" s="23"/>
      <c r="E489" s="23"/>
      <c r="F489" s="23"/>
      <c r="G489" s="23"/>
    </row>
    <row r="490" spans="1:7" x14ac:dyDescent="0.2">
      <c r="A490" s="393"/>
      <c r="B490" s="393"/>
      <c r="C490" s="23"/>
      <c r="D490" s="23"/>
      <c r="E490" s="23"/>
      <c r="F490" s="23"/>
      <c r="G490" s="23"/>
    </row>
    <row r="491" spans="1:7" x14ac:dyDescent="0.2">
      <c r="A491" s="393"/>
      <c r="B491" s="393"/>
      <c r="C491" s="23"/>
      <c r="D491" s="23"/>
      <c r="E491" s="23"/>
      <c r="F491" s="23"/>
      <c r="G491" s="23"/>
    </row>
    <row r="492" spans="1:7" x14ac:dyDescent="0.2">
      <c r="A492" s="393"/>
      <c r="B492" s="393"/>
      <c r="C492" s="23"/>
      <c r="D492" s="23"/>
      <c r="E492" s="23"/>
      <c r="F492" s="23"/>
      <c r="G492" s="23"/>
    </row>
    <row r="493" spans="1:7" x14ac:dyDescent="0.2">
      <c r="A493" s="393"/>
      <c r="B493" s="393"/>
      <c r="C493" s="23"/>
      <c r="D493" s="23"/>
      <c r="E493" s="23"/>
      <c r="F493" s="23"/>
      <c r="G493" s="23"/>
    </row>
    <row r="494" spans="1:7" x14ac:dyDescent="0.2">
      <c r="A494" s="393"/>
      <c r="B494" s="393"/>
      <c r="C494" s="23"/>
      <c r="D494" s="23"/>
      <c r="E494" s="23"/>
      <c r="F494" s="23"/>
      <c r="G494" s="23"/>
    </row>
    <row r="495" spans="1:7" x14ac:dyDescent="0.2">
      <c r="A495" s="393"/>
      <c r="B495" s="393"/>
      <c r="C495" s="23"/>
      <c r="D495" s="23"/>
      <c r="E495" s="23"/>
      <c r="F495" s="23"/>
      <c r="G495" s="23"/>
    </row>
    <row r="496" spans="1:7" x14ac:dyDescent="0.2">
      <c r="A496" s="393"/>
      <c r="B496" s="393"/>
      <c r="C496" s="23"/>
      <c r="D496" s="23"/>
      <c r="E496" s="23"/>
      <c r="F496" s="23"/>
      <c r="G496" s="23"/>
    </row>
    <row r="497" spans="1:7" x14ac:dyDescent="0.2">
      <c r="A497" s="393"/>
      <c r="B497" s="393"/>
      <c r="C497" s="23"/>
      <c r="D497" s="23"/>
      <c r="E497" s="23"/>
      <c r="F497" s="23"/>
      <c r="G497" s="23"/>
    </row>
    <row r="498" spans="1:7" x14ac:dyDescent="0.2">
      <c r="A498" s="393"/>
      <c r="B498" s="393"/>
      <c r="C498" s="23"/>
      <c r="D498" s="23"/>
      <c r="E498" s="23"/>
      <c r="F498" s="23"/>
      <c r="G498" s="23"/>
    </row>
    <row r="499" spans="1:7" x14ac:dyDescent="0.2">
      <c r="A499" s="393"/>
      <c r="B499" s="393"/>
      <c r="C499" s="23"/>
      <c r="D499" s="23"/>
      <c r="E499" s="23"/>
      <c r="F499" s="23"/>
      <c r="G499" s="23"/>
    </row>
    <row r="500" spans="1:7" x14ac:dyDescent="0.2">
      <c r="A500" s="393"/>
      <c r="B500" s="393"/>
      <c r="C500" s="23"/>
      <c r="D500" s="23"/>
      <c r="E500" s="23"/>
      <c r="F500" s="23"/>
      <c r="G500" s="23"/>
    </row>
    <row r="501" spans="1:7" x14ac:dyDescent="0.2">
      <c r="A501" s="393"/>
      <c r="B501" s="393"/>
      <c r="C501" s="23"/>
      <c r="D501" s="23"/>
      <c r="E501" s="23"/>
      <c r="F501" s="23"/>
      <c r="G501" s="23"/>
    </row>
    <row r="502" spans="1:7" x14ac:dyDescent="0.2">
      <c r="A502" s="393"/>
      <c r="B502" s="393"/>
      <c r="C502" s="23"/>
      <c r="D502" s="23"/>
      <c r="E502" s="23"/>
      <c r="F502" s="23"/>
      <c r="G502" s="23"/>
    </row>
    <row r="503" spans="1:7" x14ac:dyDescent="0.2">
      <c r="A503" s="393"/>
      <c r="B503" s="393"/>
      <c r="C503" s="23"/>
      <c r="D503" s="23"/>
      <c r="E503" s="23"/>
      <c r="F503" s="23"/>
      <c r="G503" s="23"/>
    </row>
    <row r="504" spans="1:7" x14ac:dyDescent="0.2">
      <c r="A504" s="393"/>
      <c r="B504" s="393"/>
      <c r="C504" s="23"/>
      <c r="D504" s="23"/>
      <c r="E504" s="23"/>
      <c r="F504" s="23"/>
      <c r="G504" s="23"/>
    </row>
    <row r="505" spans="1:7" x14ac:dyDescent="0.2">
      <c r="A505" s="393"/>
      <c r="B505" s="393"/>
      <c r="C505" s="23"/>
      <c r="D505" s="23"/>
      <c r="E505" s="23"/>
      <c r="F505" s="23"/>
      <c r="G505" s="23"/>
    </row>
    <row r="506" spans="1:7" x14ac:dyDescent="0.2">
      <c r="A506" s="393"/>
      <c r="B506" s="393"/>
      <c r="C506" s="23"/>
      <c r="D506" s="23"/>
      <c r="E506" s="23"/>
      <c r="F506" s="23"/>
      <c r="G506" s="23"/>
    </row>
    <row r="507" spans="1:7" x14ac:dyDescent="0.2">
      <c r="A507" s="393"/>
      <c r="B507" s="393"/>
      <c r="C507" s="23"/>
      <c r="D507" s="23"/>
      <c r="E507" s="23"/>
      <c r="F507" s="23"/>
      <c r="G507" s="23"/>
    </row>
    <row r="508" spans="1:7" x14ac:dyDescent="0.2">
      <c r="A508" s="393"/>
      <c r="B508" s="393"/>
      <c r="C508" s="23"/>
      <c r="D508" s="23"/>
      <c r="E508" s="23"/>
      <c r="F508" s="23"/>
      <c r="G508" s="23"/>
    </row>
    <row r="509" spans="1:7" x14ac:dyDescent="0.2">
      <c r="A509" s="393"/>
      <c r="B509" s="393"/>
      <c r="C509" s="23"/>
      <c r="D509" s="23"/>
      <c r="E509" s="23"/>
      <c r="F509" s="23"/>
      <c r="G509" s="23"/>
    </row>
    <row r="510" spans="1:7" x14ac:dyDescent="0.2">
      <c r="A510" s="393"/>
      <c r="B510" s="393"/>
      <c r="C510" s="23"/>
      <c r="D510" s="23"/>
      <c r="E510" s="23"/>
      <c r="F510" s="23"/>
      <c r="G510" s="23"/>
    </row>
    <row r="511" spans="1:7" x14ac:dyDescent="0.2">
      <c r="A511" s="393"/>
      <c r="B511" s="393"/>
      <c r="C511" s="23"/>
      <c r="D511" s="23"/>
      <c r="E511" s="23"/>
      <c r="F511" s="23"/>
      <c r="G511" s="23"/>
    </row>
    <row r="512" spans="1:7" x14ac:dyDescent="0.2">
      <c r="A512" s="393"/>
      <c r="B512" s="393"/>
      <c r="C512" s="23"/>
      <c r="D512" s="23"/>
      <c r="E512" s="23"/>
      <c r="F512" s="23"/>
      <c r="G512" s="23"/>
    </row>
    <row r="513" spans="1:7" x14ac:dyDescent="0.2">
      <c r="A513" s="393"/>
      <c r="B513" s="393"/>
      <c r="C513" s="23"/>
      <c r="D513" s="23"/>
      <c r="E513" s="23"/>
      <c r="F513" s="23"/>
      <c r="G513" s="23"/>
    </row>
    <row r="514" spans="1:7" x14ac:dyDescent="0.2">
      <c r="A514" s="393"/>
      <c r="B514" s="393"/>
      <c r="C514" s="23"/>
      <c r="D514" s="23"/>
      <c r="E514" s="23"/>
      <c r="F514" s="23"/>
      <c r="G514" s="23"/>
    </row>
    <row r="515" spans="1:7" x14ac:dyDescent="0.2">
      <c r="A515" s="393"/>
      <c r="B515" s="393"/>
      <c r="C515" s="23"/>
      <c r="D515" s="23"/>
      <c r="E515" s="23"/>
      <c r="F515" s="23"/>
      <c r="G515" s="23"/>
    </row>
    <row r="516" spans="1:7" x14ac:dyDescent="0.2">
      <c r="A516" s="393"/>
      <c r="B516" s="393"/>
      <c r="C516" s="23"/>
      <c r="D516" s="23"/>
      <c r="E516" s="23"/>
      <c r="F516" s="23"/>
      <c r="G516" s="23"/>
    </row>
    <row r="517" spans="1:7" x14ac:dyDescent="0.2">
      <c r="A517" s="393"/>
      <c r="B517" s="393"/>
      <c r="C517" s="23"/>
      <c r="D517" s="23"/>
      <c r="E517" s="23"/>
      <c r="F517" s="23"/>
      <c r="G517" s="23"/>
    </row>
    <row r="518" spans="1:7" x14ac:dyDescent="0.2">
      <c r="A518" s="393"/>
      <c r="B518" s="393"/>
      <c r="C518" s="23"/>
      <c r="D518" s="23"/>
      <c r="E518" s="23"/>
      <c r="F518" s="23"/>
      <c r="G518" s="23"/>
    </row>
    <row r="519" spans="1:7" x14ac:dyDescent="0.2">
      <c r="A519" s="393"/>
      <c r="B519" s="393"/>
      <c r="C519" s="23"/>
      <c r="D519" s="23"/>
      <c r="E519" s="23"/>
      <c r="F519" s="23"/>
      <c r="G519" s="23"/>
    </row>
    <row r="520" spans="1:7" x14ac:dyDescent="0.2">
      <c r="A520" s="393"/>
      <c r="B520" s="393"/>
      <c r="C520" s="23"/>
      <c r="D520" s="23"/>
      <c r="E520" s="23"/>
      <c r="F520" s="23"/>
      <c r="G520" s="23"/>
    </row>
    <row r="521" spans="1:7" x14ac:dyDescent="0.2">
      <c r="A521" s="393"/>
      <c r="B521" s="393"/>
      <c r="C521" s="23"/>
      <c r="D521" s="23"/>
      <c r="E521" s="23"/>
      <c r="F521" s="23"/>
      <c r="G521" s="23"/>
    </row>
    <row r="522" spans="1:7" x14ac:dyDescent="0.2">
      <c r="A522" s="393"/>
      <c r="B522" s="393"/>
      <c r="C522" s="23"/>
      <c r="D522" s="23"/>
      <c r="E522" s="23"/>
      <c r="F522" s="23"/>
      <c r="G522" s="23"/>
    </row>
    <row r="523" spans="1:7" x14ac:dyDescent="0.2">
      <c r="A523" s="393"/>
      <c r="B523" s="393"/>
      <c r="C523" s="23"/>
      <c r="D523" s="23"/>
      <c r="E523" s="23"/>
      <c r="F523" s="23"/>
      <c r="G523" s="23"/>
    </row>
    <row r="524" spans="1:7" x14ac:dyDescent="0.2">
      <c r="A524" s="393"/>
      <c r="B524" s="393"/>
      <c r="C524" s="23"/>
      <c r="D524" s="23"/>
      <c r="E524" s="23"/>
      <c r="F524" s="23"/>
      <c r="G524" s="23"/>
    </row>
    <row r="525" spans="1:7" x14ac:dyDescent="0.2">
      <c r="A525" s="393"/>
      <c r="B525" s="393"/>
      <c r="C525" s="23"/>
      <c r="D525" s="23"/>
      <c r="E525" s="23"/>
      <c r="F525" s="23"/>
      <c r="G525" s="23"/>
    </row>
    <row r="526" spans="1:7" x14ac:dyDescent="0.2">
      <c r="A526" s="393"/>
      <c r="B526" s="393"/>
      <c r="C526" s="23"/>
      <c r="D526" s="23"/>
      <c r="E526" s="23"/>
      <c r="F526" s="23"/>
      <c r="G526" s="23"/>
    </row>
    <row r="527" spans="1:7" x14ac:dyDescent="0.2">
      <c r="A527" s="393"/>
      <c r="B527" s="393"/>
      <c r="C527" s="23"/>
      <c r="D527" s="23"/>
      <c r="E527" s="23"/>
      <c r="F527" s="23"/>
      <c r="G527" s="23"/>
    </row>
    <row r="528" spans="1:7" x14ac:dyDescent="0.2">
      <c r="A528" s="393"/>
      <c r="B528" s="393"/>
      <c r="C528" s="23"/>
      <c r="D528" s="23"/>
      <c r="E528" s="23"/>
      <c r="F528" s="23"/>
      <c r="G528" s="23"/>
    </row>
    <row r="529" spans="1:7" x14ac:dyDescent="0.2">
      <c r="A529" s="393"/>
      <c r="B529" s="393"/>
      <c r="C529" s="23"/>
      <c r="D529" s="23"/>
      <c r="E529" s="23"/>
      <c r="F529" s="23"/>
      <c r="G529" s="23"/>
    </row>
    <row r="530" spans="1:7" x14ac:dyDescent="0.2">
      <c r="A530" s="393"/>
      <c r="B530" s="393"/>
      <c r="C530" s="23"/>
      <c r="D530" s="23"/>
      <c r="E530" s="23"/>
      <c r="F530" s="23"/>
      <c r="G530" s="23"/>
    </row>
    <row r="531" spans="1:7" x14ac:dyDescent="0.2">
      <c r="A531" s="393"/>
      <c r="B531" s="393"/>
      <c r="C531" s="23"/>
      <c r="D531" s="23"/>
      <c r="E531" s="23"/>
      <c r="F531" s="23"/>
      <c r="G531" s="23"/>
    </row>
    <row r="532" spans="1:7" x14ac:dyDescent="0.2">
      <c r="A532" s="393"/>
      <c r="B532" s="393"/>
      <c r="C532" s="23"/>
      <c r="D532" s="23"/>
      <c r="E532" s="23"/>
      <c r="F532" s="23"/>
      <c r="G532" s="23"/>
    </row>
    <row r="533" spans="1:7" x14ac:dyDescent="0.2">
      <c r="A533" s="393"/>
      <c r="B533" s="393"/>
      <c r="C533" s="23"/>
      <c r="D533" s="23"/>
      <c r="E533" s="23"/>
      <c r="F533" s="23"/>
      <c r="G533" s="23"/>
    </row>
    <row r="534" spans="1:7" x14ac:dyDescent="0.2">
      <c r="A534" s="393"/>
      <c r="B534" s="393"/>
      <c r="C534" s="23"/>
      <c r="D534" s="23"/>
      <c r="E534" s="23"/>
      <c r="F534" s="23"/>
      <c r="G534" s="23"/>
    </row>
    <row r="535" spans="1:7" x14ac:dyDescent="0.2">
      <c r="A535" s="393"/>
      <c r="B535" s="393"/>
      <c r="C535" s="23"/>
      <c r="D535" s="23"/>
      <c r="E535" s="23"/>
      <c r="F535" s="23"/>
      <c r="G535" s="23"/>
    </row>
    <row r="536" spans="1:7" x14ac:dyDescent="0.2">
      <c r="A536" s="393"/>
      <c r="B536" s="393"/>
      <c r="C536" s="23"/>
      <c r="D536" s="23"/>
      <c r="E536" s="23"/>
      <c r="F536" s="23"/>
      <c r="G536" s="23"/>
    </row>
    <row r="537" spans="1:7" x14ac:dyDescent="0.2">
      <c r="A537" s="393"/>
      <c r="B537" s="393"/>
      <c r="C537" s="23"/>
      <c r="D537" s="23"/>
      <c r="E537" s="23"/>
      <c r="F537" s="23"/>
      <c r="G537" s="23"/>
    </row>
    <row r="538" spans="1:7" x14ac:dyDescent="0.2">
      <c r="A538" s="393"/>
      <c r="B538" s="393"/>
      <c r="C538" s="23"/>
      <c r="D538" s="23"/>
      <c r="E538" s="23"/>
      <c r="F538" s="23"/>
      <c r="G538" s="23"/>
    </row>
    <row r="539" spans="1:7" x14ac:dyDescent="0.2">
      <c r="A539" s="393"/>
      <c r="B539" s="393"/>
      <c r="C539" s="23"/>
      <c r="D539" s="23"/>
      <c r="E539" s="23"/>
      <c r="F539" s="23"/>
      <c r="G539" s="23"/>
    </row>
    <row r="540" spans="1:7" x14ac:dyDescent="0.2">
      <c r="A540" s="393"/>
      <c r="B540" s="393"/>
      <c r="C540" s="23"/>
      <c r="D540" s="23"/>
      <c r="E540" s="23"/>
      <c r="F540" s="23"/>
      <c r="G540" s="23"/>
    </row>
    <row r="541" spans="1:7" x14ac:dyDescent="0.2">
      <c r="A541" s="393"/>
      <c r="B541" s="393"/>
      <c r="C541" s="23"/>
      <c r="D541" s="23"/>
      <c r="E541" s="23"/>
      <c r="F541" s="23"/>
      <c r="G541" s="23"/>
    </row>
    <row r="542" spans="1:7" x14ac:dyDescent="0.2">
      <c r="A542" s="393"/>
      <c r="B542" s="393"/>
      <c r="C542" s="23"/>
      <c r="D542" s="23"/>
      <c r="E542" s="23"/>
      <c r="F542" s="23"/>
      <c r="G542" s="23"/>
    </row>
    <row r="543" spans="1:7" x14ac:dyDescent="0.2">
      <c r="A543" s="393"/>
      <c r="B543" s="393"/>
      <c r="C543" s="23"/>
      <c r="D543" s="23"/>
      <c r="E543" s="23"/>
      <c r="F543" s="23"/>
      <c r="G543" s="23"/>
    </row>
    <row r="544" spans="1:7" x14ac:dyDescent="0.2">
      <c r="A544" s="393"/>
      <c r="B544" s="393"/>
      <c r="C544" s="23"/>
      <c r="D544" s="23"/>
      <c r="E544" s="23"/>
      <c r="F544" s="23"/>
      <c r="G544" s="23"/>
    </row>
    <row r="545" spans="1:7" x14ac:dyDescent="0.2">
      <c r="A545" s="393"/>
      <c r="B545" s="393"/>
      <c r="C545" s="23"/>
      <c r="D545" s="23"/>
      <c r="E545" s="23"/>
      <c r="F545" s="23"/>
      <c r="G545" s="23"/>
    </row>
    <row r="546" spans="1:7" x14ac:dyDescent="0.2">
      <c r="A546" s="393"/>
      <c r="B546" s="393"/>
      <c r="C546" s="23"/>
      <c r="D546" s="23"/>
      <c r="E546" s="23"/>
      <c r="F546" s="23"/>
      <c r="G546" s="23"/>
    </row>
    <row r="547" spans="1:7" x14ac:dyDescent="0.2">
      <c r="A547" s="393"/>
      <c r="B547" s="393"/>
      <c r="C547" s="23"/>
      <c r="D547" s="23"/>
      <c r="E547" s="23"/>
      <c r="F547" s="23"/>
      <c r="G547" s="23"/>
    </row>
    <row r="548" spans="1:7" x14ac:dyDescent="0.2">
      <c r="A548" s="393"/>
      <c r="B548" s="393"/>
      <c r="C548" s="23"/>
      <c r="D548" s="23"/>
      <c r="E548" s="23"/>
      <c r="F548" s="23"/>
      <c r="G548" s="23"/>
    </row>
    <row r="549" spans="1:7" x14ac:dyDescent="0.2">
      <c r="A549" s="393"/>
      <c r="B549" s="393"/>
      <c r="C549" s="23"/>
      <c r="D549" s="23"/>
      <c r="E549" s="23"/>
      <c r="F549" s="23"/>
      <c r="G549" s="23"/>
    </row>
    <row r="550" spans="1:7" x14ac:dyDescent="0.2">
      <c r="A550" s="393"/>
      <c r="B550" s="393"/>
      <c r="C550" s="23"/>
      <c r="D550" s="23"/>
      <c r="E550" s="23"/>
      <c r="F550" s="23"/>
      <c r="G550" s="23"/>
    </row>
    <row r="551" spans="1:7" x14ac:dyDescent="0.2">
      <c r="A551" s="393"/>
      <c r="B551" s="393"/>
      <c r="C551" s="23"/>
      <c r="D551" s="23"/>
      <c r="E551" s="23"/>
      <c r="F551" s="23"/>
      <c r="G551" s="23"/>
    </row>
    <row r="552" spans="1:7" x14ac:dyDescent="0.2">
      <c r="A552" s="393"/>
      <c r="B552" s="393"/>
      <c r="C552" s="23"/>
      <c r="D552" s="23"/>
      <c r="E552" s="23"/>
      <c r="F552" s="23"/>
      <c r="G552" s="23"/>
    </row>
    <row r="553" spans="1:7" x14ac:dyDescent="0.2">
      <c r="A553" s="393"/>
      <c r="B553" s="393"/>
      <c r="C553" s="23"/>
      <c r="D553" s="23"/>
      <c r="E553" s="23"/>
      <c r="F553" s="23"/>
      <c r="G553" s="23"/>
    </row>
    <row r="554" spans="1:7" x14ac:dyDescent="0.2">
      <c r="A554" s="393"/>
      <c r="B554" s="393"/>
      <c r="C554" s="23"/>
      <c r="D554" s="23"/>
      <c r="E554" s="23"/>
      <c r="F554" s="23"/>
      <c r="G554" s="23"/>
    </row>
    <row r="555" spans="1:7" x14ac:dyDescent="0.2">
      <c r="A555" s="393"/>
      <c r="B555" s="393"/>
      <c r="C555" s="23"/>
      <c r="D555" s="23"/>
      <c r="E555" s="23"/>
      <c r="F555" s="23"/>
      <c r="G555" s="23"/>
    </row>
    <row r="556" spans="1:7" x14ac:dyDescent="0.2">
      <c r="A556" s="393"/>
      <c r="B556" s="393"/>
      <c r="C556" s="23"/>
      <c r="D556" s="23"/>
      <c r="E556" s="23"/>
      <c r="F556" s="23"/>
      <c r="G556" s="23"/>
    </row>
    <row r="557" spans="1:7" x14ac:dyDescent="0.2">
      <c r="A557" s="393"/>
      <c r="B557" s="393"/>
      <c r="C557" s="23"/>
      <c r="D557" s="23"/>
      <c r="E557" s="23"/>
      <c r="F557" s="23"/>
      <c r="G557" s="23"/>
    </row>
    <row r="558" spans="1:7" x14ac:dyDescent="0.2">
      <c r="A558" s="393"/>
      <c r="B558" s="393"/>
      <c r="C558" s="23"/>
      <c r="D558" s="23"/>
      <c r="E558" s="23"/>
      <c r="F558" s="23"/>
      <c r="G558" s="23"/>
    </row>
    <row r="559" spans="1:7" x14ac:dyDescent="0.2">
      <c r="A559" s="393"/>
      <c r="B559" s="393"/>
      <c r="C559" s="23"/>
      <c r="D559" s="23"/>
      <c r="E559" s="23"/>
      <c r="F559" s="23"/>
      <c r="G559" s="23"/>
    </row>
    <row r="560" spans="1:7" x14ac:dyDescent="0.2">
      <c r="A560" s="393"/>
      <c r="B560" s="393"/>
      <c r="C560" s="23"/>
      <c r="D560" s="23"/>
      <c r="E560" s="23"/>
      <c r="F560" s="23"/>
      <c r="G560" s="23"/>
    </row>
    <row r="561" spans="1:7" x14ac:dyDescent="0.2">
      <c r="A561" s="393"/>
      <c r="B561" s="393"/>
      <c r="C561" s="23"/>
      <c r="D561" s="23"/>
      <c r="E561" s="23"/>
      <c r="F561" s="23"/>
      <c r="G561" s="23"/>
    </row>
    <row r="562" spans="1:7" x14ac:dyDescent="0.2">
      <c r="A562" s="393"/>
      <c r="B562" s="393"/>
      <c r="C562" s="23"/>
      <c r="D562" s="23"/>
      <c r="E562" s="23"/>
      <c r="F562" s="23"/>
      <c r="G562" s="23"/>
    </row>
    <row r="563" spans="1:7" x14ac:dyDescent="0.2">
      <c r="A563" s="393"/>
      <c r="B563" s="393"/>
      <c r="C563" s="23"/>
      <c r="D563" s="23"/>
      <c r="E563" s="23"/>
      <c r="F563" s="23"/>
      <c r="G563" s="23"/>
    </row>
    <row r="564" spans="1:7" x14ac:dyDescent="0.2">
      <c r="A564" s="393"/>
      <c r="B564" s="393"/>
      <c r="C564" s="23"/>
      <c r="D564" s="23"/>
      <c r="E564" s="23"/>
      <c r="F564" s="23"/>
      <c r="G564" s="23"/>
    </row>
    <row r="565" spans="1:7" x14ac:dyDescent="0.2">
      <c r="A565" s="393"/>
      <c r="B565" s="393"/>
      <c r="C565" s="23"/>
      <c r="D565" s="23"/>
      <c r="E565" s="23"/>
      <c r="F565" s="23"/>
      <c r="G565" s="23"/>
    </row>
    <row r="566" spans="1:7" x14ac:dyDescent="0.2">
      <c r="A566" s="393"/>
      <c r="B566" s="393"/>
      <c r="C566" s="23"/>
      <c r="D566" s="23"/>
      <c r="E566" s="23"/>
      <c r="F566" s="23"/>
      <c r="G566" s="23"/>
    </row>
    <row r="567" spans="1:7" x14ac:dyDescent="0.2">
      <c r="A567" s="393"/>
      <c r="B567" s="393"/>
      <c r="C567" s="23"/>
      <c r="D567" s="23"/>
      <c r="E567" s="23"/>
      <c r="F567" s="23"/>
      <c r="G567" s="23"/>
    </row>
    <row r="568" spans="1:7" x14ac:dyDescent="0.2">
      <c r="A568" s="393"/>
      <c r="B568" s="393"/>
      <c r="C568" s="23"/>
      <c r="D568" s="23"/>
      <c r="E568" s="23"/>
      <c r="F568" s="23"/>
      <c r="G568" s="23"/>
    </row>
    <row r="569" spans="1:7" x14ac:dyDescent="0.2">
      <c r="A569" s="393"/>
      <c r="B569" s="393"/>
      <c r="C569" s="23"/>
      <c r="D569" s="23"/>
      <c r="E569" s="23"/>
      <c r="F569" s="23"/>
      <c r="G569" s="23"/>
    </row>
    <row r="570" spans="1:7" x14ac:dyDescent="0.2">
      <c r="A570" s="393"/>
      <c r="B570" s="393"/>
      <c r="C570" s="23"/>
      <c r="D570" s="23"/>
      <c r="E570" s="23"/>
      <c r="F570" s="23"/>
      <c r="G570" s="23"/>
    </row>
    <row r="571" spans="1:7" x14ac:dyDescent="0.2">
      <c r="A571" s="393"/>
      <c r="B571" s="393"/>
      <c r="C571" s="23"/>
      <c r="D571" s="23"/>
      <c r="E571" s="23"/>
      <c r="F571" s="23"/>
      <c r="G571" s="23"/>
    </row>
    <row r="572" spans="1:7" x14ac:dyDescent="0.2">
      <c r="A572" s="393"/>
      <c r="B572" s="393"/>
      <c r="C572" s="23"/>
      <c r="D572" s="23"/>
      <c r="E572" s="23"/>
      <c r="F572" s="23"/>
      <c r="G572" s="23"/>
    </row>
    <row r="573" spans="1:7" x14ac:dyDescent="0.2">
      <c r="A573" s="393"/>
      <c r="B573" s="393"/>
      <c r="C573" s="23"/>
      <c r="D573" s="23"/>
      <c r="E573" s="23"/>
      <c r="F573" s="23"/>
      <c r="G573" s="23"/>
    </row>
    <row r="574" spans="1:7" x14ac:dyDescent="0.2">
      <c r="A574" s="393"/>
      <c r="B574" s="393"/>
      <c r="C574" s="23"/>
      <c r="D574" s="23"/>
      <c r="E574" s="23"/>
      <c r="F574" s="23"/>
      <c r="G574" s="23"/>
    </row>
    <row r="575" spans="1:7" x14ac:dyDescent="0.2">
      <c r="A575" s="393"/>
      <c r="B575" s="393"/>
      <c r="C575" s="23"/>
      <c r="D575" s="23"/>
      <c r="E575" s="23"/>
      <c r="F575" s="23"/>
      <c r="G575" s="23"/>
    </row>
    <row r="576" spans="1:7" x14ac:dyDescent="0.2">
      <c r="A576" s="393"/>
      <c r="B576" s="393"/>
      <c r="C576" s="23"/>
      <c r="D576" s="23"/>
      <c r="E576" s="23"/>
      <c r="F576" s="23"/>
      <c r="G576" s="23"/>
    </row>
    <row r="577" spans="1:7" x14ac:dyDescent="0.2">
      <c r="A577" s="393"/>
      <c r="B577" s="393"/>
      <c r="C577" s="23"/>
      <c r="D577" s="23"/>
      <c r="E577" s="23"/>
      <c r="F577" s="23"/>
      <c r="G577" s="23"/>
    </row>
    <row r="578" spans="1:7" x14ac:dyDescent="0.2">
      <c r="A578" s="393"/>
      <c r="B578" s="393"/>
      <c r="C578" s="23"/>
      <c r="D578" s="23"/>
      <c r="E578" s="23"/>
      <c r="F578" s="23"/>
      <c r="G578" s="23"/>
    </row>
    <row r="579" spans="1:7" x14ac:dyDescent="0.2">
      <c r="A579" s="393"/>
      <c r="B579" s="393"/>
      <c r="C579" s="23"/>
      <c r="D579" s="23"/>
      <c r="E579" s="23"/>
      <c r="F579" s="23"/>
      <c r="G579" s="23"/>
    </row>
    <row r="580" spans="1:7" x14ac:dyDescent="0.2">
      <c r="A580" s="393"/>
      <c r="B580" s="393"/>
      <c r="C580" s="23"/>
      <c r="D580" s="23"/>
      <c r="E580" s="23"/>
      <c r="F580" s="23"/>
      <c r="G580" s="23"/>
    </row>
    <row r="581" spans="1:7" x14ac:dyDescent="0.2">
      <c r="A581" s="393"/>
      <c r="B581" s="393"/>
      <c r="C581" s="23"/>
      <c r="D581" s="23"/>
      <c r="E581" s="23"/>
      <c r="F581" s="23"/>
      <c r="G581" s="23"/>
    </row>
    <row r="582" spans="1:7" x14ac:dyDescent="0.2">
      <c r="A582" s="393"/>
      <c r="B582" s="393"/>
      <c r="C582" s="23"/>
      <c r="D582" s="23"/>
      <c r="E582" s="23"/>
      <c r="F582" s="23"/>
      <c r="G582" s="23"/>
    </row>
    <row r="583" spans="1:7" x14ac:dyDescent="0.2">
      <c r="A583" s="393"/>
      <c r="B583" s="393"/>
      <c r="C583" s="23"/>
      <c r="D583" s="23"/>
      <c r="E583" s="23"/>
      <c r="F583" s="23"/>
      <c r="G583" s="23"/>
    </row>
    <row r="584" spans="1:7" x14ac:dyDescent="0.2">
      <c r="A584" s="393"/>
      <c r="B584" s="393"/>
      <c r="C584" s="23"/>
      <c r="D584" s="23"/>
      <c r="E584" s="23"/>
      <c r="F584" s="23"/>
      <c r="G584" s="23"/>
    </row>
    <row r="585" spans="1:7" x14ac:dyDescent="0.2">
      <c r="A585" s="393"/>
      <c r="B585" s="393"/>
      <c r="C585" s="23"/>
      <c r="D585" s="23"/>
      <c r="E585" s="23"/>
      <c r="F585" s="23"/>
      <c r="G585" s="23"/>
    </row>
    <row r="586" spans="1:7" x14ac:dyDescent="0.2">
      <c r="A586" s="393"/>
      <c r="B586" s="393"/>
      <c r="C586" s="23"/>
      <c r="D586" s="23"/>
      <c r="E586" s="23"/>
      <c r="F586" s="23"/>
      <c r="G586" s="23"/>
    </row>
    <row r="587" spans="1:7" x14ac:dyDescent="0.2">
      <c r="A587" s="393"/>
      <c r="B587" s="393"/>
      <c r="C587" s="23"/>
      <c r="D587" s="23"/>
      <c r="E587" s="23"/>
      <c r="F587" s="23"/>
      <c r="G587" s="23"/>
    </row>
    <row r="588" spans="1:7" x14ac:dyDescent="0.2">
      <c r="A588" s="393"/>
      <c r="B588" s="393"/>
      <c r="C588" s="23"/>
      <c r="D588" s="23"/>
      <c r="E588" s="23"/>
      <c r="F588" s="23"/>
      <c r="G588" s="23"/>
    </row>
    <row r="589" spans="1:7" x14ac:dyDescent="0.2">
      <c r="A589" s="393"/>
      <c r="B589" s="393"/>
      <c r="C589" s="23"/>
      <c r="D589" s="23"/>
      <c r="E589" s="23"/>
      <c r="F589" s="23"/>
      <c r="G589" s="23"/>
    </row>
    <row r="590" spans="1:7" x14ac:dyDescent="0.2">
      <c r="A590" s="393"/>
      <c r="B590" s="393"/>
      <c r="C590" s="23"/>
      <c r="D590" s="23"/>
      <c r="E590" s="23"/>
      <c r="F590" s="23"/>
      <c r="G590" s="23"/>
    </row>
    <row r="591" spans="1:7" x14ac:dyDescent="0.2">
      <c r="A591" s="393"/>
      <c r="B591" s="393"/>
      <c r="C591" s="23"/>
      <c r="D591" s="23"/>
      <c r="E591" s="23"/>
      <c r="F591" s="23"/>
      <c r="G591" s="23"/>
    </row>
    <row r="592" spans="1:7" x14ac:dyDescent="0.2">
      <c r="A592" s="393"/>
      <c r="B592" s="393"/>
      <c r="C592" s="23"/>
      <c r="D592" s="23"/>
      <c r="E592" s="23"/>
      <c r="F592" s="23"/>
      <c r="G592" s="23"/>
    </row>
    <row r="593" spans="1:7" x14ac:dyDescent="0.2">
      <c r="A593" s="393"/>
      <c r="B593" s="393"/>
      <c r="C593" s="23"/>
      <c r="D593" s="23"/>
      <c r="E593" s="23"/>
      <c r="F593" s="23"/>
      <c r="G593" s="23"/>
    </row>
    <row r="594" spans="1:7" x14ac:dyDescent="0.2">
      <c r="A594" s="393"/>
      <c r="B594" s="393"/>
      <c r="C594" s="23"/>
      <c r="D594" s="23"/>
      <c r="E594" s="23"/>
      <c r="F594" s="23"/>
      <c r="G594" s="23"/>
    </row>
    <row r="595" spans="1:7" x14ac:dyDescent="0.2">
      <c r="A595" s="393"/>
      <c r="B595" s="393"/>
      <c r="C595" s="23"/>
      <c r="D595" s="23"/>
      <c r="E595" s="23"/>
      <c r="F595" s="23"/>
      <c r="G595" s="23"/>
    </row>
    <row r="596" spans="1:7" x14ac:dyDescent="0.2">
      <c r="A596" s="393"/>
      <c r="B596" s="393"/>
      <c r="C596" s="23"/>
      <c r="D596" s="23"/>
      <c r="E596" s="23"/>
      <c r="F596" s="23"/>
      <c r="G596" s="23"/>
    </row>
    <row r="597" spans="1:7" x14ac:dyDescent="0.2">
      <c r="A597" s="393"/>
      <c r="B597" s="393"/>
      <c r="C597" s="23"/>
      <c r="D597" s="23"/>
      <c r="E597" s="23"/>
      <c r="F597" s="23"/>
      <c r="G597" s="23"/>
    </row>
    <row r="598" spans="1:7" x14ac:dyDescent="0.2">
      <c r="A598" s="393"/>
      <c r="B598" s="393"/>
      <c r="C598" s="23"/>
      <c r="D598" s="23"/>
      <c r="E598" s="23"/>
      <c r="F598" s="23"/>
      <c r="G598" s="23"/>
    </row>
    <row r="599" spans="1:7" x14ac:dyDescent="0.2">
      <c r="A599" s="393"/>
      <c r="B599" s="393"/>
      <c r="C599" s="23"/>
      <c r="D599" s="23"/>
      <c r="E599" s="23"/>
      <c r="F599" s="23"/>
      <c r="G599" s="23"/>
    </row>
    <row r="600" spans="1:7" x14ac:dyDescent="0.2">
      <c r="A600" s="393"/>
      <c r="B600" s="393"/>
      <c r="C600" s="23"/>
      <c r="D600" s="23"/>
      <c r="E600" s="23"/>
      <c r="F600" s="23"/>
      <c r="G600" s="23"/>
    </row>
    <row r="601" spans="1:7" x14ac:dyDescent="0.2">
      <c r="A601" s="393"/>
      <c r="B601" s="393"/>
      <c r="C601" s="23"/>
      <c r="D601" s="23"/>
      <c r="E601" s="23"/>
      <c r="F601" s="23"/>
      <c r="G601" s="23"/>
    </row>
    <row r="602" spans="1:7" x14ac:dyDescent="0.2">
      <c r="A602" s="393"/>
      <c r="B602" s="393"/>
      <c r="C602" s="23"/>
      <c r="D602" s="23"/>
      <c r="E602" s="23"/>
      <c r="F602" s="23"/>
      <c r="G602" s="23"/>
    </row>
    <row r="603" spans="1:7" x14ac:dyDescent="0.2">
      <c r="A603" s="393"/>
      <c r="B603" s="393"/>
      <c r="C603" s="23"/>
      <c r="D603" s="23"/>
      <c r="E603" s="23"/>
      <c r="F603" s="23"/>
      <c r="G603" s="23"/>
    </row>
    <row r="604" spans="1:7" x14ac:dyDescent="0.2">
      <c r="A604" s="393"/>
      <c r="B604" s="393"/>
      <c r="C604" s="23"/>
      <c r="D604" s="23"/>
      <c r="E604" s="23"/>
      <c r="F604" s="23"/>
      <c r="G604" s="23"/>
    </row>
    <row r="605" spans="1:7" x14ac:dyDescent="0.2">
      <c r="A605" s="393"/>
      <c r="B605" s="393"/>
      <c r="C605" s="23"/>
      <c r="D605" s="23"/>
      <c r="E605" s="23"/>
      <c r="F605" s="23"/>
      <c r="G605" s="23"/>
    </row>
    <row r="606" spans="1:7" x14ac:dyDescent="0.2">
      <c r="A606" s="393"/>
      <c r="B606" s="393"/>
      <c r="C606" s="23"/>
      <c r="D606" s="23"/>
      <c r="E606" s="23"/>
      <c r="F606" s="23"/>
      <c r="G606" s="23"/>
    </row>
    <row r="607" spans="1:7" x14ac:dyDescent="0.2">
      <c r="A607" s="393"/>
      <c r="B607" s="393"/>
      <c r="C607" s="23"/>
      <c r="D607" s="23"/>
      <c r="E607" s="23"/>
      <c r="F607" s="23"/>
      <c r="G607" s="23"/>
    </row>
    <row r="608" spans="1:7" x14ac:dyDescent="0.2">
      <c r="A608" s="393"/>
      <c r="B608" s="393"/>
      <c r="C608" s="23"/>
      <c r="D608" s="23"/>
      <c r="E608" s="23"/>
      <c r="F608" s="23"/>
      <c r="G608" s="23"/>
    </row>
    <row r="609" spans="1:7" x14ac:dyDescent="0.2">
      <c r="A609" s="393"/>
      <c r="B609" s="393"/>
      <c r="C609" s="23"/>
      <c r="D609" s="23"/>
      <c r="E609" s="23"/>
      <c r="F609" s="23"/>
      <c r="G609" s="23"/>
    </row>
    <row r="610" spans="1:7" x14ac:dyDescent="0.2">
      <c r="A610" s="393"/>
      <c r="B610" s="393"/>
      <c r="C610" s="23"/>
      <c r="D610" s="23"/>
      <c r="E610" s="23"/>
      <c r="F610" s="23"/>
      <c r="G610" s="23"/>
    </row>
    <row r="611" spans="1:7" x14ac:dyDescent="0.2">
      <c r="A611" s="393"/>
      <c r="B611" s="393"/>
      <c r="C611" s="23"/>
      <c r="D611" s="23"/>
      <c r="E611" s="23"/>
      <c r="F611" s="23"/>
      <c r="G611" s="23"/>
    </row>
    <row r="612" spans="1:7" x14ac:dyDescent="0.2">
      <c r="A612" s="393"/>
      <c r="B612" s="393"/>
      <c r="C612" s="23"/>
      <c r="D612" s="23"/>
      <c r="E612" s="23"/>
      <c r="F612" s="23"/>
      <c r="G612" s="23"/>
    </row>
    <row r="613" spans="1:7" x14ac:dyDescent="0.2">
      <c r="A613" s="393"/>
      <c r="B613" s="393"/>
      <c r="C613" s="23"/>
      <c r="D613" s="23"/>
      <c r="E613" s="23"/>
      <c r="F613" s="23"/>
      <c r="G613" s="23"/>
    </row>
    <row r="614" spans="1:7" x14ac:dyDescent="0.2">
      <c r="A614" s="393"/>
      <c r="B614" s="393"/>
      <c r="C614" s="23"/>
      <c r="D614" s="23"/>
      <c r="E614" s="23"/>
      <c r="F614" s="23"/>
      <c r="G614" s="23"/>
    </row>
    <row r="615" spans="1:7" x14ac:dyDescent="0.2">
      <c r="A615" s="393"/>
      <c r="B615" s="393"/>
      <c r="C615" s="23"/>
      <c r="D615" s="23"/>
      <c r="E615" s="23"/>
      <c r="F615" s="23"/>
      <c r="G615" s="23"/>
    </row>
    <row r="616" spans="1:7" x14ac:dyDescent="0.2">
      <c r="A616" s="393"/>
      <c r="B616" s="393"/>
      <c r="C616" s="23"/>
      <c r="D616" s="23"/>
      <c r="E616" s="23"/>
      <c r="F616" s="23"/>
      <c r="G616" s="23"/>
    </row>
    <row r="617" spans="1:7" x14ac:dyDescent="0.2">
      <c r="A617" s="393"/>
      <c r="B617" s="393"/>
      <c r="C617" s="23"/>
      <c r="D617" s="23"/>
      <c r="E617" s="23"/>
      <c r="F617" s="23"/>
      <c r="G617" s="23"/>
    </row>
    <row r="618" spans="1:7" x14ac:dyDescent="0.2">
      <c r="A618" s="393"/>
      <c r="B618" s="393"/>
      <c r="C618" s="23"/>
      <c r="D618" s="23"/>
      <c r="E618" s="23"/>
      <c r="F618" s="23"/>
      <c r="G618" s="23"/>
    </row>
    <row r="619" spans="1:7" x14ac:dyDescent="0.2">
      <c r="A619" s="393"/>
      <c r="B619" s="393"/>
      <c r="C619" s="23"/>
      <c r="D619" s="23"/>
      <c r="E619" s="23"/>
      <c r="F619" s="23"/>
      <c r="G619" s="23"/>
    </row>
    <row r="620" spans="1:7" x14ac:dyDescent="0.2">
      <c r="A620" s="393"/>
      <c r="B620" s="393"/>
      <c r="C620" s="23"/>
      <c r="D620" s="23"/>
      <c r="E620" s="23"/>
      <c r="F620" s="23"/>
      <c r="G620" s="23"/>
    </row>
    <row r="621" spans="1:7" x14ac:dyDescent="0.2">
      <c r="A621" s="393"/>
      <c r="B621" s="393"/>
      <c r="C621" s="23"/>
      <c r="D621" s="23"/>
      <c r="E621" s="23"/>
      <c r="F621" s="23"/>
      <c r="G621" s="23"/>
    </row>
    <row r="622" spans="1:7" x14ac:dyDescent="0.2">
      <c r="A622" s="393"/>
      <c r="B622" s="393"/>
      <c r="C622" s="23"/>
      <c r="D622" s="23"/>
      <c r="E622" s="23"/>
      <c r="F622" s="23"/>
      <c r="G622" s="23"/>
    </row>
    <row r="623" spans="1:7" x14ac:dyDescent="0.2">
      <c r="A623" s="393"/>
      <c r="B623" s="393"/>
      <c r="C623" s="23"/>
      <c r="D623" s="23"/>
      <c r="E623" s="23"/>
      <c r="F623" s="23"/>
      <c r="G623" s="23"/>
    </row>
    <row r="624" spans="1:7" x14ac:dyDescent="0.2">
      <c r="A624" s="393"/>
      <c r="B624" s="393"/>
      <c r="C624" s="23"/>
      <c r="D624" s="23"/>
      <c r="E624" s="23"/>
      <c r="F624" s="23"/>
      <c r="G624" s="23"/>
    </row>
    <row r="625" spans="1:7" x14ac:dyDescent="0.2">
      <c r="A625" s="393"/>
      <c r="B625" s="393"/>
      <c r="C625" s="23"/>
      <c r="D625" s="23"/>
      <c r="E625" s="23"/>
      <c r="F625" s="23"/>
      <c r="G625" s="23"/>
    </row>
    <row r="626" spans="1:7" x14ac:dyDescent="0.2">
      <c r="A626" s="393"/>
      <c r="B626" s="393"/>
      <c r="C626" s="23"/>
      <c r="D626" s="23"/>
      <c r="E626" s="23"/>
      <c r="F626" s="23"/>
      <c r="G626" s="23"/>
    </row>
    <row r="627" spans="1:7" x14ac:dyDescent="0.2">
      <c r="A627" s="393"/>
      <c r="B627" s="393"/>
      <c r="C627" s="23"/>
      <c r="D627" s="23"/>
      <c r="E627" s="23"/>
      <c r="F627" s="23"/>
      <c r="G627" s="23"/>
    </row>
    <row r="628" spans="1:7" x14ac:dyDescent="0.2">
      <c r="A628" s="393"/>
      <c r="B628" s="393"/>
      <c r="C628" s="23"/>
      <c r="D628" s="23"/>
      <c r="E628" s="23"/>
      <c r="F628" s="23"/>
      <c r="G628" s="23"/>
    </row>
    <row r="629" spans="1:7" x14ac:dyDescent="0.2">
      <c r="A629" s="393"/>
      <c r="B629" s="393"/>
      <c r="C629" s="23"/>
      <c r="D629" s="23"/>
      <c r="E629" s="23"/>
      <c r="F629" s="23"/>
      <c r="G629" s="23"/>
    </row>
    <row r="630" spans="1:7" x14ac:dyDescent="0.2">
      <c r="A630" s="393"/>
      <c r="B630" s="393"/>
      <c r="C630" s="23"/>
      <c r="D630" s="23"/>
      <c r="E630" s="23"/>
      <c r="F630" s="23"/>
      <c r="G630" s="23"/>
    </row>
    <row r="631" spans="1:7" x14ac:dyDescent="0.2">
      <c r="A631" s="393"/>
      <c r="B631" s="393"/>
      <c r="C631" s="23"/>
      <c r="D631" s="23"/>
      <c r="E631" s="23"/>
      <c r="F631" s="23"/>
      <c r="G631" s="23"/>
    </row>
    <row r="632" spans="1:7" x14ac:dyDescent="0.2">
      <c r="A632" s="393"/>
      <c r="B632" s="393"/>
      <c r="C632" s="23"/>
      <c r="D632" s="23"/>
      <c r="E632" s="23"/>
      <c r="F632" s="23"/>
      <c r="G632" s="23"/>
    </row>
    <row r="633" spans="1:7" x14ac:dyDescent="0.2">
      <c r="A633" s="393"/>
      <c r="B633" s="393"/>
      <c r="C633" s="23"/>
      <c r="D633" s="23"/>
      <c r="E633" s="23"/>
      <c r="F633" s="23"/>
      <c r="G633" s="23"/>
    </row>
    <row r="634" spans="1:7" x14ac:dyDescent="0.2">
      <c r="A634" s="393"/>
      <c r="B634" s="393"/>
      <c r="C634" s="23"/>
      <c r="D634" s="23"/>
      <c r="E634" s="23"/>
      <c r="F634" s="23"/>
      <c r="G634" s="23"/>
    </row>
    <row r="635" spans="1:7" x14ac:dyDescent="0.2">
      <c r="A635" s="393"/>
      <c r="B635" s="393"/>
      <c r="C635" s="23"/>
      <c r="D635" s="23"/>
      <c r="E635" s="23"/>
      <c r="F635" s="23"/>
      <c r="G635" s="23"/>
    </row>
    <row r="636" spans="1:7" x14ac:dyDescent="0.2">
      <c r="A636" s="393"/>
      <c r="B636" s="393"/>
      <c r="C636" s="23"/>
      <c r="D636" s="23"/>
      <c r="E636" s="23"/>
      <c r="F636" s="23"/>
      <c r="G636" s="23"/>
    </row>
    <row r="637" spans="1:7" x14ac:dyDescent="0.2">
      <c r="A637" s="393"/>
      <c r="B637" s="393"/>
      <c r="C637" s="23"/>
      <c r="D637" s="23"/>
      <c r="E637" s="23"/>
      <c r="F637" s="23"/>
      <c r="G637" s="23"/>
    </row>
    <row r="638" spans="1:7" x14ac:dyDescent="0.2">
      <c r="A638" s="393"/>
      <c r="B638" s="393"/>
      <c r="C638" s="23"/>
      <c r="D638" s="23"/>
      <c r="E638" s="23"/>
      <c r="F638" s="23"/>
      <c r="G638" s="23"/>
    </row>
    <row r="639" spans="1:7" x14ac:dyDescent="0.2">
      <c r="A639" s="393"/>
      <c r="B639" s="393"/>
      <c r="C639" s="23"/>
      <c r="D639" s="23"/>
      <c r="E639" s="23"/>
      <c r="F639" s="23"/>
      <c r="G639" s="23"/>
    </row>
    <row r="640" spans="1:7" x14ac:dyDescent="0.2">
      <c r="A640" s="393"/>
      <c r="B640" s="393"/>
      <c r="C640" s="23"/>
      <c r="D640" s="23"/>
      <c r="E640" s="23"/>
      <c r="F640" s="23"/>
      <c r="G640" s="23"/>
    </row>
    <row r="641" spans="1:7" x14ac:dyDescent="0.2">
      <c r="A641" s="393"/>
      <c r="B641" s="393"/>
      <c r="C641" s="23"/>
      <c r="D641" s="23"/>
      <c r="E641" s="23"/>
      <c r="F641" s="23"/>
      <c r="G641" s="23"/>
    </row>
    <row r="642" spans="1:7" x14ac:dyDescent="0.2">
      <c r="A642" s="393"/>
      <c r="B642" s="393"/>
      <c r="C642" s="23"/>
      <c r="D642" s="23"/>
      <c r="E642" s="23"/>
      <c r="F642" s="23"/>
      <c r="G642" s="23"/>
    </row>
    <row r="643" spans="1:7" x14ac:dyDescent="0.2">
      <c r="A643" s="393"/>
      <c r="B643" s="393"/>
      <c r="C643" s="23"/>
      <c r="D643" s="23"/>
      <c r="E643" s="23"/>
      <c r="F643" s="23"/>
      <c r="G643" s="23"/>
    </row>
    <row r="644" spans="1:7" x14ac:dyDescent="0.2">
      <c r="A644" s="393"/>
      <c r="B644" s="393"/>
      <c r="C644" s="23"/>
      <c r="D644" s="23"/>
      <c r="E644" s="23"/>
      <c r="F644" s="23"/>
      <c r="G644" s="23"/>
    </row>
    <row r="645" spans="1:7" x14ac:dyDescent="0.2">
      <c r="A645" s="393"/>
      <c r="B645" s="393"/>
      <c r="C645" s="23"/>
      <c r="D645" s="23"/>
      <c r="E645" s="23"/>
      <c r="F645" s="23"/>
      <c r="G645" s="23"/>
    </row>
    <row r="646" spans="1:7" x14ac:dyDescent="0.2">
      <c r="A646" s="393"/>
      <c r="B646" s="393"/>
      <c r="C646" s="23"/>
      <c r="D646" s="23"/>
      <c r="E646" s="23"/>
      <c r="F646" s="23"/>
      <c r="G646" s="23"/>
    </row>
    <row r="647" spans="1:7" x14ac:dyDescent="0.2">
      <c r="A647" s="393"/>
      <c r="B647" s="393"/>
      <c r="C647" s="23"/>
      <c r="D647" s="23"/>
      <c r="E647" s="23"/>
      <c r="F647" s="23"/>
      <c r="G647" s="23"/>
    </row>
    <row r="648" spans="1:7" x14ac:dyDescent="0.2">
      <c r="A648" s="393"/>
      <c r="B648" s="393"/>
      <c r="C648" s="23"/>
      <c r="D648" s="23"/>
      <c r="E648" s="23"/>
      <c r="F648" s="23"/>
      <c r="G648" s="23"/>
    </row>
    <row r="649" spans="1:7" x14ac:dyDescent="0.2">
      <c r="A649" s="393"/>
      <c r="B649" s="393"/>
      <c r="C649" s="23"/>
      <c r="D649" s="23"/>
      <c r="E649" s="23"/>
      <c r="F649" s="23"/>
      <c r="G649" s="23"/>
    </row>
    <row r="650" spans="1:7" x14ac:dyDescent="0.2">
      <c r="A650" s="393"/>
      <c r="B650" s="393"/>
      <c r="C650" s="23"/>
      <c r="D650" s="23"/>
      <c r="E650" s="23"/>
      <c r="F650" s="23"/>
      <c r="G650" s="23"/>
    </row>
    <row r="651" spans="1:7" x14ac:dyDescent="0.2">
      <c r="A651" s="393"/>
      <c r="B651" s="393"/>
      <c r="C651" s="23"/>
      <c r="D651" s="23"/>
      <c r="E651" s="23"/>
      <c r="F651" s="23"/>
      <c r="G651" s="23"/>
    </row>
    <row r="652" spans="1:7" x14ac:dyDescent="0.2">
      <c r="A652" s="393"/>
      <c r="B652" s="393"/>
      <c r="C652" s="23"/>
      <c r="D652" s="23"/>
      <c r="E652" s="23"/>
      <c r="F652" s="23"/>
      <c r="G652" s="23"/>
    </row>
    <row r="653" spans="1:7" x14ac:dyDescent="0.2">
      <c r="A653" s="393"/>
      <c r="B653" s="393"/>
      <c r="C653" s="23"/>
      <c r="D653" s="23"/>
      <c r="E653" s="23"/>
      <c r="F653" s="23"/>
      <c r="G653" s="23"/>
    </row>
    <row r="654" spans="1:7" x14ac:dyDescent="0.2">
      <c r="A654" s="393"/>
      <c r="B654" s="393"/>
      <c r="C654" s="23"/>
      <c r="D654" s="23"/>
      <c r="E654" s="23"/>
      <c r="F654" s="23"/>
      <c r="G654" s="23"/>
    </row>
    <row r="655" spans="1:7" x14ac:dyDescent="0.2">
      <c r="A655" s="393"/>
      <c r="B655" s="393"/>
      <c r="C655" s="23"/>
      <c r="D655" s="23"/>
      <c r="E655" s="23"/>
      <c r="F655" s="23"/>
      <c r="G655" s="23"/>
    </row>
    <row r="656" spans="1:7" x14ac:dyDescent="0.2">
      <c r="A656" s="393"/>
      <c r="B656" s="393"/>
      <c r="C656" s="23"/>
      <c r="D656" s="23"/>
      <c r="E656" s="23"/>
      <c r="F656" s="23"/>
      <c r="G656" s="23"/>
    </row>
    <row r="657" spans="1:7" x14ac:dyDescent="0.2">
      <c r="A657" s="393"/>
      <c r="B657" s="393"/>
      <c r="C657" s="23"/>
      <c r="D657" s="23"/>
      <c r="E657" s="23"/>
      <c r="F657" s="23"/>
      <c r="G657" s="23"/>
    </row>
    <row r="658" spans="1:7" x14ac:dyDescent="0.2">
      <c r="A658" s="393"/>
      <c r="B658" s="393"/>
      <c r="C658" s="23"/>
      <c r="D658" s="23"/>
      <c r="E658" s="23"/>
      <c r="F658" s="23"/>
      <c r="G658" s="23"/>
    </row>
    <row r="659" spans="1:7" x14ac:dyDescent="0.2">
      <c r="A659" s="393"/>
      <c r="B659" s="393"/>
      <c r="C659" s="23"/>
      <c r="D659" s="23"/>
      <c r="E659" s="23"/>
      <c r="F659" s="23"/>
      <c r="G659" s="23"/>
    </row>
    <row r="660" spans="1:7" x14ac:dyDescent="0.2">
      <c r="A660" s="393"/>
      <c r="B660" s="393"/>
      <c r="C660" s="23"/>
      <c r="D660" s="23"/>
      <c r="E660" s="23"/>
      <c r="F660" s="23"/>
      <c r="G660" s="23"/>
    </row>
    <row r="661" spans="1:7" x14ac:dyDescent="0.2">
      <c r="A661" s="393"/>
      <c r="B661" s="393"/>
      <c r="C661" s="23"/>
      <c r="D661" s="23"/>
      <c r="E661" s="23"/>
      <c r="F661" s="23"/>
      <c r="G661" s="23"/>
    </row>
    <row r="662" spans="1:7" x14ac:dyDescent="0.2">
      <c r="A662" s="393"/>
      <c r="B662" s="393"/>
      <c r="C662" s="23"/>
      <c r="D662" s="23"/>
      <c r="E662" s="23"/>
      <c r="F662" s="23"/>
      <c r="G662" s="23"/>
    </row>
    <row r="663" spans="1:7" x14ac:dyDescent="0.2">
      <c r="A663" s="393"/>
      <c r="B663" s="393"/>
      <c r="C663" s="23"/>
      <c r="D663" s="23"/>
      <c r="E663" s="23"/>
      <c r="F663" s="23"/>
      <c r="G663" s="23"/>
    </row>
    <row r="664" spans="1:7" x14ac:dyDescent="0.2">
      <c r="A664" s="393"/>
      <c r="B664" s="393"/>
      <c r="C664" s="23"/>
      <c r="D664" s="23"/>
      <c r="E664" s="23"/>
      <c r="F664" s="23"/>
      <c r="G664" s="23"/>
    </row>
    <row r="665" spans="1:7" x14ac:dyDescent="0.2">
      <c r="A665" s="393"/>
      <c r="B665" s="393"/>
      <c r="C665" s="23"/>
      <c r="D665" s="23"/>
      <c r="E665" s="23"/>
      <c r="F665" s="23"/>
      <c r="G665" s="23"/>
    </row>
    <row r="666" spans="1:7" x14ac:dyDescent="0.2">
      <c r="A666" s="393"/>
      <c r="B666" s="393"/>
      <c r="C666" s="23"/>
      <c r="D666" s="23"/>
      <c r="E666" s="23"/>
      <c r="F666" s="23"/>
      <c r="G666" s="23"/>
    </row>
    <row r="667" spans="1:7" x14ac:dyDescent="0.2">
      <c r="A667" s="393"/>
      <c r="B667" s="393"/>
      <c r="C667" s="23"/>
      <c r="D667" s="23"/>
      <c r="E667" s="23"/>
      <c r="F667" s="23"/>
      <c r="G667" s="23"/>
    </row>
    <row r="668" spans="1:7" x14ac:dyDescent="0.2">
      <c r="A668" s="393"/>
      <c r="B668" s="393"/>
      <c r="C668" s="23"/>
      <c r="D668" s="23"/>
      <c r="E668" s="23"/>
      <c r="F668" s="23"/>
      <c r="G668" s="23"/>
    </row>
    <row r="669" spans="1:7" x14ac:dyDescent="0.2">
      <c r="A669" s="393"/>
      <c r="B669" s="393"/>
      <c r="C669" s="23"/>
      <c r="D669" s="23"/>
      <c r="E669" s="23"/>
      <c r="F669" s="23"/>
      <c r="G669" s="23"/>
    </row>
    <row r="670" spans="1:7" x14ac:dyDescent="0.2">
      <c r="A670" s="393"/>
      <c r="B670" s="393"/>
      <c r="C670" s="23"/>
      <c r="D670" s="23"/>
      <c r="E670" s="23"/>
      <c r="F670" s="23"/>
      <c r="G670" s="23"/>
    </row>
    <row r="671" spans="1:7" x14ac:dyDescent="0.2">
      <c r="A671" s="393"/>
      <c r="B671" s="393"/>
      <c r="C671" s="23"/>
      <c r="D671" s="23"/>
      <c r="E671" s="23"/>
      <c r="F671" s="23"/>
      <c r="G671" s="23"/>
    </row>
    <row r="672" spans="1:7" x14ac:dyDescent="0.2">
      <c r="A672" s="393"/>
      <c r="B672" s="393"/>
      <c r="C672" s="23"/>
      <c r="D672" s="23"/>
      <c r="E672" s="23"/>
      <c r="F672" s="23"/>
      <c r="G672" s="23"/>
    </row>
    <row r="673" spans="1:7" x14ac:dyDescent="0.2">
      <c r="A673" s="393"/>
      <c r="B673" s="393"/>
      <c r="C673" s="23"/>
      <c r="D673" s="23"/>
      <c r="E673" s="23"/>
      <c r="F673" s="23"/>
      <c r="G673" s="23"/>
    </row>
    <row r="674" spans="1:7" x14ac:dyDescent="0.2">
      <c r="A674" s="393"/>
      <c r="B674" s="393"/>
      <c r="C674" s="23"/>
      <c r="D674" s="23"/>
      <c r="E674" s="23"/>
      <c r="F674" s="23"/>
      <c r="G674" s="23"/>
    </row>
    <row r="675" spans="1:7" x14ac:dyDescent="0.2">
      <c r="A675" s="393"/>
      <c r="B675" s="393"/>
      <c r="C675" s="23"/>
      <c r="D675" s="23"/>
      <c r="E675" s="23"/>
      <c r="F675" s="23"/>
      <c r="G675" s="23"/>
    </row>
    <row r="676" spans="1:7" x14ac:dyDescent="0.2">
      <c r="A676" s="393"/>
      <c r="B676" s="393"/>
      <c r="C676" s="23"/>
      <c r="D676" s="23"/>
      <c r="E676" s="23"/>
      <c r="F676" s="23"/>
      <c r="G676" s="23"/>
    </row>
    <row r="677" spans="1:7" x14ac:dyDescent="0.2">
      <c r="A677" s="393"/>
      <c r="B677" s="393"/>
      <c r="C677" s="23"/>
      <c r="D677" s="23"/>
      <c r="E677" s="23"/>
      <c r="F677" s="23"/>
      <c r="G677" s="23"/>
    </row>
    <row r="678" spans="1:7" x14ac:dyDescent="0.2">
      <c r="A678" s="393"/>
      <c r="B678" s="393"/>
      <c r="C678" s="23"/>
      <c r="D678" s="23"/>
      <c r="E678" s="23"/>
      <c r="F678" s="23"/>
      <c r="G678" s="23"/>
    </row>
    <row r="679" spans="1:7" x14ac:dyDescent="0.2">
      <c r="A679" s="393"/>
      <c r="B679" s="393"/>
      <c r="C679" s="23"/>
      <c r="D679" s="23"/>
      <c r="E679" s="23"/>
      <c r="F679" s="23"/>
      <c r="G679" s="23"/>
    </row>
    <row r="680" spans="1:7" x14ac:dyDescent="0.2">
      <c r="A680" s="393"/>
      <c r="B680" s="393"/>
      <c r="C680" s="23"/>
      <c r="D680" s="23"/>
      <c r="E680" s="23"/>
      <c r="F680" s="23"/>
      <c r="G680" s="23"/>
    </row>
    <row r="681" spans="1:7" x14ac:dyDescent="0.2">
      <c r="A681" s="393"/>
      <c r="B681" s="393"/>
      <c r="C681" s="23"/>
      <c r="D681" s="23"/>
      <c r="E681" s="23"/>
      <c r="F681" s="23"/>
      <c r="G681" s="23"/>
    </row>
    <row r="682" spans="1:7" x14ac:dyDescent="0.2">
      <c r="A682" s="393"/>
      <c r="B682" s="393"/>
      <c r="C682" s="23"/>
      <c r="D682" s="23"/>
      <c r="E682" s="23"/>
      <c r="F682" s="23"/>
      <c r="G682" s="23"/>
    </row>
    <row r="683" spans="1:7" x14ac:dyDescent="0.2">
      <c r="A683" s="393"/>
      <c r="B683" s="393"/>
      <c r="C683" s="23"/>
      <c r="D683" s="23"/>
      <c r="E683" s="23"/>
      <c r="F683" s="23"/>
      <c r="G683" s="23"/>
    </row>
    <row r="684" spans="1:7" x14ac:dyDescent="0.2">
      <c r="A684" s="393"/>
      <c r="B684" s="393"/>
      <c r="C684" s="23"/>
      <c r="D684" s="23"/>
      <c r="E684" s="23"/>
      <c r="F684" s="23"/>
      <c r="G684" s="23"/>
    </row>
    <row r="685" spans="1:7" x14ac:dyDescent="0.2">
      <c r="A685" s="393"/>
      <c r="B685" s="393"/>
      <c r="C685" s="23"/>
      <c r="D685" s="23"/>
      <c r="E685" s="23"/>
      <c r="F685" s="23"/>
      <c r="G685" s="23"/>
    </row>
    <row r="686" spans="1:7" x14ac:dyDescent="0.2">
      <c r="A686" s="393"/>
      <c r="B686" s="393"/>
      <c r="C686" s="23"/>
      <c r="D686" s="23"/>
      <c r="E686" s="23"/>
      <c r="F686" s="23"/>
      <c r="G686" s="23"/>
    </row>
    <row r="687" spans="1:7" x14ac:dyDescent="0.2">
      <c r="A687" s="393"/>
      <c r="B687" s="393"/>
      <c r="C687" s="23"/>
      <c r="D687" s="23"/>
      <c r="E687" s="23"/>
      <c r="F687" s="23"/>
      <c r="G687" s="23"/>
    </row>
    <row r="688" spans="1:7" x14ac:dyDescent="0.2">
      <c r="A688" s="393"/>
      <c r="B688" s="393"/>
      <c r="C688" s="23"/>
      <c r="D688" s="23"/>
      <c r="E688" s="23"/>
      <c r="F688" s="23"/>
      <c r="G688" s="23"/>
    </row>
    <row r="689" spans="1:7" x14ac:dyDescent="0.2">
      <c r="A689" s="393"/>
      <c r="B689" s="393"/>
      <c r="C689" s="23"/>
      <c r="D689" s="23"/>
      <c r="E689" s="23"/>
      <c r="F689" s="23"/>
      <c r="G689" s="23"/>
    </row>
    <row r="690" spans="1:7" x14ac:dyDescent="0.2">
      <c r="A690" s="393"/>
      <c r="B690" s="393"/>
      <c r="C690" s="23"/>
      <c r="D690" s="23"/>
      <c r="E690" s="23"/>
      <c r="F690" s="23"/>
      <c r="G690" s="23"/>
    </row>
    <row r="691" spans="1:7" x14ac:dyDescent="0.2">
      <c r="A691" s="393"/>
      <c r="B691" s="393"/>
      <c r="C691" s="23"/>
      <c r="D691" s="23"/>
      <c r="E691" s="23"/>
      <c r="F691" s="23"/>
      <c r="G691" s="23"/>
    </row>
    <row r="692" spans="1:7" x14ac:dyDescent="0.2">
      <c r="A692" s="393"/>
      <c r="B692" s="393"/>
      <c r="C692" s="23"/>
      <c r="D692" s="23"/>
      <c r="E692" s="23"/>
      <c r="F692" s="23"/>
      <c r="G692" s="23"/>
    </row>
    <row r="693" spans="1:7" x14ac:dyDescent="0.2">
      <c r="A693" s="393"/>
      <c r="B693" s="393"/>
      <c r="C693" s="23"/>
      <c r="D693" s="23"/>
      <c r="E693" s="23"/>
      <c r="F693" s="23"/>
      <c r="G693" s="23"/>
    </row>
    <row r="694" spans="1:7" x14ac:dyDescent="0.2">
      <c r="A694" s="393"/>
      <c r="B694" s="393"/>
      <c r="C694" s="23"/>
      <c r="D694" s="23"/>
      <c r="E694" s="23"/>
      <c r="F694" s="23"/>
      <c r="G694" s="23"/>
    </row>
    <row r="695" spans="1:7" x14ac:dyDescent="0.2">
      <c r="A695" s="393"/>
      <c r="B695" s="393"/>
      <c r="C695" s="23"/>
      <c r="D695" s="23"/>
      <c r="E695" s="23"/>
      <c r="F695" s="23"/>
      <c r="G695" s="23"/>
    </row>
    <row r="696" spans="1:7" x14ac:dyDescent="0.2">
      <c r="A696" s="393"/>
      <c r="B696" s="393"/>
      <c r="C696" s="23"/>
      <c r="D696" s="23"/>
      <c r="E696" s="23"/>
      <c r="F696" s="23"/>
      <c r="G696" s="23"/>
    </row>
    <row r="697" spans="1:7" x14ac:dyDescent="0.2">
      <c r="A697" s="393"/>
      <c r="B697" s="393"/>
      <c r="C697" s="23"/>
      <c r="D697" s="23"/>
      <c r="E697" s="23"/>
      <c r="F697" s="23"/>
      <c r="G697" s="23"/>
    </row>
    <row r="698" spans="1:7" x14ac:dyDescent="0.2">
      <c r="A698" s="393"/>
      <c r="B698" s="393"/>
      <c r="C698" s="23"/>
      <c r="D698" s="23"/>
      <c r="E698" s="23"/>
      <c r="F698" s="23"/>
      <c r="G698" s="23"/>
    </row>
    <row r="699" spans="1:7" x14ac:dyDescent="0.2">
      <c r="A699" s="393"/>
      <c r="B699" s="393"/>
      <c r="C699" s="23"/>
      <c r="D699" s="23"/>
      <c r="E699" s="23"/>
      <c r="F699" s="23"/>
      <c r="G699" s="23"/>
    </row>
    <row r="700" spans="1:7" x14ac:dyDescent="0.2">
      <c r="A700" s="393"/>
      <c r="B700" s="393"/>
      <c r="C700" s="23"/>
      <c r="D700" s="23"/>
      <c r="E700" s="23"/>
      <c r="F700" s="23"/>
      <c r="G700" s="23"/>
    </row>
    <row r="701" spans="1:7" x14ac:dyDescent="0.2">
      <c r="A701" s="393"/>
      <c r="B701" s="393"/>
      <c r="C701" s="23"/>
      <c r="D701" s="23"/>
      <c r="E701" s="23"/>
      <c r="F701" s="23"/>
      <c r="G701" s="23"/>
    </row>
    <row r="702" spans="1:7" x14ac:dyDescent="0.2">
      <c r="A702" s="393"/>
      <c r="B702" s="393"/>
      <c r="C702" s="23"/>
      <c r="D702" s="23"/>
      <c r="E702" s="23"/>
      <c r="F702" s="23"/>
      <c r="G702" s="23"/>
    </row>
    <row r="703" spans="1:7" x14ac:dyDescent="0.2">
      <c r="A703" s="393"/>
      <c r="B703" s="393"/>
      <c r="C703" s="23"/>
      <c r="D703" s="23"/>
      <c r="E703" s="23"/>
      <c r="F703" s="23"/>
      <c r="G703" s="23"/>
    </row>
    <row r="704" spans="1:7" x14ac:dyDescent="0.2">
      <c r="A704" s="393"/>
      <c r="B704" s="393"/>
      <c r="C704" s="23"/>
      <c r="D704" s="23"/>
      <c r="E704" s="23"/>
      <c r="F704" s="23"/>
      <c r="G704" s="23"/>
    </row>
    <row r="705" spans="1:7" x14ac:dyDescent="0.2">
      <c r="A705" s="393"/>
      <c r="B705" s="393"/>
      <c r="C705" s="23"/>
      <c r="D705" s="23"/>
      <c r="E705" s="23"/>
      <c r="F705" s="23"/>
      <c r="G705" s="23"/>
    </row>
    <row r="706" spans="1:7" x14ac:dyDescent="0.2">
      <c r="A706" s="393"/>
      <c r="B706" s="393"/>
      <c r="C706" s="23"/>
      <c r="D706" s="23"/>
      <c r="E706" s="23"/>
      <c r="F706" s="23"/>
      <c r="G706" s="23"/>
    </row>
    <row r="707" spans="1:7" x14ac:dyDescent="0.2">
      <c r="A707" s="393"/>
      <c r="B707" s="393"/>
      <c r="C707" s="23"/>
      <c r="D707" s="23"/>
      <c r="E707" s="23"/>
      <c r="F707" s="23"/>
      <c r="G707" s="23"/>
    </row>
    <row r="708" spans="1:7" x14ac:dyDescent="0.2">
      <c r="A708" s="393"/>
      <c r="B708" s="393"/>
      <c r="C708" s="23"/>
      <c r="D708" s="23"/>
      <c r="E708" s="23"/>
      <c r="F708" s="23"/>
      <c r="G708" s="23"/>
    </row>
    <row r="709" spans="1:7" x14ac:dyDescent="0.2">
      <c r="A709" s="393"/>
      <c r="B709" s="393"/>
      <c r="C709" s="23"/>
      <c r="D709" s="23"/>
      <c r="E709" s="23"/>
      <c r="F709" s="23"/>
      <c r="G709" s="23"/>
    </row>
    <row r="710" spans="1:7" x14ac:dyDescent="0.2">
      <c r="A710" s="393"/>
      <c r="B710" s="393"/>
      <c r="C710" s="23"/>
      <c r="D710" s="23"/>
      <c r="E710" s="23"/>
      <c r="F710" s="23"/>
      <c r="G710" s="23"/>
    </row>
    <row r="711" spans="1:7" x14ac:dyDescent="0.2">
      <c r="A711" s="393"/>
      <c r="B711" s="393"/>
      <c r="C711" s="23"/>
      <c r="D711" s="23"/>
      <c r="E711" s="23"/>
      <c r="F711" s="23"/>
      <c r="G711" s="23"/>
    </row>
    <row r="712" spans="1:7" x14ac:dyDescent="0.2">
      <c r="A712" s="393"/>
      <c r="B712" s="393"/>
      <c r="C712" s="23"/>
      <c r="D712" s="23"/>
      <c r="E712" s="23"/>
      <c r="F712" s="23"/>
      <c r="G712" s="23"/>
    </row>
    <row r="713" spans="1:7" x14ac:dyDescent="0.2">
      <c r="A713" s="393"/>
      <c r="B713" s="393"/>
      <c r="C713" s="23"/>
      <c r="D713" s="23"/>
      <c r="E713" s="23"/>
      <c r="F713" s="23"/>
      <c r="G713" s="23"/>
    </row>
    <row r="714" spans="1:7" x14ac:dyDescent="0.2">
      <c r="A714" s="393"/>
      <c r="B714" s="393"/>
      <c r="C714" s="23"/>
      <c r="D714" s="23"/>
      <c r="E714" s="23"/>
      <c r="F714" s="23"/>
      <c r="G714" s="23"/>
    </row>
    <row r="715" spans="1:7" x14ac:dyDescent="0.2">
      <c r="A715" s="393"/>
      <c r="B715" s="393"/>
      <c r="C715" s="23"/>
      <c r="D715" s="23"/>
      <c r="E715" s="23"/>
      <c r="F715" s="23"/>
      <c r="G715" s="23"/>
    </row>
    <row r="716" spans="1:7" x14ac:dyDescent="0.2">
      <c r="A716" s="393"/>
      <c r="B716" s="393"/>
      <c r="C716" s="23"/>
      <c r="D716" s="23"/>
      <c r="E716" s="23"/>
      <c r="F716" s="23"/>
      <c r="G716" s="23"/>
    </row>
    <row r="717" spans="1:7" x14ac:dyDescent="0.2">
      <c r="A717" s="393"/>
      <c r="B717" s="393"/>
      <c r="C717" s="23"/>
      <c r="D717" s="23"/>
      <c r="E717" s="23"/>
      <c r="F717" s="23"/>
      <c r="G717" s="23"/>
    </row>
    <row r="718" spans="1:7" x14ac:dyDescent="0.2">
      <c r="A718" s="393"/>
      <c r="B718" s="393"/>
      <c r="C718" s="23"/>
      <c r="D718" s="23"/>
      <c r="E718" s="23"/>
      <c r="F718" s="23"/>
      <c r="G718" s="23"/>
    </row>
    <row r="719" spans="1:7" x14ac:dyDescent="0.2">
      <c r="A719" s="393"/>
      <c r="B719" s="393"/>
      <c r="C719" s="23"/>
      <c r="D719" s="23"/>
      <c r="E719" s="23"/>
      <c r="F719" s="23"/>
      <c r="G719" s="23"/>
    </row>
    <row r="720" spans="1:7" x14ac:dyDescent="0.2">
      <c r="A720" s="393"/>
      <c r="B720" s="393"/>
      <c r="C720" s="23"/>
      <c r="D720" s="23"/>
      <c r="E720" s="23"/>
      <c r="F720" s="23"/>
      <c r="G720" s="23"/>
    </row>
    <row r="721" spans="1:7" x14ac:dyDescent="0.2">
      <c r="A721" s="393"/>
      <c r="B721" s="393"/>
      <c r="C721" s="23"/>
      <c r="D721" s="23"/>
      <c r="E721" s="23"/>
      <c r="F721" s="23"/>
      <c r="G721" s="23"/>
    </row>
    <row r="722" spans="1:7" x14ac:dyDescent="0.2">
      <c r="A722" s="393"/>
      <c r="B722" s="393"/>
      <c r="C722" s="23"/>
      <c r="D722" s="23"/>
      <c r="E722" s="23"/>
      <c r="F722" s="23"/>
      <c r="G722" s="23"/>
    </row>
    <row r="723" spans="1:7" x14ac:dyDescent="0.2">
      <c r="A723" s="393"/>
      <c r="B723" s="393"/>
      <c r="C723" s="23"/>
      <c r="D723" s="23"/>
      <c r="E723" s="23"/>
      <c r="F723" s="23"/>
      <c r="G723" s="23"/>
    </row>
    <row r="724" spans="1:7" x14ac:dyDescent="0.2">
      <c r="A724" s="393"/>
      <c r="B724" s="393"/>
      <c r="C724" s="23"/>
      <c r="D724" s="23"/>
      <c r="E724" s="23"/>
      <c r="F724" s="23"/>
      <c r="G724" s="23"/>
    </row>
    <row r="725" spans="1:7" x14ac:dyDescent="0.2">
      <c r="A725" s="393"/>
      <c r="B725" s="393"/>
      <c r="C725" s="23"/>
      <c r="D725" s="23"/>
      <c r="E725" s="23"/>
      <c r="F725" s="23"/>
      <c r="G725" s="23"/>
    </row>
    <row r="726" spans="1:7" x14ac:dyDescent="0.2">
      <c r="A726" s="393"/>
      <c r="B726" s="393"/>
      <c r="C726" s="23"/>
      <c r="D726" s="23"/>
      <c r="E726" s="23"/>
      <c r="F726" s="23"/>
      <c r="G726" s="23"/>
    </row>
    <row r="727" spans="1:7" x14ac:dyDescent="0.2">
      <c r="A727" s="393"/>
      <c r="B727" s="393"/>
      <c r="C727" s="23"/>
      <c r="D727" s="23"/>
      <c r="E727" s="23"/>
      <c r="F727" s="23"/>
      <c r="G727" s="23"/>
    </row>
    <row r="728" spans="1:7" x14ac:dyDescent="0.2">
      <c r="A728" s="393"/>
      <c r="B728" s="393"/>
      <c r="C728" s="23"/>
      <c r="D728" s="23"/>
      <c r="E728" s="23"/>
      <c r="F728" s="23"/>
      <c r="G728" s="23"/>
    </row>
    <row r="729" spans="1:7" x14ac:dyDescent="0.2">
      <c r="A729" s="393"/>
      <c r="B729" s="393"/>
      <c r="C729" s="23"/>
      <c r="D729" s="23"/>
      <c r="E729" s="23"/>
      <c r="F729" s="23"/>
      <c r="G729" s="23"/>
    </row>
    <row r="730" spans="1:7" x14ac:dyDescent="0.2">
      <c r="A730" s="393"/>
      <c r="B730" s="393"/>
      <c r="C730" s="23"/>
      <c r="D730" s="23"/>
      <c r="E730" s="23"/>
      <c r="F730" s="23"/>
      <c r="G730" s="23"/>
    </row>
    <row r="731" spans="1:7" x14ac:dyDescent="0.2">
      <c r="A731" s="393"/>
      <c r="B731" s="393"/>
      <c r="C731" s="23"/>
      <c r="D731" s="23"/>
      <c r="E731" s="23"/>
      <c r="F731" s="23"/>
      <c r="G731" s="23"/>
    </row>
    <row r="732" spans="1:7" x14ac:dyDescent="0.2">
      <c r="A732" s="393"/>
      <c r="B732" s="393"/>
      <c r="C732" s="23"/>
      <c r="D732" s="23"/>
      <c r="E732" s="23"/>
      <c r="F732" s="23"/>
      <c r="G732" s="23"/>
    </row>
    <row r="733" spans="1:7" x14ac:dyDescent="0.2">
      <c r="A733" s="393"/>
      <c r="B733" s="393"/>
      <c r="C733" s="23"/>
      <c r="D733" s="23"/>
      <c r="E733" s="23"/>
      <c r="F733" s="23"/>
      <c r="G733" s="23"/>
    </row>
    <row r="734" spans="1:7" x14ac:dyDescent="0.2">
      <c r="A734" s="393"/>
      <c r="B734" s="393"/>
      <c r="C734" s="23"/>
      <c r="D734" s="23"/>
      <c r="E734" s="23"/>
      <c r="F734" s="23"/>
      <c r="G734" s="23"/>
    </row>
    <row r="735" spans="1:7" x14ac:dyDescent="0.2">
      <c r="A735" s="393"/>
      <c r="B735" s="393"/>
      <c r="C735" s="23"/>
      <c r="D735" s="23"/>
      <c r="E735" s="23"/>
      <c r="F735" s="23"/>
      <c r="G735" s="23"/>
    </row>
    <row r="736" spans="1:7" x14ac:dyDescent="0.2">
      <c r="A736" s="393"/>
      <c r="B736" s="393"/>
      <c r="C736" s="23"/>
      <c r="D736" s="23"/>
      <c r="E736" s="23"/>
      <c r="F736" s="23"/>
      <c r="G736" s="23"/>
    </row>
    <row r="737" spans="1:7" x14ac:dyDescent="0.2">
      <c r="A737" s="393"/>
      <c r="B737" s="393"/>
      <c r="C737" s="23"/>
      <c r="D737" s="23"/>
      <c r="E737" s="23"/>
      <c r="F737" s="23"/>
      <c r="G737" s="23"/>
    </row>
    <row r="738" spans="1:7" x14ac:dyDescent="0.2">
      <c r="A738" s="393"/>
      <c r="B738" s="393"/>
      <c r="C738" s="23"/>
      <c r="D738" s="23"/>
      <c r="E738" s="23"/>
      <c r="F738" s="23"/>
      <c r="G738" s="23"/>
    </row>
    <row r="739" spans="1:7" x14ac:dyDescent="0.2">
      <c r="A739" s="393"/>
      <c r="B739" s="393"/>
      <c r="C739" s="23"/>
      <c r="D739" s="23"/>
      <c r="E739" s="23"/>
      <c r="F739" s="23"/>
      <c r="G739" s="23"/>
    </row>
    <row r="740" spans="1:7" x14ac:dyDescent="0.2">
      <c r="A740" s="393"/>
      <c r="B740" s="393"/>
      <c r="C740" s="23"/>
      <c r="D740" s="23"/>
      <c r="E740" s="23"/>
      <c r="F740" s="23"/>
      <c r="G740" s="23"/>
    </row>
    <row r="741" spans="1:7" x14ac:dyDescent="0.2">
      <c r="A741" s="393"/>
      <c r="B741" s="393"/>
      <c r="C741" s="23"/>
      <c r="D741" s="23"/>
      <c r="E741" s="23"/>
      <c r="F741" s="23"/>
      <c r="G741" s="23"/>
    </row>
    <row r="742" spans="1:7" x14ac:dyDescent="0.2">
      <c r="A742" s="393"/>
      <c r="B742" s="393"/>
      <c r="C742" s="23"/>
      <c r="D742" s="23"/>
      <c r="E742" s="23"/>
      <c r="F742" s="23"/>
      <c r="G742" s="23"/>
    </row>
    <row r="743" spans="1:7" x14ac:dyDescent="0.2">
      <c r="A743" s="393"/>
      <c r="B743" s="393"/>
      <c r="C743" s="23"/>
      <c r="D743" s="23"/>
      <c r="E743" s="23"/>
      <c r="F743" s="23"/>
      <c r="G743" s="23"/>
    </row>
    <row r="744" spans="1:7" x14ac:dyDescent="0.2">
      <c r="A744" s="393"/>
      <c r="B744" s="393"/>
      <c r="C744" s="23"/>
      <c r="D744" s="23"/>
      <c r="E744" s="23"/>
      <c r="F744" s="23"/>
      <c r="G744" s="23"/>
    </row>
    <row r="745" spans="1:7" x14ac:dyDescent="0.2">
      <c r="A745" s="393"/>
      <c r="B745" s="393"/>
      <c r="C745" s="23"/>
      <c r="D745" s="23"/>
      <c r="E745" s="23"/>
      <c r="F745" s="23"/>
      <c r="G745" s="23"/>
    </row>
    <row r="746" spans="1:7" x14ac:dyDescent="0.2">
      <c r="A746" s="393"/>
      <c r="B746" s="393"/>
      <c r="C746" s="23"/>
      <c r="D746" s="23"/>
      <c r="E746" s="23"/>
      <c r="F746" s="23"/>
      <c r="G746" s="23"/>
    </row>
    <row r="747" spans="1:7" x14ac:dyDescent="0.2">
      <c r="A747" s="393"/>
      <c r="B747" s="393"/>
      <c r="C747" s="23"/>
      <c r="D747" s="23"/>
      <c r="E747" s="23"/>
      <c r="F747" s="23"/>
      <c r="G747" s="23"/>
    </row>
    <row r="748" spans="1:7" x14ac:dyDescent="0.2">
      <c r="A748" s="393"/>
      <c r="B748" s="393"/>
      <c r="C748" s="23"/>
      <c r="D748" s="23"/>
      <c r="E748" s="23"/>
      <c r="F748" s="23"/>
      <c r="G748" s="23"/>
    </row>
    <row r="749" spans="1:7" x14ac:dyDescent="0.2">
      <c r="A749" s="393"/>
      <c r="B749" s="393"/>
      <c r="C749" s="23"/>
      <c r="D749" s="23"/>
      <c r="E749" s="23"/>
      <c r="F749" s="23"/>
      <c r="G749" s="23"/>
    </row>
    <row r="750" spans="1:7" x14ac:dyDescent="0.2">
      <c r="A750" s="393"/>
      <c r="B750" s="393"/>
      <c r="C750" s="23"/>
      <c r="D750" s="23"/>
      <c r="E750" s="23"/>
      <c r="F750" s="23"/>
      <c r="G750" s="23"/>
    </row>
    <row r="751" spans="1:7" x14ac:dyDescent="0.2">
      <c r="A751" s="393"/>
      <c r="B751" s="393"/>
      <c r="C751" s="23"/>
      <c r="D751" s="23"/>
      <c r="E751" s="23"/>
      <c r="F751" s="23"/>
      <c r="G751" s="23"/>
    </row>
    <row r="752" spans="1:7" x14ac:dyDescent="0.2">
      <c r="A752" s="393"/>
      <c r="B752" s="393"/>
      <c r="C752" s="23"/>
      <c r="D752" s="23"/>
      <c r="E752" s="23"/>
      <c r="F752" s="23"/>
      <c r="G752" s="23"/>
    </row>
    <row r="753" spans="1:7" x14ac:dyDescent="0.2">
      <c r="A753" s="393"/>
      <c r="B753" s="393"/>
      <c r="C753" s="23"/>
      <c r="D753" s="23"/>
      <c r="E753" s="23"/>
      <c r="F753" s="23"/>
      <c r="G753" s="23"/>
    </row>
    <row r="754" spans="1:7" x14ac:dyDescent="0.2">
      <c r="A754" s="393"/>
      <c r="B754" s="393"/>
      <c r="C754" s="23"/>
      <c r="D754" s="23"/>
      <c r="E754" s="23"/>
      <c r="F754" s="23"/>
      <c r="G754" s="23"/>
    </row>
    <row r="755" spans="1:7" x14ac:dyDescent="0.2">
      <c r="A755" s="393"/>
      <c r="B755" s="393"/>
      <c r="C755" s="23"/>
      <c r="D755" s="23"/>
      <c r="E755" s="23"/>
      <c r="F755" s="23"/>
      <c r="G755" s="23"/>
    </row>
    <row r="756" spans="1:7" x14ac:dyDescent="0.2">
      <c r="A756" s="393"/>
      <c r="B756" s="393"/>
      <c r="C756" s="23"/>
      <c r="D756" s="23"/>
      <c r="E756" s="23"/>
      <c r="F756" s="23"/>
      <c r="G756" s="23"/>
    </row>
    <row r="757" spans="1:7" x14ac:dyDescent="0.2">
      <c r="A757" s="393"/>
      <c r="B757" s="393"/>
      <c r="C757" s="23"/>
      <c r="D757" s="23"/>
      <c r="E757" s="23"/>
      <c r="F757" s="23"/>
      <c r="G757" s="23"/>
    </row>
    <row r="758" spans="1:7" x14ac:dyDescent="0.2">
      <c r="A758" s="393"/>
      <c r="B758" s="393"/>
      <c r="C758" s="23"/>
      <c r="D758" s="23"/>
      <c r="E758" s="23"/>
      <c r="F758" s="23"/>
      <c r="G758" s="23"/>
    </row>
    <row r="759" spans="1:7" x14ac:dyDescent="0.2">
      <c r="A759" s="393"/>
      <c r="B759" s="393"/>
      <c r="C759" s="23"/>
      <c r="D759" s="23"/>
      <c r="E759" s="23"/>
      <c r="F759" s="23"/>
      <c r="G759" s="23"/>
    </row>
    <row r="760" spans="1:7" x14ac:dyDescent="0.2">
      <c r="A760" s="393"/>
      <c r="B760" s="393"/>
      <c r="C760" s="23"/>
      <c r="D760" s="23"/>
      <c r="E760" s="23"/>
      <c r="F760" s="23"/>
      <c r="G760" s="23"/>
    </row>
    <row r="761" spans="1:7" x14ac:dyDescent="0.2">
      <c r="A761" s="393"/>
      <c r="B761" s="393"/>
      <c r="C761" s="23"/>
      <c r="D761" s="23"/>
      <c r="E761" s="23"/>
      <c r="F761" s="23"/>
      <c r="G761" s="23"/>
    </row>
    <row r="762" spans="1:7" x14ac:dyDescent="0.2">
      <c r="A762" s="393"/>
      <c r="B762" s="393"/>
      <c r="C762" s="23"/>
      <c r="D762" s="23"/>
      <c r="E762" s="23"/>
      <c r="F762" s="23"/>
      <c r="G762" s="23"/>
    </row>
    <row r="763" spans="1:7" x14ac:dyDescent="0.2">
      <c r="A763" s="393"/>
      <c r="B763" s="393"/>
      <c r="C763" s="23"/>
      <c r="D763" s="23"/>
      <c r="E763" s="23"/>
      <c r="F763" s="23"/>
      <c r="G763" s="23"/>
    </row>
    <row r="764" spans="1:7" x14ac:dyDescent="0.2">
      <c r="A764" s="393"/>
      <c r="B764" s="393"/>
      <c r="C764" s="23"/>
      <c r="D764" s="23"/>
      <c r="E764" s="23"/>
      <c r="F764" s="23"/>
      <c r="G764" s="23"/>
    </row>
    <row r="765" spans="1:7" x14ac:dyDescent="0.2">
      <c r="A765" s="393"/>
      <c r="B765" s="393"/>
      <c r="C765" s="23"/>
      <c r="D765" s="23"/>
      <c r="E765" s="23"/>
      <c r="F765" s="23"/>
      <c r="G765" s="23"/>
    </row>
    <row r="766" spans="1:7" x14ac:dyDescent="0.2">
      <c r="A766" s="393"/>
      <c r="B766" s="393"/>
      <c r="C766" s="23"/>
      <c r="D766" s="23"/>
      <c r="E766" s="23"/>
      <c r="F766" s="23"/>
      <c r="G766" s="23"/>
    </row>
    <row r="767" spans="1:7" x14ac:dyDescent="0.2">
      <c r="A767" s="393"/>
      <c r="B767" s="393"/>
      <c r="C767" s="23"/>
      <c r="D767" s="23"/>
      <c r="E767" s="23"/>
      <c r="F767" s="23"/>
      <c r="G767" s="23"/>
    </row>
    <row r="768" spans="1:7" x14ac:dyDescent="0.2">
      <c r="A768" s="393"/>
      <c r="B768" s="393"/>
      <c r="C768" s="23"/>
      <c r="D768" s="23"/>
      <c r="E768" s="23"/>
      <c r="F768" s="23"/>
      <c r="G768" s="23"/>
    </row>
    <row r="769" spans="1:7" x14ac:dyDescent="0.2">
      <c r="A769" s="393"/>
      <c r="B769" s="393"/>
      <c r="C769" s="23"/>
      <c r="D769" s="23"/>
      <c r="E769" s="23"/>
      <c r="F769" s="23"/>
      <c r="G769" s="23"/>
    </row>
    <row r="770" spans="1:7" x14ac:dyDescent="0.2">
      <c r="A770" s="393"/>
      <c r="B770" s="393"/>
      <c r="C770" s="23"/>
      <c r="D770" s="23"/>
      <c r="E770" s="23"/>
      <c r="F770" s="23"/>
      <c r="G770" s="23"/>
    </row>
    <row r="771" spans="1:7" x14ac:dyDescent="0.2">
      <c r="A771" s="393"/>
      <c r="B771" s="393"/>
      <c r="C771" s="23"/>
      <c r="D771" s="23"/>
      <c r="E771" s="23"/>
      <c r="F771" s="23"/>
      <c r="G771" s="23"/>
    </row>
    <row r="772" spans="1:7" x14ac:dyDescent="0.2">
      <c r="A772" s="393"/>
      <c r="B772" s="393"/>
      <c r="C772" s="23"/>
      <c r="D772" s="23"/>
      <c r="E772" s="23"/>
      <c r="F772" s="23"/>
      <c r="G772" s="23"/>
    </row>
    <row r="773" spans="1:7" x14ac:dyDescent="0.2">
      <c r="A773" s="393"/>
      <c r="B773" s="393"/>
      <c r="C773" s="23"/>
      <c r="D773" s="23"/>
      <c r="E773" s="23"/>
      <c r="F773" s="23"/>
      <c r="G773" s="23"/>
    </row>
    <row r="774" spans="1:7" x14ac:dyDescent="0.2">
      <c r="A774" s="393"/>
      <c r="B774" s="393"/>
      <c r="C774" s="23"/>
      <c r="D774" s="23"/>
      <c r="E774" s="23"/>
      <c r="F774" s="23"/>
      <c r="G774" s="23"/>
    </row>
    <row r="775" spans="1:7" x14ac:dyDescent="0.2">
      <c r="A775" s="393"/>
      <c r="B775" s="393"/>
      <c r="C775" s="23"/>
      <c r="D775" s="23"/>
      <c r="E775" s="23"/>
      <c r="F775" s="23"/>
      <c r="G775" s="23"/>
    </row>
    <row r="776" spans="1:7" x14ac:dyDescent="0.2">
      <c r="A776" s="393"/>
      <c r="B776" s="393"/>
      <c r="C776" s="23"/>
      <c r="D776" s="23"/>
      <c r="E776" s="23"/>
      <c r="F776" s="23"/>
      <c r="G776" s="23"/>
    </row>
    <row r="777" spans="1:7" x14ac:dyDescent="0.2">
      <c r="A777" s="393"/>
      <c r="B777" s="393"/>
      <c r="C777" s="23"/>
      <c r="D777" s="23"/>
      <c r="E777" s="23"/>
      <c r="F777" s="23"/>
      <c r="G777" s="23"/>
    </row>
    <row r="778" spans="1:7" x14ac:dyDescent="0.2">
      <c r="A778" s="393"/>
      <c r="B778" s="393"/>
      <c r="C778" s="23"/>
      <c r="D778" s="23"/>
      <c r="E778" s="23"/>
      <c r="F778" s="23"/>
      <c r="G778" s="23"/>
    </row>
    <row r="779" spans="1:7" x14ac:dyDescent="0.2">
      <c r="A779" s="393"/>
      <c r="B779" s="393"/>
      <c r="C779" s="23"/>
      <c r="D779" s="23"/>
      <c r="E779" s="23"/>
      <c r="F779" s="23"/>
      <c r="G779" s="23"/>
    </row>
    <row r="780" spans="1:7" x14ac:dyDescent="0.2">
      <c r="A780" s="393"/>
      <c r="B780" s="393"/>
      <c r="C780" s="23"/>
      <c r="D780" s="23"/>
      <c r="E780" s="23"/>
      <c r="F780" s="23"/>
      <c r="G780" s="23"/>
    </row>
    <row r="781" spans="1:7" x14ac:dyDescent="0.2">
      <c r="A781" s="393"/>
      <c r="B781" s="393"/>
      <c r="C781" s="23"/>
      <c r="D781" s="23"/>
      <c r="E781" s="23"/>
      <c r="F781" s="23"/>
      <c r="G781" s="23"/>
    </row>
    <row r="782" spans="1:7" x14ac:dyDescent="0.2">
      <c r="A782" s="393"/>
      <c r="B782" s="393"/>
      <c r="C782" s="23"/>
      <c r="D782" s="23"/>
      <c r="E782" s="23"/>
      <c r="F782" s="23"/>
      <c r="G782" s="23"/>
    </row>
    <row r="783" spans="1:7" x14ac:dyDescent="0.2">
      <c r="A783" s="393"/>
      <c r="B783" s="393"/>
      <c r="C783" s="23"/>
      <c r="D783" s="23"/>
      <c r="E783" s="23"/>
      <c r="F783" s="23"/>
      <c r="G783" s="23"/>
    </row>
    <row r="784" spans="1:7" x14ac:dyDescent="0.2">
      <c r="A784" s="393"/>
      <c r="B784" s="393"/>
      <c r="C784" s="23"/>
      <c r="D784" s="23"/>
      <c r="E784" s="23"/>
      <c r="F784" s="23"/>
      <c r="G784" s="23"/>
    </row>
    <row r="785" spans="1:7" x14ac:dyDescent="0.2">
      <c r="A785" s="393"/>
      <c r="B785" s="393"/>
      <c r="C785" s="23"/>
      <c r="D785" s="23"/>
      <c r="E785" s="23"/>
      <c r="F785" s="23"/>
      <c r="G785" s="23"/>
    </row>
    <row r="786" spans="1:7" x14ac:dyDescent="0.2">
      <c r="A786" s="393"/>
      <c r="B786" s="393"/>
      <c r="C786" s="23"/>
      <c r="D786" s="23"/>
      <c r="E786" s="23"/>
      <c r="F786" s="23"/>
      <c r="G786" s="23"/>
    </row>
    <row r="787" spans="1:7" x14ac:dyDescent="0.2">
      <c r="A787" s="393"/>
      <c r="B787" s="393"/>
      <c r="C787" s="23"/>
      <c r="D787" s="23"/>
      <c r="E787" s="23"/>
      <c r="F787" s="23"/>
      <c r="G787" s="23"/>
    </row>
    <row r="788" spans="1:7" x14ac:dyDescent="0.2">
      <c r="A788" s="393"/>
      <c r="B788" s="393"/>
      <c r="C788" s="23"/>
      <c r="D788" s="23"/>
      <c r="E788" s="23"/>
      <c r="F788" s="23"/>
      <c r="G788" s="23"/>
    </row>
    <row r="789" spans="1:7" x14ac:dyDescent="0.2">
      <c r="A789" s="393"/>
      <c r="B789" s="393"/>
      <c r="C789" s="23"/>
      <c r="D789" s="23"/>
      <c r="E789" s="23"/>
      <c r="F789" s="23"/>
      <c r="G789" s="23"/>
    </row>
    <row r="790" spans="1:7" x14ac:dyDescent="0.2">
      <c r="A790" s="393"/>
      <c r="B790" s="393"/>
      <c r="C790" s="23"/>
      <c r="D790" s="23"/>
      <c r="E790" s="23"/>
      <c r="F790" s="23"/>
      <c r="G790" s="23"/>
    </row>
    <row r="791" spans="1:7" x14ac:dyDescent="0.2">
      <c r="A791" s="393"/>
      <c r="B791" s="393"/>
      <c r="C791" s="23"/>
      <c r="D791" s="23"/>
      <c r="E791" s="23"/>
      <c r="F791" s="23"/>
      <c r="G791" s="23"/>
    </row>
    <row r="792" spans="1:7" x14ac:dyDescent="0.2">
      <c r="A792" s="393"/>
      <c r="B792" s="393"/>
      <c r="C792" s="23"/>
      <c r="D792" s="23"/>
      <c r="E792" s="23"/>
      <c r="F792" s="23"/>
      <c r="G792" s="23"/>
    </row>
    <row r="793" spans="1:7" x14ac:dyDescent="0.2">
      <c r="A793" s="393"/>
      <c r="B793" s="393"/>
      <c r="C793" s="23"/>
      <c r="D793" s="23"/>
      <c r="E793" s="23"/>
      <c r="F793" s="23"/>
      <c r="G793" s="23"/>
    </row>
    <row r="794" spans="1:7" x14ac:dyDescent="0.2">
      <c r="A794" s="393"/>
      <c r="B794" s="393"/>
      <c r="C794" s="23"/>
      <c r="D794" s="23"/>
      <c r="E794" s="23"/>
      <c r="F794" s="23"/>
      <c r="G794" s="23"/>
    </row>
    <row r="795" spans="1:7" x14ac:dyDescent="0.2">
      <c r="A795" s="393"/>
      <c r="B795" s="393"/>
      <c r="C795" s="23"/>
      <c r="D795" s="23"/>
      <c r="E795" s="23"/>
      <c r="F795" s="23"/>
      <c r="G795" s="23"/>
    </row>
    <row r="796" spans="1:7" x14ac:dyDescent="0.2">
      <c r="A796" s="393"/>
      <c r="B796" s="393"/>
      <c r="C796" s="23"/>
      <c r="D796" s="23"/>
      <c r="E796" s="23"/>
      <c r="F796" s="23"/>
      <c r="G796" s="23"/>
    </row>
    <row r="797" spans="1:7" x14ac:dyDescent="0.2">
      <c r="A797" s="393"/>
      <c r="B797" s="393"/>
      <c r="C797" s="23"/>
      <c r="D797" s="23"/>
      <c r="E797" s="23"/>
      <c r="F797" s="23"/>
      <c r="G797" s="23"/>
    </row>
    <row r="798" spans="1:7" x14ac:dyDescent="0.2">
      <c r="A798" s="393"/>
      <c r="B798" s="393"/>
      <c r="C798" s="23"/>
      <c r="D798" s="23"/>
      <c r="E798" s="23"/>
      <c r="F798" s="23"/>
      <c r="G798" s="23"/>
    </row>
    <row r="799" spans="1:7" x14ac:dyDescent="0.2">
      <c r="A799" s="393"/>
      <c r="B799" s="393"/>
      <c r="C799" s="23"/>
      <c r="D799" s="23"/>
      <c r="E799" s="23"/>
      <c r="F799" s="23"/>
      <c r="G799" s="23"/>
    </row>
    <row r="800" spans="1:7" x14ac:dyDescent="0.2">
      <c r="A800" s="393"/>
      <c r="B800" s="393"/>
      <c r="C800" s="23"/>
      <c r="D800" s="23"/>
      <c r="E800" s="23"/>
      <c r="F800" s="23"/>
      <c r="G800" s="23"/>
    </row>
    <row r="801" spans="1:7" x14ac:dyDescent="0.2">
      <c r="A801" s="393"/>
      <c r="B801" s="393"/>
      <c r="C801" s="23"/>
      <c r="D801" s="23"/>
      <c r="E801" s="23"/>
      <c r="F801" s="23"/>
      <c r="G801" s="23"/>
    </row>
    <row r="802" spans="1:7" x14ac:dyDescent="0.2">
      <c r="A802" s="393"/>
      <c r="B802" s="393"/>
      <c r="C802" s="23"/>
      <c r="D802" s="23"/>
      <c r="E802" s="23"/>
      <c r="F802" s="23"/>
      <c r="G802" s="23"/>
    </row>
    <row r="803" spans="1:7" x14ac:dyDescent="0.2">
      <c r="A803" s="393"/>
      <c r="B803" s="393"/>
      <c r="C803" s="23"/>
      <c r="D803" s="23"/>
      <c r="E803" s="23"/>
      <c r="F803" s="23"/>
      <c r="G803" s="23"/>
    </row>
    <row r="804" spans="1:7" x14ac:dyDescent="0.2">
      <c r="A804" s="393"/>
      <c r="B804" s="393"/>
      <c r="C804" s="23"/>
      <c r="D804" s="23"/>
      <c r="E804" s="23"/>
      <c r="F804" s="23"/>
      <c r="G804" s="23"/>
    </row>
    <row r="805" spans="1:7" x14ac:dyDescent="0.2">
      <c r="A805" s="393"/>
      <c r="B805" s="393"/>
      <c r="C805" s="23"/>
      <c r="D805" s="23"/>
      <c r="E805" s="23"/>
      <c r="F805" s="23"/>
      <c r="G805" s="23"/>
    </row>
    <row r="806" spans="1:7" x14ac:dyDescent="0.2">
      <c r="A806" s="393"/>
      <c r="B806" s="393"/>
      <c r="C806" s="23"/>
      <c r="D806" s="23"/>
      <c r="E806" s="23"/>
      <c r="F806" s="23"/>
      <c r="G806" s="23"/>
    </row>
    <row r="807" spans="1:7" x14ac:dyDescent="0.2">
      <c r="A807" s="393"/>
      <c r="B807" s="393"/>
      <c r="C807" s="23"/>
      <c r="D807" s="23"/>
      <c r="E807" s="23"/>
      <c r="F807" s="23"/>
      <c r="G807" s="23"/>
    </row>
    <row r="808" spans="1:7" x14ac:dyDescent="0.2">
      <c r="A808" s="393"/>
      <c r="B808" s="393"/>
      <c r="C808" s="23"/>
      <c r="D808" s="23"/>
      <c r="E808" s="23"/>
      <c r="F808" s="23"/>
      <c r="G808" s="23"/>
    </row>
    <row r="809" spans="1:7" x14ac:dyDescent="0.2">
      <c r="A809" s="393"/>
      <c r="B809" s="393"/>
      <c r="C809" s="23"/>
      <c r="D809" s="23"/>
      <c r="E809" s="23"/>
      <c r="F809" s="23"/>
      <c r="G809" s="23"/>
    </row>
    <row r="810" spans="1:7" x14ac:dyDescent="0.2">
      <c r="A810" s="393"/>
      <c r="B810" s="393"/>
      <c r="C810" s="23"/>
      <c r="D810" s="23"/>
      <c r="E810" s="23"/>
      <c r="F810" s="23"/>
      <c r="G810" s="23"/>
    </row>
    <row r="811" spans="1:7" x14ac:dyDescent="0.2">
      <c r="A811" s="393"/>
      <c r="B811" s="393"/>
      <c r="C811" s="23"/>
      <c r="D811" s="23"/>
      <c r="E811" s="23"/>
      <c r="F811" s="23"/>
      <c r="G811" s="23"/>
    </row>
    <row r="812" spans="1:7" x14ac:dyDescent="0.2">
      <c r="A812" s="393"/>
      <c r="B812" s="393"/>
      <c r="C812" s="23"/>
      <c r="D812" s="23"/>
      <c r="E812" s="23"/>
      <c r="F812" s="23"/>
      <c r="G812" s="23"/>
    </row>
    <row r="813" spans="1:7" x14ac:dyDescent="0.2">
      <c r="A813" s="393"/>
      <c r="B813" s="393"/>
      <c r="C813" s="23"/>
      <c r="D813" s="23"/>
      <c r="E813" s="23"/>
      <c r="F813" s="23"/>
      <c r="G813" s="23"/>
    </row>
    <row r="814" spans="1:7" x14ac:dyDescent="0.2">
      <c r="A814" s="393"/>
      <c r="B814" s="393"/>
      <c r="C814" s="23"/>
      <c r="D814" s="23"/>
      <c r="E814" s="23"/>
      <c r="F814" s="23"/>
      <c r="G814" s="23"/>
    </row>
    <row r="815" spans="1:7" x14ac:dyDescent="0.2">
      <c r="A815" s="393"/>
      <c r="B815" s="393"/>
      <c r="C815" s="23"/>
      <c r="D815" s="23"/>
      <c r="E815" s="23"/>
      <c r="F815" s="23"/>
      <c r="G815" s="23"/>
    </row>
    <row r="816" spans="1:7" x14ac:dyDescent="0.2">
      <c r="A816" s="393"/>
      <c r="B816" s="393"/>
      <c r="C816" s="23"/>
      <c r="D816" s="23"/>
      <c r="E816" s="23"/>
      <c r="F816" s="23"/>
      <c r="G816" s="23"/>
    </row>
    <row r="817" spans="1:7" x14ac:dyDescent="0.2">
      <c r="A817" s="393"/>
      <c r="B817" s="393"/>
      <c r="C817" s="23"/>
      <c r="D817" s="23"/>
      <c r="E817" s="23"/>
      <c r="F817" s="23"/>
      <c r="G817" s="23"/>
    </row>
    <row r="818" spans="1:7" x14ac:dyDescent="0.2">
      <c r="A818" s="393"/>
      <c r="B818" s="393"/>
      <c r="C818" s="23"/>
      <c r="D818" s="23"/>
      <c r="E818" s="23"/>
      <c r="F818" s="23"/>
      <c r="G818" s="23"/>
    </row>
    <row r="819" spans="1:7" x14ac:dyDescent="0.2">
      <c r="A819" s="393"/>
      <c r="B819" s="393"/>
      <c r="C819" s="23"/>
      <c r="D819" s="23"/>
      <c r="E819" s="23"/>
      <c r="F819" s="23"/>
      <c r="G819" s="23"/>
    </row>
    <row r="820" spans="1:7" x14ac:dyDescent="0.2">
      <c r="A820" s="393"/>
      <c r="B820" s="393"/>
      <c r="C820" s="23"/>
      <c r="D820" s="23"/>
      <c r="E820" s="23"/>
      <c r="F820" s="23"/>
      <c r="G820" s="23"/>
    </row>
    <row r="821" spans="1:7" x14ac:dyDescent="0.2">
      <c r="A821" s="393"/>
      <c r="B821" s="393"/>
      <c r="C821" s="23"/>
      <c r="D821" s="23"/>
      <c r="E821" s="23"/>
      <c r="F821" s="23"/>
      <c r="G821" s="23"/>
    </row>
    <row r="822" spans="1:7" x14ac:dyDescent="0.2">
      <c r="A822" s="393"/>
      <c r="B822" s="393"/>
      <c r="C822" s="23"/>
      <c r="D822" s="23"/>
      <c r="E822" s="23"/>
      <c r="F822" s="23"/>
      <c r="G822" s="23"/>
    </row>
    <row r="823" spans="1:7" x14ac:dyDescent="0.2">
      <c r="A823" s="393"/>
      <c r="B823" s="393"/>
      <c r="C823" s="23"/>
      <c r="D823" s="23"/>
      <c r="E823" s="23"/>
      <c r="F823" s="23"/>
      <c r="G823" s="23"/>
    </row>
    <row r="824" spans="1:7" x14ac:dyDescent="0.2">
      <c r="A824" s="393"/>
      <c r="B824" s="393"/>
      <c r="C824" s="23"/>
      <c r="D824" s="23"/>
      <c r="E824" s="23"/>
      <c r="F824" s="23"/>
      <c r="G824" s="23"/>
    </row>
    <row r="825" spans="1:7" x14ac:dyDescent="0.2">
      <c r="A825" s="393"/>
      <c r="B825" s="393"/>
      <c r="C825" s="23"/>
      <c r="D825" s="23"/>
      <c r="E825" s="23"/>
      <c r="F825" s="23"/>
      <c r="G825" s="23"/>
    </row>
    <row r="826" spans="1:7" x14ac:dyDescent="0.2">
      <c r="A826" s="393"/>
      <c r="B826" s="393"/>
      <c r="C826" s="23"/>
      <c r="D826" s="23"/>
      <c r="E826" s="23"/>
      <c r="F826" s="23"/>
      <c r="G826" s="23"/>
    </row>
    <row r="827" spans="1:7" x14ac:dyDescent="0.2">
      <c r="A827" s="393"/>
      <c r="B827" s="393"/>
      <c r="C827" s="23"/>
      <c r="D827" s="23"/>
      <c r="E827" s="23"/>
      <c r="F827" s="23"/>
      <c r="G827" s="23"/>
    </row>
    <row r="828" spans="1:7" x14ac:dyDescent="0.2">
      <c r="A828" s="393"/>
      <c r="B828" s="393"/>
      <c r="C828" s="23"/>
      <c r="D828" s="23"/>
      <c r="E828" s="23"/>
      <c r="F828" s="23"/>
      <c r="G828" s="23"/>
    </row>
    <row r="829" spans="1:7" x14ac:dyDescent="0.2">
      <c r="A829" s="393"/>
      <c r="B829" s="393"/>
      <c r="C829" s="23"/>
      <c r="D829" s="23"/>
      <c r="E829" s="23"/>
      <c r="F829" s="23"/>
      <c r="G829" s="23"/>
    </row>
    <row r="830" spans="1:7" x14ac:dyDescent="0.2">
      <c r="A830" s="393"/>
      <c r="B830" s="393"/>
      <c r="C830" s="23"/>
      <c r="D830" s="23"/>
      <c r="E830" s="23"/>
      <c r="F830" s="23"/>
      <c r="G830" s="23"/>
    </row>
    <row r="831" spans="1:7" x14ac:dyDescent="0.2">
      <c r="A831" s="393"/>
      <c r="B831" s="393"/>
      <c r="C831" s="23"/>
      <c r="D831" s="23"/>
      <c r="E831" s="23"/>
      <c r="F831" s="23"/>
      <c r="G831" s="23"/>
    </row>
    <row r="832" spans="1:7" x14ac:dyDescent="0.2">
      <c r="A832" s="393"/>
      <c r="B832" s="393"/>
      <c r="C832" s="23"/>
      <c r="D832" s="23"/>
      <c r="E832" s="23"/>
      <c r="F832" s="23"/>
      <c r="G832" s="23"/>
    </row>
    <row r="833" spans="1:7" x14ac:dyDescent="0.2">
      <c r="A833" s="393"/>
      <c r="B833" s="393"/>
      <c r="C833" s="23"/>
      <c r="D833" s="23"/>
      <c r="E833" s="23"/>
      <c r="F833" s="23"/>
      <c r="G833" s="23"/>
    </row>
    <row r="834" spans="1:7" x14ac:dyDescent="0.2">
      <c r="A834" s="393"/>
      <c r="B834" s="393"/>
      <c r="C834" s="23"/>
      <c r="D834" s="23"/>
      <c r="E834" s="23"/>
      <c r="F834" s="23"/>
      <c r="G834" s="23"/>
    </row>
    <row r="835" spans="1:7" x14ac:dyDescent="0.2">
      <c r="A835" s="393"/>
      <c r="B835" s="393"/>
      <c r="C835" s="23"/>
      <c r="D835" s="23"/>
      <c r="E835" s="23"/>
      <c r="F835" s="23"/>
      <c r="G835" s="23"/>
    </row>
    <row r="836" spans="1:7" x14ac:dyDescent="0.2">
      <c r="A836" s="393"/>
      <c r="B836" s="393"/>
      <c r="C836" s="23"/>
      <c r="D836" s="23"/>
      <c r="E836" s="23"/>
      <c r="F836" s="23"/>
      <c r="G836" s="23"/>
    </row>
    <row r="837" spans="1:7" x14ac:dyDescent="0.2">
      <c r="A837" s="393"/>
      <c r="B837" s="393"/>
      <c r="C837" s="23"/>
      <c r="D837" s="23"/>
      <c r="E837" s="23"/>
      <c r="F837" s="23"/>
      <c r="G837" s="23"/>
    </row>
    <row r="838" spans="1:7" x14ac:dyDescent="0.2">
      <c r="A838" s="393"/>
      <c r="B838" s="393"/>
      <c r="C838" s="23"/>
      <c r="D838" s="23"/>
      <c r="E838" s="23"/>
      <c r="F838" s="23"/>
      <c r="G838" s="23"/>
    </row>
    <row r="839" spans="1:7" x14ac:dyDescent="0.2">
      <c r="A839" s="393"/>
      <c r="B839" s="393"/>
      <c r="C839" s="23"/>
      <c r="D839" s="23"/>
      <c r="E839" s="23"/>
      <c r="F839" s="23"/>
      <c r="G839" s="23"/>
    </row>
    <row r="840" spans="1:7" x14ac:dyDescent="0.2">
      <c r="A840" s="393"/>
      <c r="B840" s="393"/>
      <c r="C840" s="23"/>
      <c r="D840" s="23"/>
      <c r="E840" s="23"/>
      <c r="F840" s="23"/>
      <c r="G840" s="23"/>
    </row>
    <row r="841" spans="1:7" x14ac:dyDescent="0.2">
      <c r="A841" s="393"/>
      <c r="B841" s="393"/>
      <c r="C841" s="23"/>
      <c r="D841" s="23"/>
      <c r="E841" s="23"/>
      <c r="F841" s="23"/>
      <c r="G841" s="23"/>
    </row>
    <row r="842" spans="1:7" x14ac:dyDescent="0.2">
      <c r="A842" s="393"/>
      <c r="B842" s="393"/>
      <c r="C842" s="23"/>
      <c r="D842" s="23"/>
      <c r="E842" s="23"/>
      <c r="F842" s="23"/>
      <c r="G842" s="23"/>
    </row>
    <row r="843" spans="1:7" x14ac:dyDescent="0.2">
      <c r="A843" s="393"/>
      <c r="B843" s="393"/>
      <c r="C843" s="23"/>
      <c r="D843" s="23"/>
      <c r="E843" s="23"/>
      <c r="F843" s="23"/>
      <c r="G843" s="23"/>
    </row>
    <row r="844" spans="1:7" x14ac:dyDescent="0.2">
      <c r="A844" s="393"/>
      <c r="B844" s="393"/>
      <c r="C844" s="23"/>
      <c r="D844" s="23"/>
      <c r="E844" s="23"/>
      <c r="F844" s="23"/>
      <c r="G844" s="23"/>
    </row>
    <row r="845" spans="1:7" x14ac:dyDescent="0.2">
      <c r="A845" s="393"/>
      <c r="B845" s="393"/>
      <c r="C845" s="23"/>
      <c r="D845" s="23"/>
      <c r="E845" s="23"/>
      <c r="F845" s="23"/>
      <c r="G845" s="23"/>
    </row>
    <row r="846" spans="1:7" x14ac:dyDescent="0.2">
      <c r="A846" s="393"/>
      <c r="B846" s="393"/>
      <c r="C846" s="23"/>
      <c r="D846" s="23"/>
      <c r="E846" s="23"/>
      <c r="F846" s="23"/>
      <c r="G846" s="23"/>
    </row>
    <row r="847" spans="1:7" x14ac:dyDescent="0.2">
      <c r="A847" s="393"/>
      <c r="B847" s="393"/>
      <c r="C847" s="23"/>
      <c r="D847" s="23"/>
      <c r="E847" s="23"/>
      <c r="F847" s="23"/>
      <c r="G847" s="23"/>
    </row>
    <row r="848" spans="1:7" x14ac:dyDescent="0.2">
      <c r="A848" s="393"/>
      <c r="B848" s="393"/>
      <c r="C848" s="23"/>
      <c r="D848" s="23"/>
      <c r="E848" s="23"/>
      <c r="F848" s="23"/>
      <c r="G848" s="23"/>
    </row>
    <row r="849" spans="1:7" x14ac:dyDescent="0.2">
      <c r="A849" s="393"/>
      <c r="B849" s="393"/>
      <c r="C849" s="23"/>
      <c r="D849" s="23"/>
      <c r="E849" s="23"/>
      <c r="F849" s="23"/>
      <c r="G849" s="23"/>
    </row>
    <row r="850" spans="1:7" x14ac:dyDescent="0.2">
      <c r="A850" s="393"/>
      <c r="B850" s="393"/>
      <c r="C850" s="23"/>
      <c r="D850" s="23"/>
      <c r="E850" s="23"/>
      <c r="F850" s="23"/>
      <c r="G850" s="23"/>
    </row>
    <row r="851" spans="1:7" x14ac:dyDescent="0.2">
      <c r="A851" s="393"/>
      <c r="B851" s="393"/>
      <c r="C851" s="23"/>
      <c r="D851" s="23"/>
      <c r="E851" s="23"/>
      <c r="F851" s="23"/>
      <c r="G851" s="23"/>
    </row>
    <row r="852" spans="1:7" x14ac:dyDescent="0.2">
      <c r="A852" s="393"/>
      <c r="B852" s="393"/>
      <c r="C852" s="23"/>
      <c r="D852" s="23"/>
      <c r="E852" s="23"/>
      <c r="F852" s="23"/>
      <c r="G852" s="23"/>
    </row>
    <row r="853" spans="1:7" x14ac:dyDescent="0.2">
      <c r="A853" s="393"/>
      <c r="B853" s="393"/>
      <c r="C853" s="23"/>
      <c r="D853" s="23"/>
      <c r="E853" s="23"/>
      <c r="F853" s="23"/>
      <c r="G853" s="23"/>
    </row>
    <row r="854" spans="1:7" x14ac:dyDescent="0.2">
      <c r="A854" s="393"/>
      <c r="B854" s="393"/>
      <c r="C854" s="23"/>
      <c r="D854" s="23"/>
      <c r="E854" s="23"/>
      <c r="F854" s="23"/>
      <c r="G854" s="23"/>
    </row>
    <row r="855" spans="1:7" x14ac:dyDescent="0.2">
      <c r="A855" s="393"/>
      <c r="B855" s="393"/>
      <c r="C855" s="23"/>
      <c r="D855" s="23"/>
      <c r="E855" s="23"/>
      <c r="F855" s="23"/>
      <c r="G855" s="23"/>
    </row>
    <row r="856" spans="1:7" x14ac:dyDescent="0.2">
      <c r="A856" s="393"/>
      <c r="B856" s="393"/>
      <c r="C856" s="23"/>
      <c r="D856" s="23"/>
      <c r="E856" s="23"/>
      <c r="F856" s="23"/>
      <c r="G856" s="23"/>
    </row>
    <row r="857" spans="1:7" x14ac:dyDescent="0.2">
      <c r="A857" s="393"/>
      <c r="B857" s="393"/>
      <c r="C857" s="23"/>
      <c r="D857" s="23"/>
      <c r="E857" s="23"/>
      <c r="F857" s="23"/>
      <c r="G857" s="23"/>
    </row>
    <row r="858" spans="1:7" x14ac:dyDescent="0.2">
      <c r="A858" s="393"/>
      <c r="B858" s="393"/>
      <c r="C858" s="23"/>
      <c r="D858" s="23"/>
      <c r="E858" s="23"/>
      <c r="F858" s="23"/>
      <c r="G858" s="23"/>
    </row>
    <row r="859" spans="1:7" x14ac:dyDescent="0.2">
      <c r="A859" s="393"/>
      <c r="B859" s="393"/>
      <c r="C859" s="23"/>
      <c r="D859" s="23"/>
      <c r="E859" s="23"/>
      <c r="F859" s="23"/>
      <c r="G859" s="23"/>
    </row>
    <row r="860" spans="1:7" x14ac:dyDescent="0.2">
      <c r="A860" s="393"/>
      <c r="B860" s="393"/>
      <c r="C860" s="23"/>
      <c r="D860" s="23"/>
      <c r="E860" s="23"/>
      <c r="F860" s="23"/>
      <c r="G860" s="23"/>
    </row>
    <row r="861" spans="1:7" x14ac:dyDescent="0.2">
      <c r="A861" s="393"/>
      <c r="B861" s="393"/>
      <c r="C861" s="23"/>
      <c r="D861" s="23"/>
      <c r="E861" s="23"/>
      <c r="F861" s="23"/>
      <c r="G861" s="23"/>
    </row>
    <row r="862" spans="1:7" x14ac:dyDescent="0.2">
      <c r="A862" s="393"/>
      <c r="B862" s="393"/>
      <c r="C862" s="23"/>
      <c r="D862" s="23"/>
      <c r="E862" s="23"/>
      <c r="F862" s="23"/>
      <c r="G862" s="23"/>
    </row>
    <row r="863" spans="1:7" x14ac:dyDescent="0.2">
      <c r="A863" s="393"/>
      <c r="B863" s="393"/>
      <c r="C863" s="23"/>
      <c r="D863" s="23"/>
      <c r="E863" s="23"/>
      <c r="F863" s="23"/>
      <c r="G863" s="23"/>
    </row>
    <row r="864" spans="1:7" x14ac:dyDescent="0.2">
      <c r="A864" s="393"/>
      <c r="B864" s="393"/>
      <c r="C864" s="23"/>
      <c r="D864" s="23"/>
      <c r="E864" s="23"/>
      <c r="F864" s="23"/>
      <c r="G864" s="23"/>
    </row>
    <row r="865" spans="1:7" x14ac:dyDescent="0.2">
      <c r="A865" s="393"/>
      <c r="B865" s="393"/>
      <c r="C865" s="23"/>
      <c r="D865" s="23"/>
      <c r="E865" s="23"/>
      <c r="F865" s="23"/>
      <c r="G865" s="23"/>
    </row>
    <row r="866" spans="1:7" x14ac:dyDescent="0.2">
      <c r="A866" s="393"/>
      <c r="B866" s="393"/>
      <c r="C866" s="23"/>
      <c r="D866" s="23"/>
      <c r="E866" s="23"/>
      <c r="F866" s="23"/>
      <c r="G866" s="23"/>
    </row>
    <row r="867" spans="1:7" x14ac:dyDescent="0.2">
      <c r="A867" s="393"/>
      <c r="B867" s="393"/>
      <c r="C867" s="23"/>
      <c r="D867" s="23"/>
      <c r="E867" s="23"/>
      <c r="F867" s="23"/>
      <c r="G867" s="23"/>
    </row>
    <row r="868" spans="1:7" x14ac:dyDescent="0.2">
      <c r="A868" s="393"/>
      <c r="B868" s="393"/>
      <c r="C868" s="23"/>
      <c r="D868" s="23"/>
      <c r="E868" s="23"/>
      <c r="F868" s="23"/>
      <c r="G868" s="23"/>
    </row>
    <row r="869" spans="1:7" x14ac:dyDescent="0.2">
      <c r="A869" s="393"/>
      <c r="B869" s="393"/>
      <c r="C869" s="23"/>
      <c r="D869" s="23"/>
      <c r="E869" s="23"/>
      <c r="F869" s="23"/>
      <c r="G869" s="23"/>
    </row>
    <row r="870" spans="1:7" x14ac:dyDescent="0.2">
      <c r="A870" s="393"/>
      <c r="B870" s="393"/>
      <c r="C870" s="23"/>
      <c r="D870" s="23"/>
      <c r="E870" s="23"/>
      <c r="F870" s="23"/>
      <c r="G870" s="23"/>
    </row>
    <row r="871" spans="1:7" x14ac:dyDescent="0.2">
      <c r="A871" s="393"/>
      <c r="B871" s="393"/>
      <c r="C871" s="23"/>
      <c r="D871" s="23"/>
      <c r="E871" s="23"/>
      <c r="F871" s="23"/>
      <c r="G871" s="23"/>
    </row>
    <row r="872" spans="1:7" x14ac:dyDescent="0.2">
      <c r="A872" s="393"/>
      <c r="B872" s="393"/>
      <c r="C872" s="23"/>
      <c r="D872" s="23"/>
      <c r="E872" s="23"/>
      <c r="F872" s="23"/>
      <c r="G872" s="23"/>
    </row>
    <row r="873" spans="1:7" x14ac:dyDescent="0.2">
      <c r="A873" s="393"/>
      <c r="B873" s="393"/>
      <c r="C873" s="23"/>
      <c r="D873" s="23"/>
      <c r="E873" s="23"/>
      <c r="F873" s="23"/>
      <c r="G873" s="23"/>
    </row>
    <row r="874" spans="1:7" x14ac:dyDescent="0.2">
      <c r="A874" s="393"/>
      <c r="B874" s="393"/>
      <c r="C874" s="23"/>
      <c r="D874" s="23"/>
      <c r="E874" s="23"/>
      <c r="F874" s="23"/>
      <c r="G874" s="23"/>
    </row>
    <row r="875" spans="1:7" x14ac:dyDescent="0.2">
      <c r="A875" s="393"/>
      <c r="B875" s="393"/>
      <c r="C875" s="23"/>
      <c r="D875" s="23"/>
      <c r="E875" s="23"/>
      <c r="F875" s="23"/>
      <c r="G875" s="23"/>
    </row>
    <row r="876" spans="1:7" x14ac:dyDescent="0.2">
      <c r="A876" s="393"/>
      <c r="B876" s="393"/>
      <c r="C876" s="23"/>
      <c r="D876" s="23"/>
      <c r="E876" s="23"/>
      <c r="F876" s="23"/>
      <c r="G876" s="23"/>
    </row>
    <row r="877" spans="1:7" x14ac:dyDescent="0.2">
      <c r="A877" s="393"/>
      <c r="B877" s="393"/>
      <c r="C877" s="23"/>
      <c r="D877" s="23"/>
      <c r="E877" s="23"/>
      <c r="F877" s="23"/>
      <c r="G877" s="23"/>
    </row>
    <row r="878" spans="1:7" x14ac:dyDescent="0.2">
      <c r="A878" s="393"/>
      <c r="B878" s="393"/>
      <c r="C878" s="23"/>
      <c r="D878" s="23"/>
      <c r="E878" s="23"/>
      <c r="F878" s="23"/>
      <c r="G878" s="23"/>
    </row>
    <row r="879" spans="1:7" x14ac:dyDescent="0.2">
      <c r="A879" s="393"/>
      <c r="B879" s="393"/>
      <c r="C879" s="23"/>
      <c r="D879" s="23"/>
      <c r="E879" s="23"/>
      <c r="F879" s="23"/>
      <c r="G879" s="23"/>
    </row>
    <row r="880" spans="1:7" x14ac:dyDescent="0.2">
      <c r="A880" s="393"/>
      <c r="B880" s="393"/>
      <c r="C880" s="23"/>
      <c r="D880" s="23"/>
      <c r="E880" s="23"/>
      <c r="F880" s="23"/>
      <c r="G880" s="23"/>
    </row>
    <row r="881" spans="1:7" x14ac:dyDescent="0.2">
      <c r="A881" s="393"/>
      <c r="B881" s="393"/>
      <c r="C881" s="23"/>
      <c r="D881" s="23"/>
      <c r="E881" s="23"/>
      <c r="F881" s="23"/>
      <c r="G881" s="23"/>
    </row>
    <row r="882" spans="1:7" x14ac:dyDescent="0.2">
      <c r="A882" s="393"/>
      <c r="B882" s="393"/>
      <c r="C882" s="23"/>
      <c r="D882" s="23"/>
      <c r="E882" s="23"/>
      <c r="F882" s="23"/>
      <c r="G882" s="23"/>
    </row>
    <row r="883" spans="1:7" x14ac:dyDescent="0.2">
      <c r="A883" s="393"/>
      <c r="B883" s="393"/>
      <c r="C883" s="23"/>
      <c r="D883" s="23"/>
      <c r="E883" s="23"/>
      <c r="F883" s="23"/>
      <c r="G883" s="23"/>
    </row>
    <row r="884" spans="1:7" x14ac:dyDescent="0.2">
      <c r="A884" s="393"/>
      <c r="B884" s="393"/>
      <c r="C884" s="23"/>
      <c r="D884" s="23"/>
      <c r="E884" s="23"/>
      <c r="F884" s="23"/>
      <c r="G884" s="23"/>
    </row>
    <row r="885" spans="1:7" x14ac:dyDescent="0.2">
      <c r="A885" s="393"/>
      <c r="B885" s="393"/>
      <c r="C885" s="23"/>
      <c r="D885" s="23"/>
      <c r="E885" s="23"/>
      <c r="F885" s="23"/>
      <c r="G885" s="23"/>
    </row>
    <row r="886" spans="1:7" x14ac:dyDescent="0.2">
      <c r="A886" s="393"/>
      <c r="B886" s="393"/>
      <c r="C886" s="23"/>
      <c r="D886" s="23"/>
      <c r="E886" s="23"/>
      <c r="F886" s="23"/>
      <c r="G886" s="23"/>
    </row>
    <row r="887" spans="1:7" x14ac:dyDescent="0.2">
      <c r="A887" s="393"/>
      <c r="B887" s="393"/>
      <c r="C887" s="23"/>
      <c r="D887" s="23"/>
      <c r="E887" s="23"/>
      <c r="F887" s="23"/>
      <c r="G887" s="23"/>
    </row>
    <row r="888" spans="1:7" x14ac:dyDescent="0.2">
      <c r="A888" s="393"/>
      <c r="B888" s="393"/>
      <c r="C888" s="23"/>
      <c r="D888" s="23"/>
      <c r="E888" s="23"/>
      <c r="F888" s="23"/>
      <c r="G888" s="23"/>
    </row>
    <row r="889" spans="1:7" x14ac:dyDescent="0.2">
      <c r="A889" s="393"/>
      <c r="B889" s="393"/>
      <c r="C889" s="23"/>
      <c r="D889" s="23"/>
      <c r="E889" s="23"/>
      <c r="F889" s="23"/>
      <c r="G889" s="23"/>
    </row>
    <row r="890" spans="1:7" x14ac:dyDescent="0.2">
      <c r="A890" s="393"/>
      <c r="B890" s="393"/>
      <c r="C890" s="23"/>
      <c r="D890" s="23"/>
      <c r="E890" s="23"/>
      <c r="F890" s="23"/>
      <c r="G890" s="23"/>
    </row>
    <row r="891" spans="1:7" x14ac:dyDescent="0.2">
      <c r="A891" s="393"/>
      <c r="B891" s="393"/>
      <c r="C891" s="23"/>
      <c r="D891" s="23"/>
      <c r="E891" s="23"/>
      <c r="F891" s="23"/>
      <c r="G891" s="23"/>
    </row>
    <row r="892" spans="1:7" x14ac:dyDescent="0.2">
      <c r="A892" s="393"/>
      <c r="B892" s="393"/>
      <c r="C892" s="23"/>
      <c r="D892" s="23"/>
      <c r="E892" s="23"/>
      <c r="F892" s="23"/>
      <c r="G892" s="23"/>
    </row>
    <row r="893" spans="1:7" x14ac:dyDescent="0.2">
      <c r="A893" s="393"/>
      <c r="B893" s="393"/>
      <c r="C893" s="23"/>
      <c r="D893" s="23"/>
      <c r="E893" s="23"/>
      <c r="F893" s="23"/>
      <c r="G893" s="23"/>
    </row>
    <row r="894" spans="1:7" x14ac:dyDescent="0.2">
      <c r="A894" s="393"/>
      <c r="B894" s="393"/>
      <c r="C894" s="23"/>
      <c r="D894" s="23"/>
      <c r="E894" s="23"/>
      <c r="F894" s="23"/>
      <c r="G894" s="23"/>
    </row>
    <row r="895" spans="1:7" x14ac:dyDescent="0.2">
      <c r="A895" s="393"/>
      <c r="B895" s="393"/>
      <c r="C895" s="23"/>
      <c r="D895" s="23"/>
      <c r="E895" s="23"/>
      <c r="F895" s="23"/>
      <c r="G895" s="23"/>
    </row>
    <row r="896" spans="1:7" x14ac:dyDescent="0.2">
      <c r="A896" s="393"/>
      <c r="B896" s="393"/>
      <c r="C896" s="23"/>
      <c r="D896" s="23"/>
      <c r="E896" s="23"/>
      <c r="F896" s="23"/>
      <c r="G896" s="23"/>
    </row>
    <row r="897" spans="1:7" x14ac:dyDescent="0.2">
      <c r="A897" s="393"/>
      <c r="B897" s="393"/>
      <c r="C897" s="23"/>
      <c r="D897" s="23"/>
      <c r="E897" s="23"/>
      <c r="F897" s="23"/>
      <c r="G897" s="23"/>
    </row>
    <row r="898" spans="1:7" x14ac:dyDescent="0.2">
      <c r="A898" s="393"/>
      <c r="B898" s="393"/>
      <c r="C898" s="23"/>
      <c r="D898" s="23"/>
      <c r="E898" s="23"/>
      <c r="F898" s="23"/>
      <c r="G898" s="23"/>
    </row>
    <row r="899" spans="1:7" x14ac:dyDescent="0.2">
      <c r="A899" s="393"/>
      <c r="B899" s="393"/>
      <c r="C899" s="23"/>
      <c r="D899" s="23"/>
      <c r="E899" s="23"/>
      <c r="F899" s="23"/>
      <c r="G899" s="23"/>
    </row>
    <row r="900" spans="1:7" x14ac:dyDescent="0.2">
      <c r="A900" s="393"/>
      <c r="B900" s="393"/>
      <c r="C900" s="23"/>
      <c r="D900" s="23"/>
      <c r="E900" s="23"/>
      <c r="F900" s="23"/>
      <c r="G900" s="23"/>
    </row>
    <row r="901" spans="1:7" x14ac:dyDescent="0.2">
      <c r="A901" s="393"/>
      <c r="B901" s="393"/>
      <c r="C901" s="23"/>
      <c r="D901" s="23"/>
      <c r="E901" s="23"/>
      <c r="F901" s="23"/>
      <c r="G901" s="23"/>
    </row>
    <row r="902" spans="1:7" x14ac:dyDescent="0.2">
      <c r="A902" s="393"/>
      <c r="B902" s="393"/>
      <c r="C902" s="23"/>
      <c r="D902" s="23"/>
      <c r="E902" s="23"/>
      <c r="F902" s="23"/>
      <c r="G902" s="23"/>
    </row>
    <row r="903" spans="1:7" x14ac:dyDescent="0.2">
      <c r="A903" s="393"/>
      <c r="B903" s="393"/>
      <c r="C903" s="23"/>
      <c r="D903" s="23"/>
      <c r="E903" s="23"/>
      <c r="F903" s="23"/>
      <c r="G903" s="23"/>
    </row>
    <row r="904" spans="1:7" x14ac:dyDescent="0.2">
      <c r="A904" s="393"/>
      <c r="B904" s="393"/>
      <c r="C904" s="23"/>
      <c r="D904" s="23"/>
      <c r="E904" s="23"/>
      <c r="F904" s="23"/>
      <c r="G904" s="23"/>
    </row>
    <row r="905" spans="1:7" x14ac:dyDescent="0.2">
      <c r="A905" s="393"/>
      <c r="B905" s="393"/>
      <c r="C905" s="23"/>
      <c r="D905" s="23"/>
      <c r="E905" s="23"/>
      <c r="F905" s="23"/>
      <c r="G905" s="23"/>
    </row>
    <row r="906" spans="1:7" x14ac:dyDescent="0.2">
      <c r="A906" s="393"/>
      <c r="B906" s="393"/>
      <c r="C906" s="23"/>
      <c r="D906" s="23"/>
      <c r="E906" s="23"/>
      <c r="F906" s="23"/>
      <c r="G906" s="23"/>
    </row>
    <row r="907" spans="1:7" x14ac:dyDescent="0.2">
      <c r="A907" s="393"/>
      <c r="B907" s="393"/>
      <c r="C907" s="23"/>
      <c r="D907" s="23"/>
      <c r="E907" s="23"/>
      <c r="F907" s="23"/>
      <c r="G907" s="23"/>
    </row>
    <row r="908" spans="1:7" x14ac:dyDescent="0.2">
      <c r="A908" s="393"/>
      <c r="B908" s="393"/>
      <c r="C908" s="23"/>
      <c r="D908" s="23"/>
      <c r="E908" s="23"/>
      <c r="F908" s="23"/>
      <c r="G908" s="23"/>
    </row>
    <row r="909" spans="1:7" x14ac:dyDescent="0.2">
      <c r="A909" s="393"/>
      <c r="B909" s="393"/>
      <c r="C909" s="23"/>
      <c r="D909" s="23"/>
      <c r="E909" s="23"/>
      <c r="F909" s="23"/>
      <c r="G909" s="23"/>
    </row>
    <row r="910" spans="1:7" x14ac:dyDescent="0.2">
      <c r="A910" s="393"/>
      <c r="B910" s="393"/>
      <c r="C910" s="23"/>
      <c r="D910" s="23"/>
      <c r="E910" s="23"/>
      <c r="F910" s="23"/>
      <c r="G910" s="23"/>
    </row>
    <row r="911" spans="1:7" x14ac:dyDescent="0.2">
      <c r="A911" s="393"/>
      <c r="B911" s="393"/>
      <c r="C911" s="23"/>
      <c r="D911" s="23"/>
      <c r="E911" s="23"/>
      <c r="F911" s="23"/>
      <c r="G911" s="23"/>
    </row>
    <row r="912" spans="1:7" x14ac:dyDescent="0.2">
      <c r="A912" s="393"/>
      <c r="B912" s="393"/>
      <c r="C912" s="23"/>
      <c r="D912" s="23"/>
      <c r="E912" s="23"/>
      <c r="F912" s="23"/>
      <c r="G912" s="23"/>
    </row>
    <row r="913" spans="1:7" x14ac:dyDescent="0.2">
      <c r="A913" s="393"/>
      <c r="B913" s="393"/>
      <c r="C913" s="23"/>
      <c r="D913" s="23"/>
      <c r="E913" s="23"/>
      <c r="F913" s="23"/>
      <c r="G913" s="23"/>
    </row>
    <row r="914" spans="1:7" x14ac:dyDescent="0.2">
      <c r="A914" s="393"/>
      <c r="B914" s="393"/>
      <c r="C914" s="23"/>
      <c r="D914" s="23"/>
      <c r="E914" s="23"/>
      <c r="F914" s="23"/>
      <c r="G914" s="23"/>
    </row>
    <row r="915" spans="1:7" x14ac:dyDescent="0.2">
      <c r="A915" s="393"/>
      <c r="B915" s="393"/>
      <c r="C915" s="23"/>
      <c r="D915" s="23"/>
      <c r="E915" s="23"/>
      <c r="F915" s="23"/>
      <c r="G915" s="23"/>
    </row>
    <row r="916" spans="1:7" x14ac:dyDescent="0.2">
      <c r="A916" s="393"/>
      <c r="B916" s="393"/>
      <c r="C916" s="23"/>
      <c r="D916" s="23"/>
      <c r="E916" s="23"/>
      <c r="F916" s="23"/>
      <c r="G916" s="23"/>
    </row>
    <row r="917" spans="1:7" x14ac:dyDescent="0.2">
      <c r="A917" s="393"/>
      <c r="B917" s="393"/>
      <c r="C917" s="23"/>
      <c r="D917" s="23"/>
      <c r="E917" s="23"/>
      <c r="F917" s="23"/>
      <c r="G917" s="23"/>
    </row>
    <row r="918" spans="1:7" x14ac:dyDescent="0.2">
      <c r="A918" s="393"/>
      <c r="B918" s="393"/>
      <c r="C918" s="23"/>
      <c r="D918" s="23"/>
      <c r="E918" s="23"/>
      <c r="F918" s="23"/>
      <c r="G918" s="23"/>
    </row>
    <row r="919" spans="1:7" x14ac:dyDescent="0.2">
      <c r="A919" s="393"/>
      <c r="B919" s="393"/>
      <c r="C919" s="23"/>
      <c r="D919" s="23"/>
      <c r="E919" s="23"/>
      <c r="F919" s="23"/>
      <c r="G919" s="23"/>
    </row>
    <row r="920" spans="1:7" x14ac:dyDescent="0.2">
      <c r="A920" s="393"/>
      <c r="B920" s="393"/>
      <c r="C920" s="23"/>
      <c r="D920" s="23"/>
      <c r="E920" s="23"/>
      <c r="F920" s="23"/>
      <c r="G920" s="23"/>
    </row>
    <row r="921" spans="1:7" x14ac:dyDescent="0.2">
      <c r="A921" s="393"/>
      <c r="B921" s="393"/>
      <c r="C921" s="23"/>
      <c r="D921" s="23"/>
      <c r="E921" s="23"/>
      <c r="F921" s="23"/>
      <c r="G921" s="23"/>
    </row>
    <row r="922" spans="1:7" x14ac:dyDescent="0.2">
      <c r="A922" s="393"/>
      <c r="B922" s="393"/>
      <c r="C922" s="23"/>
      <c r="D922" s="23"/>
      <c r="E922" s="23"/>
      <c r="F922" s="23"/>
      <c r="G922" s="23"/>
    </row>
    <row r="923" spans="1:7" x14ac:dyDescent="0.2">
      <c r="A923" s="393"/>
      <c r="B923" s="393"/>
      <c r="C923" s="23"/>
      <c r="D923" s="23"/>
      <c r="E923" s="23"/>
      <c r="F923" s="23"/>
      <c r="G923" s="23"/>
    </row>
    <row r="924" spans="1:7" x14ac:dyDescent="0.2">
      <c r="A924" s="393"/>
      <c r="B924" s="393"/>
      <c r="C924" s="23"/>
      <c r="D924" s="23"/>
      <c r="E924" s="23"/>
      <c r="F924" s="23"/>
      <c r="G924" s="23"/>
    </row>
    <row r="925" spans="1:7" x14ac:dyDescent="0.2">
      <c r="A925" s="393"/>
      <c r="B925" s="393"/>
      <c r="C925" s="23"/>
      <c r="D925" s="23"/>
      <c r="E925" s="23"/>
      <c r="F925" s="23"/>
      <c r="G925" s="23"/>
    </row>
    <row r="926" spans="1:7" x14ac:dyDescent="0.2">
      <c r="A926" s="393"/>
      <c r="B926" s="393"/>
      <c r="C926" s="23"/>
      <c r="D926" s="23"/>
      <c r="E926" s="23"/>
      <c r="F926" s="23"/>
      <c r="G926" s="23"/>
    </row>
    <row r="927" spans="1:7" x14ac:dyDescent="0.2">
      <c r="A927" s="393"/>
      <c r="B927" s="393"/>
      <c r="C927" s="23"/>
      <c r="D927" s="23"/>
      <c r="E927" s="23"/>
      <c r="F927" s="23"/>
      <c r="G927" s="23"/>
    </row>
    <row r="928" spans="1:7" x14ac:dyDescent="0.2">
      <c r="A928" s="393"/>
      <c r="B928" s="393"/>
      <c r="C928" s="23"/>
      <c r="D928" s="23"/>
      <c r="E928" s="23"/>
      <c r="F928" s="23"/>
      <c r="G928" s="23"/>
    </row>
    <row r="929" spans="1:7" x14ac:dyDescent="0.2">
      <c r="A929" s="393"/>
      <c r="B929" s="393"/>
      <c r="C929" s="23"/>
      <c r="D929" s="23"/>
      <c r="E929" s="23"/>
      <c r="F929" s="23"/>
      <c r="G929" s="23"/>
    </row>
    <row r="930" spans="1:7" x14ac:dyDescent="0.2">
      <c r="A930" s="393"/>
      <c r="B930" s="393"/>
      <c r="C930" s="23"/>
      <c r="D930" s="23"/>
      <c r="E930" s="23"/>
      <c r="F930" s="23"/>
      <c r="G930" s="23"/>
    </row>
    <row r="931" spans="1:7" x14ac:dyDescent="0.2">
      <c r="A931" s="393"/>
      <c r="B931" s="393"/>
      <c r="C931" s="23"/>
      <c r="D931" s="23"/>
      <c r="E931" s="23"/>
      <c r="F931" s="23"/>
      <c r="G931" s="23"/>
    </row>
    <row r="932" spans="1:7" x14ac:dyDescent="0.2">
      <c r="A932" s="393"/>
      <c r="B932" s="393"/>
      <c r="C932" s="23"/>
      <c r="D932" s="23"/>
      <c r="E932" s="23"/>
      <c r="F932" s="23"/>
      <c r="G932" s="23"/>
    </row>
    <row r="933" spans="1:7" x14ac:dyDescent="0.2">
      <c r="A933" s="393"/>
      <c r="B933" s="393"/>
      <c r="C933" s="23"/>
      <c r="D933" s="23"/>
      <c r="E933" s="23"/>
      <c r="F933" s="23"/>
      <c r="G933" s="23"/>
    </row>
    <row r="934" spans="1:7" x14ac:dyDescent="0.2">
      <c r="A934" s="393"/>
      <c r="B934" s="393"/>
      <c r="C934" s="23"/>
      <c r="D934" s="23"/>
      <c r="E934" s="23"/>
      <c r="F934" s="23"/>
      <c r="G934" s="23"/>
    </row>
    <row r="935" spans="1:7" x14ac:dyDescent="0.2">
      <c r="A935" s="393"/>
      <c r="B935" s="393"/>
      <c r="C935" s="23"/>
      <c r="D935" s="23"/>
      <c r="E935" s="23"/>
      <c r="F935" s="23"/>
      <c r="G935" s="23"/>
    </row>
    <row r="936" spans="1:7" x14ac:dyDescent="0.2">
      <c r="A936" s="393"/>
      <c r="B936" s="393"/>
      <c r="C936" s="23"/>
      <c r="D936" s="23"/>
      <c r="E936" s="23"/>
      <c r="F936" s="23"/>
      <c r="G936" s="23"/>
    </row>
    <row r="937" spans="1:7" x14ac:dyDescent="0.2">
      <c r="A937" s="393"/>
      <c r="B937" s="393"/>
      <c r="C937" s="23"/>
      <c r="D937" s="23"/>
      <c r="E937" s="23"/>
      <c r="F937" s="23"/>
      <c r="G937" s="23"/>
    </row>
    <row r="938" spans="1:7" x14ac:dyDescent="0.2">
      <c r="A938" s="393"/>
      <c r="B938" s="393"/>
      <c r="C938" s="23"/>
      <c r="D938" s="23"/>
      <c r="E938" s="23"/>
      <c r="F938" s="23"/>
      <c r="G938" s="23"/>
    </row>
    <row r="939" spans="1:7" x14ac:dyDescent="0.2">
      <c r="A939" s="393"/>
      <c r="B939" s="393"/>
      <c r="C939" s="23"/>
      <c r="D939" s="23"/>
      <c r="E939" s="23"/>
      <c r="F939" s="23"/>
      <c r="G939" s="23"/>
    </row>
    <row r="940" spans="1:7" x14ac:dyDescent="0.2">
      <c r="A940" s="393"/>
      <c r="B940" s="393"/>
      <c r="C940" s="23"/>
      <c r="D940" s="23"/>
      <c r="E940" s="23"/>
      <c r="F940" s="23"/>
      <c r="G940" s="23"/>
    </row>
    <row r="941" spans="1:7" x14ac:dyDescent="0.2">
      <c r="A941" s="393"/>
      <c r="B941" s="393"/>
      <c r="C941" s="23"/>
      <c r="D941" s="23"/>
      <c r="E941" s="23"/>
      <c r="F941" s="23"/>
      <c r="G941" s="23"/>
    </row>
    <row r="942" spans="1:7" x14ac:dyDescent="0.2">
      <c r="A942" s="393"/>
      <c r="B942" s="393"/>
      <c r="C942" s="23"/>
      <c r="D942" s="23"/>
      <c r="E942" s="23"/>
      <c r="F942" s="23"/>
      <c r="G942" s="23"/>
    </row>
    <row r="943" spans="1:7" x14ac:dyDescent="0.2">
      <c r="A943" s="393"/>
      <c r="B943" s="393"/>
      <c r="C943" s="23"/>
      <c r="D943" s="23"/>
      <c r="E943" s="23"/>
      <c r="F943" s="23"/>
      <c r="G943" s="23"/>
    </row>
    <row r="944" spans="1:7" x14ac:dyDescent="0.2">
      <c r="A944" s="393"/>
      <c r="B944" s="393"/>
      <c r="C944" s="23"/>
      <c r="D944" s="23"/>
      <c r="E944" s="23"/>
      <c r="F944" s="23"/>
      <c r="G944" s="23"/>
    </row>
    <row r="945" spans="1:7" x14ac:dyDescent="0.2">
      <c r="A945" s="393"/>
      <c r="B945" s="393"/>
      <c r="C945" s="23"/>
      <c r="D945" s="23"/>
      <c r="E945" s="23"/>
      <c r="F945" s="23"/>
      <c r="G945" s="23"/>
    </row>
    <row r="946" spans="1:7" x14ac:dyDescent="0.2">
      <c r="A946" s="393"/>
      <c r="B946" s="393"/>
      <c r="C946" s="23"/>
      <c r="D946" s="23"/>
      <c r="E946" s="23"/>
      <c r="F946" s="23"/>
      <c r="G946" s="23"/>
    </row>
    <row r="947" spans="1:7" x14ac:dyDescent="0.2">
      <c r="A947" s="393"/>
      <c r="B947" s="393"/>
      <c r="C947" s="23"/>
      <c r="D947" s="23"/>
      <c r="E947" s="23"/>
      <c r="F947" s="23"/>
      <c r="G947" s="23"/>
    </row>
    <row r="948" spans="1:7" x14ac:dyDescent="0.2">
      <c r="A948" s="393"/>
      <c r="B948" s="393"/>
      <c r="C948" s="23"/>
      <c r="D948" s="23"/>
      <c r="E948" s="23"/>
      <c r="F948" s="23"/>
      <c r="G948" s="23"/>
    </row>
    <row r="949" spans="1:7" x14ac:dyDescent="0.2">
      <c r="A949" s="393"/>
      <c r="B949" s="393"/>
      <c r="C949" s="23"/>
      <c r="D949" s="23"/>
      <c r="E949" s="23"/>
      <c r="F949" s="23"/>
      <c r="G949" s="23"/>
    </row>
    <row r="950" spans="1:7" x14ac:dyDescent="0.2">
      <c r="A950" s="393"/>
      <c r="B950" s="393"/>
      <c r="C950" s="23"/>
      <c r="D950" s="23"/>
      <c r="E950" s="23"/>
      <c r="F950" s="23"/>
      <c r="G950" s="23"/>
    </row>
    <row r="951" spans="1:7" x14ac:dyDescent="0.2">
      <c r="A951" s="393"/>
      <c r="B951" s="393"/>
      <c r="C951" s="23"/>
      <c r="D951" s="23"/>
      <c r="E951" s="23"/>
      <c r="F951" s="23"/>
      <c r="G951" s="23"/>
    </row>
    <row r="952" spans="1:7" x14ac:dyDescent="0.2">
      <c r="A952" s="393"/>
      <c r="B952" s="393"/>
      <c r="C952" s="23"/>
      <c r="D952" s="23"/>
      <c r="E952" s="23"/>
      <c r="F952" s="23"/>
      <c r="G952" s="23"/>
    </row>
    <row r="953" spans="1:7" x14ac:dyDescent="0.2">
      <c r="A953" s="393"/>
      <c r="B953" s="393"/>
      <c r="C953" s="23"/>
      <c r="D953" s="23"/>
      <c r="E953" s="23"/>
      <c r="F953" s="23"/>
      <c r="G953" s="23"/>
    </row>
    <row r="954" spans="1:7" x14ac:dyDescent="0.2">
      <c r="A954" s="393"/>
      <c r="B954" s="393"/>
      <c r="C954" s="23"/>
      <c r="D954" s="23"/>
      <c r="E954" s="23"/>
      <c r="F954" s="23"/>
      <c r="G954" s="23"/>
    </row>
    <row r="955" spans="1:7" x14ac:dyDescent="0.2">
      <c r="A955" s="393"/>
      <c r="B955" s="393"/>
      <c r="C955" s="23"/>
      <c r="D955" s="23"/>
      <c r="E955" s="23"/>
      <c r="F955" s="23"/>
      <c r="G955" s="23"/>
    </row>
    <row r="956" spans="1:7" x14ac:dyDescent="0.2">
      <c r="A956" s="393"/>
      <c r="B956" s="393"/>
      <c r="C956" s="23"/>
      <c r="D956" s="23"/>
      <c r="E956" s="23"/>
      <c r="F956" s="23"/>
      <c r="G956" s="23"/>
    </row>
    <row r="957" spans="1:7" x14ac:dyDescent="0.2">
      <c r="A957" s="393"/>
      <c r="B957" s="393"/>
      <c r="C957" s="23"/>
      <c r="D957" s="23"/>
      <c r="E957" s="23"/>
      <c r="F957" s="23"/>
      <c r="G957" s="23"/>
    </row>
    <row r="958" spans="1:7" x14ac:dyDescent="0.2">
      <c r="A958" s="393"/>
      <c r="B958" s="393"/>
      <c r="C958" s="23"/>
      <c r="D958" s="23"/>
      <c r="E958" s="23"/>
      <c r="F958" s="23"/>
      <c r="G958" s="23"/>
    </row>
    <row r="959" spans="1:7" x14ac:dyDescent="0.2">
      <c r="A959" s="393"/>
      <c r="B959" s="393"/>
      <c r="C959" s="23"/>
      <c r="D959" s="23"/>
      <c r="E959" s="23"/>
      <c r="F959" s="23"/>
      <c r="G959" s="23"/>
    </row>
    <row r="960" spans="1:7" x14ac:dyDescent="0.2">
      <c r="A960" s="393"/>
      <c r="B960" s="393"/>
      <c r="C960" s="23"/>
      <c r="D960" s="23"/>
      <c r="E960" s="23"/>
      <c r="F960" s="23"/>
      <c r="G960" s="23"/>
    </row>
    <row r="961" spans="1:7" x14ac:dyDescent="0.2">
      <c r="A961" s="393"/>
      <c r="B961" s="393"/>
      <c r="C961" s="23"/>
      <c r="D961" s="23"/>
      <c r="E961" s="23"/>
      <c r="F961" s="23"/>
      <c r="G961" s="23"/>
    </row>
    <row r="962" spans="1:7" x14ac:dyDescent="0.2">
      <c r="A962" s="393"/>
      <c r="B962" s="393"/>
      <c r="C962" s="23"/>
      <c r="D962" s="23"/>
      <c r="E962" s="23"/>
      <c r="F962" s="23"/>
      <c r="G962" s="23"/>
    </row>
    <row r="963" spans="1:7" x14ac:dyDescent="0.2">
      <c r="A963" s="393"/>
      <c r="B963" s="393"/>
      <c r="C963" s="23"/>
      <c r="D963" s="23"/>
      <c r="E963" s="23"/>
      <c r="F963" s="23"/>
      <c r="G963" s="23"/>
    </row>
    <row r="964" spans="1:7" x14ac:dyDescent="0.2">
      <c r="A964" s="393"/>
      <c r="B964" s="393"/>
      <c r="C964" s="23"/>
      <c r="D964" s="23"/>
      <c r="E964" s="23"/>
      <c r="F964" s="23"/>
      <c r="G964" s="23"/>
    </row>
    <row r="965" spans="1:7" x14ac:dyDescent="0.2">
      <c r="A965" s="393"/>
      <c r="B965" s="393"/>
      <c r="C965" s="23"/>
      <c r="D965" s="23"/>
      <c r="E965" s="23"/>
      <c r="F965" s="23"/>
      <c r="G965" s="23"/>
    </row>
    <row r="966" spans="1:7" x14ac:dyDescent="0.2">
      <c r="A966" s="393"/>
      <c r="B966" s="393"/>
      <c r="C966" s="23"/>
      <c r="D966" s="23"/>
      <c r="E966" s="23"/>
      <c r="F966" s="23"/>
      <c r="G966" s="23"/>
    </row>
    <row r="967" spans="1:7" x14ac:dyDescent="0.2">
      <c r="A967" s="393"/>
      <c r="B967" s="393"/>
      <c r="C967" s="23"/>
      <c r="D967" s="23"/>
      <c r="E967" s="23"/>
      <c r="F967" s="23"/>
      <c r="G967" s="23"/>
    </row>
    <row r="968" spans="1:7" x14ac:dyDescent="0.2">
      <c r="A968" s="393"/>
      <c r="B968" s="393"/>
      <c r="C968" s="23"/>
      <c r="D968" s="23"/>
      <c r="E968" s="23"/>
      <c r="F968" s="23"/>
      <c r="G968" s="23"/>
    </row>
    <row r="969" spans="1:7" x14ac:dyDescent="0.2">
      <c r="A969" s="393"/>
      <c r="B969" s="393"/>
      <c r="C969" s="23"/>
      <c r="D969" s="23"/>
      <c r="E969" s="23"/>
      <c r="F969" s="23"/>
      <c r="G969" s="23"/>
    </row>
    <row r="970" spans="1:7" x14ac:dyDescent="0.2">
      <c r="A970" s="393"/>
      <c r="B970" s="393"/>
      <c r="C970" s="23"/>
      <c r="D970" s="23"/>
      <c r="E970" s="23"/>
      <c r="F970" s="23"/>
      <c r="G970" s="23"/>
    </row>
    <row r="971" spans="1:7" x14ac:dyDescent="0.2">
      <c r="A971" s="393"/>
      <c r="B971" s="393"/>
      <c r="C971" s="23"/>
      <c r="D971" s="23"/>
      <c r="E971" s="23"/>
      <c r="F971" s="23"/>
      <c r="G971" s="23"/>
    </row>
    <row r="972" spans="1:7" x14ac:dyDescent="0.2">
      <c r="A972" s="393"/>
      <c r="B972" s="393"/>
      <c r="C972" s="23"/>
      <c r="D972" s="23"/>
      <c r="E972" s="23"/>
      <c r="F972" s="23"/>
      <c r="G972" s="23"/>
    </row>
    <row r="973" spans="1:7" x14ac:dyDescent="0.2">
      <c r="A973" s="393"/>
      <c r="B973" s="393"/>
      <c r="C973" s="23"/>
      <c r="D973" s="23"/>
      <c r="E973" s="23"/>
      <c r="F973" s="23"/>
      <c r="G973" s="23"/>
    </row>
    <row r="974" spans="1:7" x14ac:dyDescent="0.2">
      <c r="A974" s="393"/>
      <c r="B974" s="393"/>
      <c r="C974" s="23"/>
      <c r="D974" s="23"/>
      <c r="E974" s="23"/>
      <c r="F974" s="23"/>
      <c r="G974" s="23"/>
    </row>
    <row r="975" spans="1:7" x14ac:dyDescent="0.2">
      <c r="A975" s="393"/>
      <c r="B975" s="393"/>
      <c r="C975" s="23"/>
      <c r="D975" s="23"/>
      <c r="E975" s="23"/>
      <c r="F975" s="23"/>
      <c r="G975" s="23"/>
    </row>
    <row r="976" spans="1:7" x14ac:dyDescent="0.2">
      <c r="A976" s="393"/>
      <c r="B976" s="393"/>
      <c r="C976" s="23"/>
      <c r="D976" s="23"/>
      <c r="E976" s="23"/>
      <c r="F976" s="23"/>
      <c r="G976" s="23"/>
    </row>
    <row r="977" spans="1:7" x14ac:dyDescent="0.2">
      <c r="A977" s="393"/>
      <c r="B977" s="393"/>
      <c r="C977" s="23"/>
      <c r="D977" s="23"/>
      <c r="E977" s="23"/>
      <c r="F977" s="23"/>
      <c r="G977" s="23"/>
    </row>
    <row r="978" spans="1:7" x14ac:dyDescent="0.2">
      <c r="A978" s="393"/>
      <c r="B978" s="393"/>
      <c r="C978" s="23"/>
      <c r="D978" s="23"/>
      <c r="E978" s="23"/>
      <c r="F978" s="23"/>
      <c r="G978" s="23"/>
    </row>
    <row r="979" spans="1:7" x14ac:dyDescent="0.2">
      <c r="A979" s="393"/>
      <c r="B979" s="393"/>
      <c r="C979" s="23"/>
      <c r="D979" s="23"/>
      <c r="E979" s="23"/>
      <c r="F979" s="23"/>
      <c r="G979" s="23"/>
    </row>
    <row r="980" spans="1:7" x14ac:dyDescent="0.2">
      <c r="A980" s="393"/>
      <c r="B980" s="393"/>
      <c r="C980" s="23"/>
      <c r="D980" s="23"/>
      <c r="E980" s="23"/>
      <c r="F980" s="23"/>
      <c r="G980" s="23"/>
    </row>
    <row r="981" spans="1:7" x14ac:dyDescent="0.2">
      <c r="A981" s="393"/>
      <c r="B981" s="393"/>
      <c r="C981" s="23"/>
      <c r="D981" s="23"/>
      <c r="E981" s="23"/>
      <c r="F981" s="23"/>
      <c r="G981" s="23"/>
    </row>
    <row r="982" spans="1:7" x14ac:dyDescent="0.2">
      <c r="A982" s="393"/>
      <c r="B982" s="393"/>
      <c r="C982" s="23"/>
      <c r="D982" s="23"/>
      <c r="E982" s="23"/>
      <c r="F982" s="23"/>
      <c r="G982" s="23"/>
    </row>
    <row r="983" spans="1:7" x14ac:dyDescent="0.2">
      <c r="A983" s="393"/>
      <c r="B983" s="393"/>
      <c r="C983" s="23"/>
      <c r="D983" s="23"/>
      <c r="E983" s="23"/>
      <c r="F983" s="23"/>
      <c r="G983" s="23"/>
    </row>
    <row r="984" spans="1:7" x14ac:dyDescent="0.2">
      <c r="A984" s="393"/>
      <c r="B984" s="393"/>
      <c r="C984" s="23"/>
      <c r="D984" s="23"/>
      <c r="E984" s="23"/>
      <c r="F984" s="23"/>
      <c r="G984" s="23"/>
    </row>
    <row r="985" spans="1:7" x14ac:dyDescent="0.2">
      <c r="A985" s="393"/>
      <c r="B985" s="393"/>
      <c r="C985" s="23"/>
      <c r="D985" s="23"/>
      <c r="E985" s="23"/>
      <c r="F985" s="23"/>
      <c r="G985" s="23"/>
    </row>
    <row r="986" spans="1:7" x14ac:dyDescent="0.2">
      <c r="A986" s="393"/>
      <c r="B986" s="393"/>
      <c r="C986" s="23"/>
      <c r="D986" s="23"/>
      <c r="E986" s="23"/>
      <c r="F986" s="23"/>
      <c r="G986" s="23"/>
    </row>
    <row r="987" spans="1:7" x14ac:dyDescent="0.2">
      <c r="A987" s="393"/>
      <c r="B987" s="393"/>
      <c r="C987" s="23"/>
      <c r="D987" s="23"/>
      <c r="E987" s="23"/>
      <c r="F987" s="23"/>
      <c r="G987" s="23"/>
    </row>
    <row r="988" spans="1:7" x14ac:dyDescent="0.2">
      <c r="A988" s="393"/>
      <c r="B988" s="393"/>
      <c r="C988" s="23"/>
      <c r="D988" s="23"/>
      <c r="E988" s="23"/>
      <c r="F988" s="23"/>
      <c r="G988" s="23"/>
    </row>
    <row r="989" spans="1:7" x14ac:dyDescent="0.2">
      <c r="A989" s="393"/>
      <c r="B989" s="393"/>
      <c r="C989" s="23"/>
      <c r="D989" s="23"/>
      <c r="E989" s="23"/>
      <c r="F989" s="23"/>
      <c r="G989" s="23"/>
    </row>
    <row r="990" spans="1:7" x14ac:dyDescent="0.2">
      <c r="A990" s="393"/>
      <c r="B990" s="393"/>
      <c r="C990" s="23"/>
      <c r="D990" s="23"/>
      <c r="E990" s="23"/>
      <c r="F990" s="23"/>
      <c r="G990" s="23"/>
    </row>
    <row r="991" spans="1:7" x14ac:dyDescent="0.2">
      <c r="A991" s="393"/>
      <c r="B991" s="393"/>
      <c r="C991" s="23"/>
      <c r="D991" s="23"/>
      <c r="E991" s="23"/>
      <c r="F991" s="23"/>
      <c r="G991" s="23"/>
    </row>
    <row r="992" spans="1:7" x14ac:dyDescent="0.2">
      <c r="A992" s="393"/>
      <c r="B992" s="393"/>
      <c r="C992" s="23"/>
      <c r="D992" s="23"/>
      <c r="E992" s="23"/>
      <c r="F992" s="23"/>
      <c r="G992" s="23"/>
    </row>
    <row r="993" spans="1:7" x14ac:dyDescent="0.2">
      <c r="A993" s="393"/>
      <c r="B993" s="393"/>
      <c r="C993" s="23"/>
      <c r="D993" s="23"/>
      <c r="E993" s="23"/>
      <c r="F993" s="23"/>
      <c r="G993" s="23"/>
    </row>
    <row r="994" spans="1:7" x14ac:dyDescent="0.2">
      <c r="A994" s="393"/>
      <c r="B994" s="393"/>
      <c r="C994" s="23"/>
      <c r="D994" s="23"/>
      <c r="E994" s="23"/>
      <c r="F994" s="23"/>
      <c r="G994" s="23"/>
    </row>
    <row r="995" spans="1:7" x14ac:dyDescent="0.2">
      <c r="A995" s="393"/>
      <c r="B995" s="393"/>
      <c r="C995" s="23"/>
      <c r="D995" s="23"/>
      <c r="E995" s="23"/>
      <c r="F995" s="23"/>
      <c r="G995" s="23"/>
    </row>
    <row r="996" spans="1:7" x14ac:dyDescent="0.2">
      <c r="A996" s="393"/>
      <c r="B996" s="393"/>
      <c r="C996" s="23"/>
      <c r="D996" s="23"/>
      <c r="E996" s="23"/>
      <c r="F996" s="23"/>
      <c r="G996" s="23"/>
    </row>
    <row r="997" spans="1:7" x14ac:dyDescent="0.2">
      <c r="A997" s="393"/>
      <c r="B997" s="393"/>
      <c r="C997" s="23"/>
      <c r="D997" s="23"/>
      <c r="E997" s="23"/>
      <c r="F997" s="23"/>
      <c r="G997" s="23"/>
    </row>
    <row r="998" spans="1:7" x14ac:dyDescent="0.2">
      <c r="A998" s="393"/>
      <c r="B998" s="393"/>
      <c r="C998" s="23"/>
      <c r="D998" s="23"/>
      <c r="E998" s="23"/>
      <c r="F998" s="23"/>
      <c r="G998" s="23"/>
    </row>
  </sheetData>
  <mergeCells count="1">
    <mergeCell ref="A1:G1"/>
  </mergeCells>
  <hyperlinks>
    <hyperlink ref="D19" r:id="rId1" xr:uid="{00000000-0004-0000-1A00-000000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F2"/>
  <sheetViews>
    <sheetView workbookViewId="0"/>
  </sheetViews>
  <sheetFormatPr defaultColWidth="11.21875" defaultRowHeight="15" customHeight="1" x14ac:dyDescent="0.2"/>
  <cols>
    <col min="5" max="5" width="14.0546875" customWidth="1"/>
  </cols>
  <sheetData>
    <row r="1" spans="1:6" x14ac:dyDescent="0.2">
      <c r="A1" s="512" t="s">
        <v>2021</v>
      </c>
      <c r="B1" s="512" t="s">
        <v>2022</v>
      </c>
      <c r="C1" s="512" t="s">
        <v>1062</v>
      </c>
      <c r="D1" s="512" t="s">
        <v>2023</v>
      </c>
      <c r="E1" s="512" t="s">
        <v>2024</v>
      </c>
      <c r="F1" s="512" t="s">
        <v>2025</v>
      </c>
    </row>
    <row r="2" spans="1:6" x14ac:dyDescent="0.2">
      <c r="A2" s="93" t="s">
        <v>1113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"/>
  <sheetViews>
    <sheetView workbookViewId="0"/>
  </sheetViews>
  <sheetFormatPr defaultColWidth="11.21875" defaultRowHeight="15" customHeight="1" x14ac:dyDescent="0.2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S989"/>
  <sheetViews>
    <sheetView workbookViewId="0">
      <pane xSplit="1" ySplit="2" topLeftCell="B3" activePane="bottomRight" state="frozen"/>
      <selection pane="bottomLeft" activeCell="A3" sqref="A3"/>
      <selection pane="topRight" activeCell="B1" sqref="B1"/>
      <selection pane="bottomRight" activeCell="B3" sqref="B3"/>
    </sheetView>
  </sheetViews>
  <sheetFormatPr defaultColWidth="11.21875" defaultRowHeight="15" customHeight="1" x14ac:dyDescent="0.2"/>
  <cols>
    <col min="1" max="1" width="14.1796875" customWidth="1"/>
    <col min="3" max="9" width="4.3125" customWidth="1"/>
    <col min="10" max="19" width="7.51953125" customWidth="1"/>
  </cols>
  <sheetData>
    <row r="1" spans="1:19" x14ac:dyDescent="0.2">
      <c r="A1" s="37"/>
      <c r="B1" s="532" t="s">
        <v>1957</v>
      </c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  <c r="O1" s="533"/>
      <c r="P1" s="533"/>
      <c r="Q1" s="533"/>
      <c r="R1" s="533"/>
      <c r="S1" s="533"/>
    </row>
    <row r="2" spans="1:19" x14ac:dyDescent="0.2">
      <c r="A2" s="38"/>
      <c r="B2" s="39"/>
      <c r="C2" s="40"/>
      <c r="D2" s="40"/>
      <c r="E2" s="40"/>
      <c r="F2" s="40"/>
      <c r="G2" s="40"/>
      <c r="H2" s="40"/>
      <c r="I2" s="40"/>
      <c r="J2" s="41" t="s">
        <v>149</v>
      </c>
      <c r="K2" s="42" t="s">
        <v>150</v>
      </c>
      <c r="L2" s="43" t="s">
        <v>151</v>
      </c>
      <c r="M2" s="43" t="s">
        <v>152</v>
      </c>
      <c r="N2" s="44" t="s">
        <v>153</v>
      </c>
      <c r="O2" s="45" t="s">
        <v>149</v>
      </c>
      <c r="P2" s="46" t="s">
        <v>150</v>
      </c>
      <c r="Q2" s="46" t="s">
        <v>151</v>
      </c>
      <c r="R2" s="46" t="s">
        <v>152</v>
      </c>
      <c r="S2" s="47" t="s">
        <v>153</v>
      </c>
    </row>
    <row r="3" spans="1:19" ht="15" customHeight="1" x14ac:dyDescent="0.3">
      <c r="A3" s="48" t="s">
        <v>154</v>
      </c>
      <c r="B3" s="49" t="s">
        <v>155</v>
      </c>
      <c r="C3" s="28" t="s">
        <v>119</v>
      </c>
      <c r="D3" s="28" t="s">
        <v>120</v>
      </c>
      <c r="E3" s="28" t="s">
        <v>121</v>
      </c>
      <c r="F3" s="28" t="s">
        <v>122</v>
      </c>
      <c r="G3" s="28" t="s">
        <v>123</v>
      </c>
      <c r="H3" s="28" t="s">
        <v>124</v>
      </c>
      <c r="I3" s="28" t="s">
        <v>125</v>
      </c>
      <c r="J3" s="534" t="s">
        <v>1709</v>
      </c>
      <c r="K3" s="533"/>
      <c r="L3" s="533"/>
      <c r="M3" s="533"/>
      <c r="N3" s="535"/>
      <c r="O3" s="534" t="s">
        <v>136</v>
      </c>
      <c r="P3" s="533"/>
      <c r="Q3" s="533"/>
      <c r="R3" s="533"/>
      <c r="S3" s="535"/>
    </row>
    <row r="4" spans="1:19" x14ac:dyDescent="0.2">
      <c r="A4" s="50" t="s">
        <v>223</v>
      </c>
      <c r="B4" s="51"/>
      <c r="C4" s="31" t="b">
        <v>0</v>
      </c>
      <c r="D4" s="31" t="b">
        <v>0</v>
      </c>
      <c r="E4" s="31" t="b">
        <v>0</v>
      </c>
      <c r="F4" s="31" t="b">
        <v>0</v>
      </c>
      <c r="G4" s="31" t="b">
        <v>0</v>
      </c>
      <c r="H4" s="31" t="b">
        <v>0</v>
      </c>
      <c r="I4" s="31" t="b">
        <v>0</v>
      </c>
      <c r="J4" s="52">
        <v>0</v>
      </c>
      <c r="K4" s="52">
        <v>9000</v>
      </c>
      <c r="L4" s="52"/>
      <c r="M4" s="52"/>
      <c r="N4" s="52">
        <f>SUM(L4, M4)</f>
        <v>0</v>
      </c>
      <c r="O4" s="52">
        <v>0</v>
      </c>
      <c r="P4" s="52"/>
      <c r="Q4" s="52"/>
      <c r="R4" s="52"/>
      <c r="S4" s="52">
        <f t="shared" ref="S4:S7" si="0">SUM(Q4, R4)</f>
        <v>0</v>
      </c>
    </row>
    <row r="5" spans="1:19" x14ac:dyDescent="0.2">
      <c r="A5" s="50" t="s">
        <v>2026</v>
      </c>
      <c r="B5" s="51"/>
      <c r="C5" s="31" t="b">
        <v>0</v>
      </c>
      <c r="D5" s="31" t="b">
        <v>0</v>
      </c>
      <c r="E5" s="31" t="b">
        <v>0</v>
      </c>
      <c r="F5" s="31" t="b">
        <v>0</v>
      </c>
      <c r="G5" s="31" t="b">
        <v>0</v>
      </c>
      <c r="H5" s="31" t="b">
        <v>0</v>
      </c>
      <c r="I5" s="31" t="b">
        <v>0</v>
      </c>
      <c r="J5" s="54">
        <v>0</v>
      </c>
      <c r="K5" s="52">
        <v>8000</v>
      </c>
      <c r="L5" s="52"/>
      <c r="M5" s="52"/>
      <c r="N5" s="52">
        <f t="shared" ref="N5:N7" si="1">SUM(L5, M5)</f>
        <v>0</v>
      </c>
      <c r="O5" s="55">
        <v>0</v>
      </c>
      <c r="P5" s="52"/>
      <c r="Q5" s="52"/>
      <c r="R5" s="52"/>
      <c r="S5" s="52">
        <f t="shared" si="0"/>
        <v>0</v>
      </c>
    </row>
    <row r="6" spans="1:19" x14ac:dyDescent="0.2">
      <c r="A6" s="50" t="s">
        <v>2027</v>
      </c>
      <c r="B6" s="51"/>
      <c r="C6" s="31" t="b">
        <v>0</v>
      </c>
      <c r="D6" s="31" t="b">
        <v>0</v>
      </c>
      <c r="E6" s="31" t="b">
        <v>0</v>
      </c>
      <c r="F6" s="31" t="b">
        <v>0</v>
      </c>
      <c r="G6" s="31" t="b">
        <v>0</v>
      </c>
      <c r="H6" s="31" t="b">
        <v>0</v>
      </c>
      <c r="I6" s="31" t="b">
        <v>0</v>
      </c>
      <c r="J6" s="56">
        <v>0</v>
      </c>
      <c r="K6" s="52">
        <v>8000</v>
      </c>
      <c r="L6" s="52"/>
      <c r="M6" s="52"/>
      <c r="N6" s="52">
        <f t="shared" si="1"/>
        <v>0</v>
      </c>
      <c r="O6" s="55">
        <v>0</v>
      </c>
      <c r="P6" s="52"/>
      <c r="Q6" s="52"/>
      <c r="R6" s="52"/>
      <c r="S6" s="52">
        <f t="shared" si="0"/>
        <v>0</v>
      </c>
    </row>
    <row r="7" spans="1:19" x14ac:dyDescent="0.2">
      <c r="A7" s="50" t="s">
        <v>435</v>
      </c>
      <c r="B7" s="51"/>
      <c r="C7" s="31" t="b">
        <v>0</v>
      </c>
      <c r="D7" s="31" t="b">
        <v>0</v>
      </c>
      <c r="E7" s="31" t="b">
        <v>0</v>
      </c>
      <c r="F7" s="31" t="b">
        <v>0</v>
      </c>
      <c r="G7" s="31" t="b">
        <v>0</v>
      </c>
      <c r="H7" s="31" t="b">
        <v>0</v>
      </c>
      <c r="I7" s="31" t="b">
        <v>0</v>
      </c>
      <c r="J7" s="56">
        <v>0</v>
      </c>
      <c r="K7" s="52">
        <v>8000</v>
      </c>
      <c r="L7" s="52"/>
      <c r="M7" s="52"/>
      <c r="N7" s="52">
        <f t="shared" si="1"/>
        <v>0</v>
      </c>
      <c r="O7" s="55">
        <v>0</v>
      </c>
      <c r="P7" s="53"/>
      <c r="Q7" s="52"/>
      <c r="R7" s="52"/>
      <c r="S7" s="52">
        <f t="shared" si="0"/>
        <v>0</v>
      </c>
    </row>
    <row r="8" spans="1:19" x14ac:dyDescent="0.2">
      <c r="A8" s="50" t="s">
        <v>143</v>
      </c>
      <c r="B8" s="58"/>
      <c r="C8" s="31" t="b">
        <v>0</v>
      </c>
      <c r="D8" s="31" t="b">
        <v>0</v>
      </c>
      <c r="E8" s="31" t="b">
        <v>0</v>
      </c>
      <c r="F8" s="31" t="b">
        <v>0</v>
      </c>
      <c r="G8" s="31" t="b">
        <v>0</v>
      </c>
      <c r="H8" s="31" t="b">
        <v>0</v>
      </c>
      <c r="I8" s="31" t="b">
        <v>0</v>
      </c>
      <c r="J8" s="56">
        <v>0</v>
      </c>
      <c r="K8" s="52">
        <v>7000</v>
      </c>
      <c r="L8" s="52"/>
      <c r="M8" s="52"/>
      <c r="N8" s="52">
        <f t="shared" ref="N8:N11" si="2">SUM(L8:M8)</f>
        <v>0</v>
      </c>
      <c r="O8" s="55">
        <v>0</v>
      </c>
      <c r="P8" s="53"/>
      <c r="Q8" s="52"/>
      <c r="R8" s="52"/>
      <c r="S8" s="52">
        <f t="shared" ref="S8:S11" si="3">SUM(Q8:R8)</f>
        <v>0</v>
      </c>
    </row>
    <row r="9" spans="1:19" x14ac:dyDescent="0.2">
      <c r="A9" s="50" t="s">
        <v>35</v>
      </c>
      <c r="B9" s="58"/>
      <c r="C9" s="31" t="b">
        <v>0</v>
      </c>
      <c r="D9" s="31" t="b">
        <v>0</v>
      </c>
      <c r="E9" s="31" t="b">
        <v>0</v>
      </c>
      <c r="F9" s="31" t="b">
        <v>0</v>
      </c>
      <c r="G9" s="31" t="b">
        <v>0</v>
      </c>
      <c r="H9" s="31" t="b">
        <v>0</v>
      </c>
      <c r="I9" s="31" t="b">
        <v>0</v>
      </c>
      <c r="J9" s="56">
        <v>0</v>
      </c>
      <c r="K9" s="52">
        <v>6000</v>
      </c>
      <c r="L9" s="52"/>
      <c r="M9" s="52"/>
      <c r="N9" s="52">
        <f t="shared" si="2"/>
        <v>0</v>
      </c>
      <c r="O9" s="55">
        <v>0</v>
      </c>
      <c r="P9" s="53"/>
      <c r="Q9" s="52"/>
      <c r="R9" s="52"/>
      <c r="S9" s="52">
        <f t="shared" si="3"/>
        <v>0</v>
      </c>
    </row>
    <row r="10" spans="1:19" x14ac:dyDescent="0.2">
      <c r="A10" s="50" t="s">
        <v>2028</v>
      </c>
      <c r="B10" s="58"/>
      <c r="C10" s="31" t="b">
        <v>0</v>
      </c>
      <c r="D10" s="31" t="b">
        <v>0</v>
      </c>
      <c r="E10" s="31" t="b">
        <v>0</v>
      </c>
      <c r="F10" s="31" t="b">
        <v>0</v>
      </c>
      <c r="G10" s="31" t="b">
        <v>0</v>
      </c>
      <c r="H10" s="31" t="b">
        <v>0</v>
      </c>
      <c r="I10" s="31" t="b">
        <v>0</v>
      </c>
      <c r="J10" s="56">
        <v>0</v>
      </c>
      <c r="K10" s="52">
        <v>2000</v>
      </c>
      <c r="L10" s="52"/>
      <c r="M10" s="52"/>
      <c r="N10" s="52">
        <f t="shared" si="2"/>
        <v>0</v>
      </c>
      <c r="O10" s="55">
        <v>0</v>
      </c>
      <c r="P10" s="52"/>
      <c r="Q10" s="52"/>
      <c r="R10" s="52"/>
      <c r="S10" s="52">
        <f t="shared" si="3"/>
        <v>0</v>
      </c>
    </row>
    <row r="11" spans="1:19" x14ac:dyDescent="0.2">
      <c r="A11" s="50" t="s">
        <v>2029</v>
      </c>
      <c r="B11" s="58"/>
      <c r="C11" s="31" t="b">
        <v>0</v>
      </c>
      <c r="D11" s="31" t="b">
        <v>0</v>
      </c>
      <c r="E11" s="31" t="b">
        <v>0</v>
      </c>
      <c r="F11" s="31" t="b">
        <v>0</v>
      </c>
      <c r="G11" s="31" t="b">
        <v>0</v>
      </c>
      <c r="H11" s="31" t="b">
        <v>0</v>
      </c>
      <c r="I11" s="31" t="b">
        <v>0</v>
      </c>
      <c r="J11" s="56">
        <v>0</v>
      </c>
      <c r="K11" s="52">
        <v>2000</v>
      </c>
      <c r="L11" s="52"/>
      <c r="M11" s="52"/>
      <c r="N11" s="52">
        <f t="shared" si="2"/>
        <v>0</v>
      </c>
      <c r="O11" s="55">
        <v>0</v>
      </c>
      <c r="P11" s="53"/>
      <c r="Q11" s="52"/>
      <c r="R11" s="52"/>
      <c r="S11" s="52">
        <f t="shared" si="3"/>
        <v>0</v>
      </c>
    </row>
    <row r="12" spans="1:19" x14ac:dyDescent="0.2">
      <c r="A12" s="64" t="s">
        <v>160</v>
      </c>
      <c r="C12" s="65"/>
      <c r="D12" s="65"/>
      <c r="E12" s="65"/>
      <c r="F12" s="65"/>
      <c r="G12" s="65"/>
      <c r="H12" s="17"/>
      <c r="I12" s="17"/>
      <c r="J12" s="66">
        <f t="shared" ref="J12:S12" si="4">SUM(J4:J11)</f>
        <v>0</v>
      </c>
      <c r="K12" s="66">
        <f t="shared" si="4"/>
        <v>50000</v>
      </c>
      <c r="L12" s="66">
        <f t="shared" si="4"/>
        <v>0</v>
      </c>
      <c r="M12" s="66">
        <f t="shared" si="4"/>
        <v>0</v>
      </c>
      <c r="N12" s="67">
        <f t="shared" si="4"/>
        <v>0</v>
      </c>
      <c r="O12" s="67">
        <f t="shared" si="4"/>
        <v>0</v>
      </c>
      <c r="P12" s="67">
        <f t="shared" si="4"/>
        <v>0</v>
      </c>
      <c r="Q12" s="67">
        <f t="shared" si="4"/>
        <v>0</v>
      </c>
      <c r="R12" s="67">
        <f t="shared" si="4"/>
        <v>0</v>
      </c>
      <c r="S12" s="67">
        <f t="shared" si="4"/>
        <v>0</v>
      </c>
    </row>
    <row r="13" spans="1:19" x14ac:dyDescent="0.2">
      <c r="A13" s="68"/>
      <c r="C13" s="65"/>
      <c r="D13" s="65"/>
      <c r="E13" s="65"/>
      <c r="F13" s="65"/>
      <c r="G13" s="65"/>
      <c r="H13" s="65"/>
      <c r="I13" s="65"/>
      <c r="K13" s="65"/>
      <c r="L13" s="69"/>
      <c r="M13" s="69"/>
      <c r="N13" s="65"/>
      <c r="O13" s="65"/>
      <c r="P13" s="65"/>
      <c r="Q13" s="65"/>
      <c r="R13" s="65"/>
      <c r="S13" s="65"/>
    </row>
    <row r="14" spans="1:19" x14ac:dyDescent="0.2">
      <c r="A14" s="73" t="s">
        <v>162</v>
      </c>
      <c r="C14" s="65"/>
      <c r="D14" s="65"/>
      <c r="E14" s="65"/>
      <c r="F14" s="65"/>
      <c r="G14" s="65"/>
      <c r="H14" s="65"/>
      <c r="I14" s="65"/>
      <c r="K14" s="65"/>
      <c r="L14" s="69"/>
      <c r="M14" s="69"/>
      <c r="N14" s="65"/>
      <c r="O14" s="65"/>
      <c r="P14" s="65"/>
      <c r="Q14" s="65"/>
      <c r="R14" s="65"/>
      <c r="S14" s="65"/>
    </row>
    <row r="15" spans="1:19" x14ac:dyDescent="0.2">
      <c r="A15" s="67">
        <f>SUM(N12, S12)</f>
        <v>0</v>
      </c>
      <c r="C15" s="65"/>
      <c r="D15" s="65"/>
      <c r="E15" s="65"/>
      <c r="F15" s="65"/>
      <c r="G15" s="65"/>
      <c r="H15" s="65"/>
      <c r="I15" s="65"/>
      <c r="J15" s="17" t="s">
        <v>2030</v>
      </c>
      <c r="K15" s="65"/>
      <c r="L15" s="69"/>
      <c r="M15" s="69"/>
      <c r="N15" s="65"/>
      <c r="O15" s="65"/>
      <c r="P15" s="65"/>
      <c r="Q15" s="65"/>
      <c r="R15" s="65"/>
      <c r="S15" s="65"/>
    </row>
    <row r="16" spans="1:19" x14ac:dyDescent="0.2">
      <c r="A16" s="74"/>
      <c r="C16" s="65"/>
      <c r="D16" s="65"/>
      <c r="E16" s="65"/>
      <c r="F16" s="65"/>
      <c r="G16" s="65"/>
      <c r="H16" s="65"/>
      <c r="I16" s="65"/>
      <c r="J16" s="17" t="s">
        <v>2031</v>
      </c>
      <c r="K16" s="17">
        <v>240</v>
      </c>
      <c r="L16" s="69"/>
      <c r="M16" s="69"/>
      <c r="N16" s="65"/>
      <c r="O16" s="65"/>
      <c r="P16" s="17"/>
      <c r="Q16" s="65"/>
      <c r="R16" s="65"/>
      <c r="S16" s="65"/>
    </row>
    <row r="17" spans="1:19" x14ac:dyDescent="0.2">
      <c r="A17" s="75" t="s">
        <v>164</v>
      </c>
      <c r="C17" s="65"/>
      <c r="D17" s="65"/>
      <c r="E17" s="65"/>
      <c r="F17" s="65"/>
      <c r="G17" s="65"/>
      <c r="H17" s="65"/>
      <c r="I17" s="65"/>
      <c r="J17" s="17" t="s">
        <v>2032</v>
      </c>
      <c r="K17" s="17">
        <v>550</v>
      </c>
      <c r="L17" s="69"/>
      <c r="M17" s="69"/>
      <c r="N17" s="65"/>
      <c r="O17" s="65"/>
      <c r="P17" s="17"/>
      <c r="Q17" s="65"/>
      <c r="R17" s="65"/>
      <c r="S17" s="65"/>
    </row>
    <row r="18" spans="1:19" x14ac:dyDescent="0.2">
      <c r="A18" s="76">
        <f>SUM(J12, O12)</f>
        <v>0</v>
      </c>
      <c r="C18" s="65"/>
      <c r="D18" s="65"/>
      <c r="E18" s="65"/>
      <c r="F18" s="65"/>
      <c r="G18" s="65"/>
      <c r="H18" s="65"/>
      <c r="I18" s="65"/>
      <c r="J18" s="17" t="s">
        <v>2033</v>
      </c>
      <c r="K18" s="17">
        <v>45</v>
      </c>
      <c r="L18" s="69"/>
      <c r="M18" s="69"/>
      <c r="N18" s="65"/>
      <c r="O18" s="65"/>
      <c r="P18" s="17"/>
      <c r="Q18" s="65"/>
      <c r="R18" s="65"/>
      <c r="S18" s="65"/>
    </row>
    <row r="19" spans="1:19" x14ac:dyDescent="0.2">
      <c r="A19" s="74"/>
      <c r="C19" s="65"/>
      <c r="D19" s="65"/>
      <c r="E19" s="65"/>
      <c r="F19" s="65"/>
      <c r="G19" s="65"/>
      <c r="H19" s="65"/>
      <c r="I19" s="65"/>
      <c r="J19" s="17" t="s">
        <v>2034</v>
      </c>
      <c r="K19" s="17">
        <v>5</v>
      </c>
      <c r="L19" s="69"/>
      <c r="M19" s="69"/>
      <c r="N19" s="65"/>
      <c r="O19" s="65"/>
      <c r="P19" s="17"/>
      <c r="Q19" s="65"/>
      <c r="R19" s="65"/>
      <c r="S19" s="65"/>
    </row>
    <row r="20" spans="1:19" x14ac:dyDescent="0.2">
      <c r="A20" s="74"/>
      <c r="C20" s="65"/>
      <c r="D20" s="65"/>
      <c r="E20" s="65"/>
      <c r="F20" s="65"/>
      <c r="G20" s="65"/>
      <c r="H20" s="65"/>
      <c r="I20" s="65"/>
      <c r="J20" s="65"/>
      <c r="K20" s="65"/>
      <c r="L20" s="69"/>
      <c r="M20" s="69"/>
      <c r="N20" s="65"/>
      <c r="O20" s="65"/>
      <c r="P20" s="17"/>
      <c r="Q20" s="65"/>
      <c r="R20" s="65"/>
      <c r="S20" s="65"/>
    </row>
    <row r="21" spans="1:19" x14ac:dyDescent="0.2">
      <c r="A21" s="74"/>
      <c r="C21" s="65"/>
      <c r="D21" s="65"/>
      <c r="E21" s="65"/>
      <c r="F21" s="65"/>
      <c r="G21" s="65"/>
      <c r="H21" s="65"/>
      <c r="I21" s="65"/>
      <c r="J21" s="65"/>
      <c r="K21" s="17"/>
      <c r="L21" s="69"/>
      <c r="M21" s="69"/>
      <c r="N21" s="65"/>
      <c r="O21" s="65"/>
      <c r="P21" s="17"/>
      <c r="Q21" s="65"/>
      <c r="R21" s="65"/>
      <c r="S21" s="65"/>
    </row>
    <row r="22" spans="1:19" x14ac:dyDescent="0.2">
      <c r="A22" s="74"/>
      <c r="C22" s="65"/>
      <c r="D22" s="65"/>
      <c r="E22" s="65"/>
      <c r="F22" s="65"/>
      <c r="G22" s="65"/>
      <c r="H22" s="65"/>
      <c r="I22" s="65"/>
      <c r="J22" s="17" t="s">
        <v>142</v>
      </c>
      <c r="K22" s="17"/>
      <c r="L22" s="69"/>
      <c r="M22" s="69"/>
      <c r="N22" s="65"/>
      <c r="O22" s="65"/>
      <c r="P22" s="17"/>
      <c r="Q22" s="65"/>
      <c r="R22" s="65"/>
      <c r="S22" s="65"/>
    </row>
    <row r="23" spans="1:19" x14ac:dyDescent="0.2">
      <c r="A23" s="74"/>
      <c r="C23" s="65"/>
      <c r="D23" s="65"/>
      <c r="E23" s="65"/>
      <c r="F23" s="65"/>
      <c r="G23" s="65"/>
      <c r="H23" s="65"/>
      <c r="I23" s="65"/>
      <c r="J23" s="17" t="s">
        <v>2035</v>
      </c>
      <c r="K23" s="17">
        <v>252</v>
      </c>
      <c r="L23" s="69"/>
      <c r="M23" s="69"/>
      <c r="N23" s="65"/>
      <c r="O23" s="65"/>
      <c r="P23" s="17"/>
      <c r="Q23" s="65"/>
      <c r="R23" s="65"/>
      <c r="S23" s="65"/>
    </row>
    <row r="24" spans="1:19" x14ac:dyDescent="0.2">
      <c r="A24" s="74"/>
      <c r="C24" s="65"/>
      <c r="D24" s="65"/>
      <c r="E24" s="65"/>
      <c r="F24" s="65"/>
      <c r="G24" s="65"/>
      <c r="H24" s="65"/>
      <c r="I24" s="65"/>
      <c r="J24" s="17" t="s">
        <v>2036</v>
      </c>
      <c r="K24" s="17">
        <v>225</v>
      </c>
      <c r="L24" s="69"/>
      <c r="M24" s="69"/>
      <c r="N24" s="65"/>
      <c r="O24" s="65"/>
      <c r="P24" s="17"/>
      <c r="Q24" s="65"/>
      <c r="R24" s="65"/>
      <c r="S24" s="65"/>
    </row>
    <row r="25" spans="1:19" x14ac:dyDescent="0.2">
      <c r="A25" s="74"/>
      <c r="C25" s="65"/>
      <c r="D25" s="65"/>
      <c r="E25" s="65"/>
      <c r="F25" s="65"/>
      <c r="G25" s="65"/>
      <c r="H25" s="65"/>
      <c r="I25" s="65"/>
      <c r="J25" s="17" t="s">
        <v>2037</v>
      </c>
      <c r="K25" s="17">
        <v>100</v>
      </c>
      <c r="L25" s="69"/>
      <c r="M25" s="69"/>
      <c r="N25" s="65"/>
      <c r="O25" s="65"/>
      <c r="P25" s="17"/>
      <c r="Q25" s="65"/>
      <c r="R25" s="65"/>
      <c r="S25" s="65"/>
    </row>
    <row r="26" spans="1:19" x14ac:dyDescent="0.2">
      <c r="A26" s="74"/>
      <c r="C26" s="65"/>
      <c r="D26" s="65"/>
      <c r="E26" s="65"/>
      <c r="F26" s="65"/>
      <c r="G26" s="65"/>
      <c r="H26" s="65"/>
      <c r="I26" s="65"/>
      <c r="J26" s="17" t="s">
        <v>2038</v>
      </c>
      <c r="K26" s="17">
        <v>60</v>
      </c>
      <c r="L26" s="69"/>
      <c r="M26" s="69"/>
      <c r="N26" s="65"/>
      <c r="O26" s="65"/>
      <c r="P26" s="17"/>
      <c r="Q26" s="65"/>
      <c r="R26" s="65"/>
      <c r="S26" s="65"/>
    </row>
    <row r="27" spans="1:19" x14ac:dyDescent="0.2">
      <c r="A27" s="74"/>
      <c r="C27" s="65"/>
      <c r="D27" s="65"/>
      <c r="E27" s="65"/>
      <c r="F27" s="65"/>
      <c r="G27" s="65"/>
      <c r="H27" s="65"/>
      <c r="I27" s="65"/>
      <c r="J27" s="17" t="s">
        <v>2039</v>
      </c>
      <c r="K27" s="17">
        <v>45</v>
      </c>
      <c r="L27" s="69"/>
      <c r="M27" s="69"/>
      <c r="N27" s="65"/>
      <c r="O27" s="65"/>
      <c r="P27" s="17"/>
      <c r="Q27" s="65"/>
      <c r="R27" s="65"/>
      <c r="S27" s="65"/>
    </row>
    <row r="28" spans="1:19" x14ac:dyDescent="0.2">
      <c r="A28" s="74"/>
      <c r="C28" s="65"/>
      <c r="D28" s="65"/>
      <c r="E28" s="65"/>
      <c r="F28" s="65"/>
      <c r="G28" s="65"/>
      <c r="H28" s="65"/>
      <c r="I28" s="65"/>
      <c r="J28" s="17" t="s">
        <v>2040</v>
      </c>
      <c r="K28" s="17">
        <v>30</v>
      </c>
      <c r="L28" s="69"/>
      <c r="M28" s="69"/>
      <c r="N28" s="65"/>
      <c r="O28" s="65"/>
      <c r="P28" s="17"/>
      <c r="Q28" s="65"/>
      <c r="R28" s="65"/>
      <c r="S28" s="65"/>
    </row>
    <row r="29" spans="1:19" x14ac:dyDescent="0.2">
      <c r="A29" s="74"/>
      <c r="C29" s="65"/>
      <c r="D29" s="65"/>
      <c r="E29" s="65"/>
      <c r="F29" s="65"/>
      <c r="G29" s="65"/>
      <c r="H29" s="65"/>
      <c r="I29" s="65"/>
      <c r="J29" s="65"/>
      <c r="K29" s="17"/>
      <c r="L29" s="69"/>
      <c r="M29" s="69"/>
      <c r="N29" s="65"/>
      <c r="O29" s="65"/>
      <c r="P29" s="17"/>
      <c r="Q29" s="65"/>
      <c r="R29" s="65"/>
      <c r="S29" s="65"/>
    </row>
    <row r="30" spans="1:19" x14ac:dyDescent="0.2">
      <c r="A30" s="74"/>
      <c r="C30" s="65"/>
      <c r="D30" s="65"/>
      <c r="E30" s="65"/>
      <c r="F30" s="65"/>
      <c r="G30" s="65"/>
      <c r="H30" s="65"/>
      <c r="I30" s="65"/>
      <c r="J30" s="65"/>
      <c r="K30" s="17"/>
      <c r="L30" s="69"/>
      <c r="M30" s="69"/>
      <c r="N30" s="65"/>
      <c r="O30" s="65"/>
      <c r="P30" s="17"/>
      <c r="Q30" s="65"/>
      <c r="R30" s="65"/>
      <c r="S30" s="65"/>
    </row>
    <row r="31" spans="1:19" x14ac:dyDescent="0.2">
      <c r="A31" s="74"/>
      <c r="C31" s="65"/>
      <c r="D31" s="65"/>
      <c r="E31" s="65"/>
      <c r="F31" s="65"/>
      <c r="G31" s="65"/>
      <c r="H31" s="65"/>
      <c r="I31" s="65"/>
      <c r="J31" s="65"/>
      <c r="K31" s="65"/>
      <c r="L31" s="69"/>
      <c r="M31" s="69"/>
      <c r="N31" s="65"/>
      <c r="O31" s="65"/>
      <c r="P31" s="17"/>
      <c r="Q31" s="65"/>
      <c r="R31" s="65"/>
      <c r="S31" s="65"/>
    </row>
    <row r="32" spans="1:19" x14ac:dyDescent="0.2">
      <c r="A32" s="74"/>
      <c r="C32" s="65"/>
      <c r="D32" s="65"/>
      <c r="E32" s="65"/>
      <c r="F32" s="65"/>
      <c r="G32" s="65"/>
      <c r="H32" s="65"/>
      <c r="I32" s="65"/>
      <c r="J32" s="65"/>
      <c r="K32" s="65"/>
      <c r="L32" s="69"/>
      <c r="M32" s="69"/>
      <c r="N32" s="65"/>
      <c r="O32" s="65"/>
      <c r="P32" s="17"/>
      <c r="Q32" s="65"/>
      <c r="R32" s="65"/>
      <c r="S32" s="65"/>
    </row>
    <row r="33" spans="1:19" x14ac:dyDescent="0.2">
      <c r="A33" s="74"/>
      <c r="C33" s="65"/>
      <c r="D33" s="65"/>
      <c r="E33" s="65"/>
      <c r="F33" s="65"/>
      <c r="G33" s="65"/>
      <c r="H33" s="65"/>
      <c r="I33" s="65"/>
      <c r="J33" s="65"/>
      <c r="K33" s="65"/>
      <c r="L33" s="69"/>
      <c r="M33" s="69"/>
      <c r="N33" s="65"/>
      <c r="O33" s="65"/>
      <c r="P33" s="17"/>
      <c r="Q33" s="65"/>
      <c r="R33" s="65"/>
      <c r="S33" s="65"/>
    </row>
    <row r="34" spans="1:19" x14ac:dyDescent="0.2">
      <c r="A34" s="74"/>
      <c r="C34" s="65"/>
      <c r="D34" s="65"/>
      <c r="E34" s="65"/>
      <c r="F34" s="65"/>
      <c r="G34" s="65"/>
      <c r="H34" s="65"/>
      <c r="I34" s="65"/>
      <c r="J34" s="65"/>
      <c r="K34" s="65"/>
      <c r="L34" s="69"/>
      <c r="M34" s="69"/>
      <c r="N34" s="65"/>
      <c r="O34" s="65"/>
      <c r="P34" s="17"/>
      <c r="Q34" s="65"/>
      <c r="R34" s="65"/>
      <c r="S34" s="65"/>
    </row>
    <row r="35" spans="1:19" x14ac:dyDescent="0.2">
      <c r="A35" s="74"/>
      <c r="C35" s="65"/>
      <c r="D35" s="65"/>
      <c r="E35" s="65"/>
      <c r="F35" s="65"/>
      <c r="G35" s="65"/>
      <c r="H35" s="65"/>
      <c r="I35" s="65"/>
      <c r="J35" s="65"/>
      <c r="K35" s="65"/>
      <c r="L35" s="69"/>
      <c r="M35" s="69"/>
      <c r="N35" s="65"/>
      <c r="O35" s="65"/>
      <c r="P35" s="17"/>
      <c r="Q35" s="65"/>
      <c r="R35" s="65"/>
      <c r="S35" s="65"/>
    </row>
    <row r="36" spans="1:19" x14ac:dyDescent="0.2">
      <c r="A36" s="74"/>
      <c r="C36" s="65"/>
      <c r="D36" s="65"/>
      <c r="E36" s="65"/>
      <c r="F36" s="65"/>
      <c r="G36" s="65"/>
      <c r="H36" s="65"/>
      <c r="I36" s="65"/>
      <c r="J36" s="65"/>
      <c r="K36" s="65"/>
      <c r="L36" s="69"/>
      <c r="M36" s="69"/>
      <c r="N36" s="65"/>
      <c r="O36" s="65"/>
      <c r="P36" s="17"/>
      <c r="Q36" s="65"/>
      <c r="R36" s="65"/>
      <c r="S36" s="65"/>
    </row>
    <row r="37" spans="1:19" x14ac:dyDescent="0.2">
      <c r="A37" s="74"/>
      <c r="C37" s="65"/>
      <c r="D37" s="65"/>
      <c r="E37" s="65"/>
      <c r="F37" s="65"/>
      <c r="G37" s="65"/>
      <c r="H37" s="65"/>
      <c r="I37" s="65"/>
      <c r="J37" s="65"/>
      <c r="K37" s="65"/>
      <c r="L37" s="69"/>
      <c r="M37" s="69"/>
      <c r="N37" s="65"/>
      <c r="O37" s="65"/>
      <c r="P37" s="65"/>
      <c r="Q37" s="65"/>
      <c r="R37" s="65"/>
      <c r="S37" s="65"/>
    </row>
    <row r="38" spans="1:19" x14ac:dyDescent="0.2">
      <c r="A38" s="74"/>
      <c r="C38" s="65"/>
      <c r="D38" s="65"/>
      <c r="E38" s="65"/>
      <c r="F38" s="65"/>
      <c r="G38" s="65"/>
      <c r="H38" s="65"/>
      <c r="I38" s="65"/>
      <c r="J38" s="65"/>
      <c r="K38" s="65"/>
      <c r="L38" s="69"/>
      <c r="M38" s="69"/>
      <c r="N38" s="65"/>
      <c r="O38" s="65"/>
      <c r="P38" s="65"/>
      <c r="Q38" s="65"/>
      <c r="R38" s="65"/>
      <c r="S38" s="65"/>
    </row>
    <row r="39" spans="1:19" x14ac:dyDescent="0.2">
      <c r="A39" s="74"/>
      <c r="C39" s="65"/>
      <c r="D39" s="65"/>
      <c r="E39" s="65"/>
      <c r="F39" s="65"/>
      <c r="G39" s="65"/>
      <c r="H39" s="65"/>
      <c r="I39" s="65"/>
      <c r="J39" s="65"/>
      <c r="K39" s="65"/>
      <c r="L39" s="69"/>
      <c r="M39" s="69"/>
      <c r="N39" s="65"/>
      <c r="O39" s="65"/>
      <c r="P39" s="65"/>
      <c r="Q39" s="65"/>
      <c r="R39" s="65"/>
      <c r="S39" s="65"/>
    </row>
    <row r="40" spans="1:19" x14ac:dyDescent="0.2">
      <c r="A40" s="74"/>
      <c r="C40" s="65"/>
      <c r="D40" s="65"/>
      <c r="E40" s="65"/>
      <c r="F40" s="65"/>
      <c r="G40" s="65"/>
      <c r="H40" s="65"/>
      <c r="I40" s="65"/>
      <c r="J40" s="65"/>
      <c r="K40" s="65"/>
      <c r="L40" s="69"/>
      <c r="M40" s="69"/>
      <c r="N40" s="65"/>
      <c r="O40" s="65"/>
      <c r="P40" s="65"/>
      <c r="Q40" s="65"/>
      <c r="R40" s="65"/>
      <c r="S40" s="65"/>
    </row>
    <row r="41" spans="1:19" x14ac:dyDescent="0.2">
      <c r="A41" s="74"/>
      <c r="C41" s="65"/>
      <c r="D41" s="65"/>
      <c r="E41" s="65"/>
      <c r="F41" s="65"/>
      <c r="G41" s="65"/>
      <c r="H41" s="65"/>
      <c r="I41" s="65"/>
      <c r="J41" s="65"/>
      <c r="K41" s="65"/>
      <c r="L41" s="69"/>
      <c r="M41" s="69"/>
      <c r="N41" s="65"/>
      <c r="O41" s="65"/>
      <c r="P41" s="65"/>
      <c r="Q41" s="65"/>
      <c r="R41" s="65"/>
      <c r="S41" s="65"/>
    </row>
    <row r="42" spans="1:19" x14ac:dyDescent="0.2">
      <c r="A42" s="74"/>
      <c r="C42" s="65"/>
      <c r="D42" s="65"/>
      <c r="E42" s="65"/>
      <c r="F42" s="65"/>
      <c r="G42" s="65"/>
      <c r="H42" s="65"/>
      <c r="I42" s="65"/>
      <c r="J42" s="65"/>
      <c r="K42" s="65"/>
      <c r="L42" s="69"/>
      <c r="M42" s="69"/>
      <c r="N42" s="65"/>
      <c r="O42" s="65"/>
      <c r="P42" s="65"/>
      <c r="Q42" s="65"/>
      <c r="R42" s="65"/>
      <c r="S42" s="65"/>
    </row>
    <row r="43" spans="1:19" x14ac:dyDescent="0.2">
      <c r="A43" s="74"/>
      <c r="C43" s="65"/>
      <c r="D43" s="65"/>
      <c r="E43" s="65"/>
      <c r="F43" s="65"/>
      <c r="G43" s="65"/>
      <c r="H43" s="65"/>
      <c r="I43" s="65"/>
      <c r="J43" s="65"/>
      <c r="K43" s="65"/>
      <c r="L43" s="69"/>
      <c r="M43" s="69"/>
      <c r="N43" s="65"/>
      <c r="O43" s="65"/>
      <c r="P43" s="65"/>
      <c r="Q43" s="65"/>
      <c r="R43" s="65"/>
      <c r="S43" s="65"/>
    </row>
    <row r="44" spans="1:19" x14ac:dyDescent="0.2">
      <c r="A44" s="74"/>
      <c r="C44" s="65"/>
      <c r="D44" s="65"/>
      <c r="E44" s="65"/>
      <c r="F44" s="65"/>
      <c r="G44" s="65"/>
      <c r="H44" s="65"/>
      <c r="I44" s="65"/>
      <c r="J44" s="65"/>
      <c r="K44" s="65"/>
      <c r="L44" s="69"/>
      <c r="M44" s="69"/>
      <c r="N44" s="65"/>
      <c r="O44" s="65"/>
      <c r="P44" s="65"/>
      <c r="Q44" s="65"/>
      <c r="R44" s="65"/>
      <c r="S44" s="65"/>
    </row>
    <row r="45" spans="1:19" x14ac:dyDescent="0.2">
      <c r="A45" s="74"/>
      <c r="C45" s="65"/>
      <c r="D45" s="65"/>
      <c r="E45" s="65"/>
      <c r="F45" s="65"/>
      <c r="G45" s="65"/>
      <c r="H45" s="65"/>
      <c r="I45" s="65"/>
      <c r="J45" s="65"/>
      <c r="K45" s="65"/>
      <c r="L45" s="69"/>
      <c r="M45" s="69"/>
      <c r="N45" s="65"/>
      <c r="O45" s="65"/>
      <c r="P45" s="65"/>
      <c r="Q45" s="65"/>
      <c r="R45" s="65"/>
      <c r="S45" s="65"/>
    </row>
    <row r="46" spans="1:19" x14ac:dyDescent="0.2">
      <c r="A46" s="74"/>
      <c r="C46" s="65"/>
      <c r="D46" s="65"/>
      <c r="E46" s="65"/>
      <c r="F46" s="65"/>
      <c r="G46" s="65"/>
      <c r="H46" s="65"/>
      <c r="I46" s="65"/>
      <c r="J46" s="65"/>
      <c r="K46" s="65"/>
      <c r="L46" s="69"/>
      <c r="M46" s="69"/>
      <c r="N46" s="65"/>
      <c r="O46" s="65"/>
      <c r="P46" s="65"/>
      <c r="Q46" s="65"/>
      <c r="R46" s="65"/>
      <c r="S46" s="65"/>
    </row>
    <row r="47" spans="1:19" x14ac:dyDescent="0.2">
      <c r="A47" s="74"/>
      <c r="C47" s="65"/>
      <c r="D47" s="65"/>
      <c r="E47" s="65"/>
      <c r="F47" s="65"/>
      <c r="G47" s="65"/>
      <c r="H47" s="65"/>
      <c r="I47" s="65"/>
      <c r="J47" s="65"/>
      <c r="K47" s="65"/>
      <c r="L47" s="69"/>
      <c r="M47" s="69"/>
      <c r="N47" s="65"/>
      <c r="O47" s="65"/>
      <c r="P47" s="65"/>
      <c r="Q47" s="65"/>
      <c r="R47" s="65"/>
      <c r="S47" s="65"/>
    </row>
    <row r="48" spans="1:19" x14ac:dyDescent="0.2">
      <c r="A48" s="74"/>
      <c r="C48" s="65"/>
      <c r="D48" s="65"/>
      <c r="E48" s="65"/>
      <c r="F48" s="65"/>
      <c r="G48" s="65"/>
      <c r="H48" s="65"/>
      <c r="I48" s="65"/>
      <c r="J48" s="65"/>
      <c r="K48" s="65"/>
      <c r="L48" s="69"/>
      <c r="M48" s="69"/>
      <c r="N48" s="65"/>
      <c r="O48" s="65"/>
      <c r="P48" s="65"/>
      <c r="Q48" s="65"/>
      <c r="R48" s="65"/>
      <c r="S48" s="65"/>
    </row>
    <row r="49" spans="1:19" x14ac:dyDescent="0.2">
      <c r="A49" s="74"/>
      <c r="C49" s="65"/>
      <c r="D49" s="65"/>
      <c r="E49" s="65"/>
      <c r="F49" s="65"/>
      <c r="G49" s="65"/>
      <c r="H49" s="65"/>
      <c r="I49" s="65"/>
      <c r="J49" s="65"/>
      <c r="K49" s="65"/>
      <c r="L49" s="69"/>
      <c r="M49" s="69"/>
      <c r="N49" s="65"/>
      <c r="O49" s="65"/>
      <c r="P49" s="65"/>
      <c r="Q49" s="65"/>
      <c r="R49" s="65"/>
      <c r="S49" s="65"/>
    </row>
    <row r="50" spans="1:19" x14ac:dyDescent="0.2">
      <c r="A50" s="74"/>
      <c r="C50" s="65"/>
      <c r="D50" s="65"/>
      <c r="E50" s="65"/>
      <c r="F50" s="65"/>
      <c r="G50" s="65"/>
      <c r="H50" s="65"/>
      <c r="I50" s="65"/>
      <c r="J50" s="65"/>
      <c r="K50" s="65"/>
      <c r="L50" s="69"/>
      <c r="M50" s="69"/>
      <c r="N50" s="65"/>
      <c r="O50" s="65"/>
      <c r="P50" s="65"/>
      <c r="Q50" s="65"/>
      <c r="R50" s="65"/>
      <c r="S50" s="65"/>
    </row>
    <row r="51" spans="1:19" x14ac:dyDescent="0.2">
      <c r="A51" s="74"/>
      <c r="C51" s="65"/>
      <c r="D51" s="65"/>
      <c r="E51" s="65"/>
      <c r="F51" s="65"/>
      <c r="G51" s="65"/>
      <c r="H51" s="65"/>
      <c r="I51" s="65"/>
      <c r="J51" s="65"/>
      <c r="K51" s="65"/>
      <c r="L51" s="69"/>
      <c r="M51" s="69"/>
      <c r="N51" s="65"/>
      <c r="O51" s="65"/>
      <c r="P51" s="65"/>
      <c r="Q51" s="65"/>
      <c r="R51" s="65"/>
      <c r="S51" s="65"/>
    </row>
    <row r="52" spans="1:19" x14ac:dyDescent="0.2">
      <c r="A52" s="74"/>
      <c r="C52" s="65"/>
      <c r="D52" s="65"/>
      <c r="E52" s="65"/>
      <c r="F52" s="65"/>
      <c r="G52" s="65"/>
      <c r="H52" s="65"/>
      <c r="I52" s="65"/>
      <c r="J52" s="65"/>
      <c r="K52" s="65"/>
      <c r="L52" s="69"/>
      <c r="M52" s="69"/>
      <c r="N52" s="65"/>
      <c r="O52" s="65"/>
      <c r="P52" s="65"/>
      <c r="Q52" s="65"/>
      <c r="R52" s="65"/>
      <c r="S52" s="65"/>
    </row>
    <row r="53" spans="1:19" x14ac:dyDescent="0.2">
      <c r="A53" s="74"/>
      <c r="C53" s="65"/>
      <c r="D53" s="65"/>
      <c r="E53" s="65"/>
      <c r="F53" s="65"/>
      <c r="G53" s="65"/>
      <c r="H53" s="65"/>
      <c r="I53" s="65"/>
      <c r="J53" s="65"/>
      <c r="K53" s="65"/>
      <c r="L53" s="69"/>
      <c r="M53" s="69"/>
      <c r="N53" s="65"/>
      <c r="O53" s="65"/>
      <c r="P53" s="65"/>
      <c r="Q53" s="65"/>
      <c r="R53" s="65"/>
      <c r="S53" s="65"/>
    </row>
    <row r="54" spans="1:19" x14ac:dyDescent="0.2">
      <c r="A54" s="74"/>
      <c r="C54" s="65"/>
      <c r="D54" s="65"/>
      <c r="E54" s="65"/>
      <c r="F54" s="65"/>
      <c r="G54" s="65"/>
      <c r="H54" s="65"/>
      <c r="I54" s="65"/>
      <c r="J54" s="65"/>
      <c r="K54" s="65"/>
      <c r="L54" s="69"/>
      <c r="M54" s="69"/>
      <c r="N54" s="65"/>
      <c r="O54" s="65"/>
      <c r="P54" s="65"/>
      <c r="Q54" s="65"/>
      <c r="R54" s="65"/>
      <c r="S54" s="65"/>
    </row>
    <row r="55" spans="1:19" x14ac:dyDescent="0.2">
      <c r="A55" s="74"/>
      <c r="C55" s="65"/>
      <c r="D55" s="65"/>
      <c r="E55" s="65"/>
      <c r="F55" s="65"/>
      <c r="G55" s="65"/>
      <c r="H55" s="65"/>
      <c r="I55" s="65"/>
      <c r="J55" s="65"/>
      <c r="K55" s="65"/>
      <c r="L55" s="69"/>
      <c r="M55" s="69"/>
      <c r="N55" s="65"/>
      <c r="O55" s="65"/>
      <c r="P55" s="65"/>
      <c r="Q55" s="65"/>
      <c r="R55" s="65"/>
      <c r="S55" s="65"/>
    </row>
    <row r="56" spans="1:19" x14ac:dyDescent="0.2">
      <c r="A56" s="74"/>
      <c r="C56" s="65"/>
      <c r="D56" s="65"/>
      <c r="E56" s="65"/>
      <c r="F56" s="65"/>
      <c r="G56" s="65"/>
      <c r="H56" s="65"/>
      <c r="I56" s="65"/>
      <c r="J56" s="65"/>
      <c r="K56" s="65"/>
      <c r="L56" s="69"/>
      <c r="M56" s="69"/>
      <c r="N56" s="65"/>
      <c r="O56" s="65"/>
      <c r="P56" s="65"/>
      <c r="Q56" s="65"/>
      <c r="R56" s="65"/>
      <c r="S56" s="65"/>
    </row>
    <row r="57" spans="1:19" x14ac:dyDescent="0.2">
      <c r="A57" s="74"/>
      <c r="C57" s="65"/>
      <c r="D57" s="65"/>
      <c r="E57" s="65"/>
      <c r="F57" s="65"/>
      <c r="G57" s="65"/>
      <c r="H57" s="65"/>
      <c r="I57" s="65"/>
      <c r="J57" s="65"/>
      <c r="K57" s="65"/>
      <c r="L57" s="69"/>
      <c r="M57" s="69"/>
      <c r="N57" s="65"/>
      <c r="O57" s="65"/>
      <c r="P57" s="65"/>
      <c r="Q57" s="65"/>
      <c r="R57" s="65"/>
      <c r="S57" s="65"/>
    </row>
    <row r="58" spans="1:19" x14ac:dyDescent="0.2">
      <c r="A58" s="74"/>
      <c r="C58" s="65"/>
      <c r="D58" s="65"/>
      <c r="E58" s="65"/>
      <c r="F58" s="65"/>
      <c r="G58" s="65"/>
      <c r="H58" s="65"/>
      <c r="I58" s="65"/>
      <c r="J58" s="65"/>
      <c r="K58" s="65"/>
      <c r="L58" s="69"/>
      <c r="M58" s="69"/>
      <c r="N58" s="65"/>
      <c r="O58" s="65"/>
      <c r="P58" s="65"/>
      <c r="Q58" s="65"/>
      <c r="R58" s="65"/>
      <c r="S58" s="65"/>
    </row>
    <row r="59" spans="1:19" x14ac:dyDescent="0.2">
      <c r="A59" s="74"/>
      <c r="C59" s="65"/>
      <c r="D59" s="65"/>
      <c r="E59" s="65"/>
      <c r="F59" s="65"/>
      <c r="G59" s="65"/>
      <c r="H59" s="65"/>
      <c r="I59" s="65"/>
      <c r="J59" s="65"/>
      <c r="K59" s="65"/>
      <c r="L59" s="69"/>
      <c r="M59" s="69"/>
      <c r="N59" s="65"/>
      <c r="O59" s="65"/>
      <c r="P59" s="65"/>
      <c r="Q59" s="65"/>
      <c r="R59" s="65"/>
      <c r="S59" s="65"/>
    </row>
    <row r="60" spans="1:19" x14ac:dyDescent="0.2">
      <c r="A60" s="74"/>
      <c r="C60" s="65"/>
      <c r="D60" s="65"/>
      <c r="E60" s="65"/>
      <c r="F60" s="65"/>
      <c r="G60" s="65"/>
      <c r="H60" s="65"/>
      <c r="I60" s="65"/>
      <c r="J60" s="65"/>
      <c r="K60" s="65"/>
      <c r="L60" s="69"/>
      <c r="M60" s="69"/>
      <c r="N60" s="65"/>
      <c r="O60" s="65"/>
      <c r="P60" s="65"/>
      <c r="Q60" s="65"/>
      <c r="R60" s="65"/>
      <c r="S60" s="65"/>
    </row>
    <row r="61" spans="1:19" x14ac:dyDescent="0.2">
      <c r="A61" s="74"/>
      <c r="C61" s="65"/>
      <c r="D61" s="65"/>
      <c r="E61" s="65"/>
      <c r="F61" s="65"/>
      <c r="G61" s="65"/>
      <c r="H61" s="65"/>
      <c r="I61" s="65"/>
      <c r="J61" s="65"/>
      <c r="K61" s="65"/>
      <c r="L61" s="69"/>
      <c r="M61" s="69"/>
      <c r="N61" s="65"/>
      <c r="O61" s="65"/>
      <c r="P61" s="65"/>
      <c r="Q61" s="65"/>
      <c r="R61" s="65"/>
      <c r="S61" s="65"/>
    </row>
    <row r="62" spans="1:19" x14ac:dyDescent="0.2">
      <c r="A62" s="74"/>
      <c r="C62" s="65"/>
      <c r="D62" s="65"/>
      <c r="E62" s="65"/>
      <c r="F62" s="65"/>
      <c r="G62" s="65"/>
      <c r="H62" s="65"/>
      <c r="I62" s="65"/>
      <c r="J62" s="65"/>
      <c r="K62" s="65"/>
      <c r="L62" s="69"/>
      <c r="M62" s="69"/>
      <c r="N62" s="65"/>
      <c r="O62" s="65"/>
      <c r="P62" s="65"/>
      <c r="Q62" s="65"/>
      <c r="R62" s="65"/>
      <c r="S62" s="65"/>
    </row>
    <row r="63" spans="1:19" x14ac:dyDescent="0.2">
      <c r="A63" s="74"/>
      <c r="C63" s="65"/>
      <c r="D63" s="65"/>
      <c r="E63" s="65"/>
      <c r="F63" s="65"/>
      <c r="G63" s="65"/>
      <c r="H63" s="65"/>
      <c r="I63" s="65"/>
      <c r="J63" s="65"/>
      <c r="K63" s="65"/>
      <c r="L63" s="69"/>
      <c r="M63" s="69"/>
      <c r="N63" s="65"/>
      <c r="O63" s="65"/>
      <c r="P63" s="65"/>
      <c r="Q63" s="65"/>
      <c r="R63" s="65"/>
      <c r="S63" s="65"/>
    </row>
    <row r="64" spans="1:19" x14ac:dyDescent="0.2">
      <c r="A64" s="74"/>
      <c r="C64" s="65"/>
      <c r="D64" s="65"/>
      <c r="E64" s="65"/>
      <c r="F64" s="65"/>
      <c r="G64" s="65"/>
      <c r="H64" s="65"/>
      <c r="I64" s="65"/>
      <c r="J64" s="65"/>
      <c r="K64" s="65"/>
      <c r="L64" s="69"/>
      <c r="M64" s="69"/>
      <c r="N64" s="65"/>
      <c r="O64" s="65"/>
      <c r="P64" s="65"/>
      <c r="Q64" s="65"/>
      <c r="R64" s="65"/>
      <c r="S64" s="65"/>
    </row>
    <row r="65" spans="1:19" x14ac:dyDescent="0.2">
      <c r="A65" s="74"/>
      <c r="C65" s="65"/>
      <c r="D65" s="65"/>
      <c r="E65" s="65"/>
      <c r="F65" s="65"/>
      <c r="G65" s="65"/>
      <c r="H65" s="65"/>
      <c r="I65" s="65"/>
      <c r="J65" s="65"/>
      <c r="K65" s="65"/>
      <c r="L65" s="69"/>
      <c r="M65" s="69"/>
      <c r="N65" s="65"/>
      <c r="O65" s="65"/>
      <c r="P65" s="65"/>
      <c r="Q65" s="65"/>
      <c r="R65" s="65"/>
      <c r="S65" s="65"/>
    </row>
    <row r="66" spans="1:19" x14ac:dyDescent="0.2">
      <c r="A66" s="74"/>
      <c r="C66" s="65"/>
      <c r="D66" s="65"/>
      <c r="E66" s="65"/>
      <c r="F66" s="65"/>
      <c r="G66" s="65"/>
      <c r="H66" s="65"/>
      <c r="I66" s="65"/>
      <c r="J66" s="65"/>
      <c r="K66" s="65"/>
      <c r="L66" s="69"/>
      <c r="M66" s="69"/>
      <c r="N66" s="65"/>
      <c r="O66" s="65"/>
      <c r="P66" s="65"/>
      <c r="Q66" s="65"/>
      <c r="R66" s="65"/>
      <c r="S66" s="65"/>
    </row>
    <row r="67" spans="1:19" x14ac:dyDescent="0.2">
      <c r="A67" s="74"/>
      <c r="C67" s="65"/>
      <c r="D67" s="65"/>
      <c r="E67" s="65"/>
      <c r="F67" s="65"/>
      <c r="G67" s="65"/>
      <c r="H67" s="65"/>
      <c r="I67" s="65"/>
      <c r="J67" s="65"/>
      <c r="K67" s="65"/>
      <c r="L67" s="69"/>
      <c r="M67" s="69"/>
      <c r="N67" s="65"/>
      <c r="O67" s="65"/>
      <c r="P67" s="65"/>
      <c r="Q67" s="65"/>
      <c r="R67" s="65"/>
      <c r="S67" s="65"/>
    </row>
    <row r="68" spans="1:19" x14ac:dyDescent="0.2">
      <c r="A68" s="74"/>
      <c r="C68" s="65"/>
      <c r="D68" s="65"/>
      <c r="E68" s="65"/>
      <c r="F68" s="65"/>
      <c r="G68" s="65"/>
      <c r="H68" s="65"/>
      <c r="I68" s="65"/>
      <c r="J68" s="65"/>
      <c r="K68" s="65"/>
      <c r="L68" s="69"/>
      <c r="M68" s="69"/>
      <c r="N68" s="65"/>
      <c r="O68" s="65"/>
      <c r="P68" s="65"/>
      <c r="Q68" s="65"/>
      <c r="R68" s="65"/>
      <c r="S68" s="65"/>
    </row>
    <row r="69" spans="1:19" x14ac:dyDescent="0.2">
      <c r="A69" s="74"/>
      <c r="C69" s="65"/>
      <c r="D69" s="65"/>
      <c r="E69" s="65"/>
      <c r="F69" s="65"/>
      <c r="G69" s="65"/>
      <c r="H69" s="65"/>
      <c r="I69" s="65"/>
      <c r="J69" s="65"/>
      <c r="K69" s="65"/>
      <c r="L69" s="69"/>
      <c r="M69" s="69"/>
      <c r="N69" s="65"/>
      <c r="O69" s="65"/>
      <c r="P69" s="65"/>
      <c r="Q69" s="65"/>
      <c r="R69" s="65"/>
      <c r="S69" s="65"/>
    </row>
    <row r="70" spans="1:19" x14ac:dyDescent="0.2">
      <c r="A70" s="74"/>
      <c r="C70" s="65"/>
      <c r="D70" s="65"/>
      <c r="E70" s="65"/>
      <c r="F70" s="65"/>
      <c r="G70" s="65"/>
      <c r="H70" s="65"/>
      <c r="I70" s="65"/>
      <c r="J70" s="65"/>
      <c r="K70" s="65"/>
      <c r="L70" s="69"/>
      <c r="M70" s="69"/>
      <c r="N70" s="65"/>
      <c r="O70" s="65"/>
      <c r="P70" s="65"/>
      <c r="Q70" s="65"/>
      <c r="R70" s="65"/>
      <c r="S70" s="65"/>
    </row>
    <row r="71" spans="1:19" x14ac:dyDescent="0.2">
      <c r="A71" s="74"/>
      <c r="C71" s="65"/>
      <c r="D71" s="65"/>
      <c r="E71" s="65"/>
      <c r="F71" s="65"/>
      <c r="G71" s="65"/>
      <c r="H71" s="65"/>
      <c r="I71" s="65"/>
      <c r="J71" s="65"/>
      <c r="K71" s="65"/>
      <c r="L71" s="69"/>
      <c r="M71" s="69"/>
      <c r="N71" s="65"/>
      <c r="O71" s="65"/>
      <c r="P71" s="65"/>
      <c r="Q71" s="65"/>
      <c r="R71" s="65"/>
      <c r="S71" s="65"/>
    </row>
    <row r="72" spans="1:19" x14ac:dyDescent="0.2">
      <c r="A72" s="74"/>
      <c r="C72" s="65"/>
      <c r="D72" s="65"/>
      <c r="E72" s="65"/>
      <c r="F72" s="65"/>
      <c r="G72" s="65"/>
      <c r="H72" s="65"/>
      <c r="I72" s="65"/>
      <c r="J72" s="65"/>
      <c r="K72" s="65"/>
      <c r="L72" s="69"/>
      <c r="M72" s="69"/>
      <c r="N72" s="65"/>
      <c r="O72" s="65"/>
      <c r="P72" s="65"/>
      <c r="Q72" s="65"/>
      <c r="R72" s="65"/>
      <c r="S72" s="65"/>
    </row>
    <row r="73" spans="1:19" x14ac:dyDescent="0.2">
      <c r="A73" s="74"/>
      <c r="C73" s="65"/>
      <c r="D73" s="65"/>
      <c r="E73" s="65"/>
      <c r="F73" s="65"/>
      <c r="G73" s="65"/>
      <c r="H73" s="65"/>
      <c r="I73" s="65"/>
      <c r="J73" s="65"/>
      <c r="K73" s="65"/>
      <c r="L73" s="69"/>
      <c r="M73" s="69"/>
      <c r="N73" s="65"/>
      <c r="O73" s="65"/>
      <c r="P73" s="65"/>
      <c r="Q73" s="65"/>
      <c r="R73" s="65"/>
      <c r="S73" s="65"/>
    </row>
    <row r="74" spans="1:19" x14ac:dyDescent="0.2">
      <c r="A74" s="74"/>
      <c r="C74" s="65"/>
      <c r="D74" s="65"/>
      <c r="E74" s="65"/>
      <c r="F74" s="65"/>
      <c r="G74" s="65"/>
      <c r="H74" s="65"/>
      <c r="I74" s="65"/>
      <c r="J74" s="65"/>
      <c r="K74" s="65"/>
      <c r="L74" s="69"/>
      <c r="M74" s="69"/>
      <c r="N74" s="65"/>
      <c r="O74" s="65"/>
      <c r="P74" s="65"/>
      <c r="Q74" s="65"/>
      <c r="R74" s="65"/>
      <c r="S74" s="65"/>
    </row>
    <row r="75" spans="1:19" x14ac:dyDescent="0.2">
      <c r="A75" s="74"/>
      <c r="C75" s="65"/>
      <c r="D75" s="65"/>
      <c r="E75" s="65"/>
      <c r="F75" s="65"/>
      <c r="G75" s="65"/>
      <c r="H75" s="65"/>
      <c r="I75" s="65"/>
      <c r="J75" s="65"/>
      <c r="K75" s="65"/>
      <c r="L75" s="69"/>
      <c r="M75" s="69"/>
      <c r="N75" s="65"/>
      <c r="O75" s="65"/>
      <c r="P75" s="65"/>
      <c r="Q75" s="65"/>
      <c r="R75" s="65"/>
      <c r="S75" s="65"/>
    </row>
    <row r="76" spans="1:19" x14ac:dyDescent="0.2">
      <c r="A76" s="74"/>
      <c r="C76" s="65"/>
      <c r="D76" s="65"/>
      <c r="E76" s="65"/>
      <c r="F76" s="65"/>
      <c r="G76" s="65"/>
      <c r="H76" s="65"/>
      <c r="I76" s="65"/>
      <c r="J76" s="65"/>
      <c r="K76" s="65"/>
      <c r="L76" s="69"/>
      <c r="M76" s="69"/>
      <c r="N76" s="65"/>
      <c r="O76" s="65"/>
      <c r="P76" s="65"/>
      <c r="Q76" s="65"/>
      <c r="R76" s="65"/>
      <c r="S76" s="65"/>
    </row>
    <row r="77" spans="1:19" x14ac:dyDescent="0.2">
      <c r="A77" s="74"/>
      <c r="C77" s="65"/>
      <c r="D77" s="65"/>
      <c r="E77" s="65"/>
      <c r="F77" s="65"/>
      <c r="G77" s="65"/>
      <c r="H77" s="65"/>
      <c r="I77" s="65"/>
      <c r="J77" s="65"/>
      <c r="K77" s="65"/>
      <c r="L77" s="69"/>
      <c r="M77" s="69"/>
      <c r="N77" s="65"/>
      <c r="O77" s="65"/>
      <c r="P77" s="65"/>
      <c r="Q77" s="65"/>
      <c r="R77" s="65"/>
      <c r="S77" s="65"/>
    </row>
    <row r="78" spans="1:19" x14ac:dyDescent="0.2">
      <c r="A78" s="74"/>
      <c r="C78" s="65"/>
      <c r="D78" s="65"/>
      <c r="E78" s="65"/>
      <c r="F78" s="65"/>
      <c r="G78" s="65"/>
      <c r="H78" s="65"/>
      <c r="I78" s="65"/>
      <c r="J78" s="65"/>
      <c r="K78" s="65"/>
      <c r="L78" s="69"/>
      <c r="M78" s="69"/>
      <c r="N78" s="65"/>
      <c r="O78" s="65"/>
      <c r="P78" s="65"/>
      <c r="Q78" s="65"/>
      <c r="R78" s="65"/>
      <c r="S78" s="65"/>
    </row>
    <row r="79" spans="1:19" x14ac:dyDescent="0.2">
      <c r="A79" s="74"/>
      <c r="C79" s="65"/>
      <c r="D79" s="65"/>
      <c r="E79" s="65"/>
      <c r="F79" s="65"/>
      <c r="G79" s="65"/>
      <c r="H79" s="65"/>
      <c r="I79" s="65"/>
      <c r="J79" s="65"/>
      <c r="K79" s="65"/>
      <c r="L79" s="69"/>
      <c r="M79" s="69"/>
      <c r="N79" s="65"/>
      <c r="O79" s="65"/>
      <c r="P79" s="65"/>
      <c r="Q79" s="65"/>
      <c r="R79" s="65"/>
      <c r="S79" s="65"/>
    </row>
    <row r="80" spans="1:19" x14ac:dyDescent="0.2">
      <c r="A80" s="74"/>
      <c r="C80" s="65"/>
      <c r="D80" s="65"/>
      <c r="E80" s="65"/>
      <c r="F80" s="65"/>
      <c r="G80" s="65"/>
      <c r="H80" s="65"/>
      <c r="I80" s="65"/>
      <c r="J80" s="65"/>
      <c r="K80" s="65"/>
      <c r="L80" s="69"/>
      <c r="M80" s="69"/>
      <c r="N80" s="65"/>
      <c r="O80" s="65"/>
      <c r="P80" s="65"/>
      <c r="Q80" s="65"/>
      <c r="R80" s="65"/>
      <c r="S80" s="65"/>
    </row>
    <row r="81" spans="1:19" x14ac:dyDescent="0.2">
      <c r="A81" s="74"/>
      <c r="C81" s="65"/>
      <c r="D81" s="65"/>
      <c r="E81" s="65"/>
      <c r="F81" s="65"/>
      <c r="G81" s="65"/>
      <c r="H81" s="65"/>
      <c r="I81" s="65"/>
      <c r="J81" s="65"/>
      <c r="K81" s="65"/>
      <c r="L81" s="69"/>
      <c r="M81" s="69"/>
      <c r="N81" s="65"/>
      <c r="O81" s="65"/>
      <c r="P81" s="65"/>
      <c r="Q81" s="65"/>
      <c r="R81" s="65"/>
      <c r="S81" s="65"/>
    </row>
    <row r="82" spans="1:19" x14ac:dyDescent="0.2">
      <c r="A82" s="74"/>
      <c r="C82" s="65"/>
      <c r="D82" s="65"/>
      <c r="E82" s="65"/>
      <c r="F82" s="65"/>
      <c r="G82" s="65"/>
      <c r="H82" s="65"/>
      <c r="I82" s="65"/>
      <c r="J82" s="65"/>
      <c r="K82" s="65"/>
      <c r="L82" s="69"/>
      <c r="M82" s="69"/>
      <c r="N82" s="65"/>
      <c r="O82" s="65"/>
      <c r="P82" s="65"/>
      <c r="Q82" s="65"/>
      <c r="R82" s="65"/>
      <c r="S82" s="65"/>
    </row>
    <row r="83" spans="1:19" x14ac:dyDescent="0.2">
      <c r="A83" s="74"/>
      <c r="C83" s="65"/>
      <c r="D83" s="65"/>
      <c r="E83" s="65"/>
      <c r="F83" s="65"/>
      <c r="G83" s="65"/>
      <c r="H83" s="65"/>
      <c r="I83" s="65"/>
      <c r="J83" s="65"/>
      <c r="K83" s="65"/>
      <c r="L83" s="69"/>
      <c r="M83" s="69"/>
      <c r="N83" s="65"/>
      <c r="O83" s="65"/>
      <c r="P83" s="65"/>
      <c r="Q83" s="65"/>
      <c r="R83" s="65"/>
      <c r="S83" s="65"/>
    </row>
    <row r="84" spans="1:19" x14ac:dyDescent="0.2">
      <c r="A84" s="74"/>
      <c r="C84" s="65"/>
      <c r="D84" s="65"/>
      <c r="E84" s="65"/>
      <c r="F84" s="65"/>
      <c r="G84" s="65"/>
      <c r="H84" s="65"/>
      <c r="I84" s="65"/>
      <c r="J84" s="65"/>
      <c r="K84" s="65"/>
      <c r="L84" s="69"/>
      <c r="M84" s="69"/>
      <c r="N84" s="65"/>
      <c r="O84" s="65"/>
      <c r="P84" s="65"/>
      <c r="Q84" s="65"/>
      <c r="R84" s="65"/>
      <c r="S84" s="65"/>
    </row>
    <row r="85" spans="1:19" x14ac:dyDescent="0.2">
      <c r="A85" s="74"/>
      <c r="C85" s="65"/>
      <c r="D85" s="65"/>
      <c r="E85" s="65"/>
      <c r="F85" s="65"/>
      <c r="G85" s="65"/>
      <c r="H85" s="65"/>
      <c r="I85" s="65"/>
      <c r="J85" s="65"/>
      <c r="K85" s="65"/>
      <c r="L85" s="69"/>
      <c r="M85" s="69"/>
      <c r="N85" s="65"/>
      <c r="O85" s="65"/>
      <c r="P85" s="65"/>
      <c r="Q85" s="65"/>
      <c r="R85" s="65"/>
      <c r="S85" s="65"/>
    </row>
    <row r="86" spans="1:19" x14ac:dyDescent="0.2">
      <c r="A86" s="74"/>
      <c r="C86" s="65"/>
      <c r="D86" s="65"/>
      <c r="E86" s="65"/>
      <c r="F86" s="65"/>
      <c r="G86" s="65"/>
      <c r="H86" s="65"/>
      <c r="I86" s="65"/>
      <c r="J86" s="65"/>
      <c r="K86" s="65"/>
      <c r="L86" s="69"/>
      <c r="M86" s="69"/>
      <c r="N86" s="65"/>
      <c r="O86" s="65"/>
      <c r="P86" s="65"/>
      <c r="Q86" s="65"/>
      <c r="R86" s="65"/>
      <c r="S86" s="65"/>
    </row>
    <row r="87" spans="1:19" x14ac:dyDescent="0.2">
      <c r="A87" s="74"/>
      <c r="C87" s="65"/>
      <c r="D87" s="65"/>
      <c r="E87" s="65"/>
      <c r="F87" s="65"/>
      <c r="G87" s="65"/>
      <c r="H87" s="65"/>
      <c r="I87" s="65"/>
      <c r="J87" s="65"/>
      <c r="K87" s="65"/>
      <c r="L87" s="69"/>
      <c r="M87" s="69"/>
      <c r="N87" s="65"/>
      <c r="O87" s="65"/>
      <c r="P87" s="65"/>
      <c r="Q87" s="65"/>
      <c r="R87" s="65"/>
      <c r="S87" s="65"/>
    </row>
    <row r="88" spans="1:19" x14ac:dyDescent="0.2">
      <c r="A88" s="74"/>
      <c r="C88" s="65"/>
      <c r="D88" s="65"/>
      <c r="E88" s="65"/>
      <c r="F88" s="65"/>
      <c r="G88" s="65"/>
      <c r="H88" s="65"/>
      <c r="I88" s="65"/>
      <c r="J88" s="65"/>
      <c r="K88" s="65"/>
      <c r="L88" s="69"/>
      <c r="M88" s="69"/>
      <c r="N88" s="65"/>
      <c r="O88" s="65"/>
      <c r="P88" s="65"/>
      <c r="Q88" s="65"/>
      <c r="R88" s="65"/>
      <c r="S88" s="65"/>
    </row>
    <row r="89" spans="1:19" x14ac:dyDescent="0.2">
      <c r="A89" s="74"/>
      <c r="C89" s="65"/>
      <c r="D89" s="65"/>
      <c r="E89" s="65"/>
      <c r="F89" s="65"/>
      <c r="G89" s="65"/>
      <c r="H89" s="65"/>
      <c r="I89" s="65"/>
      <c r="J89" s="65"/>
      <c r="K89" s="65"/>
      <c r="L89" s="69"/>
      <c r="M89" s="69"/>
      <c r="N89" s="65"/>
      <c r="O89" s="65"/>
      <c r="P89" s="65"/>
      <c r="Q89" s="65"/>
      <c r="R89" s="65"/>
      <c r="S89" s="65"/>
    </row>
    <row r="90" spans="1:19" x14ac:dyDescent="0.2">
      <c r="A90" s="74"/>
      <c r="C90" s="65"/>
      <c r="D90" s="65"/>
      <c r="E90" s="65"/>
      <c r="F90" s="65"/>
      <c r="G90" s="65"/>
      <c r="H90" s="65"/>
      <c r="I90" s="65"/>
      <c r="J90" s="65"/>
      <c r="K90" s="65"/>
      <c r="L90" s="69"/>
      <c r="M90" s="69"/>
      <c r="N90" s="65"/>
      <c r="O90" s="65"/>
      <c r="P90" s="65"/>
      <c r="Q90" s="65"/>
      <c r="R90" s="65"/>
      <c r="S90" s="65"/>
    </row>
    <row r="91" spans="1:19" x14ac:dyDescent="0.2">
      <c r="A91" s="74"/>
      <c r="C91" s="65"/>
      <c r="D91" s="65"/>
      <c r="E91" s="65"/>
      <c r="F91" s="65"/>
      <c r="G91" s="65"/>
      <c r="H91" s="65"/>
      <c r="I91" s="65"/>
      <c r="J91" s="65"/>
      <c r="K91" s="65"/>
      <c r="L91" s="69"/>
      <c r="M91" s="69"/>
      <c r="N91" s="65"/>
      <c r="O91" s="65"/>
      <c r="P91" s="65"/>
      <c r="Q91" s="65"/>
      <c r="R91" s="65"/>
      <c r="S91" s="65"/>
    </row>
    <row r="92" spans="1:19" x14ac:dyDescent="0.2">
      <c r="A92" s="74"/>
      <c r="C92" s="65"/>
      <c r="D92" s="65"/>
      <c r="E92" s="65"/>
      <c r="F92" s="65"/>
      <c r="G92" s="65"/>
      <c r="H92" s="65"/>
      <c r="I92" s="65"/>
      <c r="J92" s="65"/>
      <c r="K92" s="65"/>
      <c r="L92" s="69"/>
      <c r="M92" s="69"/>
      <c r="N92" s="65"/>
      <c r="O92" s="65"/>
      <c r="P92" s="65"/>
      <c r="Q92" s="65"/>
      <c r="R92" s="65"/>
      <c r="S92" s="65"/>
    </row>
    <row r="93" spans="1:19" x14ac:dyDescent="0.2">
      <c r="A93" s="74"/>
      <c r="C93" s="65"/>
      <c r="D93" s="65"/>
      <c r="E93" s="65"/>
      <c r="F93" s="65"/>
      <c r="G93" s="65"/>
      <c r="H93" s="65"/>
      <c r="I93" s="65"/>
      <c r="J93" s="65"/>
      <c r="K93" s="65"/>
      <c r="L93" s="69"/>
      <c r="M93" s="69"/>
      <c r="N93" s="65"/>
      <c r="O93" s="65"/>
      <c r="P93" s="65"/>
      <c r="Q93" s="65"/>
      <c r="R93" s="65"/>
      <c r="S93" s="65"/>
    </row>
    <row r="94" spans="1:19" x14ac:dyDescent="0.2">
      <c r="A94" s="74"/>
      <c r="C94" s="65"/>
      <c r="D94" s="65"/>
      <c r="E94" s="65"/>
      <c r="F94" s="65"/>
      <c r="G94" s="65"/>
      <c r="H94" s="65"/>
      <c r="I94" s="65"/>
      <c r="J94" s="65"/>
      <c r="K94" s="65"/>
      <c r="L94" s="69"/>
      <c r="M94" s="69"/>
      <c r="N94" s="65"/>
      <c r="O94" s="65"/>
      <c r="P94" s="65"/>
      <c r="Q94" s="65"/>
      <c r="R94" s="65"/>
      <c r="S94" s="65"/>
    </row>
    <row r="95" spans="1:19" x14ac:dyDescent="0.2">
      <c r="A95" s="74"/>
      <c r="C95" s="65"/>
      <c r="D95" s="65"/>
      <c r="E95" s="65"/>
      <c r="F95" s="65"/>
      <c r="G95" s="65"/>
      <c r="H95" s="65"/>
      <c r="I95" s="65"/>
      <c r="J95" s="65"/>
      <c r="K95" s="65"/>
      <c r="L95" s="69"/>
      <c r="M95" s="69"/>
      <c r="N95" s="65"/>
      <c r="O95" s="65"/>
      <c r="P95" s="65"/>
      <c r="Q95" s="65"/>
      <c r="R95" s="65"/>
      <c r="S95" s="65"/>
    </row>
    <row r="96" spans="1:19" x14ac:dyDescent="0.2">
      <c r="A96" s="74"/>
      <c r="C96" s="65"/>
      <c r="D96" s="65"/>
      <c r="E96" s="65"/>
      <c r="F96" s="65"/>
      <c r="G96" s="65"/>
      <c r="H96" s="65"/>
      <c r="I96" s="65"/>
      <c r="J96" s="65"/>
      <c r="K96" s="65"/>
      <c r="L96" s="69"/>
      <c r="M96" s="69"/>
      <c r="N96" s="65"/>
      <c r="O96" s="65"/>
      <c r="P96" s="65"/>
      <c r="Q96" s="65"/>
      <c r="R96" s="65"/>
      <c r="S96" s="65"/>
    </row>
    <row r="97" spans="1:19" x14ac:dyDescent="0.2">
      <c r="A97" s="74"/>
      <c r="C97" s="65"/>
      <c r="D97" s="65"/>
      <c r="E97" s="65"/>
      <c r="F97" s="65"/>
      <c r="G97" s="65"/>
      <c r="H97" s="65"/>
      <c r="I97" s="65"/>
      <c r="J97" s="65"/>
      <c r="K97" s="65"/>
      <c r="L97" s="69"/>
      <c r="M97" s="69"/>
      <c r="N97" s="65"/>
      <c r="O97" s="65"/>
      <c r="P97" s="65"/>
      <c r="Q97" s="65"/>
      <c r="R97" s="65"/>
      <c r="S97" s="65"/>
    </row>
    <row r="98" spans="1:19" x14ac:dyDescent="0.2">
      <c r="A98" s="74"/>
      <c r="C98" s="65"/>
      <c r="D98" s="65"/>
      <c r="E98" s="65"/>
      <c r="F98" s="65"/>
      <c r="G98" s="65"/>
      <c r="H98" s="65"/>
      <c r="I98" s="65"/>
      <c r="J98" s="65"/>
      <c r="K98" s="65"/>
      <c r="L98" s="69"/>
      <c r="M98" s="69"/>
      <c r="N98" s="65"/>
      <c r="O98" s="65"/>
      <c r="P98" s="65"/>
      <c r="Q98" s="65"/>
      <c r="R98" s="65"/>
      <c r="S98" s="65"/>
    </row>
    <row r="99" spans="1:19" x14ac:dyDescent="0.2">
      <c r="A99" s="74"/>
      <c r="C99" s="65"/>
      <c r="D99" s="65"/>
      <c r="E99" s="65"/>
      <c r="F99" s="65"/>
      <c r="G99" s="65"/>
      <c r="H99" s="65"/>
      <c r="I99" s="65"/>
      <c r="J99" s="65"/>
      <c r="K99" s="65"/>
      <c r="L99" s="69"/>
      <c r="M99" s="69"/>
      <c r="N99" s="65"/>
      <c r="O99" s="65"/>
      <c r="P99" s="65"/>
      <c r="Q99" s="65"/>
      <c r="R99" s="65"/>
      <c r="S99" s="65"/>
    </row>
    <row r="100" spans="1:19" x14ac:dyDescent="0.2">
      <c r="A100" s="74"/>
      <c r="C100" s="65"/>
      <c r="D100" s="65"/>
      <c r="E100" s="65"/>
      <c r="F100" s="65"/>
      <c r="G100" s="65"/>
      <c r="H100" s="65"/>
      <c r="I100" s="65"/>
      <c r="J100" s="65"/>
      <c r="K100" s="65"/>
      <c r="L100" s="69"/>
      <c r="M100" s="69"/>
      <c r="N100" s="65"/>
      <c r="O100" s="65"/>
      <c r="P100" s="65"/>
      <c r="Q100" s="65"/>
      <c r="R100" s="65"/>
      <c r="S100" s="65"/>
    </row>
    <row r="101" spans="1:19" x14ac:dyDescent="0.2">
      <c r="A101" s="74"/>
      <c r="C101" s="65"/>
      <c r="D101" s="65"/>
      <c r="E101" s="65"/>
      <c r="F101" s="65"/>
      <c r="G101" s="65"/>
      <c r="H101" s="65"/>
      <c r="I101" s="65"/>
      <c r="J101" s="65"/>
      <c r="K101" s="65"/>
      <c r="L101" s="69"/>
      <c r="M101" s="69"/>
      <c r="N101" s="65"/>
      <c r="O101" s="65"/>
      <c r="P101" s="65"/>
      <c r="Q101" s="65"/>
      <c r="R101" s="65"/>
      <c r="S101" s="65"/>
    </row>
    <row r="102" spans="1:19" x14ac:dyDescent="0.2">
      <c r="A102" s="74"/>
      <c r="C102" s="65"/>
      <c r="D102" s="65"/>
      <c r="E102" s="65"/>
      <c r="F102" s="65"/>
      <c r="G102" s="65"/>
      <c r="H102" s="65"/>
      <c r="I102" s="65"/>
      <c r="J102" s="65"/>
      <c r="K102" s="65"/>
      <c r="L102" s="69"/>
      <c r="M102" s="69"/>
      <c r="N102" s="65"/>
      <c r="O102" s="65"/>
      <c r="P102" s="65"/>
      <c r="Q102" s="65"/>
      <c r="R102" s="65"/>
      <c r="S102" s="65"/>
    </row>
    <row r="103" spans="1:19" x14ac:dyDescent="0.2">
      <c r="A103" s="74"/>
      <c r="C103" s="65"/>
      <c r="D103" s="65"/>
      <c r="E103" s="65"/>
      <c r="F103" s="65"/>
      <c r="G103" s="65"/>
      <c r="H103" s="65"/>
      <c r="I103" s="65"/>
      <c r="J103" s="65"/>
      <c r="K103" s="65"/>
      <c r="L103" s="69"/>
      <c r="M103" s="69"/>
      <c r="N103" s="65"/>
      <c r="O103" s="65"/>
      <c r="P103" s="65"/>
      <c r="Q103" s="65"/>
      <c r="R103" s="65"/>
      <c r="S103" s="65"/>
    </row>
    <row r="104" spans="1:19" x14ac:dyDescent="0.2">
      <c r="A104" s="74"/>
      <c r="C104" s="65"/>
      <c r="D104" s="65"/>
      <c r="E104" s="65"/>
      <c r="F104" s="65"/>
      <c r="G104" s="65"/>
      <c r="H104" s="65"/>
      <c r="I104" s="65"/>
      <c r="J104" s="65"/>
      <c r="K104" s="65"/>
      <c r="L104" s="69"/>
      <c r="M104" s="69"/>
      <c r="N104" s="65"/>
      <c r="O104" s="65"/>
      <c r="P104" s="65"/>
      <c r="Q104" s="65"/>
      <c r="R104" s="65"/>
      <c r="S104" s="65"/>
    </row>
    <row r="105" spans="1:19" x14ac:dyDescent="0.2">
      <c r="A105" s="74"/>
      <c r="C105" s="65"/>
      <c r="D105" s="65"/>
      <c r="E105" s="65"/>
      <c r="F105" s="65"/>
      <c r="G105" s="65"/>
      <c r="H105" s="65"/>
      <c r="I105" s="65"/>
      <c r="J105" s="65"/>
      <c r="K105" s="65"/>
      <c r="L105" s="69"/>
      <c r="M105" s="69"/>
      <c r="N105" s="65"/>
      <c r="O105" s="65"/>
      <c r="P105" s="65"/>
      <c r="Q105" s="65"/>
      <c r="R105" s="65"/>
      <c r="S105" s="65"/>
    </row>
    <row r="106" spans="1:19" x14ac:dyDescent="0.2">
      <c r="A106" s="74"/>
      <c r="C106" s="65"/>
      <c r="D106" s="65"/>
      <c r="E106" s="65"/>
      <c r="F106" s="65"/>
      <c r="G106" s="65"/>
      <c r="H106" s="65"/>
      <c r="I106" s="65"/>
      <c r="J106" s="65"/>
      <c r="K106" s="65"/>
      <c r="L106" s="69"/>
      <c r="M106" s="69"/>
      <c r="N106" s="65"/>
      <c r="O106" s="65"/>
      <c r="P106" s="65"/>
      <c r="Q106" s="65"/>
      <c r="R106" s="65"/>
      <c r="S106" s="65"/>
    </row>
    <row r="107" spans="1:19" x14ac:dyDescent="0.2">
      <c r="A107" s="74"/>
      <c r="C107" s="65"/>
      <c r="D107" s="65"/>
      <c r="E107" s="65"/>
      <c r="F107" s="65"/>
      <c r="G107" s="65"/>
      <c r="H107" s="65"/>
      <c r="I107" s="65"/>
      <c r="J107" s="65"/>
      <c r="K107" s="65"/>
      <c r="L107" s="69"/>
      <c r="M107" s="69"/>
      <c r="N107" s="65"/>
      <c r="O107" s="65"/>
      <c r="P107" s="65"/>
      <c r="Q107" s="65"/>
      <c r="R107" s="65"/>
      <c r="S107" s="65"/>
    </row>
    <row r="108" spans="1:19" x14ac:dyDescent="0.2">
      <c r="A108" s="74"/>
      <c r="C108" s="65"/>
      <c r="D108" s="65"/>
      <c r="E108" s="65"/>
      <c r="F108" s="65"/>
      <c r="G108" s="65"/>
      <c r="H108" s="65"/>
      <c r="I108" s="65"/>
      <c r="J108" s="65"/>
      <c r="K108" s="65"/>
      <c r="L108" s="69"/>
      <c r="M108" s="69"/>
      <c r="N108" s="65"/>
      <c r="O108" s="65"/>
      <c r="P108" s="65"/>
      <c r="Q108" s="65"/>
      <c r="R108" s="65"/>
      <c r="S108" s="65"/>
    </row>
    <row r="109" spans="1:19" x14ac:dyDescent="0.2">
      <c r="A109" s="74"/>
      <c r="C109" s="65"/>
      <c r="D109" s="65"/>
      <c r="E109" s="65"/>
      <c r="F109" s="65"/>
      <c r="G109" s="65"/>
      <c r="H109" s="65"/>
      <c r="I109" s="65"/>
      <c r="J109" s="65"/>
      <c r="K109" s="65"/>
      <c r="L109" s="69"/>
      <c r="M109" s="69"/>
      <c r="N109" s="65"/>
      <c r="O109" s="65"/>
      <c r="P109" s="65"/>
      <c r="Q109" s="65"/>
      <c r="R109" s="65"/>
      <c r="S109" s="65"/>
    </row>
    <row r="110" spans="1:19" x14ac:dyDescent="0.2">
      <c r="A110" s="74"/>
      <c r="C110" s="65"/>
      <c r="D110" s="65"/>
      <c r="E110" s="65"/>
      <c r="F110" s="65"/>
      <c r="G110" s="65"/>
      <c r="H110" s="65"/>
      <c r="I110" s="65"/>
      <c r="J110" s="65"/>
      <c r="K110" s="65"/>
      <c r="L110" s="69"/>
      <c r="M110" s="69"/>
      <c r="N110" s="65"/>
      <c r="O110" s="65"/>
      <c r="P110" s="65"/>
      <c r="Q110" s="65"/>
      <c r="R110" s="65"/>
      <c r="S110" s="65"/>
    </row>
    <row r="111" spans="1:19" x14ac:dyDescent="0.2">
      <c r="A111" s="74"/>
      <c r="C111" s="65"/>
      <c r="D111" s="65"/>
      <c r="E111" s="65"/>
      <c r="F111" s="65"/>
      <c r="G111" s="65"/>
      <c r="H111" s="65"/>
      <c r="I111" s="65"/>
      <c r="J111" s="65"/>
      <c r="K111" s="65"/>
      <c r="L111" s="69"/>
      <c r="M111" s="69"/>
      <c r="N111" s="65"/>
      <c r="O111" s="65"/>
      <c r="P111" s="65"/>
      <c r="Q111" s="65"/>
      <c r="R111" s="65"/>
      <c r="S111" s="65"/>
    </row>
    <row r="112" spans="1:19" x14ac:dyDescent="0.2">
      <c r="A112" s="74"/>
      <c r="C112" s="65"/>
      <c r="D112" s="65"/>
      <c r="E112" s="65"/>
      <c r="F112" s="65"/>
      <c r="G112" s="65"/>
      <c r="H112" s="65"/>
      <c r="I112" s="65"/>
      <c r="J112" s="65"/>
      <c r="K112" s="65"/>
      <c r="L112" s="69"/>
      <c r="M112" s="69"/>
      <c r="N112" s="65"/>
      <c r="O112" s="65"/>
      <c r="P112" s="65"/>
      <c r="Q112" s="65"/>
      <c r="R112" s="65"/>
      <c r="S112" s="65"/>
    </row>
    <row r="113" spans="1:19" x14ac:dyDescent="0.2">
      <c r="A113" s="74"/>
      <c r="C113" s="65"/>
      <c r="D113" s="65"/>
      <c r="E113" s="65"/>
      <c r="F113" s="65"/>
      <c r="G113" s="65"/>
      <c r="H113" s="65"/>
      <c r="I113" s="65"/>
      <c r="J113" s="65"/>
      <c r="K113" s="65"/>
      <c r="L113" s="69"/>
      <c r="M113" s="69"/>
      <c r="N113" s="65"/>
      <c r="O113" s="65"/>
      <c r="P113" s="65"/>
      <c r="Q113" s="65"/>
      <c r="R113" s="65"/>
      <c r="S113" s="65"/>
    </row>
    <row r="114" spans="1:19" x14ac:dyDescent="0.2">
      <c r="A114" s="74"/>
      <c r="C114" s="65"/>
      <c r="D114" s="65"/>
      <c r="E114" s="65"/>
      <c r="F114" s="65"/>
      <c r="G114" s="65"/>
      <c r="H114" s="65"/>
      <c r="I114" s="65"/>
      <c r="J114" s="65"/>
      <c r="K114" s="65"/>
      <c r="L114" s="69"/>
      <c r="M114" s="69"/>
      <c r="N114" s="65"/>
      <c r="O114" s="65"/>
      <c r="P114" s="65"/>
      <c r="Q114" s="65"/>
      <c r="R114" s="65"/>
      <c r="S114" s="65"/>
    </row>
    <row r="115" spans="1:19" x14ac:dyDescent="0.2">
      <c r="A115" s="74"/>
      <c r="C115" s="65"/>
      <c r="D115" s="65"/>
      <c r="E115" s="65"/>
      <c r="F115" s="65"/>
      <c r="G115" s="65"/>
      <c r="H115" s="65"/>
      <c r="I115" s="65"/>
      <c r="J115" s="65"/>
      <c r="K115" s="65"/>
      <c r="L115" s="69"/>
      <c r="M115" s="69"/>
      <c r="N115" s="65"/>
      <c r="O115" s="65"/>
      <c r="P115" s="65"/>
      <c r="Q115" s="65"/>
      <c r="R115" s="65"/>
      <c r="S115" s="65"/>
    </row>
    <row r="116" spans="1:19" x14ac:dyDescent="0.2">
      <c r="A116" s="74"/>
      <c r="C116" s="65"/>
      <c r="D116" s="65"/>
      <c r="E116" s="65"/>
      <c r="F116" s="65"/>
      <c r="G116" s="65"/>
      <c r="H116" s="65"/>
      <c r="I116" s="65"/>
      <c r="J116" s="65"/>
      <c r="K116" s="65"/>
      <c r="L116" s="69"/>
      <c r="M116" s="69"/>
      <c r="N116" s="65"/>
      <c r="O116" s="65"/>
      <c r="P116" s="65"/>
      <c r="Q116" s="65"/>
      <c r="R116" s="65"/>
      <c r="S116" s="65"/>
    </row>
    <row r="117" spans="1:19" x14ac:dyDescent="0.2">
      <c r="A117" s="74"/>
      <c r="C117" s="65"/>
      <c r="D117" s="65"/>
      <c r="E117" s="65"/>
      <c r="F117" s="65"/>
      <c r="G117" s="65"/>
      <c r="H117" s="65"/>
      <c r="I117" s="65"/>
      <c r="J117" s="65"/>
      <c r="K117" s="65"/>
      <c r="L117" s="69"/>
      <c r="M117" s="69"/>
      <c r="N117" s="65"/>
      <c r="O117" s="65"/>
      <c r="P117" s="65"/>
      <c r="Q117" s="65"/>
      <c r="R117" s="65"/>
      <c r="S117" s="65"/>
    </row>
    <row r="118" spans="1:19" x14ac:dyDescent="0.2">
      <c r="A118" s="74"/>
      <c r="C118" s="65"/>
      <c r="D118" s="65"/>
      <c r="E118" s="65"/>
      <c r="F118" s="65"/>
      <c r="G118" s="65"/>
      <c r="H118" s="65"/>
      <c r="I118" s="65"/>
      <c r="J118" s="65"/>
      <c r="K118" s="65"/>
      <c r="L118" s="69"/>
      <c r="M118" s="69"/>
      <c r="N118" s="65"/>
      <c r="O118" s="65"/>
      <c r="P118" s="65"/>
      <c r="Q118" s="65"/>
      <c r="R118" s="65"/>
      <c r="S118" s="65"/>
    </row>
    <row r="119" spans="1:19" x14ac:dyDescent="0.2">
      <c r="A119" s="74"/>
      <c r="C119" s="65"/>
      <c r="D119" s="65"/>
      <c r="E119" s="65"/>
      <c r="F119" s="65"/>
      <c r="G119" s="65"/>
      <c r="H119" s="65"/>
      <c r="I119" s="65"/>
      <c r="J119" s="65"/>
      <c r="K119" s="65"/>
      <c r="L119" s="69"/>
      <c r="M119" s="69"/>
      <c r="N119" s="65"/>
      <c r="O119" s="65"/>
      <c r="P119" s="65"/>
      <c r="Q119" s="65"/>
      <c r="R119" s="65"/>
      <c r="S119" s="65"/>
    </row>
    <row r="120" spans="1:19" x14ac:dyDescent="0.2">
      <c r="A120" s="74"/>
      <c r="C120" s="65"/>
      <c r="D120" s="65"/>
      <c r="E120" s="65"/>
      <c r="F120" s="65"/>
      <c r="G120" s="65"/>
      <c r="H120" s="65"/>
      <c r="I120" s="65"/>
      <c r="J120" s="65"/>
      <c r="K120" s="65"/>
      <c r="L120" s="69"/>
      <c r="M120" s="69"/>
      <c r="N120" s="65"/>
      <c r="O120" s="65"/>
      <c r="P120" s="65"/>
      <c r="Q120" s="65"/>
      <c r="R120" s="65"/>
      <c r="S120" s="65"/>
    </row>
    <row r="121" spans="1:19" x14ac:dyDescent="0.2">
      <c r="A121" s="74"/>
      <c r="C121" s="65"/>
      <c r="D121" s="65"/>
      <c r="E121" s="65"/>
      <c r="F121" s="65"/>
      <c r="G121" s="65"/>
      <c r="H121" s="65"/>
      <c r="I121" s="65"/>
      <c r="J121" s="65"/>
      <c r="K121" s="65"/>
      <c r="L121" s="69"/>
      <c r="M121" s="69"/>
      <c r="N121" s="65"/>
      <c r="O121" s="65"/>
      <c r="P121" s="65"/>
      <c r="Q121" s="65"/>
      <c r="R121" s="65"/>
      <c r="S121" s="65"/>
    </row>
    <row r="122" spans="1:19" x14ac:dyDescent="0.2">
      <c r="A122" s="74"/>
      <c r="C122" s="65"/>
      <c r="D122" s="65"/>
      <c r="E122" s="65"/>
      <c r="F122" s="65"/>
      <c r="G122" s="65"/>
      <c r="H122" s="65"/>
      <c r="I122" s="65"/>
      <c r="J122" s="65"/>
      <c r="K122" s="65"/>
      <c r="L122" s="69"/>
      <c r="M122" s="69"/>
      <c r="N122" s="65"/>
      <c r="O122" s="65"/>
      <c r="P122" s="65"/>
      <c r="Q122" s="65"/>
      <c r="R122" s="65"/>
      <c r="S122" s="65"/>
    </row>
    <row r="123" spans="1:19" x14ac:dyDescent="0.2">
      <c r="A123" s="74"/>
      <c r="C123" s="65"/>
      <c r="D123" s="65"/>
      <c r="E123" s="65"/>
      <c r="F123" s="65"/>
      <c r="G123" s="65"/>
      <c r="H123" s="65"/>
      <c r="I123" s="65"/>
      <c r="J123" s="65"/>
      <c r="K123" s="65"/>
      <c r="L123" s="69"/>
      <c r="M123" s="69"/>
      <c r="N123" s="65"/>
      <c r="O123" s="65"/>
      <c r="P123" s="65"/>
      <c r="Q123" s="65"/>
      <c r="R123" s="65"/>
      <c r="S123" s="65"/>
    </row>
    <row r="124" spans="1:19" x14ac:dyDescent="0.2">
      <c r="A124" s="74"/>
      <c r="C124" s="65"/>
      <c r="D124" s="65"/>
      <c r="E124" s="65"/>
      <c r="F124" s="65"/>
      <c r="G124" s="65"/>
      <c r="H124" s="65"/>
      <c r="I124" s="65"/>
      <c r="J124" s="65"/>
      <c r="K124" s="65"/>
      <c r="L124" s="69"/>
      <c r="M124" s="69"/>
      <c r="N124" s="65"/>
      <c r="O124" s="65"/>
      <c r="P124" s="65"/>
      <c r="Q124" s="65"/>
      <c r="R124" s="65"/>
      <c r="S124" s="65"/>
    </row>
    <row r="125" spans="1:19" x14ac:dyDescent="0.2">
      <c r="A125" s="74"/>
      <c r="C125" s="65"/>
      <c r="D125" s="65"/>
      <c r="E125" s="65"/>
      <c r="F125" s="65"/>
      <c r="G125" s="65"/>
      <c r="H125" s="65"/>
      <c r="I125" s="65"/>
      <c r="J125" s="65"/>
      <c r="K125" s="65"/>
      <c r="L125" s="69"/>
      <c r="M125" s="69"/>
      <c r="N125" s="65"/>
      <c r="O125" s="65"/>
      <c r="P125" s="65"/>
      <c r="Q125" s="65"/>
      <c r="R125" s="65"/>
      <c r="S125" s="65"/>
    </row>
    <row r="126" spans="1:19" x14ac:dyDescent="0.2">
      <c r="A126" s="74"/>
      <c r="C126" s="65"/>
      <c r="D126" s="65"/>
      <c r="E126" s="65"/>
      <c r="F126" s="65"/>
      <c r="G126" s="65"/>
      <c r="H126" s="65"/>
      <c r="I126" s="65"/>
      <c r="J126" s="65"/>
      <c r="K126" s="65"/>
      <c r="L126" s="69"/>
      <c r="M126" s="69"/>
      <c r="N126" s="65"/>
      <c r="O126" s="65"/>
      <c r="P126" s="65"/>
      <c r="Q126" s="65"/>
      <c r="R126" s="65"/>
      <c r="S126" s="65"/>
    </row>
    <row r="127" spans="1:19" x14ac:dyDescent="0.2">
      <c r="A127" s="74"/>
      <c r="C127" s="65"/>
      <c r="D127" s="65"/>
      <c r="E127" s="65"/>
      <c r="F127" s="65"/>
      <c r="G127" s="65"/>
      <c r="H127" s="65"/>
      <c r="I127" s="65"/>
      <c r="J127" s="65"/>
      <c r="K127" s="65"/>
      <c r="L127" s="69"/>
      <c r="M127" s="69"/>
      <c r="N127" s="65"/>
      <c r="O127" s="65"/>
      <c r="P127" s="65"/>
      <c r="Q127" s="65"/>
      <c r="R127" s="65"/>
      <c r="S127" s="65"/>
    </row>
    <row r="128" spans="1:19" x14ac:dyDescent="0.2">
      <c r="A128" s="74"/>
      <c r="C128" s="65"/>
      <c r="D128" s="65"/>
      <c r="E128" s="65"/>
      <c r="F128" s="65"/>
      <c r="G128" s="65"/>
      <c r="H128" s="65"/>
      <c r="I128" s="65"/>
      <c r="J128" s="65"/>
      <c r="K128" s="65"/>
      <c r="L128" s="69"/>
      <c r="M128" s="69"/>
      <c r="N128" s="65"/>
      <c r="O128" s="65"/>
      <c r="P128" s="65"/>
      <c r="Q128" s="65"/>
      <c r="R128" s="65"/>
      <c r="S128" s="65"/>
    </row>
    <row r="129" spans="1:19" x14ac:dyDescent="0.2">
      <c r="A129" s="74"/>
      <c r="C129" s="65"/>
      <c r="D129" s="65"/>
      <c r="E129" s="65"/>
      <c r="F129" s="65"/>
      <c r="G129" s="65"/>
      <c r="H129" s="65"/>
      <c r="I129" s="65"/>
      <c r="J129" s="65"/>
      <c r="K129" s="65"/>
      <c r="L129" s="69"/>
      <c r="M129" s="69"/>
      <c r="N129" s="65"/>
      <c r="O129" s="65"/>
      <c r="P129" s="65"/>
      <c r="Q129" s="65"/>
      <c r="R129" s="65"/>
      <c r="S129" s="65"/>
    </row>
    <row r="130" spans="1:19" x14ac:dyDescent="0.2">
      <c r="A130" s="74"/>
      <c r="C130" s="65"/>
      <c r="D130" s="65"/>
      <c r="E130" s="65"/>
      <c r="F130" s="65"/>
      <c r="G130" s="65"/>
      <c r="H130" s="65"/>
      <c r="I130" s="65"/>
      <c r="J130" s="65"/>
      <c r="K130" s="65"/>
      <c r="L130" s="69"/>
      <c r="M130" s="69"/>
      <c r="N130" s="65"/>
      <c r="O130" s="65"/>
      <c r="P130" s="65"/>
      <c r="Q130" s="65"/>
      <c r="R130" s="65"/>
      <c r="S130" s="65"/>
    </row>
    <row r="131" spans="1:19" x14ac:dyDescent="0.2">
      <c r="A131" s="74"/>
      <c r="C131" s="65"/>
      <c r="D131" s="65"/>
      <c r="E131" s="65"/>
      <c r="F131" s="65"/>
      <c r="G131" s="65"/>
      <c r="H131" s="65"/>
      <c r="I131" s="65"/>
      <c r="J131" s="65"/>
      <c r="K131" s="65"/>
      <c r="L131" s="69"/>
      <c r="M131" s="69"/>
      <c r="N131" s="65"/>
      <c r="O131" s="65"/>
      <c r="P131" s="65"/>
      <c r="Q131" s="65"/>
      <c r="R131" s="65"/>
      <c r="S131" s="65"/>
    </row>
    <row r="132" spans="1:19" x14ac:dyDescent="0.2">
      <c r="A132" s="74"/>
      <c r="C132" s="65"/>
      <c r="D132" s="65"/>
      <c r="E132" s="65"/>
      <c r="F132" s="65"/>
      <c r="G132" s="65"/>
      <c r="H132" s="65"/>
      <c r="I132" s="65"/>
      <c r="J132" s="65"/>
      <c r="K132" s="65"/>
      <c r="L132" s="69"/>
      <c r="M132" s="69"/>
      <c r="N132" s="65"/>
      <c r="O132" s="65"/>
      <c r="P132" s="65"/>
      <c r="Q132" s="65"/>
      <c r="R132" s="65"/>
      <c r="S132" s="65"/>
    </row>
    <row r="133" spans="1:19" x14ac:dyDescent="0.2">
      <c r="A133" s="74"/>
      <c r="C133" s="65"/>
      <c r="D133" s="65"/>
      <c r="E133" s="65"/>
      <c r="F133" s="65"/>
      <c r="G133" s="65"/>
      <c r="H133" s="65"/>
      <c r="I133" s="65"/>
      <c r="J133" s="65"/>
      <c r="K133" s="65"/>
      <c r="L133" s="69"/>
      <c r="M133" s="69"/>
      <c r="N133" s="65"/>
      <c r="O133" s="65"/>
      <c r="P133" s="65"/>
      <c r="Q133" s="65"/>
      <c r="R133" s="65"/>
      <c r="S133" s="65"/>
    </row>
    <row r="134" spans="1:19" x14ac:dyDescent="0.2">
      <c r="A134" s="74"/>
      <c r="C134" s="65"/>
      <c r="D134" s="65"/>
      <c r="E134" s="65"/>
      <c r="F134" s="65"/>
      <c r="G134" s="65"/>
      <c r="H134" s="65"/>
      <c r="I134" s="65"/>
      <c r="J134" s="65"/>
      <c r="K134" s="65"/>
      <c r="L134" s="69"/>
      <c r="M134" s="69"/>
      <c r="N134" s="65"/>
      <c r="O134" s="65"/>
      <c r="P134" s="65"/>
      <c r="Q134" s="65"/>
      <c r="R134" s="65"/>
      <c r="S134" s="65"/>
    </row>
    <row r="135" spans="1:19" x14ac:dyDescent="0.2">
      <c r="A135" s="74"/>
      <c r="C135" s="65"/>
      <c r="D135" s="65"/>
      <c r="E135" s="65"/>
      <c r="F135" s="65"/>
      <c r="G135" s="65"/>
      <c r="H135" s="65"/>
      <c r="I135" s="65"/>
      <c r="J135" s="65"/>
      <c r="K135" s="65"/>
      <c r="L135" s="69"/>
      <c r="M135" s="69"/>
      <c r="N135" s="65"/>
      <c r="O135" s="65"/>
      <c r="P135" s="65"/>
      <c r="Q135" s="65"/>
      <c r="R135" s="65"/>
      <c r="S135" s="65"/>
    </row>
    <row r="136" spans="1:19" x14ac:dyDescent="0.2">
      <c r="A136" s="74"/>
      <c r="C136" s="65"/>
      <c r="D136" s="65"/>
      <c r="E136" s="65"/>
      <c r="F136" s="65"/>
      <c r="G136" s="65"/>
      <c r="H136" s="65"/>
      <c r="I136" s="65"/>
      <c r="J136" s="65"/>
      <c r="K136" s="65"/>
      <c r="L136" s="69"/>
      <c r="M136" s="69"/>
      <c r="N136" s="65"/>
      <c r="O136" s="65"/>
      <c r="P136" s="65"/>
      <c r="Q136" s="65"/>
      <c r="R136" s="65"/>
      <c r="S136" s="65"/>
    </row>
    <row r="137" spans="1:19" x14ac:dyDescent="0.2">
      <c r="A137" s="74"/>
      <c r="C137" s="65"/>
      <c r="D137" s="65"/>
      <c r="E137" s="65"/>
      <c r="F137" s="65"/>
      <c r="G137" s="65"/>
      <c r="H137" s="65"/>
      <c r="I137" s="65"/>
      <c r="J137" s="65"/>
      <c r="K137" s="65"/>
      <c r="L137" s="69"/>
      <c r="M137" s="69"/>
      <c r="N137" s="65"/>
      <c r="O137" s="65"/>
      <c r="P137" s="65"/>
      <c r="Q137" s="65"/>
      <c r="R137" s="65"/>
      <c r="S137" s="65"/>
    </row>
    <row r="138" spans="1:19" x14ac:dyDescent="0.2">
      <c r="A138" s="74"/>
      <c r="C138" s="65"/>
      <c r="D138" s="65"/>
      <c r="E138" s="65"/>
      <c r="F138" s="65"/>
      <c r="G138" s="65"/>
      <c r="H138" s="65"/>
      <c r="I138" s="65"/>
      <c r="J138" s="65"/>
      <c r="K138" s="65"/>
      <c r="L138" s="69"/>
      <c r="M138" s="69"/>
      <c r="N138" s="65"/>
      <c r="O138" s="65"/>
      <c r="P138" s="65"/>
      <c r="Q138" s="65"/>
      <c r="R138" s="65"/>
      <c r="S138" s="65"/>
    </row>
    <row r="139" spans="1:19" x14ac:dyDescent="0.2">
      <c r="A139" s="74"/>
      <c r="C139" s="65"/>
      <c r="D139" s="65"/>
      <c r="E139" s="65"/>
      <c r="F139" s="65"/>
      <c r="G139" s="65"/>
      <c r="H139" s="65"/>
      <c r="I139" s="65"/>
      <c r="J139" s="65"/>
      <c r="K139" s="65"/>
      <c r="L139" s="69"/>
      <c r="M139" s="69"/>
      <c r="N139" s="65"/>
      <c r="O139" s="65"/>
      <c r="P139" s="65"/>
      <c r="Q139" s="65"/>
      <c r="R139" s="65"/>
      <c r="S139" s="65"/>
    </row>
    <row r="140" spans="1:19" x14ac:dyDescent="0.2">
      <c r="A140" s="74"/>
      <c r="C140" s="65"/>
      <c r="D140" s="65"/>
      <c r="E140" s="65"/>
      <c r="F140" s="65"/>
      <c r="G140" s="65"/>
      <c r="H140" s="65"/>
      <c r="I140" s="65"/>
      <c r="J140" s="65"/>
      <c r="K140" s="65"/>
      <c r="L140" s="69"/>
      <c r="M140" s="69"/>
      <c r="N140" s="65"/>
      <c r="O140" s="65"/>
      <c r="P140" s="65"/>
      <c r="Q140" s="65"/>
      <c r="R140" s="65"/>
      <c r="S140" s="65"/>
    </row>
    <row r="141" spans="1:19" x14ac:dyDescent="0.2">
      <c r="A141" s="74"/>
      <c r="C141" s="65"/>
      <c r="D141" s="65"/>
      <c r="E141" s="65"/>
      <c r="F141" s="65"/>
      <c r="G141" s="65"/>
      <c r="H141" s="65"/>
      <c r="I141" s="65"/>
      <c r="J141" s="65"/>
      <c r="K141" s="65"/>
      <c r="L141" s="69"/>
      <c r="M141" s="69"/>
      <c r="N141" s="65"/>
      <c r="O141" s="65"/>
      <c r="P141" s="65"/>
      <c r="Q141" s="65"/>
      <c r="R141" s="65"/>
      <c r="S141" s="65"/>
    </row>
    <row r="142" spans="1:19" x14ac:dyDescent="0.2">
      <c r="A142" s="74"/>
      <c r="C142" s="65"/>
      <c r="D142" s="65"/>
      <c r="E142" s="65"/>
      <c r="F142" s="65"/>
      <c r="G142" s="65"/>
      <c r="H142" s="65"/>
      <c r="I142" s="65"/>
      <c r="J142" s="65"/>
      <c r="K142" s="65"/>
      <c r="L142" s="69"/>
      <c r="M142" s="69"/>
      <c r="N142" s="65"/>
      <c r="O142" s="65"/>
      <c r="P142" s="65"/>
      <c r="Q142" s="65"/>
      <c r="R142" s="65"/>
      <c r="S142" s="65"/>
    </row>
    <row r="143" spans="1:19" x14ac:dyDescent="0.2">
      <c r="A143" s="74"/>
      <c r="C143" s="65"/>
      <c r="D143" s="65"/>
      <c r="E143" s="65"/>
      <c r="F143" s="65"/>
      <c r="G143" s="65"/>
      <c r="H143" s="65"/>
      <c r="I143" s="65"/>
      <c r="J143" s="65"/>
      <c r="K143" s="65"/>
      <c r="L143" s="69"/>
      <c r="M143" s="69"/>
      <c r="N143" s="65"/>
      <c r="O143" s="65"/>
      <c r="P143" s="65"/>
      <c r="Q143" s="65"/>
      <c r="R143" s="65"/>
      <c r="S143" s="65"/>
    </row>
    <row r="144" spans="1:19" x14ac:dyDescent="0.2">
      <c r="A144" s="74"/>
      <c r="C144" s="65"/>
      <c r="D144" s="65"/>
      <c r="E144" s="65"/>
      <c r="F144" s="65"/>
      <c r="G144" s="65"/>
      <c r="H144" s="65"/>
      <c r="I144" s="65"/>
      <c r="J144" s="65"/>
      <c r="K144" s="65"/>
      <c r="L144" s="69"/>
      <c r="M144" s="69"/>
      <c r="N144" s="65"/>
      <c r="O144" s="65"/>
      <c r="P144" s="65"/>
      <c r="Q144" s="65"/>
      <c r="R144" s="65"/>
      <c r="S144" s="65"/>
    </row>
    <row r="145" spans="1:19" x14ac:dyDescent="0.2">
      <c r="A145" s="74"/>
      <c r="C145" s="65"/>
      <c r="D145" s="65"/>
      <c r="E145" s="65"/>
      <c r="F145" s="65"/>
      <c r="G145" s="65"/>
      <c r="H145" s="65"/>
      <c r="I145" s="65"/>
      <c r="J145" s="65"/>
      <c r="K145" s="65"/>
      <c r="L145" s="69"/>
      <c r="M145" s="69"/>
      <c r="N145" s="65"/>
      <c r="O145" s="65"/>
      <c r="P145" s="65"/>
      <c r="Q145" s="65"/>
      <c r="R145" s="65"/>
      <c r="S145" s="65"/>
    </row>
    <row r="146" spans="1:19" x14ac:dyDescent="0.2">
      <c r="A146" s="74"/>
      <c r="C146" s="65"/>
      <c r="D146" s="65"/>
      <c r="E146" s="65"/>
      <c r="F146" s="65"/>
      <c r="G146" s="65"/>
      <c r="H146" s="65"/>
      <c r="I146" s="65"/>
      <c r="J146" s="65"/>
      <c r="K146" s="65"/>
      <c r="L146" s="69"/>
      <c r="M146" s="69"/>
      <c r="N146" s="65"/>
      <c r="O146" s="65"/>
      <c r="P146" s="65"/>
      <c r="Q146" s="65"/>
      <c r="R146" s="65"/>
      <c r="S146" s="65"/>
    </row>
    <row r="147" spans="1:19" x14ac:dyDescent="0.2">
      <c r="A147" s="74"/>
      <c r="C147" s="65"/>
      <c r="D147" s="65"/>
      <c r="E147" s="65"/>
      <c r="F147" s="65"/>
      <c r="G147" s="65"/>
      <c r="H147" s="65"/>
      <c r="I147" s="65"/>
      <c r="J147" s="65"/>
      <c r="K147" s="65"/>
      <c r="L147" s="69"/>
      <c r="M147" s="69"/>
      <c r="N147" s="65"/>
      <c r="O147" s="65"/>
      <c r="P147" s="65"/>
      <c r="Q147" s="65"/>
      <c r="R147" s="65"/>
      <c r="S147" s="65"/>
    </row>
    <row r="148" spans="1:19" x14ac:dyDescent="0.2">
      <c r="A148" s="74"/>
      <c r="C148" s="65"/>
      <c r="D148" s="65"/>
      <c r="E148" s="65"/>
      <c r="F148" s="65"/>
      <c r="G148" s="65"/>
      <c r="H148" s="65"/>
      <c r="I148" s="65"/>
      <c r="J148" s="65"/>
      <c r="K148" s="65"/>
      <c r="L148" s="69"/>
      <c r="M148" s="69"/>
      <c r="N148" s="65"/>
      <c r="O148" s="65"/>
      <c r="P148" s="65"/>
      <c r="Q148" s="65"/>
      <c r="R148" s="65"/>
      <c r="S148" s="65"/>
    </row>
    <row r="149" spans="1:19" x14ac:dyDescent="0.2">
      <c r="A149" s="74"/>
      <c r="C149" s="65"/>
      <c r="D149" s="65"/>
      <c r="E149" s="65"/>
      <c r="F149" s="65"/>
      <c r="G149" s="65"/>
      <c r="H149" s="65"/>
      <c r="I149" s="65"/>
      <c r="J149" s="65"/>
      <c r="K149" s="65"/>
      <c r="L149" s="69"/>
      <c r="M149" s="69"/>
      <c r="N149" s="65"/>
      <c r="O149" s="65"/>
      <c r="P149" s="65"/>
      <c r="Q149" s="65"/>
      <c r="R149" s="65"/>
      <c r="S149" s="65"/>
    </row>
    <row r="150" spans="1:19" x14ac:dyDescent="0.2">
      <c r="A150" s="74"/>
      <c r="C150" s="65"/>
      <c r="D150" s="65"/>
      <c r="E150" s="65"/>
      <c r="F150" s="65"/>
      <c r="G150" s="65"/>
      <c r="H150" s="65"/>
      <c r="I150" s="65"/>
      <c r="J150" s="65"/>
      <c r="K150" s="65"/>
      <c r="L150" s="69"/>
      <c r="M150" s="69"/>
      <c r="N150" s="65"/>
      <c r="O150" s="65"/>
      <c r="P150" s="65"/>
      <c r="Q150" s="65"/>
      <c r="R150" s="65"/>
      <c r="S150" s="65"/>
    </row>
    <row r="151" spans="1:19" x14ac:dyDescent="0.2">
      <c r="A151" s="74"/>
      <c r="C151" s="65"/>
      <c r="D151" s="65"/>
      <c r="E151" s="65"/>
      <c r="F151" s="65"/>
      <c r="G151" s="65"/>
      <c r="H151" s="65"/>
      <c r="I151" s="65"/>
      <c r="J151" s="65"/>
      <c r="K151" s="65"/>
      <c r="L151" s="69"/>
      <c r="M151" s="69"/>
      <c r="N151" s="65"/>
      <c r="O151" s="65"/>
      <c r="P151" s="65"/>
      <c r="Q151" s="65"/>
      <c r="R151" s="65"/>
      <c r="S151" s="65"/>
    </row>
    <row r="152" spans="1:19" x14ac:dyDescent="0.2">
      <c r="A152" s="74"/>
      <c r="C152" s="65"/>
      <c r="D152" s="65"/>
      <c r="E152" s="65"/>
      <c r="F152" s="65"/>
      <c r="G152" s="65"/>
      <c r="H152" s="65"/>
      <c r="I152" s="65"/>
      <c r="J152" s="65"/>
      <c r="K152" s="65"/>
      <c r="L152" s="69"/>
      <c r="M152" s="69"/>
      <c r="N152" s="65"/>
      <c r="O152" s="65"/>
      <c r="P152" s="65"/>
      <c r="Q152" s="65"/>
      <c r="R152" s="65"/>
      <c r="S152" s="65"/>
    </row>
    <row r="153" spans="1:19" x14ac:dyDescent="0.2">
      <c r="A153" s="74"/>
      <c r="C153" s="65"/>
      <c r="D153" s="65"/>
      <c r="E153" s="65"/>
      <c r="F153" s="65"/>
      <c r="G153" s="65"/>
      <c r="H153" s="65"/>
      <c r="I153" s="65"/>
      <c r="J153" s="65"/>
      <c r="K153" s="65"/>
      <c r="L153" s="69"/>
      <c r="M153" s="69"/>
      <c r="N153" s="65"/>
      <c r="O153" s="65"/>
      <c r="P153" s="65"/>
      <c r="Q153" s="65"/>
      <c r="R153" s="65"/>
      <c r="S153" s="65"/>
    </row>
    <row r="154" spans="1:19" x14ac:dyDescent="0.2">
      <c r="A154" s="74"/>
      <c r="C154" s="65"/>
      <c r="D154" s="65"/>
      <c r="E154" s="65"/>
      <c r="F154" s="65"/>
      <c r="G154" s="65"/>
      <c r="H154" s="65"/>
      <c r="I154" s="65"/>
      <c r="J154" s="65"/>
      <c r="K154" s="65"/>
      <c r="L154" s="69"/>
      <c r="M154" s="69"/>
      <c r="N154" s="65"/>
      <c r="O154" s="65"/>
      <c r="P154" s="65"/>
      <c r="Q154" s="65"/>
      <c r="R154" s="65"/>
      <c r="S154" s="65"/>
    </row>
    <row r="155" spans="1:19" x14ac:dyDescent="0.2">
      <c r="A155" s="74"/>
      <c r="C155" s="65"/>
      <c r="D155" s="65"/>
      <c r="E155" s="65"/>
      <c r="F155" s="65"/>
      <c r="G155" s="65"/>
      <c r="H155" s="65"/>
      <c r="I155" s="65"/>
      <c r="J155" s="65"/>
      <c r="K155" s="65"/>
      <c r="L155" s="69"/>
      <c r="M155" s="69"/>
      <c r="N155" s="65"/>
      <c r="O155" s="65"/>
      <c r="P155" s="65"/>
      <c r="Q155" s="65"/>
      <c r="R155" s="65"/>
      <c r="S155" s="65"/>
    </row>
    <row r="156" spans="1:19" x14ac:dyDescent="0.2">
      <c r="A156" s="74"/>
      <c r="C156" s="65"/>
      <c r="D156" s="65"/>
      <c r="E156" s="65"/>
      <c r="F156" s="65"/>
      <c r="G156" s="65"/>
      <c r="H156" s="65"/>
      <c r="I156" s="65"/>
      <c r="J156" s="65"/>
      <c r="K156" s="65"/>
      <c r="L156" s="69"/>
      <c r="M156" s="69"/>
      <c r="N156" s="65"/>
      <c r="O156" s="65"/>
      <c r="P156" s="65"/>
      <c r="Q156" s="65"/>
      <c r="R156" s="65"/>
      <c r="S156" s="65"/>
    </row>
    <row r="157" spans="1:19" x14ac:dyDescent="0.2">
      <c r="A157" s="74"/>
      <c r="C157" s="65"/>
      <c r="D157" s="65"/>
      <c r="E157" s="65"/>
      <c r="F157" s="65"/>
      <c r="G157" s="65"/>
      <c r="H157" s="65"/>
      <c r="I157" s="65"/>
      <c r="J157" s="65"/>
      <c r="K157" s="65"/>
      <c r="L157" s="69"/>
      <c r="M157" s="69"/>
      <c r="N157" s="65"/>
      <c r="O157" s="65"/>
      <c r="P157" s="65"/>
      <c r="Q157" s="65"/>
      <c r="R157" s="65"/>
      <c r="S157" s="65"/>
    </row>
    <row r="158" spans="1:19" x14ac:dyDescent="0.2">
      <c r="A158" s="74"/>
      <c r="C158" s="65"/>
      <c r="D158" s="65"/>
      <c r="E158" s="65"/>
      <c r="F158" s="65"/>
      <c r="G158" s="65"/>
      <c r="H158" s="65"/>
      <c r="I158" s="65"/>
      <c r="J158" s="65"/>
      <c r="K158" s="65"/>
      <c r="L158" s="69"/>
      <c r="M158" s="69"/>
      <c r="N158" s="65"/>
      <c r="O158" s="65"/>
      <c r="P158" s="65"/>
      <c r="Q158" s="65"/>
      <c r="R158" s="65"/>
      <c r="S158" s="65"/>
    </row>
    <row r="159" spans="1:19" x14ac:dyDescent="0.2">
      <c r="A159" s="74"/>
      <c r="C159" s="65"/>
      <c r="D159" s="65"/>
      <c r="E159" s="65"/>
      <c r="F159" s="65"/>
      <c r="G159" s="65"/>
      <c r="H159" s="65"/>
      <c r="I159" s="65"/>
      <c r="J159" s="65"/>
      <c r="K159" s="65"/>
      <c r="L159" s="69"/>
      <c r="M159" s="69"/>
      <c r="N159" s="65"/>
      <c r="O159" s="65"/>
      <c r="P159" s="65"/>
      <c r="Q159" s="65"/>
      <c r="R159" s="65"/>
      <c r="S159" s="65"/>
    </row>
    <row r="160" spans="1:19" x14ac:dyDescent="0.2">
      <c r="A160" s="74"/>
      <c r="C160" s="65"/>
      <c r="D160" s="65"/>
      <c r="E160" s="65"/>
      <c r="F160" s="65"/>
      <c r="G160" s="65"/>
      <c r="H160" s="65"/>
      <c r="I160" s="65"/>
      <c r="J160" s="65"/>
      <c r="K160" s="65"/>
      <c r="L160" s="69"/>
      <c r="M160" s="69"/>
      <c r="N160" s="65"/>
      <c r="O160" s="65"/>
      <c r="P160" s="65"/>
      <c r="Q160" s="65"/>
      <c r="R160" s="65"/>
      <c r="S160" s="65"/>
    </row>
    <row r="161" spans="1:19" x14ac:dyDescent="0.2">
      <c r="A161" s="74"/>
      <c r="C161" s="65"/>
      <c r="D161" s="65"/>
      <c r="E161" s="65"/>
      <c r="F161" s="65"/>
      <c r="G161" s="65"/>
      <c r="H161" s="65"/>
      <c r="I161" s="65"/>
      <c r="J161" s="65"/>
      <c r="K161" s="65"/>
      <c r="L161" s="69"/>
      <c r="M161" s="69"/>
      <c r="N161" s="65"/>
      <c r="O161" s="65"/>
      <c r="P161" s="65"/>
      <c r="Q161" s="65"/>
      <c r="R161" s="65"/>
      <c r="S161" s="65"/>
    </row>
    <row r="162" spans="1:19" x14ac:dyDescent="0.2">
      <c r="A162" s="74"/>
      <c r="C162" s="65"/>
      <c r="D162" s="65"/>
      <c r="E162" s="65"/>
      <c r="F162" s="65"/>
      <c r="G162" s="65"/>
      <c r="H162" s="65"/>
      <c r="I162" s="65"/>
      <c r="J162" s="65"/>
      <c r="K162" s="65"/>
      <c r="L162" s="69"/>
      <c r="M162" s="69"/>
      <c r="N162" s="65"/>
      <c r="O162" s="65"/>
      <c r="P162" s="65"/>
      <c r="Q162" s="65"/>
      <c r="R162" s="65"/>
      <c r="S162" s="65"/>
    </row>
    <row r="163" spans="1:19" x14ac:dyDescent="0.2">
      <c r="A163" s="74"/>
      <c r="C163" s="65"/>
      <c r="D163" s="65"/>
      <c r="E163" s="65"/>
      <c r="F163" s="65"/>
      <c r="G163" s="65"/>
      <c r="H163" s="65"/>
      <c r="I163" s="65"/>
      <c r="J163" s="65"/>
      <c r="K163" s="65"/>
      <c r="L163" s="69"/>
      <c r="M163" s="69"/>
      <c r="N163" s="65"/>
      <c r="O163" s="65"/>
      <c r="P163" s="65"/>
      <c r="Q163" s="65"/>
      <c r="R163" s="65"/>
      <c r="S163" s="65"/>
    </row>
    <row r="164" spans="1:19" x14ac:dyDescent="0.2">
      <c r="A164" s="74"/>
      <c r="C164" s="65"/>
      <c r="D164" s="65"/>
      <c r="E164" s="65"/>
      <c r="F164" s="65"/>
      <c r="G164" s="65"/>
      <c r="H164" s="65"/>
      <c r="I164" s="65"/>
      <c r="J164" s="65"/>
      <c r="K164" s="65"/>
      <c r="L164" s="69"/>
      <c r="M164" s="69"/>
      <c r="N164" s="65"/>
      <c r="O164" s="65"/>
      <c r="P164" s="65"/>
      <c r="Q164" s="65"/>
      <c r="R164" s="65"/>
      <c r="S164" s="65"/>
    </row>
    <row r="165" spans="1:19" x14ac:dyDescent="0.2">
      <c r="A165" s="74"/>
      <c r="C165" s="65"/>
      <c r="D165" s="65"/>
      <c r="E165" s="65"/>
      <c r="F165" s="65"/>
      <c r="G165" s="65"/>
      <c r="H165" s="65"/>
      <c r="I165" s="65"/>
      <c r="J165" s="65"/>
      <c r="K165" s="65"/>
      <c r="L165" s="69"/>
      <c r="M165" s="69"/>
      <c r="N165" s="65"/>
      <c r="O165" s="65"/>
      <c r="P165" s="65"/>
      <c r="Q165" s="65"/>
      <c r="R165" s="65"/>
      <c r="S165" s="65"/>
    </row>
    <row r="166" spans="1:19" x14ac:dyDescent="0.2">
      <c r="A166" s="74"/>
      <c r="C166" s="65"/>
      <c r="D166" s="65"/>
      <c r="E166" s="65"/>
      <c r="F166" s="65"/>
      <c r="G166" s="65"/>
      <c r="H166" s="65"/>
      <c r="I166" s="65"/>
      <c r="J166" s="65"/>
      <c r="K166" s="65"/>
      <c r="L166" s="69"/>
      <c r="M166" s="69"/>
      <c r="N166" s="65"/>
      <c r="O166" s="65"/>
      <c r="P166" s="65"/>
      <c r="Q166" s="65"/>
      <c r="R166" s="65"/>
      <c r="S166" s="65"/>
    </row>
    <row r="167" spans="1:19" x14ac:dyDescent="0.2">
      <c r="A167" s="74"/>
      <c r="C167" s="65"/>
      <c r="D167" s="65"/>
      <c r="E167" s="65"/>
      <c r="F167" s="65"/>
      <c r="G167" s="65"/>
      <c r="H167" s="65"/>
      <c r="I167" s="65"/>
      <c r="J167" s="65"/>
      <c r="K167" s="65"/>
      <c r="L167" s="69"/>
      <c r="M167" s="69"/>
      <c r="N167" s="65"/>
      <c r="O167" s="65"/>
      <c r="P167" s="65"/>
      <c r="Q167" s="65"/>
      <c r="R167" s="65"/>
      <c r="S167" s="65"/>
    </row>
    <row r="168" spans="1:19" x14ac:dyDescent="0.2">
      <c r="A168" s="74"/>
      <c r="C168" s="65"/>
      <c r="D168" s="65"/>
      <c r="E168" s="65"/>
      <c r="F168" s="65"/>
      <c r="G168" s="65"/>
      <c r="H168" s="65"/>
      <c r="I168" s="65"/>
      <c r="J168" s="65"/>
      <c r="K168" s="65"/>
      <c r="L168" s="69"/>
      <c r="M168" s="69"/>
      <c r="N168" s="65"/>
      <c r="O168" s="65"/>
      <c r="P168" s="65"/>
      <c r="Q168" s="65"/>
      <c r="R168" s="65"/>
      <c r="S168" s="65"/>
    </row>
    <row r="169" spans="1:19" x14ac:dyDescent="0.2">
      <c r="A169" s="74"/>
      <c r="C169" s="65"/>
      <c r="D169" s="65"/>
      <c r="E169" s="65"/>
      <c r="F169" s="65"/>
      <c r="G169" s="65"/>
      <c r="H169" s="65"/>
      <c r="I169" s="65"/>
      <c r="J169" s="65"/>
      <c r="K169" s="65"/>
      <c r="L169" s="69"/>
      <c r="M169" s="69"/>
      <c r="N169" s="65"/>
      <c r="O169" s="65"/>
      <c r="P169" s="65"/>
      <c r="Q169" s="65"/>
      <c r="R169" s="65"/>
      <c r="S169" s="65"/>
    </row>
    <row r="170" spans="1:19" x14ac:dyDescent="0.2">
      <c r="A170" s="74"/>
      <c r="C170" s="65"/>
      <c r="D170" s="65"/>
      <c r="E170" s="65"/>
      <c r="F170" s="65"/>
      <c r="G170" s="65"/>
      <c r="H170" s="65"/>
      <c r="I170" s="65"/>
      <c r="J170" s="65"/>
      <c r="K170" s="65"/>
      <c r="L170" s="69"/>
      <c r="M170" s="69"/>
      <c r="N170" s="65"/>
      <c r="O170" s="65"/>
      <c r="P170" s="65"/>
      <c r="Q170" s="65"/>
      <c r="R170" s="65"/>
      <c r="S170" s="65"/>
    </row>
    <row r="171" spans="1:19" x14ac:dyDescent="0.2">
      <c r="A171" s="74"/>
      <c r="C171" s="65"/>
      <c r="D171" s="65"/>
      <c r="E171" s="65"/>
      <c r="F171" s="65"/>
      <c r="G171" s="65"/>
      <c r="H171" s="65"/>
      <c r="I171" s="65"/>
      <c r="J171" s="65"/>
      <c r="K171" s="65"/>
      <c r="L171" s="69"/>
      <c r="M171" s="69"/>
      <c r="N171" s="65"/>
      <c r="O171" s="65"/>
      <c r="P171" s="65"/>
      <c r="Q171" s="65"/>
      <c r="R171" s="65"/>
      <c r="S171" s="65"/>
    </row>
    <row r="172" spans="1:19" x14ac:dyDescent="0.2">
      <c r="A172" s="74"/>
      <c r="C172" s="65"/>
      <c r="D172" s="65"/>
      <c r="E172" s="65"/>
      <c r="F172" s="65"/>
      <c r="G172" s="65"/>
      <c r="H172" s="65"/>
      <c r="I172" s="65"/>
      <c r="J172" s="65"/>
      <c r="K172" s="65"/>
      <c r="L172" s="69"/>
      <c r="M172" s="69"/>
      <c r="N172" s="65"/>
      <c r="O172" s="65"/>
      <c r="P172" s="65"/>
      <c r="Q172" s="65"/>
      <c r="R172" s="65"/>
      <c r="S172" s="65"/>
    </row>
    <row r="173" spans="1:19" x14ac:dyDescent="0.2">
      <c r="A173" s="74"/>
      <c r="C173" s="65"/>
      <c r="D173" s="65"/>
      <c r="E173" s="65"/>
      <c r="F173" s="65"/>
      <c r="G173" s="65"/>
      <c r="H173" s="65"/>
      <c r="I173" s="65"/>
      <c r="J173" s="65"/>
      <c r="K173" s="65"/>
      <c r="L173" s="69"/>
      <c r="M173" s="69"/>
      <c r="N173" s="65"/>
      <c r="O173" s="65"/>
      <c r="P173" s="65"/>
      <c r="Q173" s="65"/>
      <c r="R173" s="65"/>
      <c r="S173" s="65"/>
    </row>
    <row r="174" spans="1:19" x14ac:dyDescent="0.2">
      <c r="A174" s="74"/>
      <c r="C174" s="65"/>
      <c r="D174" s="65"/>
      <c r="E174" s="65"/>
      <c r="F174" s="65"/>
      <c r="G174" s="65"/>
      <c r="H174" s="65"/>
      <c r="I174" s="65"/>
      <c r="J174" s="65"/>
      <c r="K174" s="65"/>
      <c r="L174" s="69"/>
      <c r="M174" s="69"/>
      <c r="N174" s="65"/>
      <c r="O174" s="65"/>
      <c r="P174" s="65"/>
      <c r="Q174" s="65"/>
      <c r="R174" s="65"/>
      <c r="S174" s="65"/>
    </row>
    <row r="175" spans="1:19" x14ac:dyDescent="0.2">
      <c r="A175" s="74"/>
      <c r="C175" s="65"/>
      <c r="D175" s="65"/>
      <c r="E175" s="65"/>
      <c r="F175" s="65"/>
      <c r="G175" s="65"/>
      <c r="H175" s="65"/>
      <c r="I175" s="65"/>
      <c r="J175" s="65"/>
      <c r="K175" s="65"/>
      <c r="L175" s="69"/>
      <c r="M175" s="69"/>
      <c r="N175" s="65"/>
      <c r="O175" s="65"/>
      <c r="P175" s="65"/>
      <c r="Q175" s="65"/>
      <c r="R175" s="65"/>
      <c r="S175" s="65"/>
    </row>
    <row r="176" spans="1:19" x14ac:dyDescent="0.2">
      <c r="A176" s="74"/>
      <c r="C176" s="65"/>
      <c r="D176" s="65"/>
      <c r="E176" s="65"/>
      <c r="F176" s="65"/>
      <c r="G176" s="65"/>
      <c r="H176" s="65"/>
      <c r="I176" s="65"/>
      <c r="J176" s="65"/>
      <c r="K176" s="65"/>
      <c r="L176" s="69"/>
      <c r="M176" s="69"/>
      <c r="N176" s="65"/>
      <c r="O176" s="65"/>
      <c r="P176" s="65"/>
      <c r="Q176" s="65"/>
      <c r="R176" s="65"/>
      <c r="S176" s="65"/>
    </row>
    <row r="177" spans="1:19" x14ac:dyDescent="0.2">
      <c r="A177" s="74"/>
      <c r="C177" s="65"/>
      <c r="D177" s="65"/>
      <c r="E177" s="65"/>
      <c r="F177" s="65"/>
      <c r="G177" s="65"/>
      <c r="H177" s="65"/>
      <c r="I177" s="65"/>
      <c r="J177" s="65"/>
      <c r="K177" s="65"/>
      <c r="L177" s="69"/>
      <c r="M177" s="69"/>
      <c r="N177" s="65"/>
      <c r="O177" s="65"/>
      <c r="P177" s="65"/>
      <c r="Q177" s="65"/>
      <c r="R177" s="65"/>
      <c r="S177" s="65"/>
    </row>
    <row r="178" spans="1:19" x14ac:dyDescent="0.2">
      <c r="A178" s="74"/>
      <c r="C178" s="65"/>
      <c r="D178" s="65"/>
      <c r="E178" s="65"/>
      <c r="F178" s="65"/>
      <c r="G178" s="65"/>
      <c r="H178" s="65"/>
      <c r="I178" s="65"/>
      <c r="J178" s="65"/>
      <c r="K178" s="65"/>
      <c r="L178" s="69"/>
      <c r="M178" s="69"/>
      <c r="N178" s="65"/>
      <c r="O178" s="65"/>
      <c r="P178" s="65"/>
      <c r="Q178" s="65"/>
      <c r="R178" s="65"/>
      <c r="S178" s="65"/>
    </row>
    <row r="179" spans="1:19" x14ac:dyDescent="0.2">
      <c r="A179" s="74"/>
      <c r="C179" s="65"/>
      <c r="D179" s="65"/>
      <c r="E179" s="65"/>
      <c r="F179" s="65"/>
      <c r="G179" s="65"/>
      <c r="H179" s="65"/>
      <c r="I179" s="65"/>
      <c r="J179" s="65"/>
      <c r="K179" s="65"/>
      <c r="L179" s="69"/>
      <c r="M179" s="69"/>
      <c r="N179" s="65"/>
      <c r="O179" s="65"/>
      <c r="P179" s="65"/>
      <c r="Q179" s="65"/>
      <c r="R179" s="65"/>
      <c r="S179" s="65"/>
    </row>
    <row r="180" spans="1:19" x14ac:dyDescent="0.2">
      <c r="A180" s="74"/>
      <c r="C180" s="65"/>
      <c r="D180" s="65"/>
      <c r="E180" s="65"/>
      <c r="F180" s="65"/>
      <c r="G180" s="65"/>
      <c r="H180" s="65"/>
      <c r="I180" s="65"/>
      <c r="J180" s="65"/>
      <c r="K180" s="65"/>
      <c r="L180" s="69"/>
      <c r="M180" s="69"/>
      <c r="N180" s="65"/>
      <c r="O180" s="65"/>
      <c r="P180" s="65"/>
      <c r="Q180" s="65"/>
      <c r="R180" s="65"/>
      <c r="S180" s="65"/>
    </row>
    <row r="181" spans="1:19" x14ac:dyDescent="0.2">
      <c r="A181" s="74"/>
      <c r="C181" s="65"/>
      <c r="D181" s="65"/>
      <c r="E181" s="65"/>
      <c r="F181" s="65"/>
      <c r="G181" s="65"/>
      <c r="H181" s="65"/>
      <c r="I181" s="65"/>
      <c r="J181" s="65"/>
      <c r="K181" s="65"/>
      <c r="L181" s="69"/>
      <c r="M181" s="69"/>
      <c r="N181" s="65"/>
      <c r="O181" s="65"/>
      <c r="P181" s="65"/>
      <c r="Q181" s="65"/>
      <c r="R181" s="65"/>
      <c r="S181" s="65"/>
    </row>
    <row r="182" spans="1:19" x14ac:dyDescent="0.2">
      <c r="A182" s="74"/>
      <c r="C182" s="65"/>
      <c r="D182" s="65"/>
      <c r="E182" s="65"/>
      <c r="F182" s="65"/>
      <c r="G182" s="65"/>
      <c r="H182" s="65"/>
      <c r="I182" s="65"/>
      <c r="J182" s="65"/>
      <c r="K182" s="65"/>
      <c r="L182" s="69"/>
      <c r="M182" s="69"/>
      <c r="N182" s="65"/>
      <c r="O182" s="65"/>
      <c r="P182" s="65"/>
      <c r="Q182" s="65"/>
      <c r="R182" s="65"/>
      <c r="S182" s="65"/>
    </row>
    <row r="183" spans="1:19" x14ac:dyDescent="0.2">
      <c r="A183" s="74"/>
      <c r="C183" s="65"/>
      <c r="D183" s="65"/>
      <c r="E183" s="65"/>
      <c r="F183" s="65"/>
      <c r="G183" s="65"/>
      <c r="H183" s="65"/>
      <c r="I183" s="65"/>
      <c r="J183" s="65"/>
      <c r="K183" s="65"/>
      <c r="L183" s="69"/>
      <c r="M183" s="69"/>
      <c r="N183" s="65"/>
      <c r="O183" s="65"/>
      <c r="P183" s="65"/>
      <c r="Q183" s="65"/>
      <c r="R183" s="65"/>
      <c r="S183" s="65"/>
    </row>
    <row r="184" spans="1:19" x14ac:dyDescent="0.2">
      <c r="A184" s="74"/>
      <c r="C184" s="65"/>
      <c r="D184" s="65"/>
      <c r="E184" s="65"/>
      <c r="F184" s="65"/>
      <c r="G184" s="65"/>
      <c r="H184" s="65"/>
      <c r="I184" s="65"/>
      <c r="J184" s="65"/>
      <c r="K184" s="65"/>
      <c r="L184" s="69"/>
      <c r="M184" s="69"/>
      <c r="N184" s="65"/>
      <c r="O184" s="65"/>
      <c r="P184" s="65"/>
      <c r="Q184" s="65"/>
      <c r="R184" s="65"/>
      <c r="S184" s="65"/>
    </row>
    <row r="185" spans="1:19" x14ac:dyDescent="0.2">
      <c r="A185" s="74"/>
      <c r="C185" s="65"/>
      <c r="D185" s="65"/>
      <c r="E185" s="65"/>
      <c r="F185" s="65"/>
      <c r="G185" s="65"/>
      <c r="H185" s="65"/>
      <c r="I185" s="65"/>
      <c r="J185" s="65"/>
      <c r="K185" s="65"/>
      <c r="L185" s="69"/>
      <c r="M185" s="69"/>
      <c r="N185" s="65"/>
      <c r="O185" s="65"/>
      <c r="P185" s="65"/>
      <c r="Q185" s="65"/>
      <c r="R185" s="65"/>
      <c r="S185" s="65"/>
    </row>
    <row r="186" spans="1:19" x14ac:dyDescent="0.2">
      <c r="A186" s="74"/>
      <c r="C186" s="65"/>
      <c r="D186" s="65"/>
      <c r="E186" s="65"/>
      <c r="F186" s="65"/>
      <c r="G186" s="65"/>
      <c r="H186" s="65"/>
      <c r="I186" s="65"/>
      <c r="J186" s="65"/>
      <c r="K186" s="65"/>
      <c r="L186" s="69"/>
      <c r="M186" s="69"/>
      <c r="N186" s="65"/>
      <c r="O186" s="65"/>
      <c r="P186" s="65"/>
      <c r="Q186" s="65"/>
      <c r="R186" s="65"/>
      <c r="S186" s="65"/>
    </row>
    <row r="187" spans="1:19" x14ac:dyDescent="0.2">
      <c r="A187" s="74"/>
      <c r="C187" s="65"/>
      <c r="D187" s="65"/>
      <c r="E187" s="65"/>
      <c r="F187" s="65"/>
      <c r="G187" s="65"/>
      <c r="H187" s="65"/>
      <c r="I187" s="65"/>
      <c r="J187" s="65"/>
      <c r="K187" s="65"/>
      <c r="L187" s="69"/>
      <c r="M187" s="69"/>
      <c r="N187" s="65"/>
      <c r="O187" s="65"/>
      <c r="P187" s="65"/>
      <c r="Q187" s="65"/>
      <c r="R187" s="65"/>
      <c r="S187" s="65"/>
    </row>
    <row r="188" spans="1:19" x14ac:dyDescent="0.2">
      <c r="A188" s="74"/>
      <c r="C188" s="65"/>
      <c r="D188" s="65"/>
      <c r="E188" s="65"/>
      <c r="F188" s="65"/>
      <c r="G188" s="65"/>
      <c r="H188" s="65"/>
      <c r="I188" s="65"/>
      <c r="J188" s="65"/>
      <c r="K188" s="65"/>
      <c r="L188" s="69"/>
      <c r="M188" s="69"/>
      <c r="N188" s="65"/>
      <c r="O188" s="65"/>
      <c r="P188" s="65"/>
      <c r="Q188" s="65"/>
      <c r="R188" s="65"/>
      <c r="S188" s="65"/>
    </row>
    <row r="189" spans="1:19" x14ac:dyDescent="0.2">
      <c r="A189" s="74"/>
      <c r="C189" s="65"/>
      <c r="D189" s="65"/>
      <c r="E189" s="65"/>
      <c r="F189" s="65"/>
      <c r="G189" s="65"/>
      <c r="H189" s="65"/>
      <c r="I189" s="65"/>
      <c r="J189" s="65"/>
      <c r="K189" s="65"/>
      <c r="L189" s="69"/>
      <c r="M189" s="69"/>
      <c r="N189" s="65"/>
      <c r="O189" s="65"/>
      <c r="P189" s="65"/>
      <c r="Q189" s="65"/>
      <c r="R189" s="65"/>
      <c r="S189" s="65"/>
    </row>
    <row r="190" spans="1:19" x14ac:dyDescent="0.2">
      <c r="A190" s="74"/>
      <c r="C190" s="65"/>
      <c r="D190" s="65"/>
      <c r="E190" s="65"/>
      <c r="F190" s="65"/>
      <c r="G190" s="65"/>
      <c r="H190" s="65"/>
      <c r="I190" s="65"/>
      <c r="J190" s="65"/>
      <c r="K190" s="65"/>
      <c r="L190" s="69"/>
      <c r="M190" s="69"/>
      <c r="N190" s="65"/>
      <c r="O190" s="65"/>
      <c r="P190" s="65"/>
      <c r="Q190" s="65"/>
      <c r="R190" s="65"/>
      <c r="S190" s="65"/>
    </row>
    <row r="191" spans="1:19" x14ac:dyDescent="0.2">
      <c r="A191" s="74"/>
      <c r="C191" s="65"/>
      <c r="D191" s="65"/>
      <c r="E191" s="65"/>
      <c r="F191" s="65"/>
      <c r="G191" s="65"/>
      <c r="H191" s="65"/>
      <c r="I191" s="65"/>
      <c r="J191" s="65"/>
      <c r="K191" s="65"/>
      <c r="L191" s="69"/>
      <c r="M191" s="69"/>
      <c r="N191" s="65"/>
      <c r="O191" s="65"/>
      <c r="P191" s="65"/>
      <c r="Q191" s="65"/>
      <c r="R191" s="65"/>
      <c r="S191" s="65"/>
    </row>
    <row r="192" spans="1:19" x14ac:dyDescent="0.2">
      <c r="A192" s="74"/>
      <c r="C192" s="65"/>
      <c r="D192" s="65"/>
      <c r="E192" s="65"/>
      <c r="F192" s="65"/>
      <c r="G192" s="65"/>
      <c r="H192" s="65"/>
      <c r="I192" s="65"/>
      <c r="J192" s="65"/>
      <c r="K192" s="65"/>
      <c r="L192" s="69"/>
      <c r="M192" s="69"/>
      <c r="N192" s="65"/>
      <c r="O192" s="65"/>
      <c r="P192" s="65"/>
      <c r="Q192" s="65"/>
      <c r="R192" s="65"/>
      <c r="S192" s="65"/>
    </row>
    <row r="193" spans="1:19" x14ac:dyDescent="0.2">
      <c r="A193" s="74"/>
      <c r="C193" s="65"/>
      <c r="D193" s="65"/>
      <c r="E193" s="65"/>
      <c r="F193" s="65"/>
      <c r="G193" s="65"/>
      <c r="H193" s="65"/>
      <c r="I193" s="65"/>
      <c r="J193" s="65"/>
      <c r="K193" s="65"/>
      <c r="L193" s="69"/>
      <c r="M193" s="69"/>
      <c r="N193" s="65"/>
      <c r="O193" s="65"/>
      <c r="P193" s="65"/>
      <c r="Q193" s="65"/>
      <c r="R193" s="65"/>
      <c r="S193" s="65"/>
    </row>
    <row r="194" spans="1:19" x14ac:dyDescent="0.2">
      <c r="A194" s="74"/>
      <c r="C194" s="65"/>
      <c r="D194" s="65"/>
      <c r="E194" s="65"/>
      <c r="F194" s="65"/>
      <c r="G194" s="65"/>
      <c r="H194" s="65"/>
      <c r="I194" s="65"/>
      <c r="J194" s="65"/>
      <c r="K194" s="65"/>
      <c r="L194" s="69"/>
      <c r="M194" s="69"/>
      <c r="N194" s="65"/>
      <c r="O194" s="65"/>
      <c r="P194" s="65"/>
      <c r="Q194" s="65"/>
      <c r="R194" s="65"/>
      <c r="S194" s="65"/>
    </row>
    <row r="195" spans="1:19" x14ac:dyDescent="0.2">
      <c r="A195" s="74"/>
      <c r="C195" s="65"/>
      <c r="D195" s="65"/>
      <c r="E195" s="65"/>
      <c r="F195" s="65"/>
      <c r="G195" s="65"/>
      <c r="H195" s="65"/>
      <c r="I195" s="65"/>
      <c r="J195" s="65"/>
      <c r="K195" s="65"/>
      <c r="L195" s="69"/>
      <c r="M195" s="69"/>
      <c r="N195" s="65"/>
      <c r="O195" s="65"/>
      <c r="P195" s="65"/>
      <c r="Q195" s="65"/>
      <c r="R195" s="65"/>
      <c r="S195" s="65"/>
    </row>
    <row r="196" spans="1:19" x14ac:dyDescent="0.2">
      <c r="A196" s="74"/>
      <c r="C196" s="65"/>
      <c r="D196" s="65"/>
      <c r="E196" s="65"/>
      <c r="F196" s="65"/>
      <c r="G196" s="65"/>
      <c r="H196" s="65"/>
      <c r="I196" s="65"/>
      <c r="J196" s="65"/>
      <c r="K196" s="65"/>
      <c r="L196" s="69"/>
      <c r="M196" s="69"/>
      <c r="N196" s="65"/>
      <c r="O196" s="65"/>
      <c r="P196" s="65"/>
      <c r="Q196" s="65"/>
      <c r="R196" s="65"/>
      <c r="S196" s="65"/>
    </row>
    <row r="197" spans="1:19" x14ac:dyDescent="0.2">
      <c r="A197" s="74"/>
      <c r="C197" s="65"/>
      <c r="D197" s="65"/>
      <c r="E197" s="65"/>
      <c r="F197" s="65"/>
      <c r="G197" s="65"/>
      <c r="H197" s="65"/>
      <c r="I197" s="65"/>
      <c r="J197" s="65"/>
      <c r="K197" s="65"/>
      <c r="L197" s="69"/>
      <c r="M197" s="69"/>
      <c r="N197" s="65"/>
      <c r="O197" s="65"/>
      <c r="P197" s="65"/>
      <c r="Q197" s="65"/>
      <c r="R197" s="65"/>
      <c r="S197" s="65"/>
    </row>
    <row r="198" spans="1:19" x14ac:dyDescent="0.2">
      <c r="A198" s="74"/>
      <c r="C198" s="65"/>
      <c r="D198" s="65"/>
      <c r="E198" s="65"/>
      <c r="F198" s="65"/>
      <c r="G198" s="65"/>
      <c r="H198" s="65"/>
      <c r="I198" s="65"/>
      <c r="J198" s="65"/>
      <c r="K198" s="65"/>
      <c r="L198" s="69"/>
      <c r="M198" s="69"/>
      <c r="N198" s="65"/>
      <c r="O198" s="65"/>
      <c r="P198" s="65"/>
      <c r="Q198" s="65"/>
      <c r="R198" s="65"/>
      <c r="S198" s="65"/>
    </row>
    <row r="199" spans="1:19" x14ac:dyDescent="0.2">
      <c r="A199" s="74"/>
      <c r="C199" s="65"/>
      <c r="D199" s="65"/>
      <c r="E199" s="65"/>
      <c r="F199" s="65"/>
      <c r="G199" s="65"/>
      <c r="H199" s="65"/>
      <c r="I199" s="65"/>
      <c r="J199" s="65"/>
      <c r="K199" s="65"/>
      <c r="L199" s="69"/>
      <c r="M199" s="69"/>
      <c r="N199" s="65"/>
      <c r="O199" s="65"/>
      <c r="P199" s="65"/>
      <c r="Q199" s="65"/>
      <c r="R199" s="65"/>
      <c r="S199" s="65"/>
    </row>
    <row r="200" spans="1:19" x14ac:dyDescent="0.2">
      <c r="A200" s="74"/>
      <c r="C200" s="65"/>
      <c r="D200" s="65"/>
      <c r="E200" s="65"/>
      <c r="F200" s="65"/>
      <c r="G200" s="65"/>
      <c r="H200" s="65"/>
      <c r="I200" s="65"/>
      <c r="J200" s="65"/>
      <c r="K200" s="65"/>
      <c r="L200" s="69"/>
      <c r="M200" s="69"/>
      <c r="N200" s="65"/>
      <c r="O200" s="65"/>
      <c r="P200" s="65"/>
      <c r="Q200" s="65"/>
      <c r="R200" s="65"/>
      <c r="S200" s="65"/>
    </row>
    <row r="201" spans="1:19" x14ac:dyDescent="0.2">
      <c r="A201" s="74"/>
      <c r="C201" s="65"/>
      <c r="D201" s="65"/>
      <c r="E201" s="65"/>
      <c r="F201" s="65"/>
      <c r="G201" s="65"/>
      <c r="H201" s="65"/>
      <c r="I201" s="65"/>
      <c r="J201" s="65"/>
      <c r="K201" s="65"/>
      <c r="L201" s="69"/>
      <c r="M201" s="69"/>
      <c r="N201" s="65"/>
      <c r="O201" s="65"/>
      <c r="P201" s="65"/>
      <c r="Q201" s="65"/>
      <c r="R201" s="65"/>
      <c r="S201" s="65"/>
    </row>
    <row r="202" spans="1:19" x14ac:dyDescent="0.2">
      <c r="A202" s="74"/>
      <c r="C202" s="65"/>
      <c r="D202" s="65"/>
      <c r="E202" s="65"/>
      <c r="F202" s="65"/>
      <c r="G202" s="65"/>
      <c r="H202" s="65"/>
      <c r="I202" s="65"/>
      <c r="J202" s="65"/>
      <c r="K202" s="65"/>
      <c r="L202" s="69"/>
      <c r="M202" s="69"/>
      <c r="N202" s="65"/>
      <c r="O202" s="65"/>
      <c r="P202" s="65"/>
      <c r="Q202" s="65"/>
      <c r="R202" s="65"/>
      <c r="S202" s="65"/>
    </row>
    <row r="203" spans="1:19" x14ac:dyDescent="0.2">
      <c r="A203" s="74"/>
      <c r="C203" s="65"/>
      <c r="D203" s="65"/>
      <c r="E203" s="65"/>
      <c r="F203" s="65"/>
      <c r="G203" s="65"/>
      <c r="H203" s="65"/>
      <c r="I203" s="65"/>
      <c r="J203" s="65"/>
      <c r="K203" s="65"/>
      <c r="L203" s="69"/>
      <c r="M203" s="69"/>
      <c r="N203" s="65"/>
      <c r="O203" s="65"/>
      <c r="P203" s="65"/>
      <c r="Q203" s="65"/>
      <c r="R203" s="65"/>
      <c r="S203" s="65"/>
    </row>
    <row r="204" spans="1:19" x14ac:dyDescent="0.2">
      <c r="A204" s="74"/>
      <c r="C204" s="65"/>
      <c r="D204" s="65"/>
      <c r="E204" s="65"/>
      <c r="F204" s="65"/>
      <c r="G204" s="65"/>
      <c r="H204" s="65"/>
      <c r="I204" s="65"/>
      <c r="J204" s="65"/>
      <c r="K204" s="65"/>
      <c r="L204" s="69"/>
      <c r="M204" s="69"/>
      <c r="N204" s="65"/>
      <c r="O204" s="65"/>
      <c r="P204" s="65"/>
      <c r="Q204" s="65"/>
      <c r="R204" s="65"/>
      <c r="S204" s="65"/>
    </row>
    <row r="205" spans="1:19" x14ac:dyDescent="0.2">
      <c r="A205" s="74"/>
      <c r="C205" s="65"/>
      <c r="D205" s="65"/>
      <c r="E205" s="65"/>
      <c r="F205" s="65"/>
      <c r="G205" s="65"/>
      <c r="H205" s="65"/>
      <c r="I205" s="65"/>
      <c r="J205" s="65"/>
      <c r="K205" s="65"/>
      <c r="L205" s="69"/>
      <c r="M205" s="69"/>
      <c r="N205" s="65"/>
      <c r="O205" s="65"/>
      <c r="P205" s="65"/>
      <c r="Q205" s="65"/>
      <c r="R205" s="65"/>
      <c r="S205" s="65"/>
    </row>
    <row r="206" spans="1:19" x14ac:dyDescent="0.2">
      <c r="A206" s="74"/>
      <c r="C206" s="65"/>
      <c r="D206" s="65"/>
      <c r="E206" s="65"/>
      <c r="F206" s="65"/>
      <c r="G206" s="65"/>
      <c r="H206" s="65"/>
      <c r="I206" s="65"/>
      <c r="J206" s="65"/>
      <c r="K206" s="65"/>
      <c r="L206" s="69"/>
      <c r="M206" s="69"/>
      <c r="N206" s="65"/>
      <c r="O206" s="65"/>
      <c r="P206" s="65"/>
      <c r="Q206" s="65"/>
      <c r="R206" s="65"/>
      <c r="S206" s="65"/>
    </row>
    <row r="207" spans="1:19" x14ac:dyDescent="0.2">
      <c r="A207" s="74"/>
      <c r="C207" s="65"/>
      <c r="D207" s="65"/>
      <c r="E207" s="65"/>
      <c r="F207" s="65"/>
      <c r="G207" s="65"/>
      <c r="H207" s="65"/>
      <c r="I207" s="65"/>
      <c r="J207" s="65"/>
      <c r="K207" s="65"/>
      <c r="L207" s="69"/>
      <c r="M207" s="69"/>
      <c r="N207" s="65"/>
      <c r="O207" s="65"/>
      <c r="P207" s="65"/>
      <c r="Q207" s="65"/>
      <c r="R207" s="65"/>
      <c r="S207" s="65"/>
    </row>
    <row r="208" spans="1:19" x14ac:dyDescent="0.2">
      <c r="A208" s="74"/>
      <c r="C208" s="65"/>
      <c r="D208" s="65"/>
      <c r="E208" s="65"/>
      <c r="F208" s="65"/>
      <c r="G208" s="65"/>
      <c r="H208" s="65"/>
      <c r="I208" s="65"/>
      <c r="J208" s="65"/>
      <c r="K208" s="65"/>
      <c r="L208" s="69"/>
      <c r="M208" s="69"/>
      <c r="N208" s="65"/>
      <c r="O208" s="65"/>
      <c r="P208" s="65"/>
      <c r="Q208" s="65"/>
      <c r="R208" s="65"/>
      <c r="S208" s="65"/>
    </row>
    <row r="209" spans="1:19" x14ac:dyDescent="0.2">
      <c r="A209" s="74"/>
      <c r="C209" s="65"/>
      <c r="D209" s="65"/>
      <c r="E209" s="65"/>
      <c r="F209" s="65"/>
      <c r="G209" s="65"/>
      <c r="H209" s="65"/>
      <c r="I209" s="65"/>
      <c r="J209" s="65"/>
      <c r="K209" s="65"/>
      <c r="L209" s="69"/>
      <c r="M209" s="69"/>
      <c r="N209" s="65"/>
      <c r="O209" s="65"/>
      <c r="P209" s="65"/>
      <c r="Q209" s="65"/>
      <c r="R209" s="65"/>
      <c r="S209" s="65"/>
    </row>
    <row r="210" spans="1:19" x14ac:dyDescent="0.2">
      <c r="A210" s="74"/>
      <c r="C210" s="65"/>
      <c r="D210" s="65"/>
      <c r="E210" s="65"/>
      <c r="F210" s="65"/>
      <c r="G210" s="65"/>
      <c r="H210" s="65"/>
      <c r="I210" s="65"/>
      <c r="J210" s="65"/>
      <c r="K210" s="65"/>
      <c r="L210" s="69"/>
      <c r="M210" s="69"/>
      <c r="N210" s="65"/>
      <c r="O210" s="65"/>
      <c r="P210" s="65"/>
      <c r="Q210" s="65"/>
      <c r="R210" s="65"/>
      <c r="S210" s="65"/>
    </row>
    <row r="211" spans="1:19" x14ac:dyDescent="0.2">
      <c r="A211" s="74"/>
      <c r="C211" s="65"/>
      <c r="D211" s="65"/>
      <c r="E211" s="65"/>
      <c r="F211" s="65"/>
      <c r="G211" s="65"/>
      <c r="H211" s="65"/>
      <c r="I211" s="65"/>
      <c r="J211" s="65"/>
      <c r="K211" s="65"/>
      <c r="L211" s="69"/>
      <c r="M211" s="69"/>
      <c r="N211" s="65"/>
      <c r="O211" s="65"/>
      <c r="P211" s="65"/>
      <c r="Q211" s="65"/>
      <c r="R211" s="65"/>
      <c r="S211" s="65"/>
    </row>
    <row r="212" spans="1:19" x14ac:dyDescent="0.2">
      <c r="A212" s="74"/>
      <c r="C212" s="65"/>
      <c r="D212" s="65"/>
      <c r="E212" s="65"/>
      <c r="F212" s="65"/>
      <c r="G212" s="65"/>
      <c r="H212" s="65"/>
      <c r="I212" s="65"/>
      <c r="J212" s="65"/>
      <c r="K212" s="65"/>
      <c r="L212" s="69"/>
      <c r="M212" s="69"/>
      <c r="N212" s="65"/>
      <c r="O212" s="65"/>
      <c r="P212" s="65"/>
      <c r="Q212" s="65"/>
      <c r="R212" s="65"/>
      <c r="S212" s="65"/>
    </row>
    <row r="213" spans="1:19" x14ac:dyDescent="0.2">
      <c r="A213" s="74"/>
      <c r="C213" s="65"/>
      <c r="D213" s="65"/>
      <c r="E213" s="65"/>
      <c r="F213" s="65"/>
      <c r="G213" s="65"/>
      <c r="H213" s="65"/>
      <c r="I213" s="65"/>
      <c r="J213" s="65"/>
      <c r="K213" s="65"/>
      <c r="L213" s="69"/>
      <c r="M213" s="69"/>
      <c r="N213" s="65"/>
      <c r="O213" s="65"/>
      <c r="P213" s="65"/>
      <c r="Q213" s="65"/>
      <c r="R213" s="65"/>
      <c r="S213" s="65"/>
    </row>
    <row r="214" spans="1:19" x14ac:dyDescent="0.2">
      <c r="A214" s="74"/>
      <c r="C214" s="65"/>
      <c r="D214" s="65"/>
      <c r="E214" s="65"/>
      <c r="F214" s="65"/>
      <c r="G214" s="65"/>
      <c r="H214" s="65"/>
      <c r="I214" s="65"/>
      <c r="J214" s="65"/>
      <c r="K214" s="65"/>
      <c r="L214" s="69"/>
      <c r="M214" s="69"/>
      <c r="N214" s="65"/>
      <c r="O214" s="65"/>
      <c r="P214" s="65"/>
      <c r="Q214" s="65"/>
      <c r="R214" s="65"/>
      <c r="S214" s="65"/>
    </row>
    <row r="215" spans="1:19" x14ac:dyDescent="0.2">
      <c r="A215" s="74"/>
      <c r="C215" s="65"/>
      <c r="D215" s="65"/>
      <c r="E215" s="65"/>
      <c r="F215" s="65"/>
      <c r="G215" s="65"/>
      <c r="H215" s="65"/>
      <c r="I215" s="65"/>
      <c r="J215" s="65"/>
      <c r="K215" s="65"/>
      <c r="L215" s="69"/>
      <c r="M215" s="69"/>
      <c r="N215" s="65"/>
      <c r="O215" s="65"/>
      <c r="P215" s="65"/>
      <c r="Q215" s="65"/>
      <c r="R215" s="65"/>
      <c r="S215" s="65"/>
    </row>
    <row r="216" spans="1:19" x14ac:dyDescent="0.2">
      <c r="A216" s="74"/>
      <c r="C216" s="65"/>
      <c r="D216" s="65"/>
      <c r="E216" s="65"/>
      <c r="F216" s="65"/>
      <c r="G216" s="65"/>
      <c r="H216" s="65"/>
      <c r="I216" s="65"/>
      <c r="J216" s="65"/>
      <c r="K216" s="65"/>
      <c r="L216" s="69"/>
      <c r="M216" s="69"/>
      <c r="N216" s="65"/>
      <c r="O216" s="65"/>
      <c r="P216" s="65"/>
      <c r="Q216" s="65"/>
      <c r="R216" s="65"/>
      <c r="S216" s="65"/>
    </row>
    <row r="217" spans="1:19" x14ac:dyDescent="0.2">
      <c r="A217" s="74"/>
      <c r="C217" s="65"/>
      <c r="D217" s="65"/>
      <c r="E217" s="65"/>
      <c r="F217" s="65"/>
      <c r="G217" s="65"/>
      <c r="H217" s="65"/>
      <c r="I217" s="65"/>
      <c r="J217" s="65"/>
      <c r="K217" s="65"/>
      <c r="L217" s="69"/>
      <c r="M217" s="69"/>
      <c r="N217" s="65"/>
      <c r="O217" s="65"/>
      <c r="P217" s="65"/>
      <c r="Q217" s="65"/>
      <c r="R217" s="65"/>
      <c r="S217" s="65"/>
    </row>
    <row r="218" spans="1:19" x14ac:dyDescent="0.2">
      <c r="A218" s="74"/>
      <c r="C218" s="65"/>
      <c r="D218" s="65"/>
      <c r="E218" s="65"/>
      <c r="F218" s="65"/>
      <c r="G218" s="65"/>
      <c r="H218" s="65"/>
      <c r="I218" s="65"/>
      <c r="J218" s="65"/>
      <c r="K218" s="65"/>
      <c r="L218" s="69"/>
      <c r="M218" s="69"/>
      <c r="N218" s="65"/>
      <c r="O218" s="65"/>
      <c r="P218" s="65"/>
      <c r="Q218" s="65"/>
      <c r="R218" s="65"/>
      <c r="S218" s="65"/>
    </row>
    <row r="219" spans="1:19" x14ac:dyDescent="0.2">
      <c r="A219" s="74"/>
      <c r="C219" s="65"/>
      <c r="D219" s="65"/>
      <c r="E219" s="65"/>
      <c r="F219" s="65"/>
      <c r="G219" s="65"/>
      <c r="H219" s="65"/>
      <c r="I219" s="65"/>
      <c r="J219" s="65"/>
      <c r="K219" s="65"/>
      <c r="L219" s="69"/>
      <c r="M219" s="69"/>
      <c r="N219" s="65"/>
      <c r="O219" s="65"/>
      <c r="P219" s="65"/>
      <c r="Q219" s="65"/>
      <c r="R219" s="65"/>
      <c r="S219" s="65"/>
    </row>
    <row r="220" spans="1:19" x14ac:dyDescent="0.2">
      <c r="A220" s="74"/>
      <c r="C220" s="65"/>
      <c r="D220" s="65"/>
      <c r="E220" s="65"/>
      <c r="F220" s="65"/>
      <c r="G220" s="65"/>
      <c r="H220" s="65"/>
      <c r="I220" s="65"/>
      <c r="J220" s="65"/>
      <c r="K220" s="65"/>
      <c r="L220" s="69"/>
      <c r="M220" s="69"/>
      <c r="N220" s="65"/>
      <c r="O220" s="65"/>
      <c r="P220" s="65"/>
      <c r="Q220" s="65"/>
      <c r="R220" s="65"/>
      <c r="S220" s="65"/>
    </row>
    <row r="221" spans="1:19" x14ac:dyDescent="0.2">
      <c r="A221" s="74"/>
      <c r="C221" s="65"/>
      <c r="D221" s="65"/>
      <c r="E221" s="65"/>
      <c r="F221" s="65"/>
      <c r="G221" s="65"/>
      <c r="H221" s="65"/>
      <c r="I221" s="65"/>
      <c r="J221" s="65"/>
      <c r="K221" s="65"/>
      <c r="L221" s="69"/>
      <c r="M221" s="69"/>
      <c r="N221" s="65"/>
      <c r="O221" s="65"/>
      <c r="P221" s="65"/>
      <c r="Q221" s="65"/>
      <c r="R221" s="65"/>
      <c r="S221" s="65"/>
    </row>
    <row r="222" spans="1:19" x14ac:dyDescent="0.2">
      <c r="A222" s="74"/>
      <c r="C222" s="65"/>
      <c r="D222" s="65"/>
      <c r="E222" s="65"/>
      <c r="F222" s="65"/>
      <c r="G222" s="65"/>
      <c r="H222" s="65"/>
      <c r="I222" s="65"/>
      <c r="J222" s="65"/>
      <c r="K222" s="65"/>
      <c r="L222" s="69"/>
      <c r="M222" s="69"/>
      <c r="N222" s="65"/>
      <c r="O222" s="65"/>
      <c r="P222" s="65"/>
      <c r="Q222" s="65"/>
      <c r="R222" s="65"/>
      <c r="S222" s="65"/>
    </row>
    <row r="223" spans="1:19" x14ac:dyDescent="0.2">
      <c r="A223" s="74"/>
      <c r="C223" s="65"/>
      <c r="D223" s="65"/>
      <c r="E223" s="65"/>
      <c r="F223" s="65"/>
      <c r="G223" s="65"/>
      <c r="H223" s="65"/>
      <c r="I223" s="65"/>
      <c r="J223" s="65"/>
      <c r="K223" s="65"/>
      <c r="L223" s="69"/>
      <c r="M223" s="69"/>
      <c r="N223" s="65"/>
      <c r="O223" s="65"/>
      <c r="P223" s="65"/>
      <c r="Q223" s="65"/>
      <c r="R223" s="65"/>
      <c r="S223" s="65"/>
    </row>
    <row r="224" spans="1:19" x14ac:dyDescent="0.2">
      <c r="A224" s="74"/>
      <c r="C224" s="65"/>
      <c r="D224" s="65"/>
      <c r="E224" s="65"/>
      <c r="F224" s="65"/>
      <c r="G224" s="65"/>
      <c r="H224" s="65"/>
      <c r="I224" s="65"/>
      <c r="J224" s="65"/>
      <c r="K224" s="65"/>
      <c r="L224" s="69"/>
      <c r="M224" s="69"/>
      <c r="N224" s="65"/>
      <c r="O224" s="65"/>
      <c r="P224" s="65"/>
      <c r="Q224" s="65"/>
      <c r="R224" s="65"/>
      <c r="S224" s="65"/>
    </row>
    <row r="225" spans="1:19" x14ac:dyDescent="0.2">
      <c r="A225" s="74"/>
      <c r="C225" s="65"/>
      <c r="D225" s="65"/>
      <c r="E225" s="65"/>
      <c r="F225" s="65"/>
      <c r="G225" s="65"/>
      <c r="H225" s="65"/>
      <c r="I225" s="65"/>
      <c r="J225" s="65"/>
      <c r="K225" s="65"/>
      <c r="L225" s="69"/>
      <c r="M225" s="69"/>
      <c r="N225" s="65"/>
      <c r="O225" s="65"/>
      <c r="P225" s="65"/>
      <c r="Q225" s="65"/>
      <c r="R225" s="65"/>
      <c r="S225" s="65"/>
    </row>
    <row r="226" spans="1:19" x14ac:dyDescent="0.2">
      <c r="A226" s="74"/>
      <c r="C226" s="65"/>
      <c r="D226" s="65"/>
      <c r="E226" s="65"/>
      <c r="F226" s="65"/>
      <c r="G226" s="65"/>
      <c r="H226" s="65"/>
      <c r="I226" s="65"/>
      <c r="J226" s="65"/>
      <c r="K226" s="65"/>
      <c r="L226" s="69"/>
      <c r="M226" s="69"/>
      <c r="N226" s="65"/>
      <c r="O226" s="65"/>
      <c r="P226" s="65"/>
      <c r="Q226" s="65"/>
      <c r="R226" s="65"/>
      <c r="S226" s="65"/>
    </row>
    <row r="227" spans="1:19" x14ac:dyDescent="0.2">
      <c r="A227" s="74"/>
      <c r="C227" s="65"/>
      <c r="D227" s="65"/>
      <c r="E227" s="65"/>
      <c r="F227" s="65"/>
      <c r="G227" s="65"/>
      <c r="H227" s="65"/>
      <c r="I227" s="65"/>
      <c r="J227" s="65"/>
      <c r="K227" s="65"/>
      <c r="L227" s="69"/>
      <c r="M227" s="69"/>
      <c r="N227" s="65"/>
      <c r="O227" s="65"/>
      <c r="P227" s="65"/>
      <c r="Q227" s="65"/>
      <c r="R227" s="65"/>
      <c r="S227" s="65"/>
    </row>
    <row r="228" spans="1:19" x14ac:dyDescent="0.2">
      <c r="A228" s="74"/>
      <c r="C228" s="65"/>
      <c r="D228" s="65"/>
      <c r="E228" s="65"/>
      <c r="F228" s="65"/>
      <c r="G228" s="65"/>
      <c r="H228" s="65"/>
      <c r="I228" s="65"/>
      <c r="J228" s="65"/>
      <c r="K228" s="65"/>
      <c r="L228" s="69"/>
      <c r="M228" s="69"/>
      <c r="N228" s="65"/>
      <c r="O228" s="65"/>
      <c r="P228" s="65"/>
      <c r="Q228" s="65"/>
      <c r="R228" s="65"/>
      <c r="S228" s="65"/>
    </row>
    <row r="229" spans="1:19" x14ac:dyDescent="0.2">
      <c r="A229" s="74"/>
      <c r="C229" s="65"/>
      <c r="D229" s="65"/>
      <c r="E229" s="65"/>
      <c r="F229" s="65"/>
      <c r="G229" s="65"/>
      <c r="H229" s="65"/>
      <c r="I229" s="65"/>
      <c r="J229" s="65"/>
      <c r="K229" s="65"/>
      <c r="L229" s="69"/>
      <c r="M229" s="69"/>
      <c r="N229" s="65"/>
      <c r="O229" s="65"/>
      <c r="P229" s="65"/>
      <c r="Q229" s="65"/>
      <c r="R229" s="65"/>
      <c r="S229" s="65"/>
    </row>
    <row r="230" spans="1:19" x14ac:dyDescent="0.2">
      <c r="A230" s="74"/>
      <c r="C230" s="65"/>
      <c r="D230" s="65"/>
      <c r="E230" s="65"/>
      <c r="F230" s="65"/>
      <c r="G230" s="65"/>
      <c r="H230" s="65"/>
      <c r="I230" s="65"/>
      <c r="J230" s="65"/>
      <c r="K230" s="65"/>
      <c r="L230" s="69"/>
      <c r="M230" s="69"/>
      <c r="N230" s="65"/>
      <c r="O230" s="65"/>
      <c r="P230" s="65"/>
      <c r="Q230" s="65"/>
      <c r="R230" s="65"/>
      <c r="S230" s="65"/>
    </row>
    <row r="231" spans="1:19" x14ac:dyDescent="0.2">
      <c r="A231" s="74"/>
      <c r="C231" s="65"/>
      <c r="D231" s="65"/>
      <c r="E231" s="65"/>
      <c r="F231" s="65"/>
      <c r="G231" s="65"/>
      <c r="H231" s="65"/>
      <c r="I231" s="65"/>
      <c r="J231" s="65"/>
      <c r="K231" s="65"/>
      <c r="L231" s="69"/>
      <c r="M231" s="69"/>
      <c r="N231" s="65"/>
      <c r="O231" s="65"/>
      <c r="P231" s="65"/>
      <c r="Q231" s="65"/>
      <c r="R231" s="65"/>
      <c r="S231" s="65"/>
    </row>
    <row r="232" spans="1:19" x14ac:dyDescent="0.2">
      <c r="A232" s="74"/>
      <c r="C232" s="65"/>
      <c r="D232" s="65"/>
      <c r="E232" s="65"/>
      <c r="F232" s="65"/>
      <c r="G232" s="65"/>
      <c r="H232" s="65"/>
      <c r="I232" s="65"/>
      <c r="J232" s="65"/>
      <c r="K232" s="65"/>
      <c r="L232" s="69"/>
      <c r="M232" s="69"/>
      <c r="N232" s="65"/>
      <c r="O232" s="65"/>
      <c r="P232" s="65"/>
      <c r="Q232" s="65"/>
      <c r="R232" s="65"/>
      <c r="S232" s="65"/>
    </row>
    <row r="233" spans="1:19" x14ac:dyDescent="0.2">
      <c r="A233" s="74"/>
      <c r="C233" s="65"/>
      <c r="D233" s="65"/>
      <c r="E233" s="65"/>
      <c r="F233" s="65"/>
      <c r="G233" s="65"/>
      <c r="H233" s="65"/>
      <c r="I233" s="65"/>
      <c r="J233" s="65"/>
      <c r="K233" s="65"/>
      <c r="L233" s="69"/>
      <c r="M233" s="69"/>
      <c r="N233" s="65"/>
      <c r="O233" s="65"/>
      <c r="P233" s="65"/>
      <c r="Q233" s="65"/>
      <c r="R233" s="65"/>
      <c r="S233" s="65"/>
    </row>
    <row r="234" spans="1:19" x14ac:dyDescent="0.2">
      <c r="A234" s="74"/>
      <c r="C234" s="65"/>
      <c r="D234" s="65"/>
      <c r="E234" s="65"/>
      <c r="F234" s="65"/>
      <c r="G234" s="65"/>
      <c r="H234" s="65"/>
      <c r="I234" s="65"/>
      <c r="J234" s="65"/>
      <c r="K234" s="65"/>
      <c r="L234" s="69"/>
      <c r="M234" s="69"/>
      <c r="N234" s="65"/>
      <c r="O234" s="65"/>
      <c r="P234" s="65"/>
      <c r="Q234" s="65"/>
      <c r="R234" s="65"/>
      <c r="S234" s="65"/>
    </row>
    <row r="235" spans="1:19" x14ac:dyDescent="0.2">
      <c r="A235" s="74"/>
      <c r="C235" s="65"/>
      <c r="D235" s="65"/>
      <c r="E235" s="65"/>
      <c r="F235" s="65"/>
      <c r="G235" s="65"/>
      <c r="H235" s="65"/>
      <c r="I235" s="65"/>
      <c r="J235" s="65"/>
      <c r="K235" s="65"/>
      <c r="L235" s="69"/>
      <c r="M235" s="69"/>
      <c r="N235" s="65"/>
      <c r="O235" s="65"/>
      <c r="P235" s="65"/>
      <c r="Q235" s="65"/>
      <c r="R235" s="65"/>
      <c r="S235" s="65"/>
    </row>
    <row r="236" spans="1:19" x14ac:dyDescent="0.2">
      <c r="A236" s="74"/>
      <c r="C236" s="65"/>
      <c r="D236" s="65"/>
      <c r="E236" s="65"/>
      <c r="F236" s="65"/>
      <c r="G236" s="65"/>
      <c r="H236" s="65"/>
      <c r="I236" s="65"/>
      <c r="J236" s="65"/>
      <c r="K236" s="65"/>
      <c r="L236" s="69"/>
      <c r="M236" s="69"/>
      <c r="N236" s="65"/>
      <c r="O236" s="65"/>
      <c r="P236" s="65"/>
      <c r="Q236" s="65"/>
      <c r="R236" s="65"/>
      <c r="S236" s="65"/>
    </row>
    <row r="237" spans="1:19" x14ac:dyDescent="0.2">
      <c r="A237" s="74"/>
      <c r="C237" s="65"/>
      <c r="D237" s="65"/>
      <c r="E237" s="65"/>
      <c r="F237" s="65"/>
      <c r="G237" s="65"/>
      <c r="H237" s="65"/>
      <c r="I237" s="65"/>
      <c r="J237" s="65"/>
      <c r="K237" s="65"/>
      <c r="L237" s="69"/>
      <c r="M237" s="69"/>
      <c r="N237" s="65"/>
      <c r="O237" s="65"/>
      <c r="P237" s="65"/>
      <c r="Q237" s="65"/>
      <c r="R237" s="65"/>
      <c r="S237" s="65"/>
    </row>
    <row r="238" spans="1:19" x14ac:dyDescent="0.2">
      <c r="A238" s="74"/>
      <c r="C238" s="65"/>
      <c r="D238" s="65"/>
      <c r="E238" s="65"/>
      <c r="F238" s="65"/>
      <c r="G238" s="65"/>
      <c r="H238" s="65"/>
      <c r="I238" s="65"/>
      <c r="J238" s="65"/>
      <c r="K238" s="65"/>
      <c r="L238" s="69"/>
      <c r="M238" s="69"/>
      <c r="N238" s="65"/>
      <c r="O238" s="65"/>
      <c r="P238" s="65"/>
      <c r="Q238" s="65"/>
      <c r="R238" s="65"/>
      <c r="S238" s="65"/>
    </row>
    <row r="239" spans="1:19" x14ac:dyDescent="0.2">
      <c r="A239" s="74"/>
      <c r="C239" s="65"/>
      <c r="D239" s="65"/>
      <c r="E239" s="65"/>
      <c r="F239" s="65"/>
      <c r="G239" s="65"/>
      <c r="H239" s="65"/>
      <c r="I239" s="65"/>
      <c r="J239" s="65"/>
      <c r="K239" s="65"/>
      <c r="L239" s="69"/>
      <c r="M239" s="69"/>
      <c r="N239" s="65"/>
      <c r="O239" s="65"/>
      <c r="P239" s="65"/>
      <c r="Q239" s="65"/>
      <c r="R239" s="65"/>
      <c r="S239" s="65"/>
    </row>
    <row r="240" spans="1:19" x14ac:dyDescent="0.2">
      <c r="A240" s="74"/>
      <c r="C240" s="65"/>
      <c r="D240" s="65"/>
      <c r="E240" s="65"/>
      <c r="F240" s="65"/>
      <c r="G240" s="65"/>
      <c r="H240" s="65"/>
      <c r="I240" s="65"/>
      <c r="J240" s="65"/>
      <c r="K240" s="65"/>
      <c r="L240" s="69"/>
      <c r="M240" s="69"/>
      <c r="N240" s="65"/>
      <c r="O240" s="65"/>
      <c r="P240" s="65"/>
      <c r="Q240" s="65"/>
      <c r="R240" s="65"/>
      <c r="S240" s="65"/>
    </row>
    <row r="241" spans="1:19" x14ac:dyDescent="0.2">
      <c r="A241" s="74"/>
      <c r="C241" s="65"/>
      <c r="D241" s="65"/>
      <c r="E241" s="65"/>
      <c r="F241" s="65"/>
      <c r="G241" s="65"/>
      <c r="H241" s="65"/>
      <c r="I241" s="65"/>
      <c r="J241" s="65"/>
      <c r="K241" s="65"/>
      <c r="L241" s="69"/>
      <c r="M241" s="69"/>
      <c r="N241" s="65"/>
      <c r="O241" s="65"/>
      <c r="P241" s="65"/>
      <c r="Q241" s="65"/>
      <c r="R241" s="65"/>
      <c r="S241" s="65"/>
    </row>
    <row r="242" spans="1:19" x14ac:dyDescent="0.2">
      <c r="A242" s="74"/>
      <c r="C242" s="65"/>
      <c r="D242" s="65"/>
      <c r="E242" s="65"/>
      <c r="F242" s="65"/>
      <c r="G242" s="65"/>
      <c r="H242" s="65"/>
      <c r="I242" s="65"/>
      <c r="J242" s="65"/>
      <c r="K242" s="65"/>
      <c r="L242" s="69"/>
      <c r="M242" s="69"/>
      <c r="N242" s="65"/>
      <c r="O242" s="65"/>
      <c r="P242" s="65"/>
      <c r="Q242" s="65"/>
      <c r="R242" s="65"/>
      <c r="S242" s="65"/>
    </row>
    <row r="243" spans="1:19" x14ac:dyDescent="0.2">
      <c r="A243" s="74"/>
      <c r="C243" s="65"/>
      <c r="D243" s="65"/>
      <c r="E243" s="65"/>
      <c r="F243" s="65"/>
      <c r="G243" s="65"/>
      <c r="H243" s="65"/>
      <c r="I243" s="65"/>
      <c r="J243" s="65"/>
      <c r="K243" s="65"/>
      <c r="L243" s="69"/>
      <c r="M243" s="69"/>
      <c r="N243" s="65"/>
      <c r="O243" s="65"/>
      <c r="P243" s="65"/>
      <c r="Q243" s="65"/>
      <c r="R243" s="65"/>
      <c r="S243" s="65"/>
    </row>
    <row r="244" spans="1:19" x14ac:dyDescent="0.2">
      <c r="A244" s="74"/>
      <c r="C244" s="65"/>
      <c r="D244" s="65"/>
      <c r="E244" s="65"/>
      <c r="F244" s="65"/>
      <c r="G244" s="65"/>
      <c r="H244" s="65"/>
      <c r="I244" s="65"/>
      <c r="J244" s="65"/>
      <c r="K244" s="65"/>
      <c r="L244" s="69"/>
      <c r="M244" s="69"/>
      <c r="N244" s="65"/>
      <c r="O244" s="65"/>
      <c r="P244" s="65"/>
      <c r="Q244" s="65"/>
      <c r="R244" s="65"/>
      <c r="S244" s="65"/>
    </row>
    <row r="245" spans="1:19" x14ac:dyDescent="0.2">
      <c r="A245" s="74"/>
      <c r="C245" s="65"/>
      <c r="D245" s="65"/>
      <c r="E245" s="65"/>
      <c r="F245" s="65"/>
      <c r="G245" s="65"/>
      <c r="H245" s="65"/>
      <c r="I245" s="65"/>
      <c r="J245" s="65"/>
      <c r="K245" s="65"/>
      <c r="L245" s="69"/>
      <c r="M245" s="69"/>
      <c r="N245" s="65"/>
      <c r="O245" s="65"/>
      <c r="P245" s="65"/>
      <c r="Q245" s="65"/>
      <c r="R245" s="65"/>
      <c r="S245" s="65"/>
    </row>
    <row r="246" spans="1:19" x14ac:dyDescent="0.2">
      <c r="A246" s="74"/>
      <c r="C246" s="65"/>
      <c r="D246" s="65"/>
      <c r="E246" s="65"/>
      <c r="F246" s="65"/>
      <c r="G246" s="65"/>
      <c r="H246" s="65"/>
      <c r="I246" s="65"/>
      <c r="J246" s="65"/>
      <c r="K246" s="65"/>
      <c r="L246" s="69"/>
      <c r="M246" s="69"/>
      <c r="N246" s="65"/>
      <c r="O246" s="65"/>
      <c r="P246" s="65"/>
      <c r="Q246" s="65"/>
      <c r="R246" s="65"/>
      <c r="S246" s="65"/>
    </row>
    <row r="247" spans="1:19" x14ac:dyDescent="0.2">
      <c r="A247" s="74"/>
      <c r="C247" s="65"/>
      <c r="D247" s="65"/>
      <c r="E247" s="65"/>
      <c r="F247" s="65"/>
      <c r="G247" s="65"/>
      <c r="H247" s="65"/>
      <c r="I247" s="65"/>
      <c r="J247" s="65"/>
      <c r="K247" s="65"/>
      <c r="L247" s="69"/>
      <c r="M247" s="69"/>
      <c r="N247" s="65"/>
      <c r="O247" s="65"/>
      <c r="P247" s="65"/>
      <c r="Q247" s="65"/>
      <c r="R247" s="65"/>
      <c r="S247" s="65"/>
    </row>
    <row r="248" spans="1:19" x14ac:dyDescent="0.2">
      <c r="A248" s="74"/>
      <c r="C248" s="65"/>
      <c r="D248" s="65"/>
      <c r="E248" s="65"/>
      <c r="F248" s="65"/>
      <c r="G248" s="65"/>
      <c r="H248" s="65"/>
      <c r="I248" s="65"/>
      <c r="J248" s="65"/>
      <c r="K248" s="65"/>
      <c r="L248" s="69"/>
      <c r="M248" s="69"/>
      <c r="N248" s="65"/>
      <c r="O248" s="65"/>
      <c r="P248" s="65"/>
      <c r="Q248" s="65"/>
      <c r="R248" s="65"/>
      <c r="S248" s="65"/>
    </row>
    <row r="249" spans="1:19" x14ac:dyDescent="0.2">
      <c r="A249" s="74"/>
      <c r="C249" s="65"/>
      <c r="D249" s="65"/>
      <c r="E249" s="65"/>
      <c r="F249" s="65"/>
      <c r="G249" s="65"/>
      <c r="H249" s="65"/>
      <c r="I249" s="65"/>
      <c r="J249" s="65"/>
      <c r="K249" s="65"/>
      <c r="L249" s="69"/>
      <c r="M249" s="69"/>
      <c r="N249" s="65"/>
      <c r="O249" s="65"/>
      <c r="P249" s="65"/>
      <c r="Q249" s="65"/>
      <c r="R249" s="65"/>
      <c r="S249" s="65"/>
    </row>
    <row r="250" spans="1:19" x14ac:dyDescent="0.2">
      <c r="A250" s="74"/>
      <c r="C250" s="65"/>
      <c r="D250" s="65"/>
      <c r="E250" s="65"/>
      <c r="F250" s="65"/>
      <c r="G250" s="65"/>
      <c r="H250" s="65"/>
      <c r="I250" s="65"/>
      <c r="J250" s="65"/>
      <c r="K250" s="65"/>
      <c r="L250" s="69"/>
      <c r="M250" s="69"/>
      <c r="N250" s="65"/>
      <c r="O250" s="65"/>
      <c r="P250" s="65"/>
      <c r="Q250" s="65"/>
      <c r="R250" s="65"/>
      <c r="S250" s="65"/>
    </row>
    <row r="251" spans="1:19" x14ac:dyDescent="0.2">
      <c r="A251" s="74"/>
      <c r="C251" s="65"/>
      <c r="D251" s="65"/>
      <c r="E251" s="65"/>
      <c r="F251" s="65"/>
      <c r="G251" s="65"/>
      <c r="H251" s="65"/>
      <c r="I251" s="65"/>
      <c r="J251" s="65"/>
      <c r="K251" s="65"/>
      <c r="L251" s="69"/>
      <c r="M251" s="69"/>
      <c r="N251" s="65"/>
      <c r="O251" s="65"/>
      <c r="P251" s="65"/>
      <c r="Q251" s="65"/>
      <c r="R251" s="65"/>
      <c r="S251" s="65"/>
    </row>
    <row r="252" spans="1:19" x14ac:dyDescent="0.2">
      <c r="A252" s="74"/>
      <c r="C252" s="65"/>
      <c r="D252" s="65"/>
      <c r="E252" s="65"/>
      <c r="F252" s="65"/>
      <c r="G252" s="65"/>
      <c r="H252" s="65"/>
      <c r="I252" s="65"/>
      <c r="J252" s="65"/>
      <c r="K252" s="65"/>
      <c r="L252" s="69"/>
      <c r="M252" s="69"/>
      <c r="N252" s="65"/>
      <c r="O252" s="65"/>
      <c r="P252" s="65"/>
      <c r="Q252" s="65"/>
      <c r="R252" s="65"/>
      <c r="S252" s="65"/>
    </row>
    <row r="253" spans="1:19" x14ac:dyDescent="0.2">
      <c r="A253" s="74"/>
      <c r="C253" s="65"/>
      <c r="D253" s="65"/>
      <c r="E253" s="65"/>
      <c r="F253" s="65"/>
      <c r="G253" s="65"/>
      <c r="H253" s="65"/>
      <c r="I253" s="65"/>
      <c r="J253" s="65"/>
      <c r="K253" s="65"/>
      <c r="L253" s="69"/>
      <c r="M253" s="69"/>
      <c r="N253" s="65"/>
      <c r="O253" s="65"/>
      <c r="P253" s="65"/>
      <c r="Q253" s="65"/>
      <c r="R253" s="65"/>
      <c r="S253" s="65"/>
    </row>
    <row r="254" spans="1:19" x14ac:dyDescent="0.2">
      <c r="A254" s="74"/>
      <c r="C254" s="65"/>
      <c r="D254" s="65"/>
      <c r="E254" s="65"/>
      <c r="F254" s="65"/>
      <c r="G254" s="65"/>
      <c r="H254" s="65"/>
      <c r="I254" s="65"/>
      <c r="J254" s="65"/>
      <c r="K254" s="65"/>
      <c r="L254" s="69"/>
      <c r="M254" s="69"/>
      <c r="N254" s="65"/>
      <c r="O254" s="65"/>
      <c r="P254" s="65"/>
      <c r="Q254" s="65"/>
      <c r="R254" s="65"/>
      <c r="S254" s="65"/>
    </row>
    <row r="255" spans="1:19" x14ac:dyDescent="0.2">
      <c r="A255" s="74"/>
      <c r="C255" s="65"/>
      <c r="D255" s="65"/>
      <c r="E255" s="65"/>
      <c r="F255" s="65"/>
      <c r="G255" s="65"/>
      <c r="H255" s="65"/>
      <c r="I255" s="65"/>
      <c r="J255" s="65"/>
      <c r="K255" s="65"/>
      <c r="L255" s="69"/>
      <c r="M255" s="69"/>
      <c r="N255" s="65"/>
      <c r="O255" s="65"/>
      <c r="P255" s="65"/>
      <c r="Q255" s="65"/>
      <c r="R255" s="65"/>
      <c r="S255" s="65"/>
    </row>
    <row r="256" spans="1:19" x14ac:dyDescent="0.2">
      <c r="A256" s="74"/>
      <c r="C256" s="65"/>
      <c r="D256" s="65"/>
      <c r="E256" s="65"/>
      <c r="F256" s="65"/>
      <c r="G256" s="65"/>
      <c r="H256" s="65"/>
      <c r="I256" s="65"/>
      <c r="J256" s="65"/>
      <c r="K256" s="65"/>
      <c r="L256" s="69"/>
      <c r="M256" s="69"/>
      <c r="N256" s="65"/>
      <c r="O256" s="65"/>
      <c r="P256" s="65"/>
      <c r="Q256" s="65"/>
      <c r="R256" s="65"/>
      <c r="S256" s="65"/>
    </row>
    <row r="257" spans="1:19" x14ac:dyDescent="0.2">
      <c r="A257" s="74"/>
      <c r="C257" s="65"/>
      <c r="D257" s="65"/>
      <c r="E257" s="65"/>
      <c r="F257" s="65"/>
      <c r="G257" s="65"/>
      <c r="H257" s="65"/>
      <c r="I257" s="65"/>
      <c r="J257" s="65"/>
      <c r="K257" s="65"/>
      <c r="L257" s="69"/>
      <c r="M257" s="69"/>
      <c r="N257" s="65"/>
      <c r="O257" s="65"/>
      <c r="P257" s="65"/>
      <c r="Q257" s="65"/>
      <c r="R257" s="65"/>
      <c r="S257" s="65"/>
    </row>
    <row r="258" spans="1:19" x14ac:dyDescent="0.2">
      <c r="A258" s="74"/>
      <c r="C258" s="65"/>
      <c r="D258" s="65"/>
      <c r="E258" s="65"/>
      <c r="F258" s="65"/>
      <c r="G258" s="65"/>
      <c r="H258" s="65"/>
      <c r="I258" s="65"/>
      <c r="J258" s="65"/>
      <c r="K258" s="65"/>
      <c r="L258" s="69"/>
      <c r="M258" s="69"/>
      <c r="N258" s="65"/>
      <c r="O258" s="65"/>
      <c r="P258" s="65"/>
      <c r="Q258" s="65"/>
      <c r="R258" s="65"/>
      <c r="S258" s="65"/>
    </row>
    <row r="259" spans="1:19" x14ac:dyDescent="0.2">
      <c r="A259" s="74"/>
      <c r="C259" s="65"/>
      <c r="D259" s="65"/>
      <c r="E259" s="65"/>
      <c r="F259" s="65"/>
      <c r="G259" s="65"/>
      <c r="H259" s="65"/>
      <c r="I259" s="65"/>
      <c r="J259" s="65"/>
      <c r="K259" s="65"/>
      <c r="L259" s="69"/>
      <c r="M259" s="69"/>
      <c r="N259" s="65"/>
      <c r="O259" s="65"/>
      <c r="P259" s="65"/>
      <c r="Q259" s="65"/>
      <c r="R259" s="65"/>
      <c r="S259" s="65"/>
    </row>
    <row r="260" spans="1:19" x14ac:dyDescent="0.2">
      <c r="A260" s="74"/>
      <c r="C260" s="65"/>
      <c r="D260" s="65"/>
      <c r="E260" s="65"/>
      <c r="F260" s="65"/>
      <c r="G260" s="65"/>
      <c r="H260" s="65"/>
      <c r="I260" s="65"/>
      <c r="J260" s="65"/>
      <c r="K260" s="65"/>
      <c r="L260" s="69"/>
      <c r="M260" s="69"/>
      <c r="N260" s="65"/>
      <c r="O260" s="65"/>
      <c r="P260" s="65"/>
      <c r="Q260" s="65"/>
      <c r="R260" s="65"/>
      <c r="S260" s="65"/>
    </row>
    <row r="261" spans="1:19" x14ac:dyDescent="0.2">
      <c r="A261" s="74"/>
      <c r="C261" s="65"/>
      <c r="D261" s="65"/>
      <c r="E261" s="65"/>
      <c r="F261" s="65"/>
      <c r="G261" s="65"/>
      <c r="H261" s="65"/>
      <c r="I261" s="65"/>
      <c r="J261" s="65"/>
      <c r="K261" s="65"/>
      <c r="L261" s="69"/>
      <c r="M261" s="69"/>
      <c r="N261" s="65"/>
      <c r="O261" s="65"/>
      <c r="P261" s="65"/>
      <c r="Q261" s="65"/>
      <c r="R261" s="65"/>
      <c r="S261" s="65"/>
    </row>
    <row r="262" spans="1:19" x14ac:dyDescent="0.2">
      <c r="A262" s="74"/>
      <c r="C262" s="65"/>
      <c r="D262" s="65"/>
      <c r="E262" s="65"/>
      <c r="F262" s="65"/>
      <c r="G262" s="65"/>
      <c r="H262" s="65"/>
      <c r="I262" s="65"/>
      <c r="J262" s="65"/>
      <c r="K262" s="65"/>
      <c r="L262" s="69"/>
      <c r="M262" s="69"/>
      <c r="N262" s="65"/>
      <c r="O262" s="65"/>
      <c r="P262" s="65"/>
      <c r="Q262" s="65"/>
      <c r="R262" s="65"/>
      <c r="S262" s="65"/>
    </row>
    <row r="263" spans="1:19" x14ac:dyDescent="0.2">
      <c r="A263" s="74"/>
      <c r="C263" s="65"/>
      <c r="D263" s="65"/>
      <c r="E263" s="65"/>
      <c r="F263" s="65"/>
      <c r="G263" s="65"/>
      <c r="H263" s="65"/>
      <c r="I263" s="65"/>
      <c r="J263" s="65"/>
      <c r="K263" s="65"/>
      <c r="L263" s="69"/>
      <c r="M263" s="69"/>
      <c r="N263" s="65"/>
      <c r="O263" s="65"/>
      <c r="P263" s="65"/>
      <c r="Q263" s="65"/>
      <c r="R263" s="65"/>
      <c r="S263" s="65"/>
    </row>
    <row r="264" spans="1:19" x14ac:dyDescent="0.2">
      <c r="A264" s="74"/>
      <c r="C264" s="65"/>
      <c r="D264" s="65"/>
      <c r="E264" s="65"/>
      <c r="F264" s="65"/>
      <c r="G264" s="65"/>
      <c r="H264" s="65"/>
      <c r="I264" s="65"/>
      <c r="J264" s="65"/>
      <c r="K264" s="65"/>
      <c r="L264" s="69"/>
      <c r="M264" s="69"/>
      <c r="N264" s="65"/>
      <c r="O264" s="65"/>
      <c r="P264" s="65"/>
      <c r="Q264" s="65"/>
      <c r="R264" s="65"/>
      <c r="S264" s="65"/>
    </row>
    <row r="265" spans="1:19" x14ac:dyDescent="0.2">
      <c r="A265" s="74"/>
      <c r="C265" s="65"/>
      <c r="D265" s="65"/>
      <c r="E265" s="65"/>
      <c r="F265" s="65"/>
      <c r="G265" s="65"/>
      <c r="H265" s="65"/>
      <c r="I265" s="65"/>
      <c r="J265" s="65"/>
      <c r="K265" s="65"/>
      <c r="L265" s="69"/>
      <c r="M265" s="69"/>
      <c r="N265" s="65"/>
      <c r="O265" s="65"/>
      <c r="P265" s="65"/>
      <c r="Q265" s="65"/>
      <c r="R265" s="65"/>
      <c r="S265" s="65"/>
    </row>
    <row r="266" spans="1:19" x14ac:dyDescent="0.2">
      <c r="A266" s="74"/>
      <c r="C266" s="65"/>
      <c r="D266" s="65"/>
      <c r="E266" s="65"/>
      <c r="F266" s="65"/>
      <c r="G266" s="65"/>
      <c r="H266" s="65"/>
      <c r="I266" s="65"/>
      <c r="J266" s="65"/>
      <c r="K266" s="65"/>
      <c r="L266" s="69"/>
      <c r="M266" s="69"/>
      <c r="N266" s="65"/>
      <c r="O266" s="65"/>
      <c r="P266" s="65"/>
      <c r="Q266" s="65"/>
      <c r="R266" s="65"/>
      <c r="S266" s="65"/>
    </row>
    <row r="267" spans="1:19" x14ac:dyDescent="0.2">
      <c r="A267" s="74"/>
      <c r="C267" s="65"/>
      <c r="D267" s="65"/>
      <c r="E267" s="65"/>
      <c r="F267" s="65"/>
      <c r="G267" s="65"/>
      <c r="H267" s="65"/>
      <c r="I267" s="65"/>
      <c r="J267" s="65"/>
      <c r="K267" s="65"/>
      <c r="L267" s="69"/>
      <c r="M267" s="69"/>
      <c r="N267" s="65"/>
      <c r="O267" s="65"/>
      <c r="P267" s="65"/>
      <c r="Q267" s="65"/>
      <c r="R267" s="65"/>
      <c r="S267" s="65"/>
    </row>
    <row r="268" spans="1:19" x14ac:dyDescent="0.2">
      <c r="A268" s="74"/>
      <c r="C268" s="65"/>
      <c r="D268" s="65"/>
      <c r="E268" s="65"/>
      <c r="F268" s="65"/>
      <c r="G268" s="65"/>
      <c r="H268" s="65"/>
      <c r="I268" s="65"/>
      <c r="J268" s="65"/>
      <c r="K268" s="65"/>
      <c r="L268" s="69"/>
      <c r="M268" s="69"/>
      <c r="N268" s="65"/>
      <c r="O268" s="65"/>
      <c r="P268" s="65"/>
      <c r="Q268" s="65"/>
      <c r="R268" s="65"/>
      <c r="S268" s="65"/>
    </row>
    <row r="269" spans="1:19" x14ac:dyDescent="0.2">
      <c r="A269" s="74"/>
      <c r="C269" s="65"/>
      <c r="D269" s="65"/>
      <c r="E269" s="65"/>
      <c r="F269" s="65"/>
      <c r="G269" s="65"/>
      <c r="H269" s="65"/>
      <c r="I269" s="65"/>
      <c r="J269" s="65"/>
      <c r="K269" s="65"/>
      <c r="L269" s="69"/>
      <c r="M269" s="69"/>
      <c r="N269" s="65"/>
      <c r="O269" s="65"/>
      <c r="P269" s="65"/>
      <c r="Q269" s="65"/>
      <c r="R269" s="65"/>
      <c r="S269" s="65"/>
    </row>
    <row r="270" spans="1:19" x14ac:dyDescent="0.2">
      <c r="A270" s="74"/>
      <c r="C270" s="65"/>
      <c r="D270" s="65"/>
      <c r="E270" s="65"/>
      <c r="F270" s="65"/>
      <c r="G270" s="65"/>
      <c r="H270" s="65"/>
      <c r="I270" s="65"/>
      <c r="J270" s="65"/>
      <c r="K270" s="65"/>
      <c r="L270" s="69"/>
      <c r="M270" s="69"/>
      <c r="N270" s="65"/>
      <c r="O270" s="65"/>
      <c r="P270" s="65"/>
      <c r="Q270" s="65"/>
      <c r="R270" s="65"/>
      <c r="S270" s="65"/>
    </row>
    <row r="271" spans="1:19" x14ac:dyDescent="0.2">
      <c r="A271" s="74"/>
      <c r="C271" s="65"/>
      <c r="D271" s="65"/>
      <c r="E271" s="65"/>
      <c r="F271" s="65"/>
      <c r="G271" s="65"/>
      <c r="H271" s="65"/>
      <c r="I271" s="65"/>
      <c r="J271" s="65"/>
      <c r="K271" s="65"/>
      <c r="L271" s="69"/>
      <c r="M271" s="69"/>
      <c r="N271" s="65"/>
      <c r="O271" s="65"/>
      <c r="P271" s="65"/>
      <c r="Q271" s="65"/>
      <c r="R271" s="65"/>
      <c r="S271" s="65"/>
    </row>
    <row r="272" spans="1:19" x14ac:dyDescent="0.2">
      <c r="A272" s="74"/>
      <c r="C272" s="65"/>
      <c r="D272" s="65"/>
      <c r="E272" s="65"/>
      <c r="F272" s="65"/>
      <c r="G272" s="65"/>
      <c r="H272" s="65"/>
      <c r="I272" s="65"/>
      <c r="J272" s="65"/>
      <c r="K272" s="65"/>
      <c r="L272" s="69"/>
      <c r="M272" s="69"/>
      <c r="N272" s="65"/>
      <c r="O272" s="65"/>
      <c r="P272" s="65"/>
      <c r="Q272" s="65"/>
      <c r="R272" s="65"/>
      <c r="S272" s="65"/>
    </row>
    <row r="273" spans="1:19" x14ac:dyDescent="0.2">
      <c r="A273" s="74"/>
      <c r="C273" s="65"/>
      <c r="D273" s="65"/>
      <c r="E273" s="65"/>
      <c r="F273" s="65"/>
      <c r="G273" s="65"/>
      <c r="H273" s="65"/>
      <c r="I273" s="65"/>
      <c r="J273" s="65"/>
      <c r="K273" s="65"/>
      <c r="L273" s="69"/>
      <c r="M273" s="69"/>
      <c r="N273" s="65"/>
      <c r="O273" s="65"/>
      <c r="P273" s="65"/>
      <c r="Q273" s="65"/>
      <c r="R273" s="65"/>
      <c r="S273" s="65"/>
    </row>
    <row r="274" spans="1:19" x14ac:dyDescent="0.2">
      <c r="A274" s="74"/>
      <c r="C274" s="65"/>
      <c r="D274" s="65"/>
      <c r="E274" s="65"/>
      <c r="F274" s="65"/>
      <c r="G274" s="65"/>
      <c r="H274" s="65"/>
      <c r="I274" s="65"/>
      <c r="J274" s="65"/>
      <c r="K274" s="65"/>
      <c r="L274" s="69"/>
      <c r="M274" s="69"/>
      <c r="N274" s="65"/>
      <c r="O274" s="65"/>
      <c r="P274" s="65"/>
      <c r="Q274" s="65"/>
      <c r="R274" s="65"/>
      <c r="S274" s="65"/>
    </row>
    <row r="275" spans="1:19" x14ac:dyDescent="0.2">
      <c r="A275" s="74"/>
      <c r="C275" s="65"/>
      <c r="D275" s="65"/>
      <c r="E275" s="65"/>
      <c r="F275" s="65"/>
      <c r="G275" s="65"/>
      <c r="H275" s="65"/>
      <c r="I275" s="65"/>
      <c r="J275" s="65"/>
      <c r="K275" s="65"/>
      <c r="L275" s="69"/>
      <c r="M275" s="69"/>
      <c r="N275" s="65"/>
      <c r="O275" s="65"/>
      <c r="P275" s="65"/>
      <c r="Q275" s="65"/>
      <c r="R275" s="65"/>
      <c r="S275" s="65"/>
    </row>
    <row r="276" spans="1:19" x14ac:dyDescent="0.2">
      <c r="A276" s="74"/>
      <c r="C276" s="65"/>
      <c r="D276" s="65"/>
      <c r="E276" s="65"/>
      <c r="F276" s="65"/>
      <c r="G276" s="65"/>
      <c r="H276" s="65"/>
      <c r="I276" s="65"/>
      <c r="J276" s="65"/>
      <c r="K276" s="65"/>
      <c r="L276" s="69"/>
      <c r="M276" s="69"/>
      <c r="N276" s="65"/>
      <c r="O276" s="65"/>
      <c r="P276" s="65"/>
      <c r="Q276" s="65"/>
      <c r="R276" s="65"/>
      <c r="S276" s="65"/>
    </row>
    <row r="277" spans="1:19" x14ac:dyDescent="0.2">
      <c r="A277" s="74"/>
      <c r="C277" s="65"/>
      <c r="D277" s="65"/>
      <c r="E277" s="65"/>
      <c r="F277" s="65"/>
      <c r="G277" s="65"/>
      <c r="H277" s="65"/>
      <c r="I277" s="65"/>
      <c r="J277" s="65"/>
      <c r="K277" s="65"/>
      <c r="L277" s="69"/>
      <c r="M277" s="69"/>
      <c r="N277" s="65"/>
      <c r="O277" s="65"/>
      <c r="P277" s="65"/>
      <c r="Q277" s="65"/>
      <c r="R277" s="65"/>
      <c r="S277" s="65"/>
    </row>
    <row r="278" spans="1:19" x14ac:dyDescent="0.2">
      <c r="A278" s="74"/>
      <c r="C278" s="65"/>
      <c r="D278" s="65"/>
      <c r="E278" s="65"/>
      <c r="F278" s="65"/>
      <c r="G278" s="65"/>
      <c r="H278" s="65"/>
      <c r="I278" s="65"/>
      <c r="J278" s="65"/>
      <c r="K278" s="65"/>
      <c r="L278" s="69"/>
      <c r="M278" s="69"/>
      <c r="N278" s="65"/>
      <c r="O278" s="65"/>
      <c r="P278" s="65"/>
      <c r="Q278" s="65"/>
      <c r="R278" s="65"/>
      <c r="S278" s="65"/>
    </row>
    <row r="279" spans="1:19" x14ac:dyDescent="0.2">
      <c r="A279" s="74"/>
      <c r="C279" s="65"/>
      <c r="D279" s="65"/>
      <c r="E279" s="65"/>
      <c r="F279" s="65"/>
      <c r="G279" s="65"/>
      <c r="H279" s="65"/>
      <c r="I279" s="65"/>
      <c r="J279" s="65"/>
      <c r="K279" s="65"/>
      <c r="L279" s="69"/>
      <c r="M279" s="69"/>
      <c r="N279" s="65"/>
      <c r="O279" s="65"/>
      <c r="P279" s="65"/>
      <c r="Q279" s="65"/>
      <c r="R279" s="65"/>
      <c r="S279" s="65"/>
    </row>
    <row r="280" spans="1:19" x14ac:dyDescent="0.2">
      <c r="A280" s="74"/>
      <c r="C280" s="65"/>
      <c r="D280" s="65"/>
      <c r="E280" s="65"/>
      <c r="F280" s="65"/>
      <c r="G280" s="65"/>
      <c r="H280" s="65"/>
      <c r="I280" s="65"/>
      <c r="J280" s="65"/>
      <c r="K280" s="65"/>
      <c r="L280" s="69"/>
      <c r="M280" s="69"/>
      <c r="N280" s="65"/>
      <c r="O280" s="65"/>
      <c r="P280" s="65"/>
      <c r="Q280" s="65"/>
      <c r="R280" s="65"/>
      <c r="S280" s="65"/>
    </row>
    <row r="281" spans="1:19" x14ac:dyDescent="0.2">
      <c r="A281" s="74"/>
      <c r="C281" s="65"/>
      <c r="D281" s="65"/>
      <c r="E281" s="65"/>
      <c r="F281" s="65"/>
      <c r="G281" s="65"/>
      <c r="H281" s="65"/>
      <c r="I281" s="65"/>
      <c r="J281" s="65"/>
      <c r="K281" s="65"/>
      <c r="L281" s="69"/>
      <c r="M281" s="69"/>
      <c r="N281" s="65"/>
      <c r="O281" s="65"/>
      <c r="P281" s="65"/>
      <c r="Q281" s="65"/>
      <c r="R281" s="65"/>
      <c r="S281" s="65"/>
    </row>
    <row r="282" spans="1:19" x14ac:dyDescent="0.2">
      <c r="A282" s="74"/>
      <c r="C282" s="65"/>
      <c r="D282" s="65"/>
      <c r="E282" s="65"/>
      <c r="F282" s="65"/>
      <c r="G282" s="65"/>
      <c r="H282" s="65"/>
      <c r="I282" s="65"/>
      <c r="J282" s="65"/>
      <c r="K282" s="65"/>
      <c r="L282" s="69"/>
      <c r="M282" s="69"/>
      <c r="N282" s="65"/>
      <c r="O282" s="65"/>
      <c r="P282" s="65"/>
      <c r="Q282" s="65"/>
      <c r="R282" s="65"/>
      <c r="S282" s="65"/>
    </row>
    <row r="283" spans="1:19" x14ac:dyDescent="0.2">
      <c r="A283" s="74"/>
      <c r="C283" s="65"/>
      <c r="D283" s="65"/>
      <c r="E283" s="65"/>
      <c r="F283" s="65"/>
      <c r="G283" s="65"/>
      <c r="H283" s="65"/>
      <c r="I283" s="65"/>
      <c r="J283" s="65"/>
      <c r="K283" s="65"/>
      <c r="L283" s="69"/>
      <c r="M283" s="69"/>
      <c r="N283" s="65"/>
      <c r="O283" s="65"/>
      <c r="P283" s="65"/>
      <c r="Q283" s="65"/>
      <c r="R283" s="65"/>
      <c r="S283" s="65"/>
    </row>
    <row r="284" spans="1:19" x14ac:dyDescent="0.2">
      <c r="A284" s="74"/>
      <c r="C284" s="65"/>
      <c r="D284" s="65"/>
      <c r="E284" s="65"/>
      <c r="F284" s="65"/>
      <c r="G284" s="65"/>
      <c r="H284" s="65"/>
      <c r="I284" s="65"/>
      <c r="J284" s="65"/>
      <c r="K284" s="65"/>
      <c r="L284" s="69"/>
      <c r="M284" s="69"/>
      <c r="N284" s="65"/>
      <c r="O284" s="65"/>
      <c r="P284" s="65"/>
      <c r="Q284" s="65"/>
      <c r="R284" s="65"/>
      <c r="S284" s="65"/>
    </row>
    <row r="285" spans="1:19" x14ac:dyDescent="0.2">
      <c r="A285" s="74"/>
      <c r="C285" s="65"/>
      <c r="D285" s="65"/>
      <c r="E285" s="65"/>
      <c r="F285" s="65"/>
      <c r="G285" s="65"/>
      <c r="H285" s="65"/>
      <c r="I285" s="65"/>
      <c r="J285" s="65"/>
      <c r="K285" s="65"/>
      <c r="L285" s="69"/>
      <c r="M285" s="69"/>
      <c r="N285" s="65"/>
      <c r="O285" s="65"/>
      <c r="P285" s="65"/>
      <c r="Q285" s="65"/>
      <c r="R285" s="65"/>
      <c r="S285" s="65"/>
    </row>
    <row r="286" spans="1:19" x14ac:dyDescent="0.2">
      <c r="A286" s="74"/>
      <c r="C286" s="65"/>
      <c r="D286" s="65"/>
      <c r="E286" s="65"/>
      <c r="F286" s="65"/>
      <c r="G286" s="65"/>
      <c r="H286" s="65"/>
      <c r="I286" s="65"/>
      <c r="J286" s="65"/>
      <c r="K286" s="65"/>
      <c r="L286" s="69"/>
      <c r="M286" s="69"/>
      <c r="N286" s="65"/>
      <c r="O286" s="65"/>
      <c r="P286" s="65"/>
      <c r="Q286" s="65"/>
      <c r="R286" s="65"/>
      <c r="S286" s="65"/>
    </row>
    <row r="287" spans="1:19" x14ac:dyDescent="0.2">
      <c r="A287" s="74"/>
      <c r="C287" s="65"/>
      <c r="D287" s="65"/>
      <c r="E287" s="65"/>
      <c r="F287" s="65"/>
      <c r="G287" s="65"/>
      <c r="H287" s="65"/>
      <c r="I287" s="65"/>
      <c r="J287" s="65"/>
      <c r="K287" s="65"/>
      <c r="L287" s="69"/>
      <c r="M287" s="69"/>
      <c r="N287" s="65"/>
      <c r="O287" s="65"/>
      <c r="P287" s="65"/>
      <c r="Q287" s="65"/>
      <c r="R287" s="65"/>
      <c r="S287" s="65"/>
    </row>
    <row r="288" spans="1:19" x14ac:dyDescent="0.2">
      <c r="A288" s="74"/>
      <c r="C288" s="65"/>
      <c r="D288" s="65"/>
      <c r="E288" s="65"/>
      <c r="F288" s="65"/>
      <c r="G288" s="65"/>
      <c r="H288" s="65"/>
      <c r="I288" s="65"/>
      <c r="J288" s="65"/>
      <c r="K288" s="65"/>
      <c r="L288" s="69"/>
      <c r="M288" s="69"/>
      <c r="N288" s="65"/>
      <c r="O288" s="65"/>
      <c r="P288" s="65"/>
      <c r="Q288" s="65"/>
      <c r="R288" s="65"/>
      <c r="S288" s="65"/>
    </row>
    <row r="289" spans="1:19" x14ac:dyDescent="0.2">
      <c r="A289" s="74"/>
      <c r="C289" s="65"/>
      <c r="D289" s="65"/>
      <c r="E289" s="65"/>
      <c r="F289" s="65"/>
      <c r="G289" s="65"/>
      <c r="H289" s="65"/>
      <c r="I289" s="65"/>
      <c r="J289" s="65"/>
      <c r="K289" s="65"/>
      <c r="L289" s="69"/>
      <c r="M289" s="69"/>
      <c r="N289" s="65"/>
      <c r="O289" s="65"/>
      <c r="P289" s="65"/>
      <c r="Q289" s="65"/>
      <c r="R289" s="65"/>
      <c r="S289" s="65"/>
    </row>
    <row r="290" spans="1:19" x14ac:dyDescent="0.2">
      <c r="A290" s="74"/>
      <c r="C290" s="65"/>
      <c r="D290" s="65"/>
      <c r="E290" s="65"/>
      <c r="F290" s="65"/>
      <c r="G290" s="65"/>
      <c r="H290" s="65"/>
      <c r="I290" s="65"/>
      <c r="J290" s="65"/>
      <c r="K290" s="65"/>
      <c r="L290" s="69"/>
      <c r="M290" s="69"/>
      <c r="N290" s="65"/>
      <c r="O290" s="65"/>
      <c r="P290" s="65"/>
      <c r="Q290" s="65"/>
      <c r="R290" s="65"/>
      <c r="S290" s="65"/>
    </row>
    <row r="291" spans="1:19" x14ac:dyDescent="0.2">
      <c r="A291" s="74"/>
      <c r="C291" s="65"/>
      <c r="D291" s="65"/>
      <c r="E291" s="65"/>
      <c r="F291" s="65"/>
      <c r="G291" s="65"/>
      <c r="H291" s="65"/>
      <c r="I291" s="65"/>
      <c r="J291" s="65"/>
      <c r="K291" s="65"/>
      <c r="L291" s="69"/>
      <c r="M291" s="69"/>
      <c r="N291" s="65"/>
      <c r="O291" s="65"/>
      <c r="P291" s="65"/>
      <c r="Q291" s="65"/>
      <c r="R291" s="65"/>
      <c r="S291" s="65"/>
    </row>
    <row r="292" spans="1:19" x14ac:dyDescent="0.2">
      <c r="A292" s="74"/>
      <c r="C292" s="65"/>
      <c r="D292" s="65"/>
      <c r="E292" s="65"/>
      <c r="F292" s="65"/>
      <c r="G292" s="65"/>
      <c r="H292" s="65"/>
      <c r="I292" s="65"/>
      <c r="J292" s="65"/>
      <c r="K292" s="65"/>
      <c r="L292" s="69"/>
      <c r="M292" s="69"/>
      <c r="N292" s="65"/>
      <c r="O292" s="65"/>
      <c r="P292" s="65"/>
      <c r="Q292" s="65"/>
      <c r="R292" s="65"/>
      <c r="S292" s="65"/>
    </row>
    <row r="293" spans="1:19" x14ac:dyDescent="0.2">
      <c r="A293" s="74"/>
      <c r="C293" s="65"/>
      <c r="D293" s="65"/>
      <c r="E293" s="65"/>
      <c r="F293" s="65"/>
      <c r="G293" s="65"/>
      <c r="H293" s="65"/>
      <c r="I293" s="65"/>
      <c r="J293" s="65"/>
      <c r="K293" s="65"/>
      <c r="L293" s="69"/>
      <c r="M293" s="69"/>
      <c r="N293" s="65"/>
      <c r="O293" s="65"/>
      <c r="P293" s="65"/>
      <c r="Q293" s="65"/>
      <c r="R293" s="65"/>
      <c r="S293" s="65"/>
    </row>
    <row r="294" spans="1:19" x14ac:dyDescent="0.2">
      <c r="A294" s="74"/>
      <c r="C294" s="65"/>
      <c r="D294" s="65"/>
      <c r="E294" s="65"/>
      <c r="F294" s="65"/>
      <c r="G294" s="65"/>
      <c r="H294" s="65"/>
      <c r="I294" s="65"/>
      <c r="J294" s="65"/>
      <c r="K294" s="65"/>
      <c r="L294" s="69"/>
      <c r="M294" s="69"/>
      <c r="N294" s="65"/>
      <c r="O294" s="65"/>
      <c r="P294" s="65"/>
      <c r="Q294" s="65"/>
      <c r="R294" s="65"/>
      <c r="S294" s="65"/>
    </row>
    <row r="295" spans="1:19" x14ac:dyDescent="0.2">
      <c r="A295" s="74"/>
      <c r="C295" s="65"/>
      <c r="D295" s="65"/>
      <c r="E295" s="65"/>
      <c r="F295" s="65"/>
      <c r="G295" s="65"/>
      <c r="H295" s="65"/>
      <c r="I295" s="65"/>
      <c r="J295" s="65"/>
      <c r="K295" s="65"/>
      <c r="L295" s="69"/>
      <c r="M295" s="69"/>
      <c r="N295" s="65"/>
      <c r="O295" s="65"/>
      <c r="P295" s="65"/>
      <c r="Q295" s="65"/>
      <c r="R295" s="65"/>
      <c r="S295" s="65"/>
    </row>
    <row r="296" spans="1:19" x14ac:dyDescent="0.2">
      <c r="A296" s="74"/>
      <c r="C296" s="65"/>
      <c r="D296" s="65"/>
      <c r="E296" s="65"/>
      <c r="F296" s="65"/>
      <c r="G296" s="65"/>
      <c r="H296" s="65"/>
      <c r="I296" s="65"/>
      <c r="J296" s="65"/>
      <c r="K296" s="65"/>
      <c r="L296" s="69"/>
      <c r="M296" s="69"/>
      <c r="N296" s="65"/>
      <c r="O296" s="65"/>
      <c r="P296" s="65"/>
      <c r="Q296" s="65"/>
      <c r="R296" s="65"/>
      <c r="S296" s="65"/>
    </row>
    <row r="297" spans="1:19" x14ac:dyDescent="0.2">
      <c r="A297" s="74"/>
      <c r="C297" s="65"/>
      <c r="D297" s="65"/>
      <c r="E297" s="65"/>
      <c r="F297" s="65"/>
      <c r="G297" s="65"/>
      <c r="H297" s="65"/>
      <c r="I297" s="65"/>
      <c r="J297" s="65"/>
      <c r="K297" s="65"/>
      <c r="L297" s="69"/>
      <c r="M297" s="69"/>
      <c r="N297" s="65"/>
      <c r="O297" s="65"/>
      <c r="P297" s="65"/>
      <c r="Q297" s="65"/>
      <c r="R297" s="65"/>
      <c r="S297" s="65"/>
    </row>
    <row r="298" spans="1:19" x14ac:dyDescent="0.2">
      <c r="A298" s="74"/>
      <c r="C298" s="65"/>
      <c r="D298" s="65"/>
      <c r="E298" s="65"/>
      <c r="F298" s="65"/>
      <c r="G298" s="65"/>
      <c r="H298" s="65"/>
      <c r="I298" s="65"/>
      <c r="J298" s="65"/>
      <c r="K298" s="65"/>
      <c r="L298" s="69"/>
      <c r="M298" s="69"/>
      <c r="N298" s="65"/>
      <c r="O298" s="65"/>
      <c r="P298" s="65"/>
      <c r="Q298" s="65"/>
      <c r="R298" s="65"/>
      <c r="S298" s="65"/>
    </row>
    <row r="299" spans="1:19" x14ac:dyDescent="0.2">
      <c r="A299" s="74"/>
      <c r="C299" s="65"/>
      <c r="D299" s="65"/>
      <c r="E299" s="65"/>
      <c r="F299" s="65"/>
      <c r="G299" s="65"/>
      <c r="H299" s="65"/>
      <c r="I299" s="65"/>
      <c r="J299" s="65"/>
      <c r="K299" s="65"/>
      <c r="L299" s="69"/>
      <c r="M299" s="69"/>
      <c r="N299" s="65"/>
      <c r="O299" s="65"/>
      <c r="P299" s="65"/>
      <c r="Q299" s="65"/>
      <c r="R299" s="65"/>
      <c r="S299" s="65"/>
    </row>
    <row r="300" spans="1:19" x14ac:dyDescent="0.2">
      <c r="A300" s="74"/>
      <c r="C300" s="65"/>
      <c r="D300" s="65"/>
      <c r="E300" s="65"/>
      <c r="F300" s="65"/>
      <c r="G300" s="65"/>
      <c r="H300" s="65"/>
      <c r="I300" s="65"/>
      <c r="J300" s="65"/>
      <c r="K300" s="65"/>
      <c r="L300" s="69"/>
      <c r="M300" s="69"/>
      <c r="N300" s="65"/>
      <c r="O300" s="65"/>
      <c r="P300" s="65"/>
      <c r="Q300" s="65"/>
      <c r="R300" s="65"/>
      <c r="S300" s="65"/>
    </row>
    <row r="301" spans="1:19" x14ac:dyDescent="0.2">
      <c r="A301" s="74"/>
      <c r="C301" s="65"/>
      <c r="D301" s="65"/>
      <c r="E301" s="65"/>
      <c r="F301" s="65"/>
      <c r="G301" s="65"/>
      <c r="H301" s="65"/>
      <c r="I301" s="65"/>
      <c r="J301" s="65"/>
      <c r="K301" s="65"/>
      <c r="L301" s="69"/>
      <c r="M301" s="69"/>
      <c r="N301" s="65"/>
      <c r="O301" s="65"/>
      <c r="P301" s="65"/>
      <c r="Q301" s="65"/>
      <c r="R301" s="65"/>
      <c r="S301" s="65"/>
    </row>
    <row r="302" spans="1:19" x14ac:dyDescent="0.2">
      <c r="A302" s="74"/>
      <c r="C302" s="65"/>
      <c r="D302" s="65"/>
      <c r="E302" s="65"/>
      <c r="F302" s="65"/>
      <c r="G302" s="65"/>
      <c r="H302" s="65"/>
      <c r="I302" s="65"/>
      <c r="J302" s="65"/>
      <c r="K302" s="65"/>
      <c r="L302" s="69"/>
      <c r="M302" s="69"/>
      <c r="N302" s="65"/>
      <c r="O302" s="65"/>
      <c r="P302" s="65"/>
      <c r="Q302" s="65"/>
      <c r="R302" s="65"/>
      <c r="S302" s="65"/>
    </row>
    <row r="303" spans="1:19" x14ac:dyDescent="0.2">
      <c r="A303" s="74"/>
      <c r="C303" s="65"/>
      <c r="D303" s="65"/>
      <c r="E303" s="65"/>
      <c r="F303" s="65"/>
      <c r="G303" s="65"/>
      <c r="H303" s="65"/>
      <c r="I303" s="65"/>
      <c r="J303" s="65"/>
      <c r="K303" s="65"/>
      <c r="L303" s="69"/>
      <c r="M303" s="69"/>
      <c r="N303" s="65"/>
      <c r="O303" s="65"/>
      <c r="P303" s="65"/>
      <c r="Q303" s="65"/>
      <c r="R303" s="65"/>
      <c r="S303" s="65"/>
    </row>
    <row r="304" spans="1:19" x14ac:dyDescent="0.2">
      <c r="A304" s="74"/>
      <c r="C304" s="65"/>
      <c r="D304" s="65"/>
      <c r="E304" s="65"/>
      <c r="F304" s="65"/>
      <c r="G304" s="65"/>
      <c r="H304" s="65"/>
      <c r="I304" s="65"/>
      <c r="J304" s="65"/>
      <c r="K304" s="65"/>
      <c r="L304" s="69"/>
      <c r="M304" s="69"/>
      <c r="N304" s="65"/>
      <c r="O304" s="65"/>
      <c r="P304" s="65"/>
      <c r="Q304" s="65"/>
      <c r="R304" s="65"/>
      <c r="S304" s="65"/>
    </row>
    <row r="305" spans="1:19" x14ac:dyDescent="0.2">
      <c r="A305" s="74"/>
      <c r="C305" s="65"/>
      <c r="D305" s="65"/>
      <c r="E305" s="65"/>
      <c r="F305" s="65"/>
      <c r="G305" s="65"/>
      <c r="H305" s="65"/>
      <c r="I305" s="65"/>
      <c r="J305" s="65"/>
      <c r="K305" s="65"/>
      <c r="L305" s="69"/>
      <c r="M305" s="69"/>
      <c r="N305" s="65"/>
      <c r="O305" s="65"/>
      <c r="P305" s="65"/>
      <c r="Q305" s="65"/>
      <c r="R305" s="65"/>
      <c r="S305" s="65"/>
    </row>
    <row r="306" spans="1:19" x14ac:dyDescent="0.2">
      <c r="A306" s="74"/>
      <c r="C306" s="65"/>
      <c r="D306" s="65"/>
      <c r="E306" s="65"/>
      <c r="F306" s="65"/>
      <c r="G306" s="65"/>
      <c r="H306" s="65"/>
      <c r="I306" s="65"/>
      <c r="J306" s="65"/>
      <c r="K306" s="65"/>
      <c r="L306" s="69"/>
      <c r="M306" s="69"/>
      <c r="N306" s="65"/>
      <c r="O306" s="65"/>
      <c r="P306" s="65"/>
      <c r="Q306" s="65"/>
      <c r="R306" s="65"/>
      <c r="S306" s="65"/>
    </row>
    <row r="307" spans="1:19" x14ac:dyDescent="0.2">
      <c r="A307" s="74"/>
      <c r="C307" s="65"/>
      <c r="D307" s="65"/>
      <c r="E307" s="65"/>
      <c r="F307" s="65"/>
      <c r="G307" s="65"/>
      <c r="H307" s="65"/>
      <c r="I307" s="65"/>
      <c r="J307" s="65"/>
      <c r="K307" s="65"/>
      <c r="L307" s="69"/>
      <c r="M307" s="69"/>
      <c r="N307" s="65"/>
      <c r="O307" s="65"/>
      <c r="P307" s="65"/>
      <c r="Q307" s="65"/>
      <c r="R307" s="65"/>
      <c r="S307" s="65"/>
    </row>
    <row r="308" spans="1:19" x14ac:dyDescent="0.2">
      <c r="A308" s="74"/>
      <c r="C308" s="65"/>
      <c r="D308" s="65"/>
      <c r="E308" s="65"/>
      <c r="F308" s="65"/>
      <c r="G308" s="65"/>
      <c r="H308" s="65"/>
      <c r="I308" s="65"/>
      <c r="J308" s="65"/>
      <c r="K308" s="65"/>
      <c r="L308" s="69"/>
      <c r="M308" s="69"/>
      <c r="N308" s="65"/>
      <c r="O308" s="65"/>
      <c r="P308" s="65"/>
      <c r="Q308" s="65"/>
      <c r="R308" s="65"/>
      <c r="S308" s="65"/>
    </row>
    <row r="309" spans="1:19" x14ac:dyDescent="0.2">
      <c r="A309" s="74"/>
      <c r="C309" s="65"/>
      <c r="D309" s="65"/>
      <c r="E309" s="65"/>
      <c r="F309" s="65"/>
      <c r="G309" s="65"/>
      <c r="H309" s="65"/>
      <c r="I309" s="65"/>
      <c r="J309" s="65"/>
      <c r="K309" s="65"/>
      <c r="L309" s="69"/>
      <c r="M309" s="69"/>
      <c r="N309" s="65"/>
      <c r="O309" s="65"/>
      <c r="P309" s="65"/>
      <c r="Q309" s="65"/>
      <c r="R309" s="65"/>
      <c r="S309" s="65"/>
    </row>
    <row r="310" spans="1:19" x14ac:dyDescent="0.2">
      <c r="A310" s="74"/>
      <c r="C310" s="65"/>
      <c r="D310" s="65"/>
      <c r="E310" s="65"/>
      <c r="F310" s="65"/>
      <c r="G310" s="65"/>
      <c r="H310" s="65"/>
      <c r="I310" s="65"/>
      <c r="J310" s="65"/>
      <c r="K310" s="65"/>
      <c r="L310" s="69"/>
      <c r="M310" s="69"/>
      <c r="N310" s="65"/>
      <c r="O310" s="65"/>
      <c r="P310" s="65"/>
      <c r="Q310" s="65"/>
      <c r="R310" s="65"/>
      <c r="S310" s="65"/>
    </row>
    <row r="311" spans="1:19" x14ac:dyDescent="0.2">
      <c r="A311" s="74"/>
      <c r="C311" s="65"/>
      <c r="D311" s="65"/>
      <c r="E311" s="65"/>
      <c r="F311" s="65"/>
      <c r="G311" s="65"/>
      <c r="H311" s="65"/>
      <c r="I311" s="65"/>
      <c r="J311" s="65"/>
      <c r="K311" s="65"/>
      <c r="L311" s="69"/>
      <c r="M311" s="69"/>
      <c r="N311" s="65"/>
      <c r="O311" s="65"/>
      <c r="P311" s="65"/>
      <c r="Q311" s="65"/>
      <c r="R311" s="65"/>
      <c r="S311" s="65"/>
    </row>
    <row r="312" spans="1:19" x14ac:dyDescent="0.2">
      <c r="A312" s="74"/>
      <c r="C312" s="65"/>
      <c r="D312" s="65"/>
      <c r="E312" s="65"/>
      <c r="F312" s="65"/>
      <c r="G312" s="65"/>
      <c r="H312" s="65"/>
      <c r="I312" s="65"/>
      <c r="J312" s="65"/>
      <c r="K312" s="65"/>
      <c r="L312" s="69"/>
      <c r="M312" s="69"/>
      <c r="N312" s="65"/>
      <c r="O312" s="65"/>
      <c r="P312" s="65"/>
      <c r="Q312" s="65"/>
      <c r="R312" s="65"/>
      <c r="S312" s="65"/>
    </row>
    <row r="313" spans="1:19" x14ac:dyDescent="0.2">
      <c r="A313" s="74"/>
      <c r="C313" s="65"/>
      <c r="D313" s="65"/>
      <c r="E313" s="65"/>
      <c r="F313" s="65"/>
      <c r="G313" s="65"/>
      <c r="H313" s="65"/>
      <c r="I313" s="65"/>
      <c r="J313" s="65"/>
      <c r="K313" s="65"/>
      <c r="L313" s="69"/>
      <c r="M313" s="69"/>
      <c r="N313" s="65"/>
      <c r="O313" s="65"/>
      <c r="P313" s="65"/>
      <c r="Q313" s="65"/>
      <c r="R313" s="65"/>
      <c r="S313" s="65"/>
    </row>
    <row r="314" spans="1:19" x14ac:dyDescent="0.2">
      <c r="A314" s="74"/>
      <c r="C314" s="65"/>
      <c r="D314" s="65"/>
      <c r="E314" s="65"/>
      <c r="F314" s="65"/>
      <c r="G314" s="65"/>
      <c r="H314" s="65"/>
      <c r="I314" s="65"/>
      <c r="J314" s="65"/>
      <c r="K314" s="65"/>
      <c r="L314" s="69"/>
      <c r="M314" s="69"/>
      <c r="N314" s="65"/>
      <c r="O314" s="65"/>
      <c r="P314" s="65"/>
      <c r="Q314" s="65"/>
      <c r="R314" s="65"/>
      <c r="S314" s="65"/>
    </row>
    <row r="315" spans="1:19" x14ac:dyDescent="0.2">
      <c r="A315" s="74"/>
      <c r="C315" s="65"/>
      <c r="D315" s="65"/>
      <c r="E315" s="65"/>
      <c r="F315" s="65"/>
      <c r="G315" s="65"/>
      <c r="H315" s="65"/>
      <c r="I315" s="65"/>
      <c r="J315" s="65"/>
      <c r="K315" s="65"/>
      <c r="L315" s="69"/>
      <c r="M315" s="69"/>
      <c r="N315" s="65"/>
      <c r="O315" s="65"/>
      <c r="P315" s="65"/>
      <c r="Q315" s="65"/>
      <c r="R315" s="65"/>
      <c r="S315" s="65"/>
    </row>
    <row r="316" spans="1:19" x14ac:dyDescent="0.2">
      <c r="A316" s="74"/>
      <c r="C316" s="65"/>
      <c r="D316" s="65"/>
      <c r="E316" s="65"/>
      <c r="F316" s="65"/>
      <c r="G316" s="65"/>
      <c r="H316" s="65"/>
      <c r="I316" s="65"/>
      <c r="J316" s="65"/>
      <c r="K316" s="65"/>
      <c r="L316" s="69"/>
      <c r="M316" s="69"/>
      <c r="N316" s="65"/>
      <c r="O316" s="65"/>
      <c r="P316" s="65"/>
      <c r="Q316" s="65"/>
      <c r="R316" s="65"/>
      <c r="S316" s="65"/>
    </row>
    <row r="317" spans="1:19" x14ac:dyDescent="0.2">
      <c r="A317" s="74"/>
      <c r="C317" s="65"/>
      <c r="D317" s="65"/>
      <c r="E317" s="65"/>
      <c r="F317" s="65"/>
      <c r="G317" s="65"/>
      <c r="H317" s="65"/>
      <c r="I317" s="65"/>
      <c r="J317" s="65"/>
      <c r="K317" s="65"/>
      <c r="L317" s="69"/>
      <c r="M317" s="69"/>
      <c r="N317" s="65"/>
      <c r="O317" s="65"/>
      <c r="P317" s="65"/>
      <c r="Q317" s="65"/>
      <c r="R317" s="65"/>
      <c r="S317" s="65"/>
    </row>
    <row r="318" spans="1:19" x14ac:dyDescent="0.2">
      <c r="A318" s="74"/>
      <c r="C318" s="65"/>
      <c r="D318" s="65"/>
      <c r="E318" s="65"/>
      <c r="F318" s="65"/>
      <c r="G318" s="65"/>
      <c r="H318" s="65"/>
      <c r="I318" s="65"/>
      <c r="J318" s="65"/>
      <c r="K318" s="65"/>
      <c r="L318" s="69"/>
      <c r="M318" s="69"/>
      <c r="N318" s="65"/>
      <c r="O318" s="65"/>
      <c r="P318" s="65"/>
      <c r="Q318" s="65"/>
      <c r="R318" s="65"/>
      <c r="S318" s="65"/>
    </row>
    <row r="319" spans="1:19" x14ac:dyDescent="0.2">
      <c r="A319" s="74"/>
      <c r="C319" s="65"/>
      <c r="D319" s="65"/>
      <c r="E319" s="65"/>
      <c r="F319" s="65"/>
      <c r="G319" s="65"/>
      <c r="H319" s="65"/>
      <c r="I319" s="65"/>
      <c r="J319" s="65"/>
      <c r="K319" s="65"/>
      <c r="L319" s="69"/>
      <c r="M319" s="69"/>
      <c r="N319" s="65"/>
      <c r="O319" s="65"/>
      <c r="P319" s="65"/>
      <c r="Q319" s="65"/>
      <c r="R319" s="65"/>
      <c r="S319" s="65"/>
    </row>
    <row r="320" spans="1:19" x14ac:dyDescent="0.2">
      <c r="A320" s="74"/>
      <c r="C320" s="65"/>
      <c r="D320" s="65"/>
      <c r="E320" s="65"/>
      <c r="F320" s="65"/>
      <c r="G320" s="65"/>
      <c r="H320" s="65"/>
      <c r="I320" s="65"/>
      <c r="J320" s="65"/>
      <c r="K320" s="65"/>
      <c r="L320" s="69"/>
      <c r="M320" s="69"/>
      <c r="N320" s="65"/>
      <c r="O320" s="65"/>
      <c r="P320" s="65"/>
      <c r="Q320" s="65"/>
      <c r="R320" s="65"/>
      <c r="S320" s="65"/>
    </row>
    <row r="321" spans="1:19" x14ac:dyDescent="0.2">
      <c r="A321" s="74"/>
      <c r="C321" s="65"/>
      <c r="D321" s="65"/>
      <c r="E321" s="65"/>
      <c r="F321" s="65"/>
      <c r="G321" s="65"/>
      <c r="H321" s="65"/>
      <c r="I321" s="65"/>
      <c r="J321" s="65"/>
      <c r="K321" s="65"/>
      <c r="L321" s="69"/>
      <c r="M321" s="69"/>
      <c r="N321" s="65"/>
      <c r="O321" s="65"/>
      <c r="P321" s="65"/>
      <c r="Q321" s="65"/>
      <c r="R321" s="65"/>
      <c r="S321" s="65"/>
    </row>
    <row r="322" spans="1:19" x14ac:dyDescent="0.2">
      <c r="A322" s="74"/>
      <c r="C322" s="65"/>
      <c r="D322" s="65"/>
      <c r="E322" s="65"/>
      <c r="F322" s="65"/>
      <c r="G322" s="65"/>
      <c r="H322" s="65"/>
      <c r="I322" s="65"/>
      <c r="J322" s="65"/>
      <c r="K322" s="65"/>
      <c r="L322" s="69"/>
      <c r="M322" s="69"/>
      <c r="N322" s="65"/>
      <c r="O322" s="65"/>
      <c r="P322" s="65"/>
      <c r="Q322" s="65"/>
      <c r="R322" s="65"/>
      <c r="S322" s="65"/>
    </row>
    <row r="323" spans="1:19" x14ac:dyDescent="0.2">
      <c r="A323" s="74"/>
      <c r="C323" s="65"/>
      <c r="D323" s="65"/>
      <c r="E323" s="65"/>
      <c r="F323" s="65"/>
      <c r="G323" s="65"/>
      <c r="H323" s="65"/>
      <c r="I323" s="65"/>
      <c r="J323" s="65"/>
      <c r="K323" s="65"/>
      <c r="L323" s="69"/>
      <c r="M323" s="69"/>
      <c r="N323" s="65"/>
      <c r="O323" s="65"/>
      <c r="P323" s="65"/>
      <c r="Q323" s="65"/>
      <c r="R323" s="65"/>
      <c r="S323" s="65"/>
    </row>
    <row r="324" spans="1:19" x14ac:dyDescent="0.2">
      <c r="A324" s="74"/>
      <c r="C324" s="65"/>
      <c r="D324" s="65"/>
      <c r="E324" s="65"/>
      <c r="F324" s="65"/>
      <c r="G324" s="65"/>
      <c r="H324" s="65"/>
      <c r="I324" s="65"/>
      <c r="J324" s="65"/>
      <c r="K324" s="65"/>
      <c r="L324" s="69"/>
      <c r="M324" s="69"/>
      <c r="N324" s="65"/>
      <c r="O324" s="65"/>
      <c r="P324" s="65"/>
      <c r="Q324" s="65"/>
      <c r="R324" s="65"/>
      <c r="S324" s="65"/>
    </row>
    <row r="325" spans="1:19" x14ac:dyDescent="0.2">
      <c r="A325" s="74"/>
      <c r="C325" s="65"/>
      <c r="D325" s="65"/>
      <c r="E325" s="65"/>
      <c r="F325" s="65"/>
      <c r="G325" s="65"/>
      <c r="H325" s="65"/>
      <c r="I325" s="65"/>
      <c r="J325" s="65"/>
      <c r="K325" s="65"/>
      <c r="L325" s="69"/>
      <c r="M325" s="69"/>
      <c r="N325" s="65"/>
      <c r="O325" s="65"/>
      <c r="P325" s="65"/>
      <c r="Q325" s="65"/>
      <c r="R325" s="65"/>
      <c r="S325" s="65"/>
    </row>
    <row r="326" spans="1:19" x14ac:dyDescent="0.2">
      <c r="A326" s="74"/>
      <c r="C326" s="65"/>
      <c r="D326" s="65"/>
      <c r="E326" s="65"/>
      <c r="F326" s="65"/>
      <c r="G326" s="65"/>
      <c r="H326" s="65"/>
      <c r="I326" s="65"/>
      <c r="J326" s="65"/>
      <c r="K326" s="65"/>
      <c r="L326" s="69"/>
      <c r="M326" s="69"/>
      <c r="N326" s="65"/>
      <c r="O326" s="65"/>
      <c r="P326" s="65"/>
      <c r="Q326" s="65"/>
      <c r="R326" s="65"/>
      <c r="S326" s="65"/>
    </row>
    <row r="327" spans="1:19" x14ac:dyDescent="0.2">
      <c r="A327" s="74"/>
      <c r="C327" s="65"/>
      <c r="D327" s="65"/>
      <c r="E327" s="65"/>
      <c r="F327" s="65"/>
      <c r="G327" s="65"/>
      <c r="H327" s="65"/>
      <c r="I327" s="65"/>
      <c r="J327" s="65"/>
      <c r="K327" s="65"/>
      <c r="L327" s="69"/>
      <c r="M327" s="69"/>
      <c r="N327" s="65"/>
      <c r="O327" s="65"/>
      <c r="P327" s="65"/>
      <c r="Q327" s="65"/>
      <c r="R327" s="65"/>
      <c r="S327" s="65"/>
    </row>
    <row r="328" spans="1:19" x14ac:dyDescent="0.2">
      <c r="A328" s="74"/>
      <c r="C328" s="65"/>
      <c r="D328" s="65"/>
      <c r="E328" s="65"/>
      <c r="F328" s="65"/>
      <c r="G328" s="65"/>
      <c r="H328" s="65"/>
      <c r="I328" s="65"/>
      <c r="J328" s="65"/>
      <c r="K328" s="65"/>
      <c r="L328" s="69"/>
      <c r="M328" s="69"/>
      <c r="N328" s="65"/>
      <c r="O328" s="65"/>
      <c r="P328" s="65"/>
      <c r="Q328" s="65"/>
      <c r="R328" s="65"/>
      <c r="S328" s="65"/>
    </row>
    <row r="329" spans="1:19" x14ac:dyDescent="0.2">
      <c r="A329" s="74"/>
      <c r="C329" s="65"/>
      <c r="D329" s="65"/>
      <c r="E329" s="65"/>
      <c r="F329" s="65"/>
      <c r="G329" s="65"/>
      <c r="H329" s="65"/>
      <c r="I329" s="65"/>
      <c r="J329" s="65"/>
      <c r="K329" s="65"/>
      <c r="L329" s="69"/>
      <c r="M329" s="69"/>
      <c r="N329" s="65"/>
      <c r="O329" s="65"/>
      <c r="P329" s="65"/>
      <c r="Q329" s="65"/>
      <c r="R329" s="65"/>
      <c r="S329" s="65"/>
    </row>
    <row r="330" spans="1:19" x14ac:dyDescent="0.2">
      <c r="A330" s="74"/>
      <c r="C330" s="65"/>
      <c r="D330" s="65"/>
      <c r="E330" s="65"/>
      <c r="F330" s="65"/>
      <c r="G330" s="65"/>
      <c r="H330" s="65"/>
      <c r="I330" s="65"/>
      <c r="J330" s="65"/>
      <c r="K330" s="65"/>
      <c r="L330" s="69"/>
      <c r="M330" s="69"/>
      <c r="N330" s="65"/>
      <c r="O330" s="65"/>
      <c r="P330" s="65"/>
      <c r="Q330" s="65"/>
      <c r="R330" s="65"/>
      <c r="S330" s="65"/>
    </row>
    <row r="331" spans="1:19" x14ac:dyDescent="0.2">
      <c r="A331" s="74"/>
      <c r="C331" s="65"/>
      <c r="D331" s="65"/>
      <c r="E331" s="65"/>
      <c r="F331" s="65"/>
      <c r="G331" s="65"/>
      <c r="H331" s="65"/>
      <c r="I331" s="65"/>
      <c r="J331" s="65"/>
      <c r="K331" s="65"/>
      <c r="L331" s="69"/>
      <c r="M331" s="69"/>
      <c r="N331" s="65"/>
      <c r="O331" s="65"/>
      <c r="P331" s="65"/>
      <c r="Q331" s="65"/>
      <c r="R331" s="65"/>
      <c r="S331" s="65"/>
    </row>
    <row r="332" spans="1:19" x14ac:dyDescent="0.2">
      <c r="A332" s="74"/>
      <c r="C332" s="65"/>
      <c r="D332" s="65"/>
      <c r="E332" s="65"/>
      <c r="F332" s="65"/>
      <c r="G332" s="65"/>
      <c r="H332" s="65"/>
      <c r="I332" s="65"/>
      <c r="J332" s="65"/>
      <c r="K332" s="65"/>
      <c r="L332" s="69"/>
      <c r="M332" s="69"/>
      <c r="N332" s="65"/>
      <c r="O332" s="65"/>
      <c r="P332" s="65"/>
      <c r="Q332" s="65"/>
      <c r="R332" s="65"/>
      <c r="S332" s="65"/>
    </row>
    <row r="333" spans="1:19" x14ac:dyDescent="0.2">
      <c r="A333" s="74"/>
      <c r="C333" s="65"/>
      <c r="D333" s="65"/>
      <c r="E333" s="65"/>
      <c r="F333" s="65"/>
      <c r="G333" s="65"/>
      <c r="H333" s="65"/>
      <c r="I333" s="65"/>
      <c r="J333" s="65"/>
      <c r="K333" s="65"/>
      <c r="L333" s="69"/>
      <c r="M333" s="69"/>
      <c r="N333" s="65"/>
      <c r="O333" s="65"/>
      <c r="P333" s="65"/>
      <c r="Q333" s="65"/>
      <c r="R333" s="65"/>
      <c r="S333" s="65"/>
    </row>
    <row r="334" spans="1:19" x14ac:dyDescent="0.2">
      <c r="A334" s="74"/>
      <c r="C334" s="65"/>
      <c r="D334" s="65"/>
      <c r="E334" s="65"/>
      <c r="F334" s="65"/>
      <c r="G334" s="65"/>
      <c r="H334" s="65"/>
      <c r="I334" s="65"/>
      <c r="J334" s="65"/>
      <c r="K334" s="65"/>
      <c r="L334" s="69"/>
      <c r="M334" s="69"/>
      <c r="N334" s="65"/>
      <c r="O334" s="65"/>
      <c r="P334" s="65"/>
      <c r="Q334" s="65"/>
      <c r="R334" s="65"/>
      <c r="S334" s="65"/>
    </row>
    <row r="335" spans="1:19" x14ac:dyDescent="0.2">
      <c r="A335" s="74"/>
      <c r="C335" s="65"/>
      <c r="D335" s="65"/>
      <c r="E335" s="65"/>
      <c r="F335" s="65"/>
      <c r="G335" s="65"/>
      <c r="H335" s="65"/>
      <c r="I335" s="65"/>
      <c r="J335" s="65"/>
      <c r="K335" s="65"/>
      <c r="L335" s="69"/>
      <c r="M335" s="69"/>
      <c r="N335" s="65"/>
      <c r="O335" s="65"/>
      <c r="P335" s="65"/>
      <c r="Q335" s="65"/>
      <c r="R335" s="65"/>
      <c r="S335" s="65"/>
    </row>
    <row r="336" spans="1:19" x14ac:dyDescent="0.2">
      <c r="A336" s="74"/>
      <c r="C336" s="65"/>
      <c r="D336" s="65"/>
      <c r="E336" s="65"/>
      <c r="F336" s="65"/>
      <c r="G336" s="65"/>
      <c r="H336" s="65"/>
      <c r="I336" s="65"/>
      <c r="J336" s="65"/>
      <c r="K336" s="65"/>
      <c r="L336" s="69"/>
      <c r="M336" s="69"/>
      <c r="N336" s="65"/>
      <c r="O336" s="65"/>
      <c r="P336" s="65"/>
      <c r="Q336" s="65"/>
      <c r="R336" s="65"/>
      <c r="S336" s="65"/>
    </row>
    <row r="337" spans="1:19" x14ac:dyDescent="0.2">
      <c r="A337" s="74"/>
      <c r="C337" s="65"/>
      <c r="D337" s="65"/>
      <c r="E337" s="65"/>
      <c r="F337" s="65"/>
      <c r="G337" s="65"/>
      <c r="H337" s="65"/>
      <c r="I337" s="65"/>
      <c r="J337" s="65"/>
      <c r="K337" s="65"/>
      <c r="L337" s="69"/>
      <c r="M337" s="69"/>
      <c r="N337" s="65"/>
      <c r="O337" s="65"/>
      <c r="P337" s="65"/>
      <c r="Q337" s="65"/>
      <c r="R337" s="65"/>
      <c r="S337" s="65"/>
    </row>
    <row r="338" spans="1:19" x14ac:dyDescent="0.2">
      <c r="A338" s="74"/>
      <c r="C338" s="65"/>
      <c r="D338" s="65"/>
      <c r="E338" s="65"/>
      <c r="F338" s="65"/>
      <c r="G338" s="65"/>
      <c r="H338" s="65"/>
      <c r="I338" s="65"/>
      <c r="J338" s="65"/>
      <c r="K338" s="65"/>
      <c r="L338" s="69"/>
      <c r="M338" s="69"/>
      <c r="N338" s="65"/>
      <c r="O338" s="65"/>
      <c r="P338" s="65"/>
      <c r="Q338" s="65"/>
      <c r="R338" s="65"/>
      <c r="S338" s="65"/>
    </row>
    <row r="339" spans="1:19" x14ac:dyDescent="0.2">
      <c r="A339" s="74"/>
      <c r="C339" s="65"/>
      <c r="D339" s="65"/>
      <c r="E339" s="65"/>
      <c r="F339" s="65"/>
      <c r="G339" s="65"/>
      <c r="H339" s="65"/>
      <c r="I339" s="65"/>
      <c r="J339" s="65"/>
      <c r="K339" s="65"/>
      <c r="L339" s="69"/>
      <c r="M339" s="69"/>
      <c r="N339" s="65"/>
      <c r="O339" s="65"/>
      <c r="P339" s="65"/>
      <c r="Q339" s="65"/>
      <c r="R339" s="65"/>
      <c r="S339" s="65"/>
    </row>
    <row r="340" spans="1:19" x14ac:dyDescent="0.2">
      <c r="A340" s="74"/>
      <c r="C340" s="65"/>
      <c r="D340" s="65"/>
      <c r="E340" s="65"/>
      <c r="F340" s="65"/>
      <c r="G340" s="65"/>
      <c r="H340" s="65"/>
      <c r="I340" s="65"/>
      <c r="J340" s="65"/>
      <c r="K340" s="65"/>
      <c r="L340" s="69"/>
      <c r="M340" s="69"/>
      <c r="N340" s="65"/>
      <c r="O340" s="65"/>
      <c r="P340" s="65"/>
      <c r="Q340" s="65"/>
      <c r="R340" s="65"/>
      <c r="S340" s="65"/>
    </row>
    <row r="341" spans="1:19" x14ac:dyDescent="0.2">
      <c r="A341" s="74"/>
      <c r="C341" s="65"/>
      <c r="D341" s="65"/>
      <c r="E341" s="65"/>
      <c r="F341" s="65"/>
      <c r="G341" s="65"/>
      <c r="H341" s="65"/>
      <c r="I341" s="65"/>
      <c r="J341" s="65"/>
      <c r="K341" s="65"/>
      <c r="L341" s="69"/>
      <c r="M341" s="69"/>
      <c r="N341" s="65"/>
      <c r="O341" s="65"/>
      <c r="P341" s="65"/>
      <c r="Q341" s="65"/>
      <c r="R341" s="65"/>
      <c r="S341" s="65"/>
    </row>
    <row r="342" spans="1:19" x14ac:dyDescent="0.2">
      <c r="A342" s="74"/>
      <c r="C342" s="65"/>
      <c r="D342" s="65"/>
      <c r="E342" s="65"/>
      <c r="F342" s="65"/>
      <c r="G342" s="65"/>
      <c r="H342" s="65"/>
      <c r="I342" s="65"/>
      <c r="J342" s="65"/>
      <c r="K342" s="65"/>
      <c r="L342" s="69"/>
      <c r="M342" s="69"/>
      <c r="N342" s="65"/>
      <c r="O342" s="65"/>
      <c r="P342" s="65"/>
      <c r="Q342" s="65"/>
      <c r="R342" s="65"/>
      <c r="S342" s="65"/>
    </row>
    <row r="343" spans="1:19" x14ac:dyDescent="0.2">
      <c r="A343" s="74"/>
      <c r="C343" s="65"/>
      <c r="D343" s="65"/>
      <c r="E343" s="65"/>
      <c r="F343" s="65"/>
      <c r="G343" s="65"/>
      <c r="H343" s="65"/>
      <c r="I343" s="65"/>
      <c r="J343" s="65"/>
      <c r="K343" s="65"/>
      <c r="L343" s="69"/>
      <c r="M343" s="69"/>
      <c r="N343" s="65"/>
      <c r="O343" s="65"/>
      <c r="P343" s="65"/>
      <c r="Q343" s="65"/>
      <c r="R343" s="65"/>
      <c r="S343" s="65"/>
    </row>
    <row r="344" spans="1:19" x14ac:dyDescent="0.2">
      <c r="A344" s="74"/>
      <c r="C344" s="65"/>
      <c r="D344" s="65"/>
      <c r="E344" s="65"/>
      <c r="F344" s="65"/>
      <c r="G344" s="65"/>
      <c r="H344" s="65"/>
      <c r="I344" s="65"/>
      <c r="J344" s="65"/>
      <c r="K344" s="65"/>
      <c r="L344" s="69"/>
      <c r="M344" s="69"/>
      <c r="N344" s="65"/>
      <c r="O344" s="65"/>
      <c r="P344" s="65"/>
      <c r="Q344" s="65"/>
      <c r="R344" s="65"/>
      <c r="S344" s="65"/>
    </row>
    <row r="345" spans="1:19" x14ac:dyDescent="0.2">
      <c r="A345" s="74"/>
      <c r="C345" s="65"/>
      <c r="D345" s="65"/>
      <c r="E345" s="65"/>
      <c r="F345" s="65"/>
      <c r="G345" s="65"/>
      <c r="H345" s="65"/>
      <c r="I345" s="65"/>
      <c r="J345" s="65"/>
      <c r="K345" s="65"/>
      <c r="L345" s="69"/>
      <c r="M345" s="69"/>
      <c r="N345" s="65"/>
      <c r="O345" s="65"/>
      <c r="P345" s="65"/>
      <c r="Q345" s="65"/>
      <c r="R345" s="65"/>
      <c r="S345" s="65"/>
    </row>
    <row r="346" spans="1:19" x14ac:dyDescent="0.2">
      <c r="A346" s="74"/>
      <c r="C346" s="65"/>
      <c r="D346" s="65"/>
      <c r="E346" s="65"/>
      <c r="F346" s="65"/>
      <c r="G346" s="65"/>
      <c r="H346" s="65"/>
      <c r="I346" s="65"/>
      <c r="J346" s="65"/>
      <c r="K346" s="65"/>
      <c r="L346" s="69"/>
      <c r="M346" s="69"/>
      <c r="N346" s="65"/>
      <c r="O346" s="65"/>
      <c r="P346" s="65"/>
      <c r="Q346" s="65"/>
      <c r="R346" s="65"/>
      <c r="S346" s="65"/>
    </row>
    <row r="347" spans="1:19" x14ac:dyDescent="0.2">
      <c r="A347" s="74"/>
      <c r="C347" s="65"/>
      <c r="D347" s="65"/>
      <c r="E347" s="65"/>
      <c r="F347" s="65"/>
      <c r="G347" s="65"/>
      <c r="H347" s="65"/>
      <c r="I347" s="65"/>
      <c r="J347" s="65"/>
      <c r="K347" s="65"/>
      <c r="L347" s="69"/>
      <c r="M347" s="69"/>
      <c r="N347" s="65"/>
      <c r="O347" s="65"/>
      <c r="P347" s="65"/>
      <c r="Q347" s="65"/>
      <c r="R347" s="65"/>
      <c r="S347" s="65"/>
    </row>
    <row r="348" spans="1:19" x14ac:dyDescent="0.2">
      <c r="A348" s="74"/>
      <c r="C348" s="65"/>
      <c r="D348" s="65"/>
      <c r="E348" s="65"/>
      <c r="F348" s="65"/>
      <c r="G348" s="65"/>
      <c r="H348" s="65"/>
      <c r="I348" s="65"/>
      <c r="J348" s="65"/>
      <c r="K348" s="65"/>
      <c r="L348" s="69"/>
      <c r="M348" s="69"/>
      <c r="N348" s="65"/>
      <c r="O348" s="65"/>
      <c r="P348" s="65"/>
      <c r="Q348" s="65"/>
      <c r="R348" s="65"/>
      <c r="S348" s="65"/>
    </row>
    <row r="349" spans="1:19" x14ac:dyDescent="0.2">
      <c r="A349" s="74"/>
      <c r="C349" s="65"/>
      <c r="D349" s="65"/>
      <c r="E349" s="65"/>
      <c r="F349" s="65"/>
      <c r="G349" s="65"/>
      <c r="H349" s="65"/>
      <c r="I349" s="65"/>
      <c r="J349" s="65"/>
      <c r="K349" s="65"/>
      <c r="L349" s="69"/>
      <c r="M349" s="69"/>
      <c r="N349" s="65"/>
      <c r="O349" s="65"/>
      <c r="P349" s="65"/>
      <c r="Q349" s="65"/>
      <c r="R349" s="65"/>
      <c r="S349" s="65"/>
    </row>
    <row r="350" spans="1:19" x14ac:dyDescent="0.2">
      <c r="A350" s="74"/>
      <c r="C350" s="65"/>
      <c r="D350" s="65"/>
      <c r="E350" s="65"/>
      <c r="F350" s="65"/>
      <c r="G350" s="65"/>
      <c r="H350" s="65"/>
      <c r="I350" s="65"/>
      <c r="J350" s="65"/>
      <c r="K350" s="65"/>
      <c r="L350" s="69"/>
      <c r="M350" s="69"/>
      <c r="N350" s="65"/>
      <c r="O350" s="65"/>
      <c r="P350" s="65"/>
      <c r="Q350" s="65"/>
      <c r="R350" s="65"/>
      <c r="S350" s="65"/>
    </row>
    <row r="351" spans="1:19" x14ac:dyDescent="0.2">
      <c r="A351" s="74"/>
      <c r="C351" s="65"/>
      <c r="D351" s="65"/>
      <c r="E351" s="65"/>
      <c r="F351" s="65"/>
      <c r="G351" s="65"/>
      <c r="H351" s="65"/>
      <c r="I351" s="65"/>
      <c r="J351" s="65"/>
      <c r="K351" s="65"/>
      <c r="L351" s="69"/>
      <c r="M351" s="69"/>
      <c r="N351" s="65"/>
      <c r="O351" s="65"/>
      <c r="P351" s="65"/>
      <c r="Q351" s="65"/>
      <c r="R351" s="65"/>
      <c r="S351" s="65"/>
    </row>
    <row r="352" spans="1:19" x14ac:dyDescent="0.2">
      <c r="A352" s="74"/>
      <c r="C352" s="65"/>
      <c r="D352" s="65"/>
      <c r="E352" s="65"/>
      <c r="F352" s="65"/>
      <c r="G352" s="65"/>
      <c r="H352" s="65"/>
      <c r="I352" s="65"/>
      <c r="J352" s="65"/>
      <c r="K352" s="65"/>
      <c r="L352" s="69"/>
      <c r="M352" s="69"/>
      <c r="N352" s="65"/>
      <c r="O352" s="65"/>
      <c r="P352" s="65"/>
      <c r="Q352" s="65"/>
      <c r="R352" s="65"/>
      <c r="S352" s="65"/>
    </row>
    <row r="353" spans="1:19" x14ac:dyDescent="0.2">
      <c r="A353" s="74"/>
      <c r="C353" s="65"/>
      <c r="D353" s="65"/>
      <c r="E353" s="65"/>
      <c r="F353" s="65"/>
      <c r="G353" s="65"/>
      <c r="H353" s="65"/>
      <c r="I353" s="65"/>
      <c r="J353" s="65"/>
      <c r="K353" s="65"/>
      <c r="L353" s="69"/>
      <c r="M353" s="69"/>
      <c r="N353" s="65"/>
      <c r="O353" s="65"/>
      <c r="P353" s="65"/>
      <c r="Q353" s="65"/>
      <c r="R353" s="65"/>
      <c r="S353" s="65"/>
    </row>
    <row r="354" spans="1:19" x14ac:dyDescent="0.2">
      <c r="A354" s="74"/>
      <c r="C354" s="65"/>
      <c r="D354" s="65"/>
      <c r="E354" s="65"/>
      <c r="F354" s="65"/>
      <c r="G354" s="65"/>
      <c r="H354" s="65"/>
      <c r="I354" s="65"/>
      <c r="J354" s="65"/>
      <c r="K354" s="65"/>
      <c r="L354" s="69"/>
      <c r="M354" s="69"/>
      <c r="N354" s="65"/>
      <c r="O354" s="65"/>
      <c r="P354" s="65"/>
      <c r="Q354" s="65"/>
      <c r="R354" s="65"/>
      <c r="S354" s="65"/>
    </row>
    <row r="355" spans="1:19" x14ac:dyDescent="0.2">
      <c r="A355" s="74"/>
      <c r="C355" s="65"/>
      <c r="D355" s="65"/>
      <c r="E355" s="65"/>
      <c r="F355" s="65"/>
      <c r="G355" s="65"/>
      <c r="H355" s="65"/>
      <c r="I355" s="65"/>
      <c r="J355" s="65"/>
      <c r="K355" s="65"/>
      <c r="L355" s="69"/>
      <c r="M355" s="69"/>
      <c r="N355" s="65"/>
      <c r="O355" s="65"/>
      <c r="P355" s="65"/>
      <c r="Q355" s="65"/>
      <c r="R355" s="65"/>
      <c r="S355" s="65"/>
    </row>
    <row r="356" spans="1:19" x14ac:dyDescent="0.2">
      <c r="A356" s="74"/>
      <c r="C356" s="65"/>
      <c r="D356" s="65"/>
      <c r="E356" s="65"/>
      <c r="F356" s="65"/>
      <c r="G356" s="65"/>
      <c r="H356" s="65"/>
      <c r="I356" s="65"/>
      <c r="J356" s="65"/>
      <c r="K356" s="65"/>
      <c r="L356" s="69"/>
      <c r="M356" s="69"/>
      <c r="N356" s="65"/>
      <c r="O356" s="65"/>
      <c r="P356" s="65"/>
      <c r="Q356" s="65"/>
      <c r="R356" s="65"/>
      <c r="S356" s="65"/>
    </row>
    <row r="357" spans="1:19" x14ac:dyDescent="0.2">
      <c r="A357" s="74"/>
      <c r="C357" s="65"/>
      <c r="D357" s="65"/>
      <c r="E357" s="65"/>
      <c r="F357" s="65"/>
      <c r="G357" s="65"/>
      <c r="H357" s="65"/>
      <c r="I357" s="65"/>
      <c r="J357" s="65"/>
      <c r="K357" s="65"/>
      <c r="L357" s="69"/>
      <c r="M357" s="69"/>
      <c r="N357" s="65"/>
      <c r="O357" s="65"/>
      <c r="P357" s="65"/>
      <c r="Q357" s="65"/>
      <c r="R357" s="65"/>
      <c r="S357" s="65"/>
    </row>
    <row r="358" spans="1:19" x14ac:dyDescent="0.2">
      <c r="A358" s="74"/>
      <c r="C358" s="65"/>
      <c r="D358" s="65"/>
      <c r="E358" s="65"/>
      <c r="F358" s="65"/>
      <c r="G358" s="65"/>
      <c r="H358" s="65"/>
      <c r="I358" s="65"/>
      <c r="J358" s="65"/>
      <c r="K358" s="65"/>
      <c r="L358" s="69"/>
      <c r="M358" s="69"/>
      <c r="N358" s="65"/>
      <c r="O358" s="65"/>
      <c r="P358" s="65"/>
      <c r="Q358" s="65"/>
      <c r="R358" s="65"/>
      <c r="S358" s="65"/>
    </row>
    <row r="359" spans="1:19" x14ac:dyDescent="0.2">
      <c r="A359" s="74"/>
      <c r="C359" s="65"/>
      <c r="D359" s="65"/>
      <c r="E359" s="65"/>
      <c r="F359" s="65"/>
      <c r="G359" s="65"/>
      <c r="H359" s="65"/>
      <c r="I359" s="65"/>
      <c r="J359" s="65"/>
      <c r="K359" s="65"/>
      <c r="L359" s="69"/>
      <c r="M359" s="69"/>
      <c r="N359" s="65"/>
      <c r="O359" s="65"/>
      <c r="P359" s="65"/>
      <c r="Q359" s="65"/>
      <c r="R359" s="65"/>
      <c r="S359" s="65"/>
    </row>
    <row r="360" spans="1:19" x14ac:dyDescent="0.2">
      <c r="A360" s="74"/>
      <c r="C360" s="65"/>
      <c r="D360" s="65"/>
      <c r="E360" s="65"/>
      <c r="F360" s="65"/>
      <c r="G360" s="65"/>
      <c r="H360" s="65"/>
      <c r="I360" s="65"/>
      <c r="J360" s="65"/>
      <c r="K360" s="65"/>
      <c r="L360" s="69"/>
      <c r="M360" s="69"/>
      <c r="N360" s="65"/>
      <c r="O360" s="65"/>
      <c r="P360" s="65"/>
      <c r="Q360" s="65"/>
      <c r="R360" s="65"/>
      <c r="S360" s="65"/>
    </row>
    <row r="361" spans="1:19" x14ac:dyDescent="0.2">
      <c r="A361" s="74"/>
      <c r="C361" s="65"/>
      <c r="D361" s="65"/>
      <c r="E361" s="65"/>
      <c r="F361" s="65"/>
      <c r="G361" s="65"/>
      <c r="H361" s="65"/>
      <c r="I361" s="65"/>
      <c r="J361" s="65"/>
      <c r="K361" s="65"/>
      <c r="L361" s="69"/>
      <c r="M361" s="69"/>
      <c r="N361" s="65"/>
      <c r="O361" s="65"/>
      <c r="P361" s="65"/>
      <c r="Q361" s="65"/>
      <c r="R361" s="65"/>
      <c r="S361" s="65"/>
    </row>
    <row r="362" spans="1:19" x14ac:dyDescent="0.2">
      <c r="A362" s="74"/>
      <c r="C362" s="65"/>
      <c r="D362" s="65"/>
      <c r="E362" s="65"/>
      <c r="F362" s="65"/>
      <c r="G362" s="65"/>
      <c r="H362" s="65"/>
      <c r="I362" s="65"/>
      <c r="J362" s="65"/>
      <c r="K362" s="65"/>
      <c r="L362" s="69"/>
      <c r="M362" s="69"/>
      <c r="N362" s="65"/>
      <c r="O362" s="65"/>
      <c r="P362" s="65"/>
      <c r="Q362" s="65"/>
      <c r="R362" s="65"/>
      <c r="S362" s="65"/>
    </row>
    <row r="363" spans="1:19" x14ac:dyDescent="0.2">
      <c r="A363" s="74"/>
      <c r="C363" s="65"/>
      <c r="D363" s="65"/>
      <c r="E363" s="65"/>
      <c r="F363" s="65"/>
      <c r="G363" s="65"/>
      <c r="H363" s="65"/>
      <c r="I363" s="65"/>
      <c r="J363" s="65"/>
      <c r="K363" s="65"/>
      <c r="L363" s="69"/>
      <c r="M363" s="69"/>
      <c r="N363" s="65"/>
      <c r="O363" s="65"/>
      <c r="P363" s="65"/>
      <c r="Q363" s="65"/>
      <c r="R363" s="65"/>
      <c r="S363" s="65"/>
    </row>
    <row r="364" spans="1:19" x14ac:dyDescent="0.2">
      <c r="A364" s="74"/>
      <c r="C364" s="65"/>
      <c r="D364" s="65"/>
      <c r="E364" s="65"/>
      <c r="F364" s="65"/>
      <c r="G364" s="65"/>
      <c r="H364" s="65"/>
      <c r="I364" s="65"/>
      <c r="J364" s="65"/>
      <c r="K364" s="65"/>
      <c r="L364" s="69"/>
      <c r="M364" s="69"/>
      <c r="N364" s="65"/>
      <c r="O364" s="65"/>
      <c r="P364" s="65"/>
      <c r="Q364" s="65"/>
      <c r="R364" s="65"/>
      <c r="S364" s="65"/>
    </row>
    <row r="365" spans="1:19" x14ac:dyDescent="0.2">
      <c r="A365" s="74"/>
      <c r="C365" s="65"/>
      <c r="D365" s="65"/>
      <c r="E365" s="65"/>
      <c r="F365" s="65"/>
      <c r="G365" s="65"/>
      <c r="H365" s="65"/>
      <c r="I365" s="65"/>
      <c r="J365" s="65"/>
      <c r="K365" s="65"/>
      <c r="L365" s="69"/>
      <c r="M365" s="69"/>
      <c r="N365" s="65"/>
      <c r="O365" s="65"/>
      <c r="P365" s="65"/>
      <c r="Q365" s="65"/>
      <c r="R365" s="65"/>
      <c r="S365" s="65"/>
    </row>
    <row r="366" spans="1:19" x14ac:dyDescent="0.2">
      <c r="A366" s="74"/>
      <c r="C366" s="65"/>
      <c r="D366" s="65"/>
      <c r="E366" s="65"/>
      <c r="F366" s="65"/>
      <c r="G366" s="65"/>
      <c r="H366" s="65"/>
      <c r="I366" s="65"/>
      <c r="J366" s="65"/>
      <c r="K366" s="65"/>
      <c r="L366" s="69"/>
      <c r="M366" s="69"/>
      <c r="N366" s="65"/>
      <c r="O366" s="65"/>
      <c r="P366" s="65"/>
      <c r="Q366" s="65"/>
      <c r="R366" s="65"/>
      <c r="S366" s="65"/>
    </row>
    <row r="367" spans="1:19" x14ac:dyDescent="0.2">
      <c r="A367" s="74"/>
      <c r="C367" s="65"/>
      <c r="D367" s="65"/>
      <c r="E367" s="65"/>
      <c r="F367" s="65"/>
      <c r="G367" s="65"/>
      <c r="H367" s="65"/>
      <c r="I367" s="65"/>
      <c r="J367" s="65"/>
      <c r="K367" s="65"/>
      <c r="L367" s="69"/>
      <c r="M367" s="69"/>
      <c r="N367" s="65"/>
      <c r="O367" s="65"/>
      <c r="P367" s="65"/>
      <c r="Q367" s="65"/>
      <c r="R367" s="65"/>
      <c r="S367" s="65"/>
    </row>
    <row r="368" spans="1:19" x14ac:dyDescent="0.2">
      <c r="A368" s="74"/>
      <c r="C368" s="65"/>
      <c r="D368" s="65"/>
      <c r="E368" s="65"/>
      <c r="F368" s="65"/>
      <c r="G368" s="65"/>
      <c r="H368" s="65"/>
      <c r="I368" s="65"/>
      <c r="J368" s="65"/>
      <c r="K368" s="65"/>
      <c r="L368" s="69"/>
      <c r="M368" s="69"/>
      <c r="N368" s="65"/>
      <c r="O368" s="65"/>
      <c r="P368" s="65"/>
      <c r="Q368" s="65"/>
      <c r="R368" s="65"/>
      <c r="S368" s="65"/>
    </row>
    <row r="369" spans="1:19" x14ac:dyDescent="0.2">
      <c r="A369" s="74"/>
      <c r="C369" s="65"/>
      <c r="D369" s="65"/>
      <c r="E369" s="65"/>
      <c r="F369" s="65"/>
      <c r="G369" s="65"/>
      <c r="H369" s="65"/>
      <c r="I369" s="65"/>
      <c r="J369" s="65"/>
      <c r="K369" s="65"/>
      <c r="L369" s="69"/>
      <c r="M369" s="69"/>
      <c r="N369" s="65"/>
      <c r="O369" s="65"/>
      <c r="P369" s="65"/>
      <c r="Q369" s="65"/>
      <c r="R369" s="65"/>
      <c r="S369" s="65"/>
    </row>
    <row r="370" spans="1:19" x14ac:dyDescent="0.2">
      <c r="A370" s="74"/>
      <c r="C370" s="65"/>
      <c r="D370" s="65"/>
      <c r="E370" s="65"/>
      <c r="F370" s="65"/>
      <c r="G370" s="65"/>
      <c r="H370" s="65"/>
      <c r="I370" s="65"/>
      <c r="J370" s="65"/>
      <c r="K370" s="65"/>
      <c r="L370" s="69"/>
      <c r="M370" s="69"/>
      <c r="N370" s="65"/>
      <c r="O370" s="65"/>
      <c r="P370" s="65"/>
      <c r="Q370" s="65"/>
      <c r="R370" s="65"/>
      <c r="S370" s="65"/>
    </row>
    <row r="371" spans="1:19" x14ac:dyDescent="0.2">
      <c r="A371" s="74"/>
      <c r="C371" s="65"/>
      <c r="D371" s="65"/>
      <c r="E371" s="65"/>
      <c r="F371" s="65"/>
      <c r="G371" s="65"/>
      <c r="H371" s="65"/>
      <c r="I371" s="65"/>
      <c r="J371" s="65"/>
      <c r="K371" s="65"/>
      <c r="L371" s="69"/>
      <c r="M371" s="69"/>
      <c r="N371" s="65"/>
      <c r="O371" s="65"/>
      <c r="P371" s="65"/>
      <c r="Q371" s="65"/>
      <c r="R371" s="65"/>
      <c r="S371" s="65"/>
    </row>
    <row r="372" spans="1:19" x14ac:dyDescent="0.2">
      <c r="A372" s="74"/>
      <c r="C372" s="65"/>
      <c r="D372" s="65"/>
      <c r="E372" s="65"/>
      <c r="F372" s="65"/>
      <c r="G372" s="65"/>
      <c r="H372" s="65"/>
      <c r="I372" s="65"/>
      <c r="J372" s="65"/>
      <c r="K372" s="65"/>
      <c r="L372" s="69"/>
      <c r="M372" s="69"/>
      <c r="N372" s="65"/>
      <c r="O372" s="65"/>
      <c r="P372" s="65"/>
      <c r="Q372" s="65"/>
      <c r="R372" s="65"/>
      <c r="S372" s="65"/>
    </row>
    <row r="373" spans="1:19" x14ac:dyDescent="0.2">
      <c r="A373" s="74"/>
      <c r="C373" s="65"/>
      <c r="D373" s="65"/>
      <c r="E373" s="65"/>
      <c r="F373" s="65"/>
      <c r="G373" s="65"/>
      <c r="H373" s="65"/>
      <c r="I373" s="65"/>
      <c r="J373" s="65"/>
      <c r="K373" s="65"/>
      <c r="L373" s="69"/>
      <c r="M373" s="69"/>
      <c r="N373" s="65"/>
      <c r="O373" s="65"/>
      <c r="P373" s="65"/>
      <c r="Q373" s="65"/>
      <c r="R373" s="65"/>
      <c r="S373" s="65"/>
    </row>
    <row r="374" spans="1:19" x14ac:dyDescent="0.2">
      <c r="A374" s="74"/>
      <c r="C374" s="65"/>
      <c r="D374" s="65"/>
      <c r="E374" s="65"/>
      <c r="F374" s="65"/>
      <c r="G374" s="65"/>
      <c r="H374" s="65"/>
      <c r="I374" s="65"/>
      <c r="J374" s="65"/>
      <c r="K374" s="65"/>
      <c r="L374" s="69"/>
      <c r="M374" s="69"/>
      <c r="N374" s="65"/>
      <c r="O374" s="65"/>
      <c r="P374" s="65"/>
      <c r="Q374" s="65"/>
      <c r="R374" s="65"/>
      <c r="S374" s="65"/>
    </row>
    <row r="375" spans="1:19" x14ac:dyDescent="0.2">
      <c r="A375" s="74"/>
      <c r="C375" s="65"/>
      <c r="D375" s="65"/>
      <c r="E375" s="65"/>
      <c r="F375" s="65"/>
      <c r="G375" s="65"/>
      <c r="H375" s="65"/>
      <c r="I375" s="65"/>
      <c r="J375" s="65"/>
      <c r="K375" s="65"/>
      <c r="L375" s="69"/>
      <c r="M375" s="69"/>
      <c r="N375" s="65"/>
      <c r="O375" s="65"/>
      <c r="P375" s="65"/>
      <c r="Q375" s="65"/>
      <c r="R375" s="65"/>
      <c r="S375" s="65"/>
    </row>
    <row r="376" spans="1:19" x14ac:dyDescent="0.2">
      <c r="A376" s="74"/>
      <c r="C376" s="65"/>
      <c r="D376" s="65"/>
      <c r="E376" s="65"/>
      <c r="F376" s="65"/>
      <c r="G376" s="65"/>
      <c r="H376" s="65"/>
      <c r="I376" s="65"/>
      <c r="J376" s="65"/>
      <c r="K376" s="65"/>
      <c r="L376" s="69"/>
      <c r="M376" s="69"/>
      <c r="N376" s="65"/>
      <c r="O376" s="65"/>
      <c r="P376" s="65"/>
      <c r="Q376" s="65"/>
      <c r="R376" s="65"/>
      <c r="S376" s="65"/>
    </row>
    <row r="377" spans="1:19" x14ac:dyDescent="0.2">
      <c r="A377" s="74"/>
      <c r="C377" s="65"/>
      <c r="D377" s="65"/>
      <c r="E377" s="65"/>
      <c r="F377" s="65"/>
      <c r="G377" s="65"/>
      <c r="H377" s="65"/>
      <c r="I377" s="65"/>
      <c r="J377" s="65"/>
      <c r="K377" s="65"/>
      <c r="L377" s="69"/>
      <c r="M377" s="69"/>
      <c r="N377" s="65"/>
      <c r="O377" s="65"/>
      <c r="P377" s="65"/>
      <c r="Q377" s="65"/>
      <c r="R377" s="65"/>
      <c r="S377" s="65"/>
    </row>
    <row r="378" spans="1:19" x14ac:dyDescent="0.2">
      <c r="A378" s="74"/>
      <c r="C378" s="65"/>
      <c r="D378" s="65"/>
      <c r="E378" s="65"/>
      <c r="F378" s="65"/>
      <c r="G378" s="65"/>
      <c r="H378" s="65"/>
      <c r="I378" s="65"/>
      <c r="J378" s="65"/>
      <c r="K378" s="65"/>
      <c r="L378" s="69"/>
      <c r="M378" s="69"/>
      <c r="N378" s="65"/>
      <c r="O378" s="65"/>
      <c r="P378" s="65"/>
      <c r="Q378" s="65"/>
      <c r="R378" s="65"/>
      <c r="S378" s="65"/>
    </row>
    <row r="379" spans="1:19" x14ac:dyDescent="0.2">
      <c r="A379" s="74"/>
      <c r="C379" s="65"/>
      <c r="D379" s="65"/>
      <c r="E379" s="65"/>
      <c r="F379" s="65"/>
      <c r="G379" s="65"/>
      <c r="H379" s="65"/>
      <c r="I379" s="65"/>
      <c r="J379" s="65"/>
      <c r="K379" s="65"/>
      <c r="L379" s="69"/>
      <c r="M379" s="69"/>
      <c r="N379" s="65"/>
      <c r="O379" s="65"/>
      <c r="P379" s="65"/>
      <c r="Q379" s="65"/>
      <c r="R379" s="65"/>
      <c r="S379" s="65"/>
    </row>
    <row r="380" spans="1:19" x14ac:dyDescent="0.2">
      <c r="A380" s="74"/>
      <c r="C380" s="65"/>
      <c r="D380" s="65"/>
      <c r="E380" s="65"/>
      <c r="F380" s="65"/>
      <c r="G380" s="65"/>
      <c r="H380" s="65"/>
      <c r="I380" s="65"/>
      <c r="J380" s="65"/>
      <c r="K380" s="65"/>
      <c r="L380" s="69"/>
      <c r="M380" s="69"/>
      <c r="N380" s="65"/>
      <c r="O380" s="65"/>
      <c r="P380" s="65"/>
      <c r="Q380" s="65"/>
      <c r="R380" s="65"/>
      <c r="S380" s="65"/>
    </row>
    <row r="381" spans="1:19" x14ac:dyDescent="0.2">
      <c r="A381" s="74"/>
      <c r="C381" s="65"/>
      <c r="D381" s="65"/>
      <c r="E381" s="65"/>
      <c r="F381" s="65"/>
      <c r="G381" s="65"/>
      <c r="H381" s="65"/>
      <c r="I381" s="65"/>
      <c r="J381" s="65"/>
      <c r="K381" s="65"/>
      <c r="L381" s="69"/>
      <c r="M381" s="69"/>
      <c r="N381" s="65"/>
      <c r="O381" s="65"/>
      <c r="P381" s="65"/>
      <c r="Q381" s="65"/>
      <c r="R381" s="65"/>
      <c r="S381" s="65"/>
    </row>
    <row r="382" spans="1:19" x14ac:dyDescent="0.2">
      <c r="A382" s="74"/>
      <c r="C382" s="65"/>
      <c r="D382" s="65"/>
      <c r="E382" s="65"/>
      <c r="F382" s="65"/>
      <c r="G382" s="65"/>
      <c r="H382" s="65"/>
      <c r="I382" s="65"/>
      <c r="J382" s="65"/>
      <c r="K382" s="65"/>
      <c r="L382" s="69"/>
      <c r="M382" s="69"/>
      <c r="N382" s="65"/>
      <c r="O382" s="65"/>
      <c r="P382" s="65"/>
      <c r="Q382" s="65"/>
      <c r="R382" s="65"/>
      <c r="S382" s="65"/>
    </row>
    <row r="383" spans="1:19" x14ac:dyDescent="0.2">
      <c r="A383" s="74"/>
      <c r="C383" s="65"/>
      <c r="D383" s="65"/>
      <c r="E383" s="65"/>
      <c r="F383" s="65"/>
      <c r="G383" s="65"/>
      <c r="H383" s="65"/>
      <c r="I383" s="65"/>
      <c r="J383" s="65"/>
      <c r="K383" s="65"/>
      <c r="L383" s="69"/>
      <c r="M383" s="69"/>
      <c r="N383" s="65"/>
      <c r="O383" s="65"/>
      <c r="P383" s="65"/>
      <c r="Q383" s="65"/>
      <c r="R383" s="65"/>
      <c r="S383" s="65"/>
    </row>
    <row r="384" spans="1:19" x14ac:dyDescent="0.2">
      <c r="A384" s="74"/>
      <c r="C384" s="65"/>
      <c r="D384" s="65"/>
      <c r="E384" s="65"/>
      <c r="F384" s="65"/>
      <c r="G384" s="65"/>
      <c r="H384" s="65"/>
      <c r="I384" s="65"/>
      <c r="J384" s="65"/>
      <c r="K384" s="65"/>
      <c r="L384" s="69"/>
      <c r="M384" s="69"/>
      <c r="N384" s="65"/>
      <c r="O384" s="65"/>
      <c r="P384" s="65"/>
      <c r="Q384" s="65"/>
      <c r="R384" s="65"/>
      <c r="S384" s="65"/>
    </row>
    <row r="385" spans="1:19" x14ac:dyDescent="0.2">
      <c r="A385" s="74"/>
      <c r="C385" s="65"/>
      <c r="D385" s="65"/>
      <c r="E385" s="65"/>
      <c r="F385" s="65"/>
      <c r="G385" s="65"/>
      <c r="H385" s="65"/>
      <c r="I385" s="65"/>
      <c r="J385" s="65"/>
      <c r="K385" s="65"/>
      <c r="L385" s="69"/>
      <c r="M385" s="69"/>
      <c r="N385" s="65"/>
      <c r="O385" s="65"/>
      <c r="P385" s="65"/>
      <c r="Q385" s="65"/>
      <c r="R385" s="65"/>
      <c r="S385" s="65"/>
    </row>
    <row r="386" spans="1:19" x14ac:dyDescent="0.2">
      <c r="A386" s="74"/>
      <c r="C386" s="65"/>
      <c r="D386" s="65"/>
      <c r="E386" s="65"/>
      <c r="F386" s="65"/>
      <c r="G386" s="65"/>
      <c r="H386" s="65"/>
      <c r="I386" s="65"/>
      <c r="J386" s="65"/>
      <c r="K386" s="65"/>
      <c r="L386" s="69"/>
      <c r="M386" s="69"/>
      <c r="N386" s="65"/>
      <c r="O386" s="65"/>
      <c r="P386" s="65"/>
      <c r="Q386" s="65"/>
      <c r="R386" s="65"/>
      <c r="S386" s="65"/>
    </row>
    <row r="387" spans="1:19" x14ac:dyDescent="0.2">
      <c r="A387" s="74"/>
      <c r="C387" s="65"/>
      <c r="D387" s="65"/>
      <c r="E387" s="65"/>
      <c r="F387" s="65"/>
      <c r="G387" s="65"/>
      <c r="H387" s="65"/>
      <c r="I387" s="65"/>
      <c r="J387" s="65"/>
      <c r="K387" s="65"/>
      <c r="L387" s="69"/>
      <c r="M387" s="69"/>
      <c r="N387" s="65"/>
      <c r="O387" s="65"/>
      <c r="P387" s="65"/>
      <c r="Q387" s="65"/>
      <c r="R387" s="65"/>
      <c r="S387" s="65"/>
    </row>
    <row r="388" spans="1:19" x14ac:dyDescent="0.2">
      <c r="A388" s="74"/>
      <c r="C388" s="65"/>
      <c r="D388" s="65"/>
      <c r="E388" s="65"/>
      <c r="F388" s="65"/>
      <c r="G388" s="65"/>
      <c r="H388" s="65"/>
      <c r="I388" s="65"/>
      <c r="J388" s="65"/>
      <c r="K388" s="65"/>
      <c r="L388" s="69"/>
      <c r="M388" s="69"/>
      <c r="N388" s="65"/>
      <c r="O388" s="65"/>
      <c r="P388" s="65"/>
      <c r="Q388" s="65"/>
      <c r="R388" s="65"/>
      <c r="S388" s="65"/>
    </row>
    <row r="389" spans="1:19" x14ac:dyDescent="0.2">
      <c r="A389" s="74"/>
      <c r="C389" s="65"/>
      <c r="D389" s="65"/>
      <c r="E389" s="65"/>
      <c r="F389" s="65"/>
      <c r="G389" s="65"/>
      <c r="H389" s="65"/>
      <c r="I389" s="65"/>
      <c r="J389" s="65"/>
      <c r="K389" s="65"/>
      <c r="L389" s="69"/>
      <c r="M389" s="69"/>
      <c r="N389" s="65"/>
      <c r="O389" s="65"/>
      <c r="P389" s="65"/>
      <c r="Q389" s="65"/>
      <c r="R389" s="65"/>
      <c r="S389" s="65"/>
    </row>
    <row r="390" spans="1:19" x14ac:dyDescent="0.2">
      <c r="A390" s="74"/>
      <c r="C390" s="65"/>
      <c r="D390" s="65"/>
      <c r="E390" s="65"/>
      <c r="F390" s="65"/>
      <c r="G390" s="65"/>
      <c r="H390" s="65"/>
      <c r="I390" s="65"/>
      <c r="J390" s="65"/>
      <c r="K390" s="65"/>
      <c r="L390" s="69"/>
      <c r="M390" s="69"/>
      <c r="N390" s="65"/>
      <c r="O390" s="65"/>
      <c r="P390" s="65"/>
      <c r="Q390" s="65"/>
      <c r="R390" s="65"/>
      <c r="S390" s="65"/>
    </row>
    <row r="391" spans="1:19" x14ac:dyDescent="0.2">
      <c r="A391" s="74"/>
      <c r="C391" s="65"/>
      <c r="D391" s="65"/>
      <c r="E391" s="65"/>
      <c r="F391" s="65"/>
      <c r="G391" s="65"/>
      <c r="H391" s="65"/>
      <c r="I391" s="65"/>
      <c r="J391" s="65"/>
      <c r="K391" s="65"/>
      <c r="L391" s="69"/>
      <c r="M391" s="69"/>
      <c r="N391" s="65"/>
      <c r="O391" s="65"/>
      <c r="P391" s="65"/>
      <c r="Q391" s="65"/>
      <c r="R391" s="65"/>
      <c r="S391" s="65"/>
    </row>
    <row r="392" spans="1:19" x14ac:dyDescent="0.2">
      <c r="A392" s="74"/>
      <c r="C392" s="65"/>
      <c r="D392" s="65"/>
      <c r="E392" s="65"/>
      <c r="F392" s="65"/>
      <c r="G392" s="65"/>
      <c r="H392" s="65"/>
      <c r="I392" s="65"/>
      <c r="J392" s="65"/>
      <c r="K392" s="65"/>
      <c r="L392" s="69"/>
      <c r="M392" s="69"/>
      <c r="N392" s="65"/>
      <c r="O392" s="65"/>
      <c r="P392" s="65"/>
      <c r="Q392" s="65"/>
      <c r="R392" s="65"/>
      <c r="S392" s="65"/>
    </row>
    <row r="393" spans="1:19" x14ac:dyDescent="0.2">
      <c r="A393" s="74"/>
      <c r="C393" s="65"/>
      <c r="D393" s="65"/>
      <c r="E393" s="65"/>
      <c r="F393" s="65"/>
      <c r="G393" s="65"/>
      <c r="H393" s="65"/>
      <c r="I393" s="65"/>
      <c r="J393" s="65"/>
      <c r="K393" s="65"/>
      <c r="L393" s="69"/>
      <c r="M393" s="69"/>
      <c r="N393" s="65"/>
      <c r="O393" s="65"/>
      <c r="P393" s="65"/>
      <c r="Q393" s="65"/>
      <c r="R393" s="65"/>
      <c r="S393" s="65"/>
    </row>
    <row r="394" spans="1:19" x14ac:dyDescent="0.2">
      <c r="A394" s="74"/>
      <c r="C394" s="65"/>
      <c r="D394" s="65"/>
      <c r="E394" s="65"/>
      <c r="F394" s="65"/>
      <c r="G394" s="65"/>
      <c r="H394" s="65"/>
      <c r="I394" s="65"/>
      <c r="J394" s="65"/>
      <c r="K394" s="65"/>
      <c r="L394" s="69"/>
      <c r="M394" s="69"/>
      <c r="N394" s="65"/>
      <c r="O394" s="65"/>
      <c r="P394" s="65"/>
      <c r="Q394" s="65"/>
      <c r="R394" s="65"/>
      <c r="S394" s="65"/>
    </row>
    <row r="395" spans="1:19" x14ac:dyDescent="0.2">
      <c r="A395" s="74"/>
      <c r="C395" s="65"/>
      <c r="D395" s="65"/>
      <c r="E395" s="65"/>
      <c r="F395" s="65"/>
      <c r="G395" s="65"/>
      <c r="H395" s="65"/>
      <c r="I395" s="65"/>
      <c r="J395" s="65"/>
      <c r="K395" s="65"/>
      <c r="L395" s="69"/>
      <c r="M395" s="69"/>
      <c r="N395" s="65"/>
      <c r="O395" s="65"/>
      <c r="P395" s="65"/>
      <c r="Q395" s="65"/>
      <c r="R395" s="65"/>
      <c r="S395" s="65"/>
    </row>
    <row r="396" spans="1:19" x14ac:dyDescent="0.2">
      <c r="A396" s="74"/>
      <c r="C396" s="65"/>
      <c r="D396" s="65"/>
      <c r="E396" s="65"/>
      <c r="F396" s="65"/>
      <c r="G396" s="65"/>
      <c r="H396" s="65"/>
      <c r="I396" s="65"/>
      <c r="J396" s="65"/>
      <c r="K396" s="65"/>
      <c r="L396" s="69"/>
      <c r="M396" s="69"/>
      <c r="N396" s="65"/>
      <c r="O396" s="65"/>
      <c r="P396" s="65"/>
      <c r="Q396" s="65"/>
      <c r="R396" s="65"/>
      <c r="S396" s="65"/>
    </row>
    <row r="397" spans="1:19" x14ac:dyDescent="0.2">
      <c r="A397" s="74"/>
      <c r="C397" s="65"/>
      <c r="D397" s="65"/>
      <c r="E397" s="65"/>
      <c r="F397" s="65"/>
      <c r="G397" s="65"/>
      <c r="H397" s="65"/>
      <c r="I397" s="65"/>
      <c r="J397" s="65"/>
      <c r="K397" s="65"/>
      <c r="L397" s="69"/>
      <c r="M397" s="69"/>
      <c r="N397" s="65"/>
      <c r="O397" s="65"/>
      <c r="P397" s="65"/>
      <c r="Q397" s="65"/>
      <c r="R397" s="65"/>
      <c r="S397" s="65"/>
    </row>
    <row r="398" spans="1:19" x14ac:dyDescent="0.2">
      <c r="A398" s="74"/>
      <c r="C398" s="65"/>
      <c r="D398" s="65"/>
      <c r="E398" s="65"/>
      <c r="F398" s="65"/>
      <c r="G398" s="65"/>
      <c r="H398" s="65"/>
      <c r="I398" s="65"/>
      <c r="J398" s="65"/>
      <c r="K398" s="65"/>
      <c r="L398" s="69"/>
      <c r="M398" s="69"/>
      <c r="N398" s="65"/>
      <c r="O398" s="65"/>
      <c r="P398" s="65"/>
      <c r="Q398" s="65"/>
      <c r="R398" s="65"/>
      <c r="S398" s="65"/>
    </row>
    <row r="399" spans="1:19" x14ac:dyDescent="0.2">
      <c r="A399" s="74"/>
      <c r="C399" s="65"/>
      <c r="D399" s="65"/>
      <c r="E399" s="65"/>
      <c r="F399" s="65"/>
      <c r="G399" s="65"/>
      <c r="H399" s="65"/>
      <c r="I399" s="65"/>
      <c r="J399" s="65"/>
      <c r="K399" s="65"/>
      <c r="L399" s="69"/>
      <c r="M399" s="69"/>
      <c r="N399" s="65"/>
      <c r="O399" s="65"/>
      <c r="P399" s="65"/>
      <c r="Q399" s="65"/>
      <c r="R399" s="65"/>
      <c r="S399" s="65"/>
    </row>
    <row r="400" spans="1:19" x14ac:dyDescent="0.2">
      <c r="A400" s="74"/>
      <c r="C400" s="65"/>
      <c r="D400" s="65"/>
      <c r="E400" s="65"/>
      <c r="F400" s="65"/>
      <c r="G400" s="65"/>
      <c r="H400" s="65"/>
      <c r="I400" s="65"/>
      <c r="J400" s="65"/>
      <c r="K400" s="65"/>
      <c r="L400" s="69"/>
      <c r="M400" s="69"/>
      <c r="N400" s="65"/>
      <c r="O400" s="65"/>
      <c r="P400" s="65"/>
      <c r="Q400" s="65"/>
      <c r="R400" s="65"/>
      <c r="S400" s="65"/>
    </row>
    <row r="401" spans="1:19" x14ac:dyDescent="0.2">
      <c r="A401" s="74"/>
      <c r="C401" s="65"/>
      <c r="D401" s="65"/>
      <c r="E401" s="65"/>
      <c r="F401" s="65"/>
      <c r="G401" s="65"/>
      <c r="H401" s="65"/>
      <c r="I401" s="65"/>
      <c r="J401" s="65"/>
      <c r="K401" s="65"/>
      <c r="L401" s="69"/>
      <c r="M401" s="69"/>
      <c r="N401" s="65"/>
      <c r="O401" s="65"/>
      <c r="P401" s="65"/>
      <c r="Q401" s="65"/>
      <c r="R401" s="65"/>
      <c r="S401" s="65"/>
    </row>
    <row r="402" spans="1:19" x14ac:dyDescent="0.2">
      <c r="A402" s="74"/>
      <c r="C402" s="65"/>
      <c r="D402" s="65"/>
      <c r="E402" s="65"/>
      <c r="F402" s="65"/>
      <c r="G402" s="65"/>
      <c r="H402" s="65"/>
      <c r="I402" s="65"/>
      <c r="J402" s="65"/>
      <c r="K402" s="65"/>
      <c r="L402" s="69"/>
      <c r="M402" s="69"/>
      <c r="N402" s="65"/>
      <c r="O402" s="65"/>
      <c r="P402" s="65"/>
      <c r="Q402" s="65"/>
      <c r="R402" s="65"/>
      <c r="S402" s="65"/>
    </row>
    <row r="403" spans="1:19" x14ac:dyDescent="0.2">
      <c r="A403" s="74"/>
      <c r="C403" s="65"/>
      <c r="D403" s="65"/>
      <c r="E403" s="65"/>
      <c r="F403" s="65"/>
      <c r="G403" s="65"/>
      <c r="H403" s="65"/>
      <c r="I403" s="65"/>
      <c r="J403" s="65"/>
      <c r="K403" s="65"/>
      <c r="L403" s="69"/>
      <c r="M403" s="69"/>
      <c r="N403" s="65"/>
      <c r="O403" s="65"/>
      <c r="P403" s="65"/>
      <c r="Q403" s="65"/>
      <c r="R403" s="65"/>
      <c r="S403" s="65"/>
    </row>
    <row r="404" spans="1:19" x14ac:dyDescent="0.2">
      <c r="A404" s="74"/>
      <c r="C404" s="65"/>
      <c r="D404" s="65"/>
      <c r="E404" s="65"/>
      <c r="F404" s="65"/>
      <c r="G404" s="65"/>
      <c r="H404" s="65"/>
      <c r="I404" s="65"/>
      <c r="J404" s="65"/>
      <c r="K404" s="65"/>
      <c r="L404" s="69"/>
      <c r="M404" s="69"/>
      <c r="N404" s="65"/>
      <c r="O404" s="65"/>
      <c r="P404" s="65"/>
      <c r="Q404" s="65"/>
      <c r="R404" s="65"/>
      <c r="S404" s="65"/>
    </row>
    <row r="405" spans="1:19" x14ac:dyDescent="0.2">
      <c r="A405" s="74"/>
      <c r="C405" s="65"/>
      <c r="D405" s="65"/>
      <c r="E405" s="65"/>
      <c r="F405" s="65"/>
      <c r="G405" s="65"/>
      <c r="H405" s="65"/>
      <c r="I405" s="65"/>
      <c r="J405" s="65"/>
      <c r="K405" s="65"/>
      <c r="L405" s="69"/>
      <c r="M405" s="69"/>
      <c r="N405" s="65"/>
      <c r="O405" s="65"/>
      <c r="P405" s="65"/>
      <c r="Q405" s="65"/>
      <c r="R405" s="65"/>
      <c r="S405" s="65"/>
    </row>
    <row r="406" spans="1:19" x14ac:dyDescent="0.2">
      <c r="A406" s="74"/>
      <c r="C406" s="65"/>
      <c r="D406" s="65"/>
      <c r="E406" s="65"/>
      <c r="F406" s="65"/>
      <c r="G406" s="65"/>
      <c r="H406" s="65"/>
      <c r="I406" s="65"/>
      <c r="J406" s="65"/>
      <c r="K406" s="65"/>
      <c r="L406" s="69"/>
      <c r="M406" s="69"/>
      <c r="N406" s="65"/>
      <c r="O406" s="65"/>
      <c r="P406" s="65"/>
      <c r="Q406" s="65"/>
      <c r="R406" s="65"/>
      <c r="S406" s="65"/>
    </row>
    <row r="407" spans="1:19" x14ac:dyDescent="0.2">
      <c r="A407" s="74"/>
      <c r="C407" s="65"/>
      <c r="D407" s="65"/>
      <c r="E407" s="65"/>
      <c r="F407" s="65"/>
      <c r="G407" s="65"/>
      <c r="H407" s="65"/>
      <c r="I407" s="65"/>
      <c r="J407" s="65"/>
      <c r="K407" s="65"/>
      <c r="L407" s="69"/>
      <c r="M407" s="69"/>
      <c r="N407" s="65"/>
      <c r="O407" s="65"/>
      <c r="P407" s="65"/>
      <c r="Q407" s="65"/>
      <c r="R407" s="65"/>
      <c r="S407" s="65"/>
    </row>
    <row r="408" spans="1:19" x14ac:dyDescent="0.2">
      <c r="A408" s="74"/>
      <c r="C408" s="65"/>
      <c r="D408" s="65"/>
      <c r="E408" s="65"/>
      <c r="F408" s="65"/>
      <c r="G408" s="65"/>
      <c r="H408" s="65"/>
      <c r="I408" s="65"/>
      <c r="J408" s="65"/>
      <c r="K408" s="65"/>
      <c r="L408" s="69"/>
      <c r="M408" s="69"/>
      <c r="N408" s="65"/>
      <c r="O408" s="65"/>
      <c r="P408" s="65"/>
      <c r="Q408" s="65"/>
      <c r="R408" s="65"/>
      <c r="S408" s="65"/>
    </row>
    <row r="409" spans="1:19" x14ac:dyDescent="0.2">
      <c r="A409" s="74"/>
      <c r="C409" s="65"/>
      <c r="D409" s="65"/>
      <c r="E409" s="65"/>
      <c r="F409" s="65"/>
      <c r="G409" s="65"/>
      <c r="H409" s="65"/>
      <c r="I409" s="65"/>
      <c r="J409" s="65"/>
      <c r="K409" s="65"/>
      <c r="L409" s="69"/>
      <c r="M409" s="69"/>
      <c r="N409" s="65"/>
      <c r="O409" s="65"/>
      <c r="P409" s="65"/>
      <c r="Q409" s="65"/>
      <c r="R409" s="65"/>
      <c r="S409" s="65"/>
    </row>
    <row r="410" spans="1:19" x14ac:dyDescent="0.2">
      <c r="A410" s="74"/>
      <c r="C410" s="65"/>
      <c r="D410" s="65"/>
      <c r="E410" s="65"/>
      <c r="F410" s="65"/>
      <c r="G410" s="65"/>
      <c r="H410" s="65"/>
      <c r="I410" s="65"/>
      <c r="J410" s="65"/>
      <c r="K410" s="65"/>
      <c r="L410" s="69"/>
      <c r="M410" s="69"/>
      <c r="N410" s="65"/>
      <c r="O410" s="65"/>
      <c r="P410" s="65"/>
      <c r="Q410" s="65"/>
      <c r="R410" s="65"/>
      <c r="S410" s="65"/>
    </row>
    <row r="411" spans="1:19" x14ac:dyDescent="0.2">
      <c r="A411" s="74"/>
      <c r="C411" s="65"/>
      <c r="D411" s="65"/>
      <c r="E411" s="65"/>
      <c r="F411" s="65"/>
      <c r="G411" s="65"/>
      <c r="H411" s="65"/>
      <c r="I411" s="65"/>
      <c r="J411" s="65"/>
      <c r="K411" s="65"/>
      <c r="L411" s="69"/>
      <c r="M411" s="69"/>
      <c r="N411" s="65"/>
      <c r="O411" s="65"/>
      <c r="P411" s="65"/>
      <c r="Q411" s="65"/>
      <c r="R411" s="65"/>
      <c r="S411" s="65"/>
    </row>
    <row r="412" spans="1:19" x14ac:dyDescent="0.2">
      <c r="A412" s="74"/>
      <c r="C412" s="65"/>
      <c r="D412" s="65"/>
      <c r="E412" s="65"/>
      <c r="F412" s="65"/>
      <c r="G412" s="65"/>
      <c r="H412" s="65"/>
      <c r="I412" s="65"/>
      <c r="J412" s="65"/>
      <c r="K412" s="65"/>
      <c r="L412" s="69"/>
      <c r="M412" s="69"/>
      <c r="N412" s="65"/>
      <c r="O412" s="65"/>
      <c r="P412" s="65"/>
      <c r="Q412" s="65"/>
      <c r="R412" s="65"/>
      <c r="S412" s="65"/>
    </row>
    <row r="413" spans="1:19" x14ac:dyDescent="0.2">
      <c r="A413" s="74"/>
      <c r="C413" s="65"/>
      <c r="D413" s="65"/>
      <c r="E413" s="65"/>
      <c r="F413" s="65"/>
      <c r="G413" s="65"/>
      <c r="H413" s="65"/>
      <c r="I413" s="65"/>
      <c r="J413" s="65"/>
      <c r="K413" s="65"/>
      <c r="L413" s="69"/>
      <c r="M413" s="69"/>
      <c r="N413" s="65"/>
      <c r="O413" s="65"/>
      <c r="P413" s="65"/>
      <c r="Q413" s="65"/>
      <c r="R413" s="65"/>
      <c r="S413" s="65"/>
    </row>
    <row r="414" spans="1:19" x14ac:dyDescent="0.2">
      <c r="A414" s="74"/>
      <c r="C414" s="65"/>
      <c r="D414" s="65"/>
      <c r="E414" s="65"/>
      <c r="F414" s="65"/>
      <c r="G414" s="65"/>
      <c r="H414" s="65"/>
      <c r="I414" s="65"/>
      <c r="J414" s="65"/>
      <c r="K414" s="65"/>
      <c r="L414" s="69"/>
      <c r="M414" s="69"/>
      <c r="N414" s="65"/>
      <c r="O414" s="65"/>
      <c r="P414" s="65"/>
      <c r="Q414" s="65"/>
      <c r="R414" s="65"/>
      <c r="S414" s="65"/>
    </row>
    <row r="415" spans="1:19" x14ac:dyDescent="0.2">
      <c r="A415" s="74"/>
      <c r="C415" s="65"/>
      <c r="D415" s="65"/>
      <c r="E415" s="65"/>
      <c r="F415" s="65"/>
      <c r="G415" s="65"/>
      <c r="H415" s="65"/>
      <c r="I415" s="65"/>
      <c r="J415" s="65"/>
      <c r="K415" s="65"/>
      <c r="L415" s="69"/>
      <c r="M415" s="69"/>
      <c r="N415" s="65"/>
      <c r="O415" s="65"/>
      <c r="P415" s="65"/>
      <c r="Q415" s="65"/>
      <c r="R415" s="65"/>
      <c r="S415" s="65"/>
    </row>
    <row r="416" spans="1:19" x14ac:dyDescent="0.2">
      <c r="A416" s="74"/>
      <c r="C416" s="65"/>
      <c r="D416" s="65"/>
      <c r="E416" s="65"/>
      <c r="F416" s="65"/>
      <c r="G416" s="65"/>
      <c r="H416" s="65"/>
      <c r="I416" s="65"/>
      <c r="J416" s="65"/>
      <c r="K416" s="65"/>
      <c r="L416" s="69"/>
      <c r="M416" s="69"/>
      <c r="N416" s="65"/>
      <c r="O416" s="65"/>
      <c r="P416" s="65"/>
      <c r="Q416" s="65"/>
      <c r="R416" s="65"/>
      <c r="S416" s="65"/>
    </row>
    <row r="417" spans="1:19" x14ac:dyDescent="0.2">
      <c r="A417" s="74"/>
      <c r="C417" s="65"/>
      <c r="D417" s="65"/>
      <c r="E417" s="65"/>
      <c r="F417" s="65"/>
      <c r="G417" s="65"/>
      <c r="H417" s="65"/>
      <c r="I417" s="65"/>
      <c r="J417" s="65"/>
      <c r="K417" s="65"/>
      <c r="L417" s="69"/>
      <c r="M417" s="69"/>
      <c r="N417" s="65"/>
      <c r="O417" s="65"/>
      <c r="P417" s="65"/>
      <c r="Q417" s="65"/>
      <c r="R417" s="65"/>
      <c r="S417" s="65"/>
    </row>
    <row r="418" spans="1:19" x14ac:dyDescent="0.2">
      <c r="A418" s="74"/>
      <c r="C418" s="65"/>
      <c r="D418" s="65"/>
      <c r="E418" s="65"/>
      <c r="F418" s="65"/>
      <c r="G418" s="65"/>
      <c r="H418" s="65"/>
      <c r="I418" s="65"/>
      <c r="J418" s="65"/>
      <c r="K418" s="65"/>
      <c r="L418" s="69"/>
      <c r="M418" s="69"/>
      <c r="N418" s="65"/>
      <c r="O418" s="65"/>
      <c r="P418" s="65"/>
      <c r="Q418" s="65"/>
      <c r="R418" s="65"/>
      <c r="S418" s="65"/>
    </row>
    <row r="419" spans="1:19" x14ac:dyDescent="0.2">
      <c r="A419" s="74"/>
      <c r="C419" s="65"/>
      <c r="D419" s="65"/>
      <c r="E419" s="65"/>
      <c r="F419" s="65"/>
      <c r="G419" s="65"/>
      <c r="H419" s="65"/>
      <c r="I419" s="65"/>
      <c r="J419" s="65"/>
      <c r="K419" s="65"/>
      <c r="L419" s="69"/>
      <c r="M419" s="69"/>
      <c r="N419" s="65"/>
      <c r="O419" s="65"/>
      <c r="P419" s="65"/>
      <c r="Q419" s="65"/>
      <c r="R419" s="65"/>
      <c r="S419" s="65"/>
    </row>
    <row r="420" spans="1:19" x14ac:dyDescent="0.2">
      <c r="A420" s="74"/>
      <c r="C420" s="65"/>
      <c r="D420" s="65"/>
      <c r="E420" s="65"/>
      <c r="F420" s="65"/>
      <c r="G420" s="65"/>
      <c r="H420" s="65"/>
      <c r="I420" s="65"/>
      <c r="J420" s="65"/>
      <c r="K420" s="65"/>
      <c r="L420" s="69"/>
      <c r="M420" s="69"/>
      <c r="N420" s="65"/>
      <c r="O420" s="65"/>
      <c r="P420" s="65"/>
      <c r="Q420" s="65"/>
      <c r="R420" s="65"/>
      <c r="S420" s="65"/>
    </row>
    <row r="421" spans="1:19" x14ac:dyDescent="0.2">
      <c r="A421" s="74"/>
      <c r="C421" s="65"/>
      <c r="D421" s="65"/>
      <c r="E421" s="65"/>
      <c r="F421" s="65"/>
      <c r="G421" s="65"/>
      <c r="H421" s="65"/>
      <c r="I421" s="65"/>
      <c r="J421" s="65"/>
      <c r="K421" s="65"/>
      <c r="L421" s="69"/>
      <c r="M421" s="69"/>
      <c r="N421" s="65"/>
      <c r="O421" s="65"/>
      <c r="P421" s="65"/>
      <c r="Q421" s="65"/>
      <c r="R421" s="65"/>
      <c r="S421" s="65"/>
    </row>
    <row r="422" spans="1:19" x14ac:dyDescent="0.2">
      <c r="A422" s="74"/>
      <c r="C422" s="65"/>
      <c r="D422" s="65"/>
      <c r="E422" s="65"/>
      <c r="F422" s="65"/>
      <c r="G422" s="65"/>
      <c r="H422" s="65"/>
      <c r="I422" s="65"/>
      <c r="J422" s="65"/>
      <c r="K422" s="65"/>
      <c r="L422" s="69"/>
      <c r="M422" s="69"/>
      <c r="N422" s="65"/>
      <c r="O422" s="65"/>
      <c r="P422" s="65"/>
      <c r="Q422" s="65"/>
      <c r="R422" s="65"/>
      <c r="S422" s="65"/>
    </row>
    <row r="423" spans="1:19" x14ac:dyDescent="0.2">
      <c r="A423" s="74"/>
      <c r="C423" s="65"/>
      <c r="D423" s="65"/>
      <c r="E423" s="65"/>
      <c r="F423" s="65"/>
      <c r="G423" s="65"/>
      <c r="H423" s="65"/>
      <c r="I423" s="65"/>
      <c r="J423" s="65"/>
      <c r="K423" s="65"/>
      <c r="L423" s="69"/>
      <c r="M423" s="69"/>
      <c r="N423" s="65"/>
      <c r="O423" s="65"/>
      <c r="P423" s="65"/>
      <c r="Q423" s="65"/>
      <c r="R423" s="65"/>
      <c r="S423" s="65"/>
    </row>
    <row r="424" spans="1:19" x14ac:dyDescent="0.2">
      <c r="A424" s="74"/>
      <c r="C424" s="65"/>
      <c r="D424" s="65"/>
      <c r="E424" s="65"/>
      <c r="F424" s="65"/>
      <c r="G424" s="65"/>
      <c r="H424" s="65"/>
      <c r="I424" s="65"/>
      <c r="J424" s="65"/>
      <c r="K424" s="65"/>
      <c r="L424" s="69"/>
      <c r="M424" s="69"/>
      <c r="N424" s="65"/>
      <c r="O424" s="65"/>
      <c r="P424" s="65"/>
      <c r="Q424" s="65"/>
      <c r="R424" s="65"/>
      <c r="S424" s="65"/>
    </row>
    <row r="425" spans="1:19" x14ac:dyDescent="0.2">
      <c r="A425" s="74"/>
      <c r="C425" s="65"/>
      <c r="D425" s="65"/>
      <c r="E425" s="65"/>
      <c r="F425" s="65"/>
      <c r="G425" s="65"/>
      <c r="H425" s="65"/>
      <c r="I425" s="65"/>
      <c r="J425" s="65"/>
      <c r="K425" s="65"/>
      <c r="L425" s="69"/>
      <c r="M425" s="69"/>
      <c r="N425" s="65"/>
      <c r="O425" s="65"/>
      <c r="P425" s="65"/>
      <c r="Q425" s="65"/>
      <c r="R425" s="65"/>
      <c r="S425" s="65"/>
    </row>
    <row r="426" spans="1:19" x14ac:dyDescent="0.2">
      <c r="A426" s="74"/>
      <c r="C426" s="65"/>
      <c r="D426" s="65"/>
      <c r="E426" s="65"/>
      <c r="F426" s="65"/>
      <c r="G426" s="65"/>
      <c r="H426" s="65"/>
      <c r="I426" s="65"/>
      <c r="J426" s="65"/>
      <c r="K426" s="65"/>
      <c r="L426" s="69"/>
      <c r="M426" s="69"/>
      <c r="N426" s="65"/>
      <c r="O426" s="65"/>
      <c r="P426" s="65"/>
      <c r="Q426" s="65"/>
      <c r="R426" s="65"/>
      <c r="S426" s="65"/>
    </row>
    <row r="427" spans="1:19" x14ac:dyDescent="0.2">
      <c r="A427" s="74"/>
      <c r="C427" s="65"/>
      <c r="D427" s="65"/>
      <c r="E427" s="65"/>
      <c r="F427" s="65"/>
      <c r="G427" s="65"/>
      <c r="H427" s="65"/>
      <c r="I427" s="65"/>
      <c r="J427" s="65"/>
      <c r="K427" s="65"/>
      <c r="L427" s="69"/>
      <c r="M427" s="69"/>
      <c r="N427" s="65"/>
      <c r="O427" s="65"/>
      <c r="P427" s="65"/>
      <c r="Q427" s="65"/>
      <c r="R427" s="65"/>
      <c r="S427" s="65"/>
    </row>
    <row r="428" spans="1:19" x14ac:dyDescent="0.2">
      <c r="A428" s="74"/>
      <c r="C428" s="65"/>
      <c r="D428" s="65"/>
      <c r="E428" s="65"/>
      <c r="F428" s="65"/>
      <c r="G428" s="65"/>
      <c r="H428" s="65"/>
      <c r="I428" s="65"/>
      <c r="J428" s="65"/>
      <c r="K428" s="65"/>
      <c r="L428" s="69"/>
      <c r="M428" s="69"/>
      <c r="N428" s="65"/>
      <c r="O428" s="65"/>
      <c r="P428" s="65"/>
      <c r="Q428" s="65"/>
      <c r="R428" s="65"/>
      <c r="S428" s="65"/>
    </row>
    <row r="429" spans="1:19" x14ac:dyDescent="0.2">
      <c r="A429" s="74"/>
      <c r="C429" s="65"/>
      <c r="D429" s="65"/>
      <c r="E429" s="65"/>
      <c r="F429" s="65"/>
      <c r="G429" s="65"/>
      <c r="H429" s="65"/>
      <c r="I429" s="65"/>
      <c r="J429" s="65"/>
      <c r="K429" s="65"/>
      <c r="L429" s="69"/>
      <c r="M429" s="69"/>
      <c r="N429" s="65"/>
      <c r="O429" s="65"/>
      <c r="P429" s="65"/>
      <c r="Q429" s="65"/>
      <c r="R429" s="65"/>
      <c r="S429" s="65"/>
    </row>
    <row r="430" spans="1:19" x14ac:dyDescent="0.2">
      <c r="A430" s="74"/>
      <c r="C430" s="65"/>
      <c r="D430" s="65"/>
      <c r="E430" s="65"/>
      <c r="F430" s="65"/>
      <c r="G430" s="65"/>
      <c r="H430" s="65"/>
      <c r="I430" s="65"/>
      <c r="J430" s="65"/>
      <c r="K430" s="65"/>
      <c r="L430" s="69"/>
      <c r="M430" s="69"/>
      <c r="N430" s="65"/>
      <c r="O430" s="65"/>
      <c r="P430" s="65"/>
      <c r="Q430" s="65"/>
      <c r="R430" s="65"/>
      <c r="S430" s="65"/>
    </row>
    <row r="431" spans="1:19" x14ac:dyDescent="0.2">
      <c r="A431" s="74"/>
      <c r="C431" s="65"/>
      <c r="D431" s="65"/>
      <c r="E431" s="65"/>
      <c r="F431" s="65"/>
      <c r="G431" s="65"/>
      <c r="H431" s="65"/>
      <c r="I431" s="65"/>
      <c r="J431" s="65"/>
      <c r="K431" s="65"/>
      <c r="L431" s="69"/>
      <c r="M431" s="69"/>
      <c r="N431" s="65"/>
      <c r="O431" s="65"/>
      <c r="P431" s="65"/>
      <c r="Q431" s="65"/>
      <c r="R431" s="65"/>
      <c r="S431" s="65"/>
    </row>
    <row r="432" spans="1:19" x14ac:dyDescent="0.2">
      <c r="A432" s="74"/>
      <c r="C432" s="65"/>
      <c r="D432" s="65"/>
      <c r="E432" s="65"/>
      <c r="F432" s="65"/>
      <c r="G432" s="65"/>
      <c r="H432" s="65"/>
      <c r="I432" s="65"/>
      <c r="J432" s="65"/>
      <c r="K432" s="65"/>
      <c r="L432" s="69"/>
      <c r="M432" s="69"/>
      <c r="N432" s="65"/>
      <c r="O432" s="65"/>
      <c r="P432" s="65"/>
      <c r="Q432" s="65"/>
      <c r="R432" s="65"/>
      <c r="S432" s="65"/>
    </row>
    <row r="433" spans="1:19" x14ac:dyDescent="0.2">
      <c r="A433" s="74"/>
      <c r="C433" s="65"/>
      <c r="D433" s="65"/>
      <c r="E433" s="65"/>
      <c r="F433" s="65"/>
      <c r="G433" s="65"/>
      <c r="H433" s="65"/>
      <c r="I433" s="65"/>
      <c r="J433" s="65"/>
      <c r="K433" s="65"/>
      <c r="L433" s="69"/>
      <c r="M433" s="69"/>
      <c r="N433" s="65"/>
      <c r="O433" s="65"/>
      <c r="P433" s="65"/>
      <c r="Q433" s="65"/>
      <c r="R433" s="65"/>
      <c r="S433" s="65"/>
    </row>
    <row r="434" spans="1:19" x14ac:dyDescent="0.2">
      <c r="A434" s="74"/>
      <c r="C434" s="65"/>
      <c r="D434" s="65"/>
      <c r="E434" s="65"/>
      <c r="F434" s="65"/>
      <c r="G434" s="65"/>
      <c r="H434" s="65"/>
      <c r="I434" s="65"/>
      <c r="J434" s="65"/>
      <c r="K434" s="65"/>
      <c r="L434" s="69"/>
      <c r="M434" s="69"/>
      <c r="N434" s="65"/>
      <c r="O434" s="65"/>
      <c r="P434" s="65"/>
      <c r="Q434" s="65"/>
      <c r="R434" s="65"/>
      <c r="S434" s="65"/>
    </row>
    <row r="435" spans="1:19" x14ac:dyDescent="0.2">
      <c r="A435" s="74"/>
      <c r="C435" s="65"/>
      <c r="D435" s="65"/>
      <c r="E435" s="65"/>
      <c r="F435" s="65"/>
      <c r="G435" s="65"/>
      <c r="H435" s="65"/>
      <c r="I435" s="65"/>
      <c r="J435" s="65"/>
      <c r="K435" s="65"/>
      <c r="L435" s="69"/>
      <c r="M435" s="69"/>
      <c r="N435" s="65"/>
      <c r="O435" s="65"/>
      <c r="P435" s="65"/>
      <c r="Q435" s="65"/>
      <c r="R435" s="65"/>
      <c r="S435" s="65"/>
    </row>
    <row r="436" spans="1:19" x14ac:dyDescent="0.2">
      <c r="A436" s="74"/>
      <c r="C436" s="65"/>
      <c r="D436" s="65"/>
      <c r="E436" s="65"/>
      <c r="F436" s="65"/>
      <c r="G436" s="65"/>
      <c r="H436" s="65"/>
      <c r="I436" s="65"/>
      <c r="J436" s="65"/>
      <c r="K436" s="65"/>
      <c r="L436" s="69"/>
      <c r="M436" s="69"/>
      <c r="N436" s="65"/>
      <c r="O436" s="65"/>
      <c r="P436" s="65"/>
      <c r="Q436" s="65"/>
      <c r="R436" s="65"/>
      <c r="S436" s="65"/>
    </row>
    <row r="437" spans="1:19" x14ac:dyDescent="0.2">
      <c r="A437" s="74"/>
      <c r="C437" s="65"/>
      <c r="D437" s="65"/>
      <c r="E437" s="65"/>
      <c r="F437" s="65"/>
      <c r="G437" s="65"/>
      <c r="H437" s="65"/>
      <c r="I437" s="65"/>
      <c r="J437" s="65"/>
      <c r="K437" s="65"/>
      <c r="L437" s="69"/>
      <c r="M437" s="69"/>
      <c r="N437" s="65"/>
      <c r="O437" s="65"/>
      <c r="P437" s="65"/>
      <c r="Q437" s="65"/>
      <c r="R437" s="65"/>
      <c r="S437" s="65"/>
    </row>
    <row r="438" spans="1:19" x14ac:dyDescent="0.2">
      <c r="A438" s="74"/>
      <c r="C438" s="65"/>
      <c r="D438" s="65"/>
      <c r="E438" s="65"/>
      <c r="F438" s="65"/>
      <c r="G438" s="65"/>
      <c r="H438" s="65"/>
      <c r="I438" s="65"/>
      <c r="J438" s="65"/>
      <c r="K438" s="65"/>
      <c r="L438" s="69"/>
      <c r="M438" s="69"/>
      <c r="N438" s="65"/>
      <c r="O438" s="65"/>
      <c r="P438" s="65"/>
      <c r="Q438" s="65"/>
      <c r="R438" s="65"/>
      <c r="S438" s="65"/>
    </row>
    <row r="439" spans="1:19" x14ac:dyDescent="0.2">
      <c r="A439" s="74"/>
      <c r="C439" s="65"/>
      <c r="D439" s="65"/>
      <c r="E439" s="65"/>
      <c r="F439" s="65"/>
      <c r="G439" s="65"/>
      <c r="H439" s="65"/>
      <c r="I439" s="65"/>
      <c r="J439" s="65"/>
      <c r="K439" s="65"/>
      <c r="L439" s="69"/>
      <c r="M439" s="69"/>
      <c r="N439" s="65"/>
      <c r="O439" s="65"/>
      <c r="P439" s="65"/>
      <c r="Q439" s="65"/>
      <c r="R439" s="65"/>
      <c r="S439" s="65"/>
    </row>
    <row r="440" spans="1:19" x14ac:dyDescent="0.2">
      <c r="A440" s="74"/>
      <c r="C440" s="65"/>
      <c r="D440" s="65"/>
      <c r="E440" s="65"/>
      <c r="F440" s="65"/>
      <c r="G440" s="65"/>
      <c r="H440" s="65"/>
      <c r="I440" s="65"/>
      <c r="J440" s="65"/>
      <c r="K440" s="65"/>
      <c r="L440" s="69"/>
      <c r="M440" s="69"/>
      <c r="N440" s="65"/>
      <c r="O440" s="65"/>
      <c r="P440" s="65"/>
      <c r="Q440" s="65"/>
      <c r="R440" s="65"/>
      <c r="S440" s="65"/>
    </row>
    <row r="441" spans="1:19" x14ac:dyDescent="0.2">
      <c r="A441" s="74"/>
      <c r="C441" s="65"/>
      <c r="D441" s="65"/>
      <c r="E441" s="65"/>
      <c r="F441" s="65"/>
      <c r="G441" s="65"/>
      <c r="H441" s="65"/>
      <c r="I441" s="65"/>
      <c r="J441" s="65"/>
      <c r="K441" s="65"/>
      <c r="L441" s="69"/>
      <c r="M441" s="69"/>
      <c r="N441" s="65"/>
      <c r="O441" s="65"/>
      <c r="P441" s="65"/>
      <c r="Q441" s="65"/>
      <c r="R441" s="65"/>
      <c r="S441" s="65"/>
    </row>
    <row r="442" spans="1:19" x14ac:dyDescent="0.2">
      <c r="A442" s="74"/>
      <c r="C442" s="65"/>
      <c r="D442" s="65"/>
      <c r="E442" s="65"/>
      <c r="F442" s="65"/>
      <c r="G442" s="65"/>
      <c r="H442" s="65"/>
      <c r="I442" s="65"/>
      <c r="J442" s="65"/>
      <c r="K442" s="65"/>
      <c r="L442" s="69"/>
      <c r="M442" s="69"/>
      <c r="N442" s="65"/>
      <c r="O442" s="65"/>
      <c r="P442" s="65"/>
      <c r="Q442" s="65"/>
      <c r="R442" s="65"/>
      <c r="S442" s="65"/>
    </row>
    <row r="443" spans="1:19" x14ac:dyDescent="0.2">
      <c r="A443" s="74"/>
      <c r="C443" s="65"/>
      <c r="D443" s="65"/>
      <c r="E443" s="65"/>
      <c r="F443" s="65"/>
      <c r="G443" s="65"/>
      <c r="H443" s="65"/>
      <c r="I443" s="65"/>
      <c r="J443" s="65"/>
      <c r="K443" s="65"/>
      <c r="L443" s="69"/>
      <c r="M443" s="69"/>
      <c r="N443" s="65"/>
      <c r="O443" s="65"/>
      <c r="P443" s="65"/>
      <c r="Q443" s="65"/>
      <c r="R443" s="65"/>
      <c r="S443" s="65"/>
    </row>
    <row r="444" spans="1:19" x14ac:dyDescent="0.2">
      <c r="A444" s="74"/>
      <c r="C444" s="65"/>
      <c r="D444" s="65"/>
      <c r="E444" s="65"/>
      <c r="F444" s="65"/>
      <c r="G444" s="65"/>
      <c r="H444" s="65"/>
      <c r="I444" s="65"/>
      <c r="J444" s="65"/>
      <c r="K444" s="65"/>
      <c r="L444" s="69"/>
      <c r="M444" s="69"/>
      <c r="N444" s="65"/>
      <c r="O444" s="65"/>
      <c r="P444" s="65"/>
      <c r="Q444" s="65"/>
      <c r="R444" s="65"/>
      <c r="S444" s="65"/>
    </row>
    <row r="445" spans="1:19" x14ac:dyDescent="0.2">
      <c r="A445" s="74"/>
      <c r="C445" s="65"/>
      <c r="D445" s="65"/>
      <c r="E445" s="65"/>
      <c r="F445" s="65"/>
      <c r="G445" s="65"/>
      <c r="H445" s="65"/>
      <c r="I445" s="65"/>
      <c r="J445" s="65"/>
      <c r="K445" s="65"/>
      <c r="L445" s="69"/>
      <c r="M445" s="69"/>
      <c r="N445" s="65"/>
      <c r="O445" s="65"/>
      <c r="P445" s="65"/>
      <c r="Q445" s="65"/>
      <c r="R445" s="65"/>
      <c r="S445" s="65"/>
    </row>
    <row r="446" spans="1:19" x14ac:dyDescent="0.2">
      <c r="A446" s="74"/>
      <c r="C446" s="65"/>
      <c r="D446" s="65"/>
      <c r="E446" s="65"/>
      <c r="F446" s="65"/>
      <c r="G446" s="65"/>
      <c r="H446" s="65"/>
      <c r="I446" s="65"/>
      <c r="J446" s="65"/>
      <c r="K446" s="65"/>
      <c r="L446" s="69"/>
      <c r="M446" s="69"/>
      <c r="N446" s="65"/>
      <c r="O446" s="65"/>
      <c r="P446" s="65"/>
      <c r="Q446" s="65"/>
      <c r="R446" s="65"/>
      <c r="S446" s="65"/>
    </row>
    <row r="447" spans="1:19" x14ac:dyDescent="0.2">
      <c r="A447" s="74"/>
      <c r="C447" s="65"/>
      <c r="D447" s="65"/>
      <c r="E447" s="65"/>
      <c r="F447" s="65"/>
      <c r="G447" s="65"/>
      <c r="H447" s="65"/>
      <c r="I447" s="65"/>
      <c r="J447" s="65"/>
      <c r="K447" s="65"/>
      <c r="L447" s="69"/>
      <c r="M447" s="69"/>
      <c r="N447" s="65"/>
      <c r="O447" s="65"/>
      <c r="P447" s="65"/>
      <c r="Q447" s="65"/>
      <c r="R447" s="65"/>
      <c r="S447" s="65"/>
    </row>
    <row r="448" spans="1:19" x14ac:dyDescent="0.2">
      <c r="A448" s="74"/>
      <c r="C448" s="65"/>
      <c r="D448" s="65"/>
      <c r="E448" s="65"/>
      <c r="F448" s="65"/>
      <c r="G448" s="65"/>
      <c r="H448" s="65"/>
      <c r="I448" s="65"/>
      <c r="J448" s="65"/>
      <c r="K448" s="65"/>
      <c r="L448" s="69"/>
      <c r="M448" s="69"/>
      <c r="N448" s="65"/>
      <c r="O448" s="65"/>
      <c r="P448" s="65"/>
      <c r="Q448" s="65"/>
      <c r="R448" s="65"/>
      <c r="S448" s="65"/>
    </row>
    <row r="449" spans="1:19" x14ac:dyDescent="0.2">
      <c r="A449" s="74"/>
      <c r="C449" s="65"/>
      <c r="D449" s="65"/>
      <c r="E449" s="65"/>
      <c r="F449" s="65"/>
      <c r="G449" s="65"/>
      <c r="H449" s="65"/>
      <c r="I449" s="65"/>
      <c r="J449" s="65"/>
      <c r="K449" s="65"/>
      <c r="L449" s="69"/>
      <c r="M449" s="69"/>
      <c r="N449" s="65"/>
      <c r="O449" s="65"/>
      <c r="P449" s="65"/>
      <c r="Q449" s="65"/>
      <c r="R449" s="65"/>
      <c r="S449" s="65"/>
    </row>
    <row r="450" spans="1:19" x14ac:dyDescent="0.2">
      <c r="A450" s="74"/>
      <c r="C450" s="65"/>
      <c r="D450" s="65"/>
      <c r="E450" s="65"/>
      <c r="F450" s="65"/>
      <c r="G450" s="65"/>
      <c r="H450" s="65"/>
      <c r="I450" s="65"/>
      <c r="J450" s="65"/>
      <c r="K450" s="65"/>
      <c r="L450" s="69"/>
      <c r="M450" s="69"/>
      <c r="N450" s="65"/>
      <c r="O450" s="65"/>
      <c r="P450" s="65"/>
      <c r="Q450" s="65"/>
      <c r="R450" s="65"/>
      <c r="S450" s="65"/>
    </row>
    <row r="451" spans="1:19" x14ac:dyDescent="0.2">
      <c r="A451" s="74"/>
      <c r="C451" s="65"/>
      <c r="D451" s="65"/>
      <c r="E451" s="65"/>
      <c r="F451" s="65"/>
      <c r="G451" s="65"/>
      <c r="H451" s="65"/>
      <c r="I451" s="65"/>
      <c r="J451" s="65"/>
      <c r="K451" s="65"/>
      <c r="L451" s="69"/>
      <c r="M451" s="69"/>
      <c r="N451" s="65"/>
      <c r="O451" s="65"/>
      <c r="P451" s="65"/>
      <c r="Q451" s="65"/>
      <c r="R451" s="65"/>
      <c r="S451" s="65"/>
    </row>
    <row r="452" spans="1:19" x14ac:dyDescent="0.2">
      <c r="A452" s="74"/>
      <c r="C452" s="65"/>
      <c r="D452" s="65"/>
      <c r="E452" s="65"/>
      <c r="F452" s="65"/>
      <c r="G452" s="65"/>
      <c r="H452" s="65"/>
      <c r="I452" s="65"/>
      <c r="J452" s="65"/>
      <c r="K452" s="65"/>
      <c r="L452" s="69"/>
      <c r="M452" s="69"/>
      <c r="N452" s="65"/>
      <c r="O452" s="65"/>
      <c r="P452" s="65"/>
      <c r="Q452" s="65"/>
      <c r="R452" s="65"/>
      <c r="S452" s="65"/>
    </row>
    <row r="453" spans="1:19" x14ac:dyDescent="0.2">
      <c r="A453" s="74"/>
      <c r="C453" s="65"/>
      <c r="D453" s="65"/>
      <c r="E453" s="65"/>
      <c r="F453" s="65"/>
      <c r="G453" s="65"/>
      <c r="H453" s="65"/>
      <c r="I453" s="65"/>
      <c r="J453" s="65"/>
      <c r="K453" s="65"/>
      <c r="L453" s="69"/>
      <c r="M453" s="69"/>
      <c r="N453" s="65"/>
      <c r="O453" s="65"/>
      <c r="P453" s="65"/>
      <c r="Q453" s="65"/>
      <c r="R453" s="65"/>
      <c r="S453" s="65"/>
    </row>
    <row r="454" spans="1:19" x14ac:dyDescent="0.2">
      <c r="A454" s="74"/>
      <c r="C454" s="65"/>
      <c r="D454" s="65"/>
      <c r="E454" s="65"/>
      <c r="F454" s="65"/>
      <c r="G454" s="65"/>
      <c r="H454" s="65"/>
      <c r="I454" s="65"/>
      <c r="J454" s="65"/>
      <c r="K454" s="65"/>
      <c r="L454" s="69"/>
      <c r="M454" s="69"/>
      <c r="N454" s="65"/>
      <c r="O454" s="65"/>
      <c r="P454" s="65"/>
      <c r="Q454" s="65"/>
      <c r="R454" s="65"/>
      <c r="S454" s="65"/>
    </row>
    <row r="455" spans="1:19" x14ac:dyDescent="0.2">
      <c r="A455" s="74"/>
      <c r="C455" s="65"/>
      <c r="D455" s="65"/>
      <c r="E455" s="65"/>
      <c r="F455" s="65"/>
      <c r="G455" s="65"/>
      <c r="H455" s="65"/>
      <c r="I455" s="65"/>
      <c r="J455" s="65"/>
      <c r="K455" s="65"/>
      <c r="L455" s="69"/>
      <c r="M455" s="69"/>
      <c r="N455" s="65"/>
      <c r="O455" s="65"/>
      <c r="P455" s="65"/>
      <c r="Q455" s="65"/>
      <c r="R455" s="65"/>
      <c r="S455" s="65"/>
    </row>
    <row r="456" spans="1:19" x14ac:dyDescent="0.2">
      <c r="A456" s="74"/>
      <c r="C456" s="65"/>
      <c r="D456" s="65"/>
      <c r="E456" s="65"/>
      <c r="F456" s="65"/>
      <c r="G456" s="65"/>
      <c r="H456" s="65"/>
      <c r="I456" s="65"/>
      <c r="J456" s="65"/>
      <c r="K456" s="65"/>
      <c r="L456" s="69"/>
      <c r="M456" s="69"/>
      <c r="N456" s="65"/>
      <c r="O456" s="65"/>
      <c r="P456" s="65"/>
      <c r="Q456" s="65"/>
      <c r="R456" s="65"/>
      <c r="S456" s="65"/>
    </row>
    <row r="457" spans="1:19" x14ac:dyDescent="0.2">
      <c r="A457" s="74"/>
      <c r="C457" s="65"/>
      <c r="D457" s="65"/>
      <c r="E457" s="65"/>
      <c r="F457" s="65"/>
      <c r="G457" s="65"/>
      <c r="H457" s="65"/>
      <c r="I457" s="65"/>
      <c r="J457" s="65"/>
      <c r="K457" s="65"/>
      <c r="L457" s="69"/>
      <c r="M457" s="69"/>
      <c r="N457" s="65"/>
      <c r="O457" s="65"/>
      <c r="P457" s="65"/>
      <c r="Q457" s="65"/>
      <c r="R457" s="65"/>
      <c r="S457" s="65"/>
    </row>
    <row r="458" spans="1:19" x14ac:dyDescent="0.2">
      <c r="A458" s="74"/>
      <c r="C458" s="65"/>
      <c r="D458" s="65"/>
      <c r="E458" s="65"/>
      <c r="F458" s="65"/>
      <c r="G458" s="65"/>
      <c r="H458" s="65"/>
      <c r="I458" s="65"/>
      <c r="J458" s="65"/>
      <c r="K458" s="65"/>
      <c r="L458" s="69"/>
      <c r="M458" s="69"/>
      <c r="N458" s="65"/>
      <c r="O458" s="65"/>
      <c r="P458" s="65"/>
      <c r="Q458" s="65"/>
      <c r="R458" s="65"/>
      <c r="S458" s="65"/>
    </row>
    <row r="459" spans="1:19" x14ac:dyDescent="0.2">
      <c r="A459" s="74"/>
      <c r="C459" s="65"/>
      <c r="D459" s="65"/>
      <c r="E459" s="65"/>
      <c r="F459" s="65"/>
      <c r="G459" s="65"/>
      <c r="H459" s="65"/>
      <c r="I459" s="65"/>
      <c r="J459" s="65"/>
      <c r="K459" s="65"/>
      <c r="L459" s="69"/>
      <c r="M459" s="69"/>
      <c r="N459" s="65"/>
      <c r="O459" s="65"/>
      <c r="P459" s="65"/>
      <c r="Q459" s="65"/>
      <c r="R459" s="65"/>
      <c r="S459" s="65"/>
    </row>
    <row r="460" spans="1:19" x14ac:dyDescent="0.2">
      <c r="A460" s="74"/>
      <c r="C460" s="65"/>
      <c r="D460" s="65"/>
      <c r="E460" s="65"/>
      <c r="F460" s="65"/>
      <c r="G460" s="65"/>
      <c r="H460" s="65"/>
      <c r="I460" s="65"/>
      <c r="J460" s="65"/>
      <c r="K460" s="65"/>
      <c r="L460" s="69"/>
      <c r="M460" s="69"/>
      <c r="N460" s="65"/>
      <c r="O460" s="65"/>
      <c r="P460" s="65"/>
      <c r="Q460" s="65"/>
      <c r="R460" s="65"/>
      <c r="S460" s="65"/>
    </row>
    <row r="461" spans="1:19" x14ac:dyDescent="0.2">
      <c r="A461" s="74"/>
      <c r="C461" s="65"/>
      <c r="D461" s="65"/>
      <c r="E461" s="65"/>
      <c r="F461" s="65"/>
      <c r="G461" s="65"/>
      <c r="H461" s="65"/>
      <c r="I461" s="65"/>
      <c r="J461" s="65"/>
      <c r="K461" s="65"/>
      <c r="L461" s="69"/>
      <c r="M461" s="69"/>
      <c r="N461" s="65"/>
      <c r="O461" s="65"/>
      <c r="P461" s="65"/>
      <c r="Q461" s="65"/>
      <c r="R461" s="65"/>
      <c r="S461" s="65"/>
    </row>
    <row r="462" spans="1:19" x14ac:dyDescent="0.2">
      <c r="A462" s="74"/>
      <c r="C462" s="65"/>
      <c r="D462" s="65"/>
      <c r="E462" s="65"/>
      <c r="F462" s="65"/>
      <c r="G462" s="65"/>
      <c r="H462" s="65"/>
      <c r="I462" s="65"/>
      <c r="J462" s="65"/>
      <c r="K462" s="65"/>
      <c r="L462" s="69"/>
      <c r="M462" s="69"/>
      <c r="N462" s="65"/>
      <c r="O462" s="65"/>
      <c r="P462" s="65"/>
      <c r="Q462" s="65"/>
      <c r="R462" s="65"/>
      <c r="S462" s="65"/>
    </row>
    <row r="463" spans="1:19" x14ac:dyDescent="0.2">
      <c r="A463" s="74"/>
      <c r="C463" s="65"/>
      <c r="D463" s="65"/>
      <c r="E463" s="65"/>
      <c r="F463" s="65"/>
      <c r="G463" s="65"/>
      <c r="H463" s="65"/>
      <c r="I463" s="65"/>
      <c r="J463" s="65"/>
      <c r="K463" s="65"/>
      <c r="L463" s="69"/>
      <c r="M463" s="69"/>
      <c r="N463" s="65"/>
      <c r="O463" s="65"/>
      <c r="P463" s="65"/>
      <c r="Q463" s="65"/>
      <c r="R463" s="65"/>
      <c r="S463" s="65"/>
    </row>
    <row r="464" spans="1:19" x14ac:dyDescent="0.2">
      <c r="A464" s="74"/>
      <c r="C464" s="65"/>
      <c r="D464" s="65"/>
      <c r="E464" s="65"/>
      <c r="F464" s="65"/>
      <c r="G464" s="65"/>
      <c r="H464" s="65"/>
      <c r="I464" s="65"/>
      <c r="J464" s="65"/>
      <c r="K464" s="65"/>
      <c r="L464" s="69"/>
      <c r="M464" s="69"/>
      <c r="N464" s="65"/>
      <c r="O464" s="65"/>
      <c r="P464" s="65"/>
      <c r="Q464" s="65"/>
      <c r="R464" s="65"/>
      <c r="S464" s="65"/>
    </row>
    <row r="465" spans="1:19" x14ac:dyDescent="0.2">
      <c r="A465" s="74"/>
      <c r="C465" s="65"/>
      <c r="D465" s="65"/>
      <c r="E465" s="65"/>
      <c r="F465" s="65"/>
      <c r="G465" s="65"/>
      <c r="H465" s="65"/>
      <c r="I465" s="65"/>
      <c r="J465" s="65"/>
      <c r="K465" s="65"/>
      <c r="L465" s="69"/>
      <c r="M465" s="69"/>
      <c r="N465" s="65"/>
      <c r="O465" s="65"/>
      <c r="P465" s="65"/>
      <c r="Q465" s="65"/>
      <c r="R465" s="65"/>
      <c r="S465" s="65"/>
    </row>
    <row r="466" spans="1:19" x14ac:dyDescent="0.2">
      <c r="A466" s="74"/>
      <c r="C466" s="65"/>
      <c r="D466" s="65"/>
      <c r="E466" s="65"/>
      <c r="F466" s="65"/>
      <c r="G466" s="65"/>
      <c r="H466" s="65"/>
      <c r="I466" s="65"/>
      <c r="J466" s="65"/>
      <c r="K466" s="65"/>
      <c r="L466" s="69"/>
      <c r="M466" s="69"/>
      <c r="N466" s="65"/>
      <c r="O466" s="65"/>
      <c r="P466" s="65"/>
      <c r="Q466" s="65"/>
      <c r="R466" s="65"/>
      <c r="S466" s="65"/>
    </row>
    <row r="467" spans="1:19" x14ac:dyDescent="0.2">
      <c r="A467" s="74"/>
      <c r="C467" s="65"/>
      <c r="D467" s="65"/>
      <c r="E467" s="65"/>
      <c r="F467" s="65"/>
      <c r="G467" s="65"/>
      <c r="H467" s="65"/>
      <c r="I467" s="65"/>
      <c r="J467" s="65"/>
      <c r="K467" s="65"/>
      <c r="L467" s="69"/>
      <c r="M467" s="69"/>
      <c r="N467" s="65"/>
      <c r="O467" s="65"/>
      <c r="P467" s="65"/>
      <c r="Q467" s="65"/>
      <c r="R467" s="65"/>
      <c r="S467" s="65"/>
    </row>
    <row r="468" spans="1:19" x14ac:dyDescent="0.2">
      <c r="A468" s="74"/>
      <c r="C468" s="65"/>
      <c r="D468" s="65"/>
      <c r="E468" s="65"/>
      <c r="F468" s="65"/>
      <c r="G468" s="65"/>
      <c r="H468" s="65"/>
      <c r="I468" s="65"/>
      <c r="J468" s="65"/>
      <c r="K468" s="65"/>
      <c r="L468" s="69"/>
      <c r="M468" s="69"/>
      <c r="N468" s="65"/>
      <c r="O468" s="65"/>
      <c r="P468" s="65"/>
      <c r="Q468" s="65"/>
      <c r="R468" s="65"/>
      <c r="S468" s="65"/>
    </row>
    <row r="469" spans="1:19" x14ac:dyDescent="0.2">
      <c r="A469" s="74"/>
      <c r="C469" s="65"/>
      <c r="D469" s="65"/>
      <c r="E469" s="65"/>
      <c r="F469" s="65"/>
      <c r="G469" s="65"/>
      <c r="H469" s="65"/>
      <c r="I469" s="65"/>
      <c r="J469" s="65"/>
      <c r="K469" s="65"/>
      <c r="L469" s="69"/>
      <c r="M469" s="69"/>
      <c r="N469" s="65"/>
      <c r="O469" s="65"/>
      <c r="P469" s="65"/>
      <c r="Q469" s="65"/>
      <c r="R469" s="65"/>
      <c r="S469" s="65"/>
    </row>
    <row r="470" spans="1:19" x14ac:dyDescent="0.2">
      <c r="A470" s="74"/>
      <c r="C470" s="65"/>
      <c r="D470" s="65"/>
      <c r="E470" s="65"/>
      <c r="F470" s="65"/>
      <c r="G470" s="65"/>
      <c r="H470" s="65"/>
      <c r="I470" s="65"/>
      <c r="J470" s="65"/>
      <c r="K470" s="65"/>
      <c r="L470" s="69"/>
      <c r="M470" s="69"/>
      <c r="N470" s="65"/>
      <c r="O470" s="65"/>
      <c r="P470" s="65"/>
      <c r="Q470" s="65"/>
      <c r="R470" s="65"/>
      <c r="S470" s="65"/>
    </row>
    <row r="471" spans="1:19" x14ac:dyDescent="0.2">
      <c r="A471" s="74"/>
      <c r="C471" s="65"/>
      <c r="D471" s="65"/>
      <c r="E471" s="65"/>
      <c r="F471" s="65"/>
      <c r="G471" s="65"/>
      <c r="H471" s="65"/>
      <c r="I471" s="65"/>
      <c r="J471" s="65"/>
      <c r="K471" s="65"/>
      <c r="L471" s="69"/>
      <c r="M471" s="69"/>
      <c r="N471" s="65"/>
      <c r="O471" s="65"/>
      <c r="P471" s="65"/>
      <c r="Q471" s="65"/>
      <c r="R471" s="65"/>
      <c r="S471" s="65"/>
    </row>
    <row r="472" spans="1:19" x14ac:dyDescent="0.2">
      <c r="A472" s="74"/>
      <c r="C472" s="65"/>
      <c r="D472" s="65"/>
      <c r="E472" s="65"/>
      <c r="F472" s="65"/>
      <c r="G472" s="65"/>
      <c r="H472" s="65"/>
      <c r="I472" s="65"/>
      <c r="J472" s="65"/>
      <c r="K472" s="65"/>
      <c r="L472" s="69"/>
      <c r="M472" s="69"/>
      <c r="N472" s="65"/>
      <c r="O472" s="65"/>
      <c r="P472" s="65"/>
      <c r="Q472" s="65"/>
      <c r="R472" s="65"/>
      <c r="S472" s="65"/>
    </row>
    <row r="473" spans="1:19" x14ac:dyDescent="0.2">
      <c r="A473" s="74"/>
      <c r="C473" s="65"/>
      <c r="D473" s="65"/>
      <c r="E473" s="65"/>
      <c r="F473" s="65"/>
      <c r="G473" s="65"/>
      <c r="H473" s="65"/>
      <c r="I473" s="65"/>
      <c r="J473" s="65"/>
      <c r="K473" s="65"/>
      <c r="L473" s="69"/>
      <c r="M473" s="69"/>
      <c r="N473" s="65"/>
      <c r="O473" s="65"/>
      <c r="P473" s="65"/>
      <c r="Q473" s="65"/>
      <c r="R473" s="65"/>
      <c r="S473" s="65"/>
    </row>
    <row r="474" spans="1:19" x14ac:dyDescent="0.2">
      <c r="A474" s="74"/>
      <c r="C474" s="65"/>
      <c r="D474" s="65"/>
      <c r="E474" s="65"/>
      <c r="F474" s="65"/>
      <c r="G474" s="65"/>
      <c r="H474" s="65"/>
      <c r="I474" s="65"/>
      <c r="J474" s="65"/>
      <c r="K474" s="65"/>
      <c r="L474" s="69"/>
      <c r="M474" s="69"/>
      <c r="N474" s="65"/>
      <c r="O474" s="65"/>
      <c r="P474" s="65"/>
      <c r="Q474" s="65"/>
      <c r="R474" s="65"/>
      <c r="S474" s="65"/>
    </row>
    <row r="475" spans="1:19" x14ac:dyDescent="0.2">
      <c r="A475" s="74"/>
      <c r="C475" s="65"/>
      <c r="D475" s="65"/>
      <c r="E475" s="65"/>
      <c r="F475" s="65"/>
      <c r="G475" s="65"/>
      <c r="H475" s="65"/>
      <c r="I475" s="65"/>
      <c r="J475" s="65"/>
      <c r="K475" s="65"/>
      <c r="L475" s="69"/>
      <c r="M475" s="69"/>
      <c r="N475" s="65"/>
      <c r="O475" s="65"/>
      <c r="P475" s="65"/>
      <c r="Q475" s="65"/>
      <c r="R475" s="65"/>
      <c r="S475" s="65"/>
    </row>
    <row r="476" spans="1:19" x14ac:dyDescent="0.2">
      <c r="A476" s="74"/>
      <c r="C476" s="65"/>
      <c r="D476" s="65"/>
      <c r="E476" s="65"/>
      <c r="F476" s="65"/>
      <c r="G476" s="65"/>
      <c r="H476" s="65"/>
      <c r="I476" s="65"/>
      <c r="J476" s="65"/>
      <c r="K476" s="65"/>
      <c r="L476" s="69"/>
      <c r="M476" s="69"/>
      <c r="N476" s="65"/>
      <c r="O476" s="65"/>
      <c r="P476" s="65"/>
      <c r="Q476" s="65"/>
      <c r="R476" s="65"/>
      <c r="S476" s="65"/>
    </row>
    <row r="477" spans="1:19" x14ac:dyDescent="0.2">
      <c r="A477" s="74"/>
      <c r="C477" s="65"/>
      <c r="D477" s="65"/>
      <c r="E477" s="65"/>
      <c r="F477" s="65"/>
      <c r="G477" s="65"/>
      <c r="H477" s="65"/>
      <c r="I477" s="65"/>
      <c r="J477" s="65"/>
      <c r="K477" s="65"/>
      <c r="L477" s="69"/>
      <c r="M477" s="69"/>
      <c r="N477" s="65"/>
      <c r="O477" s="65"/>
      <c r="P477" s="65"/>
      <c r="Q477" s="65"/>
      <c r="R477" s="65"/>
      <c r="S477" s="65"/>
    </row>
    <row r="478" spans="1:19" x14ac:dyDescent="0.2">
      <c r="A478" s="74"/>
      <c r="C478" s="65"/>
      <c r="D478" s="65"/>
      <c r="E478" s="65"/>
      <c r="F478" s="65"/>
      <c r="G478" s="65"/>
      <c r="H478" s="65"/>
      <c r="I478" s="65"/>
      <c r="J478" s="65"/>
      <c r="K478" s="65"/>
      <c r="L478" s="69"/>
      <c r="M478" s="69"/>
      <c r="N478" s="65"/>
      <c r="O478" s="65"/>
      <c r="P478" s="65"/>
      <c r="Q478" s="65"/>
      <c r="R478" s="65"/>
      <c r="S478" s="65"/>
    </row>
    <row r="479" spans="1:19" x14ac:dyDescent="0.2">
      <c r="A479" s="74"/>
      <c r="C479" s="65"/>
      <c r="D479" s="65"/>
      <c r="E479" s="65"/>
      <c r="F479" s="65"/>
      <c r="G479" s="65"/>
      <c r="H479" s="65"/>
      <c r="I479" s="65"/>
      <c r="J479" s="65"/>
      <c r="K479" s="65"/>
      <c r="L479" s="69"/>
      <c r="M479" s="69"/>
      <c r="N479" s="65"/>
      <c r="O479" s="65"/>
      <c r="P479" s="65"/>
      <c r="Q479" s="65"/>
      <c r="R479" s="65"/>
      <c r="S479" s="65"/>
    </row>
    <row r="480" spans="1:19" x14ac:dyDescent="0.2">
      <c r="A480" s="74"/>
      <c r="C480" s="65"/>
      <c r="D480" s="65"/>
      <c r="E480" s="65"/>
      <c r="F480" s="65"/>
      <c r="G480" s="65"/>
      <c r="H480" s="65"/>
      <c r="I480" s="65"/>
      <c r="J480" s="65"/>
      <c r="K480" s="65"/>
      <c r="L480" s="69"/>
      <c r="M480" s="69"/>
      <c r="N480" s="65"/>
      <c r="O480" s="65"/>
      <c r="P480" s="65"/>
      <c r="Q480" s="65"/>
      <c r="R480" s="65"/>
      <c r="S480" s="65"/>
    </row>
    <row r="481" spans="1:19" x14ac:dyDescent="0.2">
      <c r="A481" s="74"/>
      <c r="C481" s="65"/>
      <c r="D481" s="65"/>
      <c r="E481" s="65"/>
      <c r="F481" s="65"/>
      <c r="G481" s="65"/>
      <c r="H481" s="65"/>
      <c r="I481" s="65"/>
      <c r="J481" s="65"/>
      <c r="K481" s="65"/>
      <c r="L481" s="69"/>
      <c r="M481" s="69"/>
      <c r="N481" s="65"/>
      <c r="O481" s="65"/>
      <c r="P481" s="65"/>
      <c r="Q481" s="65"/>
      <c r="R481" s="65"/>
      <c r="S481" s="65"/>
    </row>
    <row r="482" spans="1:19" x14ac:dyDescent="0.2">
      <c r="A482" s="74"/>
      <c r="C482" s="65"/>
      <c r="D482" s="65"/>
      <c r="E482" s="65"/>
      <c r="F482" s="65"/>
      <c r="G482" s="65"/>
      <c r="H482" s="65"/>
      <c r="I482" s="65"/>
      <c r="J482" s="65"/>
      <c r="K482" s="65"/>
      <c r="L482" s="69"/>
      <c r="M482" s="69"/>
      <c r="N482" s="65"/>
      <c r="O482" s="65"/>
      <c r="P482" s="65"/>
      <c r="Q482" s="65"/>
      <c r="R482" s="65"/>
      <c r="S482" s="65"/>
    </row>
    <row r="483" spans="1:19" x14ac:dyDescent="0.2">
      <c r="A483" s="74"/>
      <c r="C483" s="65"/>
      <c r="D483" s="65"/>
      <c r="E483" s="65"/>
      <c r="F483" s="65"/>
      <c r="G483" s="65"/>
      <c r="H483" s="65"/>
      <c r="I483" s="65"/>
      <c r="J483" s="65"/>
      <c r="K483" s="65"/>
      <c r="L483" s="69"/>
      <c r="M483" s="69"/>
      <c r="N483" s="65"/>
      <c r="O483" s="65"/>
      <c r="P483" s="65"/>
      <c r="Q483" s="65"/>
      <c r="R483" s="65"/>
      <c r="S483" s="65"/>
    </row>
    <row r="484" spans="1:19" x14ac:dyDescent="0.2">
      <c r="A484" s="74"/>
      <c r="C484" s="65"/>
      <c r="D484" s="65"/>
      <c r="E484" s="65"/>
      <c r="F484" s="65"/>
      <c r="G484" s="65"/>
      <c r="H484" s="65"/>
      <c r="I484" s="65"/>
      <c r="J484" s="65"/>
      <c r="K484" s="65"/>
      <c r="L484" s="69"/>
      <c r="M484" s="69"/>
      <c r="N484" s="65"/>
      <c r="O484" s="65"/>
      <c r="P484" s="65"/>
      <c r="Q484" s="65"/>
      <c r="R484" s="65"/>
      <c r="S484" s="65"/>
    </row>
    <row r="485" spans="1:19" x14ac:dyDescent="0.2">
      <c r="A485" s="74"/>
      <c r="C485" s="65"/>
      <c r="D485" s="65"/>
      <c r="E485" s="65"/>
      <c r="F485" s="65"/>
      <c r="G485" s="65"/>
      <c r="H485" s="65"/>
      <c r="I485" s="65"/>
      <c r="J485" s="65"/>
      <c r="K485" s="65"/>
      <c r="L485" s="69"/>
      <c r="M485" s="69"/>
      <c r="N485" s="65"/>
      <c r="O485" s="65"/>
      <c r="P485" s="65"/>
      <c r="Q485" s="65"/>
      <c r="R485" s="65"/>
      <c r="S485" s="65"/>
    </row>
    <row r="486" spans="1:19" x14ac:dyDescent="0.2">
      <c r="A486" s="74"/>
      <c r="C486" s="65"/>
      <c r="D486" s="65"/>
      <c r="E486" s="65"/>
      <c r="F486" s="65"/>
      <c r="G486" s="65"/>
      <c r="H486" s="65"/>
      <c r="I486" s="65"/>
      <c r="J486" s="65"/>
      <c r="K486" s="65"/>
      <c r="L486" s="69"/>
      <c r="M486" s="69"/>
      <c r="N486" s="65"/>
      <c r="O486" s="65"/>
      <c r="P486" s="65"/>
      <c r="Q486" s="65"/>
      <c r="R486" s="65"/>
      <c r="S486" s="65"/>
    </row>
    <row r="487" spans="1:19" x14ac:dyDescent="0.2">
      <c r="A487" s="74"/>
      <c r="C487" s="65"/>
      <c r="D487" s="65"/>
      <c r="E487" s="65"/>
      <c r="F487" s="65"/>
      <c r="G487" s="65"/>
      <c r="H487" s="65"/>
      <c r="I487" s="65"/>
      <c r="J487" s="65"/>
      <c r="K487" s="65"/>
      <c r="L487" s="69"/>
      <c r="M487" s="69"/>
      <c r="N487" s="65"/>
      <c r="O487" s="65"/>
      <c r="P487" s="65"/>
      <c r="Q487" s="65"/>
      <c r="R487" s="65"/>
      <c r="S487" s="65"/>
    </row>
    <row r="488" spans="1:19" x14ac:dyDescent="0.2">
      <c r="A488" s="74"/>
      <c r="C488" s="65"/>
      <c r="D488" s="65"/>
      <c r="E488" s="65"/>
      <c r="F488" s="65"/>
      <c r="G488" s="65"/>
      <c r="H488" s="65"/>
      <c r="I488" s="65"/>
      <c r="J488" s="65"/>
      <c r="K488" s="65"/>
      <c r="L488" s="69"/>
      <c r="M488" s="69"/>
      <c r="N488" s="65"/>
      <c r="O488" s="65"/>
      <c r="P488" s="65"/>
      <c r="Q488" s="65"/>
      <c r="R488" s="65"/>
      <c r="S488" s="65"/>
    </row>
    <row r="489" spans="1:19" x14ac:dyDescent="0.2">
      <c r="A489" s="74"/>
      <c r="C489" s="65"/>
      <c r="D489" s="65"/>
      <c r="E489" s="65"/>
      <c r="F489" s="65"/>
      <c r="G489" s="65"/>
      <c r="H489" s="65"/>
      <c r="I489" s="65"/>
      <c r="J489" s="65"/>
      <c r="K489" s="65"/>
      <c r="L489" s="69"/>
      <c r="M489" s="69"/>
      <c r="N489" s="65"/>
      <c r="O489" s="65"/>
      <c r="P489" s="65"/>
      <c r="Q489" s="65"/>
      <c r="R489" s="65"/>
      <c r="S489" s="65"/>
    </row>
    <row r="490" spans="1:19" x14ac:dyDescent="0.2">
      <c r="A490" s="74"/>
      <c r="C490" s="65"/>
      <c r="D490" s="65"/>
      <c r="E490" s="65"/>
      <c r="F490" s="65"/>
      <c r="G490" s="65"/>
      <c r="H490" s="65"/>
      <c r="I490" s="65"/>
      <c r="J490" s="65"/>
      <c r="K490" s="65"/>
      <c r="L490" s="69"/>
      <c r="M490" s="69"/>
      <c r="N490" s="65"/>
      <c r="O490" s="65"/>
      <c r="P490" s="65"/>
      <c r="Q490" s="65"/>
      <c r="R490" s="65"/>
      <c r="S490" s="65"/>
    </row>
    <row r="491" spans="1:19" x14ac:dyDescent="0.2">
      <c r="A491" s="74"/>
      <c r="C491" s="65"/>
      <c r="D491" s="65"/>
      <c r="E491" s="65"/>
      <c r="F491" s="65"/>
      <c r="G491" s="65"/>
      <c r="H491" s="65"/>
      <c r="I491" s="65"/>
      <c r="J491" s="65"/>
      <c r="K491" s="65"/>
      <c r="L491" s="69"/>
      <c r="M491" s="69"/>
      <c r="N491" s="65"/>
      <c r="O491" s="65"/>
      <c r="P491" s="65"/>
      <c r="Q491" s="65"/>
      <c r="R491" s="65"/>
      <c r="S491" s="65"/>
    </row>
    <row r="492" spans="1:19" x14ac:dyDescent="0.2">
      <c r="A492" s="74"/>
      <c r="C492" s="65"/>
      <c r="D492" s="65"/>
      <c r="E492" s="65"/>
      <c r="F492" s="65"/>
      <c r="G492" s="65"/>
      <c r="H492" s="65"/>
      <c r="I492" s="65"/>
      <c r="J492" s="65"/>
      <c r="K492" s="65"/>
      <c r="L492" s="69"/>
      <c r="M492" s="69"/>
      <c r="N492" s="65"/>
      <c r="O492" s="65"/>
      <c r="P492" s="65"/>
      <c r="Q492" s="65"/>
      <c r="R492" s="65"/>
      <c r="S492" s="65"/>
    </row>
    <row r="493" spans="1:19" x14ac:dyDescent="0.2">
      <c r="A493" s="74"/>
      <c r="C493" s="65"/>
      <c r="D493" s="65"/>
      <c r="E493" s="65"/>
      <c r="F493" s="65"/>
      <c r="G493" s="65"/>
      <c r="H493" s="65"/>
      <c r="I493" s="65"/>
      <c r="J493" s="65"/>
      <c r="K493" s="65"/>
      <c r="L493" s="69"/>
      <c r="M493" s="69"/>
      <c r="N493" s="65"/>
      <c r="O493" s="65"/>
      <c r="P493" s="65"/>
      <c r="Q493" s="65"/>
      <c r="R493" s="65"/>
      <c r="S493" s="65"/>
    </row>
    <row r="494" spans="1:19" x14ac:dyDescent="0.2">
      <c r="A494" s="74"/>
      <c r="C494" s="65"/>
      <c r="D494" s="65"/>
      <c r="E494" s="65"/>
      <c r="F494" s="65"/>
      <c r="G494" s="65"/>
      <c r="H494" s="65"/>
      <c r="I494" s="65"/>
      <c r="J494" s="65"/>
      <c r="K494" s="65"/>
      <c r="L494" s="69"/>
      <c r="M494" s="69"/>
      <c r="N494" s="65"/>
      <c r="O494" s="65"/>
      <c r="P494" s="65"/>
      <c r="Q494" s="65"/>
      <c r="R494" s="65"/>
      <c r="S494" s="65"/>
    </row>
    <row r="495" spans="1:19" x14ac:dyDescent="0.2">
      <c r="A495" s="74"/>
      <c r="C495" s="65"/>
      <c r="D495" s="65"/>
      <c r="E495" s="65"/>
      <c r="F495" s="65"/>
      <c r="G495" s="65"/>
      <c r="H495" s="65"/>
      <c r="I495" s="65"/>
      <c r="J495" s="65"/>
      <c r="K495" s="65"/>
      <c r="L495" s="69"/>
      <c r="M495" s="69"/>
      <c r="N495" s="65"/>
      <c r="O495" s="65"/>
      <c r="P495" s="65"/>
      <c r="Q495" s="65"/>
      <c r="R495" s="65"/>
      <c r="S495" s="65"/>
    </row>
    <row r="496" spans="1:19" x14ac:dyDescent="0.2">
      <c r="A496" s="74"/>
      <c r="C496" s="65"/>
      <c r="D496" s="65"/>
      <c r="E496" s="65"/>
      <c r="F496" s="65"/>
      <c r="G496" s="65"/>
      <c r="H496" s="65"/>
      <c r="I496" s="65"/>
      <c r="J496" s="65"/>
      <c r="K496" s="65"/>
      <c r="L496" s="69"/>
      <c r="M496" s="69"/>
      <c r="N496" s="65"/>
      <c r="O496" s="65"/>
      <c r="P496" s="65"/>
      <c r="Q496" s="65"/>
      <c r="R496" s="65"/>
      <c r="S496" s="65"/>
    </row>
    <row r="497" spans="1:19" x14ac:dyDescent="0.2">
      <c r="A497" s="74"/>
      <c r="C497" s="65"/>
      <c r="D497" s="65"/>
      <c r="E497" s="65"/>
      <c r="F497" s="65"/>
      <c r="G497" s="65"/>
      <c r="H497" s="65"/>
      <c r="I497" s="65"/>
      <c r="J497" s="65"/>
      <c r="K497" s="65"/>
      <c r="L497" s="69"/>
      <c r="M497" s="69"/>
      <c r="N497" s="65"/>
      <c r="O497" s="65"/>
      <c r="P497" s="65"/>
      <c r="Q497" s="65"/>
      <c r="R497" s="65"/>
      <c r="S497" s="65"/>
    </row>
    <row r="498" spans="1:19" x14ac:dyDescent="0.2">
      <c r="A498" s="74"/>
      <c r="C498" s="65"/>
      <c r="D498" s="65"/>
      <c r="E498" s="65"/>
      <c r="F498" s="65"/>
      <c r="G498" s="65"/>
      <c r="H498" s="65"/>
      <c r="I498" s="65"/>
      <c r="J498" s="65"/>
      <c r="K498" s="65"/>
      <c r="L498" s="69"/>
      <c r="M498" s="69"/>
      <c r="N498" s="65"/>
      <c r="O498" s="65"/>
      <c r="P498" s="65"/>
      <c r="Q498" s="65"/>
      <c r="R498" s="65"/>
      <c r="S498" s="65"/>
    </row>
    <row r="499" spans="1:19" x14ac:dyDescent="0.2">
      <c r="A499" s="74"/>
      <c r="C499" s="65"/>
      <c r="D499" s="65"/>
      <c r="E499" s="65"/>
      <c r="F499" s="65"/>
      <c r="G499" s="65"/>
      <c r="H499" s="65"/>
      <c r="I499" s="65"/>
      <c r="J499" s="65"/>
      <c r="K499" s="65"/>
      <c r="L499" s="69"/>
      <c r="M499" s="69"/>
      <c r="N499" s="65"/>
      <c r="O499" s="65"/>
      <c r="P499" s="65"/>
      <c r="Q499" s="65"/>
      <c r="R499" s="65"/>
      <c r="S499" s="65"/>
    </row>
    <row r="500" spans="1:19" x14ac:dyDescent="0.2">
      <c r="A500" s="74"/>
      <c r="C500" s="65"/>
      <c r="D500" s="65"/>
      <c r="E500" s="65"/>
      <c r="F500" s="65"/>
      <c r="G500" s="65"/>
      <c r="H500" s="65"/>
      <c r="I500" s="65"/>
      <c r="J500" s="65"/>
      <c r="K500" s="65"/>
      <c r="L500" s="69"/>
      <c r="M500" s="69"/>
      <c r="N500" s="65"/>
      <c r="O500" s="65"/>
      <c r="P500" s="65"/>
      <c r="Q500" s="65"/>
      <c r="R500" s="65"/>
      <c r="S500" s="65"/>
    </row>
    <row r="501" spans="1:19" x14ac:dyDescent="0.2">
      <c r="A501" s="74"/>
      <c r="C501" s="65"/>
      <c r="D501" s="65"/>
      <c r="E501" s="65"/>
      <c r="F501" s="65"/>
      <c r="G501" s="65"/>
      <c r="H501" s="65"/>
      <c r="I501" s="65"/>
      <c r="J501" s="65"/>
      <c r="K501" s="65"/>
      <c r="L501" s="69"/>
      <c r="M501" s="69"/>
      <c r="N501" s="65"/>
      <c r="O501" s="65"/>
      <c r="P501" s="65"/>
      <c r="Q501" s="65"/>
      <c r="R501" s="65"/>
      <c r="S501" s="65"/>
    </row>
    <row r="502" spans="1:19" x14ac:dyDescent="0.2">
      <c r="A502" s="74"/>
      <c r="C502" s="65"/>
      <c r="D502" s="65"/>
      <c r="E502" s="65"/>
      <c r="F502" s="65"/>
      <c r="G502" s="65"/>
      <c r="H502" s="65"/>
      <c r="I502" s="65"/>
      <c r="J502" s="65"/>
      <c r="K502" s="65"/>
      <c r="L502" s="69"/>
      <c r="M502" s="69"/>
      <c r="N502" s="65"/>
      <c r="O502" s="65"/>
      <c r="P502" s="65"/>
      <c r="Q502" s="65"/>
      <c r="R502" s="65"/>
      <c r="S502" s="65"/>
    </row>
    <row r="503" spans="1:19" x14ac:dyDescent="0.2">
      <c r="A503" s="74"/>
      <c r="C503" s="65"/>
      <c r="D503" s="65"/>
      <c r="E503" s="65"/>
      <c r="F503" s="65"/>
      <c r="G503" s="65"/>
      <c r="H503" s="65"/>
      <c r="I503" s="65"/>
      <c r="J503" s="65"/>
      <c r="K503" s="65"/>
      <c r="L503" s="69"/>
      <c r="M503" s="69"/>
      <c r="N503" s="65"/>
      <c r="O503" s="65"/>
      <c r="P503" s="65"/>
      <c r="Q503" s="65"/>
      <c r="R503" s="65"/>
      <c r="S503" s="65"/>
    </row>
    <row r="504" spans="1:19" x14ac:dyDescent="0.2">
      <c r="A504" s="74"/>
      <c r="C504" s="65"/>
      <c r="D504" s="65"/>
      <c r="E504" s="65"/>
      <c r="F504" s="65"/>
      <c r="G504" s="65"/>
      <c r="H504" s="65"/>
      <c r="I504" s="65"/>
      <c r="J504" s="65"/>
      <c r="K504" s="65"/>
      <c r="L504" s="69"/>
      <c r="M504" s="69"/>
      <c r="N504" s="65"/>
      <c r="O504" s="65"/>
      <c r="P504" s="65"/>
      <c r="Q504" s="65"/>
      <c r="R504" s="65"/>
      <c r="S504" s="65"/>
    </row>
    <row r="505" spans="1:19" x14ac:dyDescent="0.2">
      <c r="A505" s="74"/>
      <c r="C505" s="65"/>
      <c r="D505" s="65"/>
      <c r="E505" s="65"/>
      <c r="F505" s="65"/>
      <c r="G505" s="65"/>
      <c r="H505" s="65"/>
      <c r="I505" s="65"/>
      <c r="J505" s="65"/>
      <c r="K505" s="65"/>
      <c r="L505" s="69"/>
      <c r="M505" s="69"/>
      <c r="N505" s="65"/>
      <c r="O505" s="65"/>
      <c r="P505" s="65"/>
      <c r="Q505" s="65"/>
      <c r="R505" s="65"/>
      <c r="S505" s="65"/>
    </row>
    <row r="506" spans="1:19" x14ac:dyDescent="0.2">
      <c r="A506" s="74"/>
      <c r="C506" s="65"/>
      <c r="D506" s="65"/>
      <c r="E506" s="65"/>
      <c r="F506" s="65"/>
      <c r="G506" s="65"/>
      <c r="H506" s="65"/>
      <c r="I506" s="65"/>
      <c r="J506" s="65"/>
      <c r="K506" s="65"/>
      <c r="L506" s="69"/>
      <c r="M506" s="69"/>
      <c r="N506" s="65"/>
      <c r="O506" s="65"/>
      <c r="P506" s="65"/>
      <c r="Q506" s="65"/>
      <c r="R506" s="65"/>
      <c r="S506" s="65"/>
    </row>
    <row r="507" spans="1:19" x14ac:dyDescent="0.2">
      <c r="A507" s="74"/>
      <c r="C507" s="65"/>
      <c r="D507" s="65"/>
      <c r="E507" s="65"/>
      <c r="F507" s="65"/>
      <c r="G507" s="65"/>
      <c r="H507" s="65"/>
      <c r="I507" s="65"/>
      <c r="J507" s="65"/>
      <c r="K507" s="65"/>
      <c r="L507" s="69"/>
      <c r="M507" s="69"/>
      <c r="N507" s="65"/>
      <c r="O507" s="65"/>
      <c r="P507" s="65"/>
      <c r="Q507" s="65"/>
      <c r="R507" s="65"/>
      <c r="S507" s="65"/>
    </row>
    <row r="508" spans="1:19" x14ac:dyDescent="0.2">
      <c r="A508" s="74"/>
      <c r="C508" s="65"/>
      <c r="D508" s="65"/>
      <c r="E508" s="65"/>
      <c r="F508" s="65"/>
      <c r="G508" s="65"/>
      <c r="H508" s="65"/>
      <c r="I508" s="65"/>
      <c r="J508" s="65"/>
      <c r="K508" s="65"/>
      <c r="L508" s="69"/>
      <c r="M508" s="69"/>
      <c r="N508" s="65"/>
      <c r="O508" s="65"/>
      <c r="P508" s="65"/>
      <c r="Q508" s="65"/>
      <c r="R508" s="65"/>
      <c r="S508" s="65"/>
    </row>
    <row r="509" spans="1:19" x14ac:dyDescent="0.2">
      <c r="A509" s="74"/>
      <c r="C509" s="65"/>
      <c r="D509" s="65"/>
      <c r="E509" s="65"/>
      <c r="F509" s="65"/>
      <c r="G509" s="65"/>
      <c r="H509" s="65"/>
      <c r="I509" s="65"/>
      <c r="J509" s="65"/>
      <c r="K509" s="65"/>
      <c r="L509" s="69"/>
      <c r="M509" s="69"/>
      <c r="N509" s="65"/>
      <c r="O509" s="65"/>
      <c r="P509" s="65"/>
      <c r="Q509" s="65"/>
      <c r="R509" s="65"/>
      <c r="S509" s="65"/>
    </row>
    <row r="510" spans="1:19" x14ac:dyDescent="0.2">
      <c r="A510" s="74"/>
      <c r="C510" s="65"/>
      <c r="D510" s="65"/>
      <c r="E510" s="65"/>
      <c r="F510" s="65"/>
      <c r="G510" s="65"/>
      <c r="H510" s="65"/>
      <c r="I510" s="65"/>
      <c r="J510" s="65"/>
      <c r="K510" s="65"/>
      <c r="L510" s="69"/>
      <c r="M510" s="69"/>
      <c r="N510" s="65"/>
      <c r="O510" s="65"/>
      <c r="P510" s="65"/>
      <c r="Q510" s="65"/>
      <c r="R510" s="65"/>
      <c r="S510" s="65"/>
    </row>
    <row r="511" spans="1:19" x14ac:dyDescent="0.2">
      <c r="A511" s="74"/>
      <c r="C511" s="65"/>
      <c r="D511" s="65"/>
      <c r="E511" s="65"/>
      <c r="F511" s="65"/>
      <c r="G511" s="65"/>
      <c r="H511" s="65"/>
      <c r="I511" s="65"/>
      <c r="J511" s="65"/>
      <c r="K511" s="65"/>
      <c r="L511" s="69"/>
      <c r="M511" s="69"/>
      <c r="N511" s="65"/>
      <c r="O511" s="65"/>
      <c r="P511" s="65"/>
      <c r="Q511" s="65"/>
      <c r="R511" s="65"/>
      <c r="S511" s="65"/>
    </row>
    <row r="512" spans="1:19" x14ac:dyDescent="0.2">
      <c r="A512" s="74"/>
      <c r="C512" s="65"/>
      <c r="D512" s="65"/>
      <c r="E512" s="65"/>
      <c r="F512" s="65"/>
      <c r="G512" s="65"/>
      <c r="H512" s="65"/>
      <c r="I512" s="65"/>
      <c r="J512" s="65"/>
      <c r="K512" s="65"/>
      <c r="L512" s="69"/>
      <c r="M512" s="69"/>
      <c r="N512" s="65"/>
      <c r="O512" s="65"/>
      <c r="P512" s="65"/>
      <c r="Q512" s="65"/>
      <c r="R512" s="65"/>
      <c r="S512" s="65"/>
    </row>
    <row r="513" spans="1:19" x14ac:dyDescent="0.2">
      <c r="A513" s="74"/>
      <c r="C513" s="65"/>
      <c r="D513" s="65"/>
      <c r="E513" s="65"/>
      <c r="F513" s="65"/>
      <c r="G513" s="65"/>
      <c r="H513" s="65"/>
      <c r="I513" s="65"/>
      <c r="J513" s="65"/>
      <c r="K513" s="65"/>
      <c r="L513" s="69"/>
      <c r="M513" s="69"/>
      <c r="N513" s="65"/>
      <c r="O513" s="65"/>
      <c r="P513" s="65"/>
      <c r="Q513" s="65"/>
      <c r="R513" s="65"/>
      <c r="S513" s="65"/>
    </row>
    <row r="514" spans="1:19" x14ac:dyDescent="0.2">
      <c r="A514" s="74"/>
      <c r="C514" s="65"/>
      <c r="D514" s="65"/>
      <c r="E514" s="65"/>
      <c r="F514" s="65"/>
      <c r="G514" s="65"/>
      <c r="H514" s="65"/>
      <c r="I514" s="65"/>
      <c r="J514" s="65"/>
      <c r="K514" s="65"/>
      <c r="L514" s="69"/>
      <c r="M514" s="69"/>
      <c r="N514" s="65"/>
      <c r="O514" s="65"/>
      <c r="P514" s="65"/>
      <c r="Q514" s="65"/>
      <c r="R514" s="65"/>
      <c r="S514" s="65"/>
    </row>
    <row r="515" spans="1:19" x14ac:dyDescent="0.2">
      <c r="A515" s="74"/>
      <c r="C515" s="65"/>
      <c r="D515" s="65"/>
      <c r="E515" s="65"/>
      <c r="F515" s="65"/>
      <c r="G515" s="65"/>
      <c r="H515" s="65"/>
      <c r="I515" s="65"/>
      <c r="J515" s="65"/>
      <c r="K515" s="65"/>
      <c r="L515" s="69"/>
      <c r="M515" s="69"/>
      <c r="N515" s="65"/>
      <c r="O515" s="65"/>
      <c r="P515" s="65"/>
      <c r="Q515" s="65"/>
      <c r="R515" s="65"/>
      <c r="S515" s="65"/>
    </row>
    <row r="516" spans="1:19" x14ac:dyDescent="0.2">
      <c r="A516" s="74"/>
      <c r="C516" s="65"/>
      <c r="D516" s="65"/>
      <c r="E516" s="65"/>
      <c r="F516" s="65"/>
      <c r="G516" s="65"/>
      <c r="H516" s="65"/>
      <c r="I516" s="65"/>
      <c r="J516" s="65"/>
      <c r="K516" s="65"/>
      <c r="L516" s="69"/>
      <c r="M516" s="69"/>
      <c r="N516" s="65"/>
      <c r="O516" s="65"/>
      <c r="P516" s="65"/>
      <c r="Q516" s="65"/>
      <c r="R516" s="65"/>
      <c r="S516" s="65"/>
    </row>
    <row r="517" spans="1:19" x14ac:dyDescent="0.2">
      <c r="A517" s="74"/>
      <c r="C517" s="65"/>
      <c r="D517" s="65"/>
      <c r="E517" s="65"/>
      <c r="F517" s="65"/>
      <c r="G517" s="65"/>
      <c r="H517" s="65"/>
      <c r="I517" s="65"/>
      <c r="J517" s="65"/>
      <c r="K517" s="65"/>
      <c r="L517" s="69"/>
      <c r="M517" s="69"/>
      <c r="N517" s="65"/>
      <c r="O517" s="65"/>
      <c r="P517" s="65"/>
      <c r="Q517" s="65"/>
      <c r="R517" s="65"/>
      <c r="S517" s="65"/>
    </row>
    <row r="518" spans="1:19" x14ac:dyDescent="0.2">
      <c r="A518" s="74"/>
      <c r="C518" s="65"/>
      <c r="D518" s="65"/>
      <c r="E518" s="65"/>
      <c r="F518" s="65"/>
      <c r="G518" s="65"/>
      <c r="H518" s="65"/>
      <c r="I518" s="65"/>
      <c r="J518" s="65"/>
      <c r="K518" s="65"/>
      <c r="L518" s="69"/>
      <c r="M518" s="69"/>
      <c r="N518" s="65"/>
      <c r="O518" s="65"/>
      <c r="P518" s="65"/>
      <c r="Q518" s="65"/>
      <c r="R518" s="65"/>
      <c r="S518" s="65"/>
    </row>
    <row r="519" spans="1:19" x14ac:dyDescent="0.2">
      <c r="A519" s="74"/>
      <c r="C519" s="65"/>
      <c r="D519" s="65"/>
      <c r="E519" s="65"/>
      <c r="F519" s="65"/>
      <c r="G519" s="65"/>
      <c r="H519" s="65"/>
      <c r="I519" s="65"/>
      <c r="J519" s="65"/>
      <c r="K519" s="65"/>
      <c r="L519" s="69"/>
      <c r="M519" s="69"/>
      <c r="N519" s="65"/>
      <c r="O519" s="65"/>
      <c r="P519" s="65"/>
      <c r="Q519" s="65"/>
      <c r="R519" s="65"/>
      <c r="S519" s="65"/>
    </row>
    <row r="520" spans="1:19" x14ac:dyDescent="0.2">
      <c r="A520" s="74"/>
      <c r="C520" s="65"/>
      <c r="D520" s="65"/>
      <c r="E520" s="65"/>
      <c r="F520" s="65"/>
      <c r="G520" s="65"/>
      <c r="H520" s="65"/>
      <c r="I520" s="65"/>
      <c r="J520" s="65"/>
      <c r="K520" s="65"/>
      <c r="L520" s="69"/>
      <c r="M520" s="69"/>
      <c r="N520" s="65"/>
      <c r="O520" s="65"/>
      <c r="P520" s="65"/>
      <c r="Q520" s="65"/>
      <c r="R520" s="65"/>
      <c r="S520" s="65"/>
    </row>
    <row r="521" spans="1:19" x14ac:dyDescent="0.2">
      <c r="A521" s="74"/>
      <c r="C521" s="65"/>
      <c r="D521" s="65"/>
      <c r="E521" s="65"/>
      <c r="F521" s="65"/>
      <c r="G521" s="65"/>
      <c r="H521" s="65"/>
      <c r="I521" s="65"/>
      <c r="J521" s="65"/>
      <c r="K521" s="65"/>
      <c r="L521" s="69"/>
      <c r="M521" s="69"/>
      <c r="N521" s="65"/>
      <c r="O521" s="65"/>
      <c r="P521" s="65"/>
      <c r="Q521" s="65"/>
      <c r="R521" s="65"/>
      <c r="S521" s="65"/>
    </row>
    <row r="522" spans="1:19" x14ac:dyDescent="0.2">
      <c r="A522" s="74"/>
      <c r="C522" s="65"/>
      <c r="D522" s="65"/>
      <c r="E522" s="65"/>
      <c r="F522" s="65"/>
      <c r="G522" s="65"/>
      <c r="H522" s="65"/>
      <c r="I522" s="65"/>
      <c r="J522" s="65"/>
      <c r="K522" s="65"/>
      <c r="L522" s="69"/>
      <c r="M522" s="69"/>
      <c r="N522" s="65"/>
      <c r="O522" s="65"/>
      <c r="P522" s="65"/>
      <c r="Q522" s="65"/>
      <c r="R522" s="65"/>
      <c r="S522" s="65"/>
    </row>
    <row r="523" spans="1:19" x14ac:dyDescent="0.2">
      <c r="A523" s="74"/>
      <c r="C523" s="65"/>
      <c r="D523" s="65"/>
      <c r="E523" s="65"/>
      <c r="F523" s="65"/>
      <c r="G523" s="65"/>
      <c r="H523" s="65"/>
      <c r="I523" s="65"/>
      <c r="J523" s="65"/>
      <c r="K523" s="65"/>
      <c r="L523" s="69"/>
      <c r="M523" s="69"/>
      <c r="N523" s="65"/>
      <c r="O523" s="65"/>
      <c r="P523" s="65"/>
      <c r="Q523" s="65"/>
      <c r="R523" s="65"/>
      <c r="S523" s="65"/>
    </row>
    <row r="524" spans="1:19" x14ac:dyDescent="0.2">
      <c r="A524" s="74"/>
      <c r="C524" s="65"/>
      <c r="D524" s="65"/>
      <c r="E524" s="65"/>
      <c r="F524" s="65"/>
      <c r="G524" s="65"/>
      <c r="H524" s="65"/>
      <c r="I524" s="65"/>
      <c r="J524" s="65"/>
      <c r="K524" s="65"/>
      <c r="L524" s="69"/>
      <c r="M524" s="69"/>
      <c r="N524" s="65"/>
      <c r="O524" s="65"/>
      <c r="P524" s="65"/>
      <c r="Q524" s="65"/>
      <c r="R524" s="65"/>
      <c r="S524" s="65"/>
    </row>
    <row r="525" spans="1:19" x14ac:dyDescent="0.2">
      <c r="A525" s="74"/>
      <c r="C525" s="65"/>
      <c r="D525" s="65"/>
      <c r="E525" s="65"/>
      <c r="F525" s="65"/>
      <c r="G525" s="65"/>
      <c r="H525" s="65"/>
      <c r="I525" s="65"/>
      <c r="J525" s="65"/>
      <c r="K525" s="65"/>
      <c r="L525" s="69"/>
      <c r="M525" s="69"/>
      <c r="N525" s="65"/>
      <c r="O525" s="65"/>
      <c r="P525" s="65"/>
      <c r="Q525" s="65"/>
      <c r="R525" s="65"/>
      <c r="S525" s="65"/>
    </row>
    <row r="526" spans="1:19" x14ac:dyDescent="0.2">
      <c r="A526" s="74"/>
      <c r="C526" s="65"/>
      <c r="D526" s="65"/>
      <c r="E526" s="65"/>
      <c r="F526" s="65"/>
      <c r="G526" s="65"/>
      <c r="H526" s="65"/>
      <c r="I526" s="65"/>
      <c r="J526" s="65"/>
      <c r="K526" s="65"/>
      <c r="L526" s="69"/>
      <c r="M526" s="69"/>
      <c r="N526" s="65"/>
      <c r="O526" s="65"/>
      <c r="P526" s="65"/>
      <c r="Q526" s="65"/>
      <c r="R526" s="65"/>
      <c r="S526" s="65"/>
    </row>
    <row r="527" spans="1:19" x14ac:dyDescent="0.2">
      <c r="A527" s="74"/>
      <c r="C527" s="65"/>
      <c r="D527" s="65"/>
      <c r="E527" s="65"/>
      <c r="F527" s="65"/>
      <c r="G527" s="65"/>
      <c r="H527" s="65"/>
      <c r="I527" s="65"/>
      <c r="J527" s="65"/>
      <c r="K527" s="65"/>
      <c r="L527" s="69"/>
      <c r="M527" s="69"/>
      <c r="N527" s="65"/>
      <c r="O527" s="65"/>
      <c r="P527" s="65"/>
      <c r="Q527" s="65"/>
      <c r="R527" s="65"/>
      <c r="S527" s="65"/>
    </row>
    <row r="528" spans="1:19" x14ac:dyDescent="0.2">
      <c r="A528" s="74"/>
      <c r="C528" s="65"/>
      <c r="D528" s="65"/>
      <c r="E528" s="65"/>
      <c r="F528" s="65"/>
      <c r="G528" s="65"/>
      <c r="H528" s="65"/>
      <c r="I528" s="65"/>
      <c r="J528" s="65"/>
      <c r="K528" s="65"/>
      <c r="L528" s="69"/>
      <c r="M528" s="69"/>
      <c r="N528" s="65"/>
      <c r="O528" s="65"/>
      <c r="P528" s="65"/>
      <c r="Q528" s="65"/>
      <c r="R528" s="65"/>
      <c r="S528" s="65"/>
    </row>
    <row r="529" spans="1:19" x14ac:dyDescent="0.2">
      <c r="A529" s="74"/>
      <c r="C529" s="65"/>
      <c r="D529" s="65"/>
      <c r="E529" s="65"/>
      <c r="F529" s="65"/>
      <c r="G529" s="65"/>
      <c r="H529" s="65"/>
      <c r="I529" s="65"/>
      <c r="J529" s="65"/>
      <c r="K529" s="65"/>
      <c r="L529" s="69"/>
      <c r="M529" s="69"/>
      <c r="N529" s="65"/>
      <c r="O529" s="65"/>
      <c r="P529" s="65"/>
      <c r="Q529" s="65"/>
      <c r="R529" s="65"/>
      <c r="S529" s="65"/>
    </row>
    <row r="530" spans="1:19" x14ac:dyDescent="0.2">
      <c r="A530" s="74"/>
      <c r="C530" s="65"/>
      <c r="D530" s="65"/>
      <c r="E530" s="65"/>
      <c r="F530" s="65"/>
      <c r="G530" s="65"/>
      <c r="H530" s="65"/>
      <c r="I530" s="65"/>
      <c r="J530" s="65"/>
      <c r="K530" s="65"/>
      <c r="L530" s="69"/>
      <c r="M530" s="69"/>
      <c r="N530" s="65"/>
      <c r="O530" s="65"/>
      <c r="P530" s="65"/>
      <c r="Q530" s="65"/>
      <c r="R530" s="65"/>
      <c r="S530" s="65"/>
    </row>
    <row r="531" spans="1:19" x14ac:dyDescent="0.2">
      <c r="A531" s="74"/>
      <c r="C531" s="65"/>
      <c r="D531" s="65"/>
      <c r="E531" s="65"/>
      <c r="F531" s="65"/>
      <c r="G531" s="65"/>
      <c r="H531" s="65"/>
      <c r="I531" s="65"/>
      <c r="J531" s="65"/>
      <c r="K531" s="65"/>
      <c r="L531" s="69"/>
      <c r="M531" s="69"/>
      <c r="N531" s="65"/>
      <c r="O531" s="65"/>
      <c r="P531" s="65"/>
      <c r="Q531" s="65"/>
      <c r="R531" s="65"/>
      <c r="S531" s="65"/>
    </row>
    <row r="532" spans="1:19" x14ac:dyDescent="0.2">
      <c r="A532" s="74"/>
      <c r="C532" s="65"/>
      <c r="D532" s="65"/>
      <c r="E532" s="65"/>
      <c r="F532" s="65"/>
      <c r="G532" s="65"/>
      <c r="H532" s="65"/>
      <c r="I532" s="65"/>
      <c r="J532" s="65"/>
      <c r="K532" s="65"/>
      <c r="L532" s="69"/>
      <c r="M532" s="69"/>
      <c r="N532" s="65"/>
      <c r="O532" s="65"/>
      <c r="P532" s="65"/>
      <c r="Q532" s="65"/>
      <c r="R532" s="65"/>
      <c r="S532" s="65"/>
    </row>
    <row r="533" spans="1:19" x14ac:dyDescent="0.2">
      <c r="A533" s="74"/>
      <c r="C533" s="65"/>
      <c r="D533" s="65"/>
      <c r="E533" s="65"/>
      <c r="F533" s="65"/>
      <c r="G533" s="65"/>
      <c r="H533" s="65"/>
      <c r="I533" s="65"/>
      <c r="J533" s="65"/>
      <c r="K533" s="65"/>
      <c r="L533" s="69"/>
      <c r="M533" s="69"/>
      <c r="N533" s="65"/>
      <c r="O533" s="65"/>
      <c r="P533" s="65"/>
      <c r="Q533" s="65"/>
      <c r="R533" s="65"/>
      <c r="S533" s="65"/>
    </row>
    <row r="534" spans="1:19" x14ac:dyDescent="0.2">
      <c r="A534" s="74"/>
      <c r="C534" s="65"/>
      <c r="D534" s="65"/>
      <c r="E534" s="65"/>
      <c r="F534" s="65"/>
      <c r="G534" s="65"/>
      <c r="H534" s="65"/>
      <c r="I534" s="65"/>
      <c r="J534" s="65"/>
      <c r="K534" s="65"/>
      <c r="L534" s="69"/>
      <c r="M534" s="69"/>
      <c r="N534" s="65"/>
      <c r="O534" s="65"/>
      <c r="P534" s="65"/>
      <c r="Q534" s="65"/>
      <c r="R534" s="65"/>
      <c r="S534" s="65"/>
    </row>
    <row r="535" spans="1:19" x14ac:dyDescent="0.2">
      <c r="A535" s="74"/>
      <c r="C535" s="65"/>
      <c r="D535" s="65"/>
      <c r="E535" s="65"/>
      <c r="F535" s="65"/>
      <c r="G535" s="65"/>
      <c r="H535" s="65"/>
      <c r="I535" s="65"/>
      <c r="J535" s="65"/>
      <c r="K535" s="65"/>
      <c r="L535" s="69"/>
      <c r="M535" s="69"/>
      <c r="N535" s="65"/>
      <c r="O535" s="65"/>
      <c r="P535" s="65"/>
      <c r="Q535" s="65"/>
      <c r="R535" s="65"/>
      <c r="S535" s="65"/>
    </row>
    <row r="536" spans="1:19" x14ac:dyDescent="0.2">
      <c r="A536" s="74"/>
      <c r="C536" s="65"/>
      <c r="D536" s="65"/>
      <c r="E536" s="65"/>
      <c r="F536" s="65"/>
      <c r="G536" s="65"/>
      <c r="H536" s="65"/>
      <c r="I536" s="65"/>
      <c r="J536" s="65"/>
      <c r="K536" s="65"/>
      <c r="L536" s="69"/>
      <c r="M536" s="69"/>
      <c r="N536" s="65"/>
      <c r="O536" s="65"/>
      <c r="P536" s="65"/>
      <c r="Q536" s="65"/>
      <c r="R536" s="65"/>
      <c r="S536" s="65"/>
    </row>
    <row r="537" spans="1:19" x14ac:dyDescent="0.2">
      <c r="A537" s="74"/>
      <c r="C537" s="65"/>
      <c r="D537" s="65"/>
      <c r="E537" s="65"/>
      <c r="F537" s="65"/>
      <c r="G537" s="65"/>
      <c r="H537" s="65"/>
      <c r="I537" s="65"/>
      <c r="J537" s="65"/>
      <c r="K537" s="65"/>
      <c r="L537" s="69"/>
      <c r="M537" s="69"/>
      <c r="N537" s="65"/>
      <c r="O537" s="65"/>
      <c r="P537" s="65"/>
      <c r="Q537" s="65"/>
      <c r="R537" s="65"/>
      <c r="S537" s="65"/>
    </row>
    <row r="538" spans="1:19" x14ac:dyDescent="0.2">
      <c r="A538" s="74"/>
      <c r="C538" s="65"/>
      <c r="D538" s="65"/>
      <c r="E538" s="65"/>
      <c r="F538" s="65"/>
      <c r="G538" s="65"/>
      <c r="H538" s="65"/>
      <c r="I538" s="65"/>
      <c r="J538" s="65"/>
      <c r="K538" s="65"/>
      <c r="L538" s="69"/>
      <c r="M538" s="69"/>
      <c r="N538" s="65"/>
      <c r="O538" s="65"/>
      <c r="P538" s="65"/>
      <c r="Q538" s="65"/>
      <c r="R538" s="65"/>
      <c r="S538" s="65"/>
    </row>
    <row r="539" spans="1:19" x14ac:dyDescent="0.2">
      <c r="A539" s="74"/>
      <c r="C539" s="65"/>
      <c r="D539" s="65"/>
      <c r="E539" s="65"/>
      <c r="F539" s="65"/>
      <c r="G539" s="65"/>
      <c r="H539" s="65"/>
      <c r="I539" s="65"/>
      <c r="J539" s="65"/>
      <c r="K539" s="65"/>
      <c r="L539" s="69"/>
      <c r="M539" s="69"/>
      <c r="N539" s="65"/>
      <c r="O539" s="65"/>
      <c r="P539" s="65"/>
      <c r="Q539" s="65"/>
      <c r="R539" s="65"/>
      <c r="S539" s="65"/>
    </row>
    <row r="540" spans="1:19" x14ac:dyDescent="0.2">
      <c r="A540" s="74"/>
      <c r="C540" s="65"/>
      <c r="D540" s="65"/>
      <c r="E540" s="65"/>
      <c r="F540" s="65"/>
      <c r="G540" s="65"/>
      <c r="H540" s="65"/>
      <c r="I540" s="65"/>
      <c r="J540" s="65"/>
      <c r="K540" s="65"/>
      <c r="L540" s="69"/>
      <c r="M540" s="69"/>
      <c r="N540" s="65"/>
      <c r="O540" s="65"/>
      <c r="P540" s="65"/>
      <c r="Q540" s="65"/>
      <c r="R540" s="65"/>
      <c r="S540" s="65"/>
    </row>
    <row r="541" spans="1:19" x14ac:dyDescent="0.2">
      <c r="A541" s="74"/>
      <c r="C541" s="65"/>
      <c r="D541" s="65"/>
      <c r="E541" s="65"/>
      <c r="F541" s="65"/>
      <c r="G541" s="65"/>
      <c r="H541" s="65"/>
      <c r="I541" s="65"/>
      <c r="J541" s="65"/>
      <c r="K541" s="65"/>
      <c r="L541" s="69"/>
      <c r="M541" s="69"/>
      <c r="N541" s="65"/>
      <c r="O541" s="65"/>
      <c r="P541" s="65"/>
      <c r="Q541" s="65"/>
      <c r="R541" s="65"/>
      <c r="S541" s="65"/>
    </row>
    <row r="542" spans="1:19" x14ac:dyDescent="0.2">
      <c r="A542" s="74"/>
      <c r="C542" s="65"/>
      <c r="D542" s="65"/>
      <c r="E542" s="65"/>
      <c r="F542" s="65"/>
      <c r="G542" s="65"/>
      <c r="H542" s="65"/>
      <c r="I542" s="65"/>
      <c r="J542" s="65"/>
      <c r="K542" s="65"/>
      <c r="L542" s="69"/>
      <c r="M542" s="69"/>
      <c r="N542" s="65"/>
      <c r="O542" s="65"/>
      <c r="P542" s="65"/>
      <c r="Q542" s="65"/>
      <c r="R542" s="65"/>
      <c r="S542" s="65"/>
    </row>
    <row r="543" spans="1:19" x14ac:dyDescent="0.2">
      <c r="A543" s="74"/>
      <c r="C543" s="65"/>
      <c r="D543" s="65"/>
      <c r="E543" s="65"/>
      <c r="F543" s="65"/>
      <c r="G543" s="65"/>
      <c r="H543" s="65"/>
      <c r="I543" s="65"/>
      <c r="J543" s="65"/>
      <c r="K543" s="65"/>
      <c r="L543" s="69"/>
      <c r="M543" s="69"/>
      <c r="N543" s="65"/>
      <c r="O543" s="65"/>
      <c r="P543" s="65"/>
      <c r="Q543" s="65"/>
      <c r="R543" s="65"/>
      <c r="S543" s="65"/>
    </row>
    <row r="544" spans="1:19" x14ac:dyDescent="0.2">
      <c r="A544" s="74"/>
      <c r="C544" s="65"/>
      <c r="D544" s="65"/>
      <c r="E544" s="65"/>
      <c r="F544" s="65"/>
      <c r="G544" s="65"/>
      <c r="H544" s="65"/>
      <c r="I544" s="65"/>
      <c r="J544" s="65"/>
      <c r="K544" s="65"/>
      <c r="L544" s="69"/>
      <c r="M544" s="69"/>
      <c r="N544" s="65"/>
      <c r="O544" s="65"/>
      <c r="P544" s="65"/>
      <c r="Q544" s="65"/>
      <c r="R544" s="65"/>
      <c r="S544" s="65"/>
    </row>
    <row r="545" spans="1:19" x14ac:dyDescent="0.2">
      <c r="A545" s="74"/>
      <c r="C545" s="65"/>
      <c r="D545" s="65"/>
      <c r="E545" s="65"/>
      <c r="F545" s="65"/>
      <c r="G545" s="65"/>
      <c r="H545" s="65"/>
      <c r="I545" s="65"/>
      <c r="J545" s="65"/>
      <c r="K545" s="65"/>
      <c r="L545" s="69"/>
      <c r="M545" s="69"/>
      <c r="N545" s="65"/>
      <c r="O545" s="65"/>
      <c r="P545" s="65"/>
      <c r="Q545" s="65"/>
      <c r="R545" s="65"/>
      <c r="S545" s="65"/>
    </row>
    <row r="546" spans="1:19" x14ac:dyDescent="0.2">
      <c r="A546" s="74"/>
      <c r="C546" s="65"/>
      <c r="D546" s="65"/>
      <c r="E546" s="65"/>
      <c r="F546" s="65"/>
      <c r="G546" s="65"/>
      <c r="H546" s="65"/>
      <c r="I546" s="65"/>
      <c r="J546" s="65"/>
      <c r="K546" s="65"/>
      <c r="L546" s="69"/>
      <c r="M546" s="69"/>
      <c r="N546" s="65"/>
      <c r="O546" s="65"/>
      <c r="P546" s="65"/>
      <c r="Q546" s="65"/>
      <c r="R546" s="65"/>
      <c r="S546" s="65"/>
    </row>
    <row r="547" spans="1:19" x14ac:dyDescent="0.2">
      <c r="A547" s="74"/>
      <c r="C547" s="65"/>
      <c r="D547" s="65"/>
      <c r="E547" s="65"/>
      <c r="F547" s="65"/>
      <c r="G547" s="65"/>
      <c r="H547" s="65"/>
      <c r="I547" s="65"/>
      <c r="J547" s="65"/>
      <c r="K547" s="65"/>
      <c r="L547" s="69"/>
      <c r="M547" s="69"/>
      <c r="N547" s="65"/>
      <c r="O547" s="65"/>
      <c r="P547" s="65"/>
      <c r="Q547" s="65"/>
      <c r="R547" s="65"/>
      <c r="S547" s="65"/>
    </row>
    <row r="548" spans="1:19" x14ac:dyDescent="0.2">
      <c r="A548" s="74"/>
      <c r="C548" s="65"/>
      <c r="D548" s="65"/>
      <c r="E548" s="65"/>
      <c r="F548" s="65"/>
      <c r="G548" s="65"/>
      <c r="H548" s="65"/>
      <c r="I548" s="65"/>
      <c r="J548" s="65"/>
      <c r="K548" s="65"/>
      <c r="L548" s="69"/>
      <c r="M548" s="69"/>
      <c r="N548" s="65"/>
      <c r="O548" s="65"/>
      <c r="P548" s="65"/>
      <c r="Q548" s="65"/>
      <c r="R548" s="65"/>
      <c r="S548" s="65"/>
    </row>
    <row r="549" spans="1:19" x14ac:dyDescent="0.2">
      <c r="A549" s="74"/>
      <c r="C549" s="65"/>
      <c r="D549" s="65"/>
      <c r="E549" s="65"/>
      <c r="F549" s="65"/>
      <c r="G549" s="65"/>
      <c r="H549" s="65"/>
      <c r="I549" s="65"/>
      <c r="J549" s="65"/>
      <c r="K549" s="65"/>
      <c r="L549" s="69"/>
      <c r="M549" s="69"/>
      <c r="N549" s="65"/>
      <c r="O549" s="65"/>
      <c r="P549" s="65"/>
      <c r="Q549" s="65"/>
      <c r="R549" s="65"/>
      <c r="S549" s="65"/>
    </row>
    <row r="550" spans="1:19" x14ac:dyDescent="0.2">
      <c r="A550" s="74"/>
      <c r="C550" s="65"/>
      <c r="D550" s="65"/>
      <c r="E550" s="65"/>
      <c r="F550" s="65"/>
      <c r="G550" s="65"/>
      <c r="H550" s="65"/>
      <c r="I550" s="65"/>
      <c r="J550" s="65"/>
      <c r="K550" s="65"/>
      <c r="L550" s="69"/>
      <c r="M550" s="69"/>
      <c r="N550" s="65"/>
      <c r="O550" s="65"/>
      <c r="P550" s="65"/>
      <c r="Q550" s="65"/>
      <c r="R550" s="65"/>
      <c r="S550" s="65"/>
    </row>
    <row r="551" spans="1:19" x14ac:dyDescent="0.2">
      <c r="A551" s="74"/>
      <c r="C551" s="65"/>
      <c r="D551" s="65"/>
      <c r="E551" s="65"/>
      <c r="F551" s="65"/>
      <c r="G551" s="65"/>
      <c r="H551" s="65"/>
      <c r="I551" s="65"/>
      <c r="J551" s="65"/>
      <c r="K551" s="65"/>
      <c r="L551" s="69"/>
      <c r="M551" s="69"/>
      <c r="N551" s="65"/>
      <c r="O551" s="65"/>
      <c r="P551" s="65"/>
      <c r="Q551" s="65"/>
      <c r="R551" s="65"/>
      <c r="S551" s="65"/>
    </row>
    <row r="552" spans="1:19" x14ac:dyDescent="0.2">
      <c r="A552" s="74"/>
      <c r="C552" s="65"/>
      <c r="D552" s="65"/>
      <c r="E552" s="65"/>
      <c r="F552" s="65"/>
      <c r="G552" s="65"/>
      <c r="H552" s="65"/>
      <c r="I552" s="65"/>
      <c r="J552" s="65"/>
      <c r="K552" s="65"/>
      <c r="L552" s="69"/>
      <c r="M552" s="69"/>
      <c r="N552" s="65"/>
      <c r="O552" s="65"/>
      <c r="P552" s="65"/>
      <c r="Q552" s="65"/>
      <c r="R552" s="65"/>
      <c r="S552" s="65"/>
    </row>
    <row r="553" spans="1:19" x14ac:dyDescent="0.2">
      <c r="A553" s="74"/>
      <c r="C553" s="65"/>
      <c r="D553" s="65"/>
      <c r="E553" s="65"/>
      <c r="F553" s="65"/>
      <c r="G553" s="65"/>
      <c r="H553" s="65"/>
      <c r="I553" s="65"/>
      <c r="J553" s="65"/>
      <c r="K553" s="65"/>
      <c r="L553" s="69"/>
      <c r="M553" s="69"/>
      <c r="N553" s="65"/>
      <c r="O553" s="65"/>
      <c r="P553" s="65"/>
      <c r="Q553" s="65"/>
      <c r="R553" s="65"/>
      <c r="S553" s="65"/>
    </row>
    <row r="554" spans="1:19" x14ac:dyDescent="0.2">
      <c r="A554" s="74"/>
      <c r="C554" s="65"/>
      <c r="D554" s="65"/>
      <c r="E554" s="65"/>
      <c r="F554" s="65"/>
      <c r="G554" s="65"/>
      <c r="H554" s="65"/>
      <c r="I554" s="65"/>
      <c r="J554" s="65"/>
      <c r="K554" s="65"/>
      <c r="L554" s="69"/>
      <c r="M554" s="69"/>
      <c r="N554" s="65"/>
      <c r="O554" s="65"/>
      <c r="P554" s="65"/>
      <c r="Q554" s="65"/>
      <c r="R554" s="65"/>
      <c r="S554" s="65"/>
    </row>
    <row r="555" spans="1:19" x14ac:dyDescent="0.2">
      <c r="A555" s="74"/>
      <c r="C555" s="65"/>
      <c r="D555" s="65"/>
      <c r="E555" s="65"/>
      <c r="F555" s="65"/>
      <c r="G555" s="65"/>
      <c r="H555" s="65"/>
      <c r="I555" s="65"/>
      <c r="J555" s="65"/>
      <c r="K555" s="65"/>
      <c r="L555" s="69"/>
      <c r="M555" s="69"/>
      <c r="N555" s="65"/>
      <c r="O555" s="65"/>
      <c r="P555" s="65"/>
      <c r="Q555" s="65"/>
      <c r="R555" s="65"/>
      <c r="S555" s="65"/>
    </row>
    <row r="556" spans="1:19" x14ac:dyDescent="0.2">
      <c r="A556" s="74"/>
      <c r="C556" s="65"/>
      <c r="D556" s="65"/>
      <c r="E556" s="65"/>
      <c r="F556" s="65"/>
      <c r="G556" s="65"/>
      <c r="H556" s="65"/>
      <c r="I556" s="65"/>
      <c r="J556" s="65"/>
      <c r="K556" s="65"/>
      <c r="L556" s="69"/>
      <c r="M556" s="69"/>
      <c r="N556" s="65"/>
      <c r="O556" s="65"/>
      <c r="P556" s="65"/>
      <c r="Q556" s="65"/>
      <c r="R556" s="65"/>
      <c r="S556" s="65"/>
    </row>
    <row r="557" spans="1:19" x14ac:dyDescent="0.2">
      <c r="A557" s="74"/>
      <c r="C557" s="65"/>
      <c r="D557" s="65"/>
      <c r="E557" s="65"/>
      <c r="F557" s="65"/>
      <c r="G557" s="65"/>
      <c r="H557" s="65"/>
      <c r="I557" s="65"/>
      <c r="J557" s="65"/>
      <c r="K557" s="65"/>
      <c r="L557" s="69"/>
      <c r="M557" s="69"/>
      <c r="N557" s="65"/>
      <c r="O557" s="65"/>
      <c r="P557" s="65"/>
      <c r="Q557" s="65"/>
      <c r="R557" s="65"/>
      <c r="S557" s="65"/>
    </row>
    <row r="558" spans="1:19" x14ac:dyDescent="0.2">
      <c r="A558" s="74"/>
      <c r="C558" s="65"/>
      <c r="D558" s="65"/>
      <c r="E558" s="65"/>
      <c r="F558" s="65"/>
      <c r="G558" s="65"/>
      <c r="H558" s="65"/>
      <c r="I558" s="65"/>
      <c r="J558" s="65"/>
      <c r="K558" s="65"/>
      <c r="L558" s="69"/>
      <c r="M558" s="69"/>
      <c r="N558" s="65"/>
      <c r="O558" s="65"/>
      <c r="P558" s="65"/>
      <c r="Q558" s="65"/>
      <c r="R558" s="65"/>
      <c r="S558" s="65"/>
    </row>
    <row r="559" spans="1:19" x14ac:dyDescent="0.2">
      <c r="A559" s="74"/>
      <c r="C559" s="65"/>
      <c r="D559" s="65"/>
      <c r="E559" s="65"/>
      <c r="F559" s="65"/>
      <c r="G559" s="65"/>
      <c r="H559" s="65"/>
      <c r="I559" s="65"/>
      <c r="J559" s="65"/>
      <c r="K559" s="65"/>
      <c r="L559" s="69"/>
      <c r="M559" s="69"/>
      <c r="N559" s="65"/>
      <c r="O559" s="65"/>
      <c r="P559" s="65"/>
      <c r="Q559" s="65"/>
      <c r="R559" s="65"/>
      <c r="S559" s="65"/>
    </row>
    <row r="560" spans="1:19" x14ac:dyDescent="0.2">
      <c r="A560" s="74"/>
      <c r="C560" s="65"/>
      <c r="D560" s="65"/>
      <c r="E560" s="65"/>
      <c r="F560" s="65"/>
      <c r="G560" s="65"/>
      <c r="H560" s="65"/>
      <c r="I560" s="65"/>
      <c r="J560" s="65"/>
      <c r="K560" s="65"/>
      <c r="L560" s="69"/>
      <c r="M560" s="69"/>
      <c r="N560" s="65"/>
      <c r="O560" s="65"/>
      <c r="P560" s="65"/>
      <c r="Q560" s="65"/>
      <c r="R560" s="65"/>
      <c r="S560" s="65"/>
    </row>
    <row r="561" spans="1:19" x14ac:dyDescent="0.2">
      <c r="A561" s="74"/>
      <c r="C561" s="65"/>
      <c r="D561" s="65"/>
      <c r="E561" s="65"/>
      <c r="F561" s="65"/>
      <c r="G561" s="65"/>
      <c r="H561" s="65"/>
      <c r="I561" s="65"/>
      <c r="J561" s="65"/>
      <c r="K561" s="65"/>
      <c r="L561" s="69"/>
      <c r="M561" s="69"/>
      <c r="N561" s="65"/>
      <c r="O561" s="65"/>
      <c r="P561" s="65"/>
      <c r="Q561" s="65"/>
      <c r="R561" s="65"/>
      <c r="S561" s="65"/>
    </row>
    <row r="562" spans="1:19" x14ac:dyDescent="0.2">
      <c r="A562" s="74"/>
      <c r="C562" s="65"/>
      <c r="D562" s="65"/>
      <c r="E562" s="65"/>
      <c r="F562" s="65"/>
      <c r="G562" s="65"/>
      <c r="H562" s="65"/>
      <c r="I562" s="65"/>
      <c r="J562" s="65"/>
      <c r="K562" s="65"/>
      <c r="L562" s="69"/>
      <c r="M562" s="69"/>
      <c r="N562" s="65"/>
      <c r="O562" s="65"/>
      <c r="P562" s="65"/>
      <c r="Q562" s="65"/>
      <c r="R562" s="65"/>
      <c r="S562" s="65"/>
    </row>
    <row r="563" spans="1:19" x14ac:dyDescent="0.2">
      <c r="A563" s="74"/>
      <c r="C563" s="65"/>
      <c r="D563" s="65"/>
      <c r="E563" s="65"/>
      <c r="F563" s="65"/>
      <c r="G563" s="65"/>
      <c r="H563" s="65"/>
      <c r="I563" s="65"/>
      <c r="J563" s="65"/>
      <c r="K563" s="65"/>
      <c r="L563" s="69"/>
      <c r="M563" s="69"/>
      <c r="N563" s="65"/>
      <c r="O563" s="65"/>
      <c r="P563" s="65"/>
      <c r="Q563" s="65"/>
      <c r="R563" s="65"/>
      <c r="S563" s="65"/>
    </row>
    <row r="564" spans="1:19" x14ac:dyDescent="0.2">
      <c r="A564" s="74"/>
      <c r="C564" s="65"/>
      <c r="D564" s="65"/>
      <c r="E564" s="65"/>
      <c r="F564" s="65"/>
      <c r="G564" s="65"/>
      <c r="H564" s="65"/>
      <c r="I564" s="65"/>
      <c r="J564" s="65"/>
      <c r="K564" s="65"/>
      <c r="L564" s="69"/>
      <c r="M564" s="69"/>
      <c r="N564" s="65"/>
      <c r="O564" s="65"/>
      <c r="P564" s="65"/>
      <c r="Q564" s="65"/>
      <c r="R564" s="65"/>
      <c r="S564" s="65"/>
    </row>
    <row r="565" spans="1:19" x14ac:dyDescent="0.2">
      <c r="A565" s="74"/>
      <c r="C565" s="65"/>
      <c r="D565" s="65"/>
      <c r="E565" s="65"/>
      <c r="F565" s="65"/>
      <c r="G565" s="65"/>
      <c r="H565" s="65"/>
      <c r="I565" s="65"/>
      <c r="J565" s="65"/>
      <c r="K565" s="65"/>
      <c r="L565" s="69"/>
      <c r="M565" s="69"/>
      <c r="N565" s="65"/>
      <c r="O565" s="65"/>
      <c r="P565" s="65"/>
      <c r="Q565" s="65"/>
      <c r="R565" s="65"/>
      <c r="S565" s="65"/>
    </row>
    <row r="566" spans="1:19" x14ac:dyDescent="0.2">
      <c r="A566" s="74"/>
      <c r="C566" s="65"/>
      <c r="D566" s="65"/>
      <c r="E566" s="65"/>
      <c r="F566" s="65"/>
      <c r="G566" s="65"/>
      <c r="H566" s="65"/>
      <c r="I566" s="65"/>
      <c r="J566" s="65"/>
      <c r="K566" s="65"/>
      <c r="L566" s="69"/>
      <c r="M566" s="69"/>
      <c r="N566" s="65"/>
      <c r="O566" s="65"/>
      <c r="P566" s="65"/>
      <c r="Q566" s="65"/>
      <c r="R566" s="65"/>
      <c r="S566" s="65"/>
    </row>
    <row r="567" spans="1:19" x14ac:dyDescent="0.2">
      <c r="A567" s="74"/>
      <c r="C567" s="65"/>
      <c r="D567" s="65"/>
      <c r="E567" s="65"/>
      <c r="F567" s="65"/>
      <c r="G567" s="65"/>
      <c r="H567" s="65"/>
      <c r="I567" s="65"/>
      <c r="J567" s="65"/>
      <c r="K567" s="65"/>
      <c r="L567" s="69"/>
      <c r="M567" s="69"/>
      <c r="N567" s="65"/>
      <c r="O567" s="65"/>
      <c r="P567" s="65"/>
      <c r="Q567" s="65"/>
      <c r="R567" s="65"/>
      <c r="S567" s="65"/>
    </row>
    <row r="568" spans="1:19" x14ac:dyDescent="0.2">
      <c r="A568" s="74"/>
      <c r="C568" s="65"/>
      <c r="D568" s="65"/>
      <c r="E568" s="65"/>
      <c r="F568" s="65"/>
      <c r="G568" s="65"/>
      <c r="H568" s="65"/>
      <c r="I568" s="65"/>
      <c r="J568" s="65"/>
      <c r="K568" s="65"/>
      <c r="L568" s="69"/>
      <c r="M568" s="69"/>
      <c r="N568" s="65"/>
      <c r="O568" s="65"/>
      <c r="P568" s="65"/>
      <c r="Q568" s="65"/>
      <c r="R568" s="65"/>
      <c r="S568" s="65"/>
    </row>
    <row r="569" spans="1:19" x14ac:dyDescent="0.2">
      <c r="A569" s="74"/>
      <c r="C569" s="65"/>
      <c r="D569" s="65"/>
      <c r="E569" s="65"/>
      <c r="F569" s="65"/>
      <c r="G569" s="65"/>
      <c r="H569" s="65"/>
      <c r="I569" s="65"/>
      <c r="J569" s="65"/>
      <c r="K569" s="65"/>
      <c r="L569" s="69"/>
      <c r="M569" s="69"/>
      <c r="N569" s="65"/>
      <c r="O569" s="65"/>
      <c r="P569" s="65"/>
      <c r="Q569" s="65"/>
      <c r="R569" s="65"/>
      <c r="S569" s="65"/>
    </row>
    <row r="570" spans="1:19" x14ac:dyDescent="0.2">
      <c r="A570" s="74"/>
      <c r="C570" s="65"/>
      <c r="D570" s="65"/>
      <c r="E570" s="65"/>
      <c r="F570" s="65"/>
      <c r="G570" s="65"/>
      <c r="H570" s="65"/>
      <c r="I570" s="65"/>
      <c r="J570" s="65"/>
      <c r="K570" s="65"/>
      <c r="L570" s="69"/>
      <c r="M570" s="69"/>
      <c r="N570" s="65"/>
      <c r="O570" s="65"/>
      <c r="P570" s="65"/>
      <c r="Q570" s="65"/>
      <c r="R570" s="65"/>
      <c r="S570" s="65"/>
    </row>
    <row r="571" spans="1:19" x14ac:dyDescent="0.2">
      <c r="A571" s="74"/>
      <c r="C571" s="65"/>
      <c r="D571" s="65"/>
      <c r="E571" s="65"/>
      <c r="F571" s="65"/>
      <c r="G571" s="65"/>
      <c r="H571" s="65"/>
      <c r="I571" s="65"/>
      <c r="J571" s="65"/>
      <c r="K571" s="65"/>
      <c r="L571" s="69"/>
      <c r="M571" s="69"/>
      <c r="N571" s="65"/>
      <c r="O571" s="65"/>
      <c r="P571" s="65"/>
      <c r="Q571" s="65"/>
      <c r="R571" s="65"/>
      <c r="S571" s="65"/>
    </row>
    <row r="572" spans="1:19" x14ac:dyDescent="0.2">
      <c r="A572" s="74"/>
      <c r="C572" s="65"/>
      <c r="D572" s="65"/>
      <c r="E572" s="65"/>
      <c r="F572" s="65"/>
      <c r="G572" s="65"/>
      <c r="H572" s="65"/>
      <c r="I572" s="65"/>
      <c r="J572" s="65"/>
      <c r="K572" s="65"/>
      <c r="L572" s="69"/>
      <c r="M572" s="69"/>
      <c r="N572" s="65"/>
      <c r="O572" s="65"/>
      <c r="P572" s="65"/>
      <c r="Q572" s="65"/>
      <c r="R572" s="65"/>
      <c r="S572" s="65"/>
    </row>
    <row r="573" spans="1:19" x14ac:dyDescent="0.2">
      <c r="A573" s="74"/>
      <c r="C573" s="65"/>
      <c r="D573" s="65"/>
      <c r="E573" s="65"/>
      <c r="F573" s="65"/>
      <c r="G573" s="65"/>
      <c r="H573" s="65"/>
      <c r="I573" s="65"/>
      <c r="J573" s="65"/>
      <c r="K573" s="65"/>
      <c r="L573" s="69"/>
      <c r="M573" s="69"/>
      <c r="N573" s="65"/>
      <c r="O573" s="65"/>
      <c r="P573" s="65"/>
      <c r="Q573" s="65"/>
      <c r="R573" s="65"/>
      <c r="S573" s="65"/>
    </row>
    <row r="574" spans="1:19" x14ac:dyDescent="0.2">
      <c r="A574" s="74"/>
      <c r="C574" s="65"/>
      <c r="D574" s="65"/>
      <c r="E574" s="65"/>
      <c r="F574" s="65"/>
      <c r="G574" s="65"/>
      <c r="H574" s="65"/>
      <c r="I574" s="65"/>
      <c r="J574" s="65"/>
      <c r="K574" s="65"/>
      <c r="L574" s="69"/>
      <c r="M574" s="69"/>
      <c r="N574" s="65"/>
      <c r="O574" s="65"/>
      <c r="P574" s="65"/>
      <c r="Q574" s="65"/>
      <c r="R574" s="65"/>
      <c r="S574" s="65"/>
    </row>
    <row r="575" spans="1:19" x14ac:dyDescent="0.2">
      <c r="A575" s="74"/>
      <c r="C575" s="65"/>
      <c r="D575" s="65"/>
      <c r="E575" s="65"/>
      <c r="F575" s="65"/>
      <c r="G575" s="65"/>
      <c r="H575" s="65"/>
      <c r="I575" s="65"/>
      <c r="J575" s="65"/>
      <c r="K575" s="65"/>
      <c r="L575" s="69"/>
      <c r="M575" s="69"/>
      <c r="N575" s="65"/>
      <c r="O575" s="65"/>
      <c r="P575" s="65"/>
      <c r="Q575" s="65"/>
      <c r="R575" s="65"/>
      <c r="S575" s="65"/>
    </row>
    <row r="576" spans="1:19" x14ac:dyDescent="0.2">
      <c r="A576" s="74"/>
      <c r="C576" s="65"/>
      <c r="D576" s="65"/>
      <c r="E576" s="65"/>
      <c r="F576" s="65"/>
      <c r="G576" s="65"/>
      <c r="H576" s="65"/>
      <c r="I576" s="65"/>
      <c r="J576" s="65"/>
      <c r="K576" s="65"/>
      <c r="L576" s="69"/>
      <c r="M576" s="69"/>
      <c r="N576" s="65"/>
      <c r="O576" s="65"/>
      <c r="P576" s="65"/>
      <c r="Q576" s="65"/>
      <c r="R576" s="65"/>
      <c r="S576" s="65"/>
    </row>
    <row r="577" spans="1:19" x14ac:dyDescent="0.2">
      <c r="A577" s="74"/>
      <c r="C577" s="65"/>
      <c r="D577" s="65"/>
      <c r="E577" s="65"/>
      <c r="F577" s="65"/>
      <c r="G577" s="65"/>
      <c r="H577" s="65"/>
      <c r="I577" s="65"/>
      <c r="J577" s="65"/>
      <c r="K577" s="65"/>
      <c r="L577" s="69"/>
      <c r="M577" s="69"/>
      <c r="N577" s="65"/>
      <c r="O577" s="65"/>
      <c r="P577" s="65"/>
      <c r="Q577" s="65"/>
      <c r="R577" s="65"/>
      <c r="S577" s="65"/>
    </row>
    <row r="578" spans="1:19" x14ac:dyDescent="0.2">
      <c r="A578" s="74"/>
      <c r="C578" s="65"/>
      <c r="D578" s="65"/>
      <c r="E578" s="65"/>
      <c r="F578" s="65"/>
      <c r="G578" s="65"/>
      <c r="H578" s="65"/>
      <c r="I578" s="65"/>
      <c r="J578" s="65"/>
      <c r="K578" s="65"/>
      <c r="L578" s="69"/>
      <c r="M578" s="69"/>
      <c r="N578" s="65"/>
      <c r="O578" s="65"/>
      <c r="P578" s="65"/>
      <c r="Q578" s="65"/>
      <c r="R578" s="65"/>
      <c r="S578" s="65"/>
    </row>
    <row r="579" spans="1:19" x14ac:dyDescent="0.2">
      <c r="A579" s="74"/>
      <c r="C579" s="65"/>
      <c r="D579" s="65"/>
      <c r="E579" s="65"/>
      <c r="F579" s="65"/>
      <c r="G579" s="65"/>
      <c r="H579" s="65"/>
      <c r="I579" s="65"/>
      <c r="J579" s="65"/>
      <c r="K579" s="65"/>
      <c r="L579" s="69"/>
      <c r="M579" s="69"/>
      <c r="N579" s="65"/>
      <c r="O579" s="65"/>
      <c r="P579" s="65"/>
      <c r="Q579" s="65"/>
      <c r="R579" s="65"/>
      <c r="S579" s="65"/>
    </row>
    <row r="580" spans="1:19" x14ac:dyDescent="0.2">
      <c r="A580" s="74"/>
      <c r="C580" s="65"/>
      <c r="D580" s="65"/>
      <c r="E580" s="65"/>
      <c r="F580" s="65"/>
      <c r="G580" s="65"/>
      <c r="H580" s="65"/>
      <c r="I580" s="65"/>
      <c r="J580" s="65"/>
      <c r="K580" s="65"/>
      <c r="L580" s="69"/>
      <c r="M580" s="69"/>
      <c r="N580" s="65"/>
      <c r="O580" s="65"/>
      <c r="P580" s="65"/>
      <c r="Q580" s="65"/>
      <c r="R580" s="65"/>
      <c r="S580" s="65"/>
    </row>
    <row r="581" spans="1:19" x14ac:dyDescent="0.2">
      <c r="A581" s="74"/>
      <c r="C581" s="65"/>
      <c r="D581" s="65"/>
      <c r="E581" s="65"/>
      <c r="F581" s="65"/>
      <c r="G581" s="65"/>
      <c r="H581" s="65"/>
      <c r="I581" s="65"/>
      <c r="J581" s="65"/>
      <c r="K581" s="65"/>
      <c r="L581" s="69"/>
      <c r="M581" s="69"/>
      <c r="N581" s="65"/>
      <c r="O581" s="65"/>
      <c r="P581" s="65"/>
      <c r="Q581" s="65"/>
      <c r="R581" s="65"/>
      <c r="S581" s="65"/>
    </row>
    <row r="582" spans="1:19" x14ac:dyDescent="0.2">
      <c r="A582" s="74"/>
      <c r="C582" s="65"/>
      <c r="D582" s="65"/>
      <c r="E582" s="65"/>
      <c r="F582" s="65"/>
      <c r="G582" s="65"/>
      <c r="H582" s="65"/>
      <c r="I582" s="65"/>
      <c r="J582" s="65"/>
      <c r="K582" s="65"/>
      <c r="L582" s="69"/>
      <c r="M582" s="69"/>
      <c r="N582" s="65"/>
      <c r="O582" s="65"/>
      <c r="P582" s="65"/>
      <c r="Q582" s="65"/>
      <c r="R582" s="65"/>
      <c r="S582" s="65"/>
    </row>
    <row r="583" spans="1:19" x14ac:dyDescent="0.2">
      <c r="A583" s="74"/>
      <c r="C583" s="65"/>
      <c r="D583" s="65"/>
      <c r="E583" s="65"/>
      <c r="F583" s="65"/>
      <c r="G583" s="65"/>
      <c r="H583" s="65"/>
      <c r="I583" s="65"/>
      <c r="J583" s="65"/>
      <c r="K583" s="65"/>
      <c r="L583" s="69"/>
      <c r="M583" s="69"/>
      <c r="N583" s="65"/>
      <c r="O583" s="65"/>
      <c r="P583" s="65"/>
      <c r="Q583" s="65"/>
      <c r="R583" s="65"/>
      <c r="S583" s="65"/>
    </row>
    <row r="584" spans="1:19" x14ac:dyDescent="0.2">
      <c r="A584" s="74"/>
      <c r="C584" s="65"/>
      <c r="D584" s="65"/>
      <c r="E584" s="65"/>
      <c r="F584" s="65"/>
      <c r="G584" s="65"/>
      <c r="H584" s="65"/>
      <c r="I584" s="65"/>
      <c r="J584" s="65"/>
      <c r="K584" s="65"/>
      <c r="L584" s="69"/>
      <c r="M584" s="69"/>
      <c r="N584" s="65"/>
      <c r="O584" s="65"/>
      <c r="P584" s="65"/>
      <c r="Q584" s="65"/>
      <c r="R584" s="65"/>
      <c r="S584" s="65"/>
    </row>
    <row r="585" spans="1:19" x14ac:dyDescent="0.2">
      <c r="A585" s="74"/>
      <c r="C585" s="65"/>
      <c r="D585" s="65"/>
      <c r="E585" s="65"/>
      <c r="F585" s="65"/>
      <c r="G585" s="65"/>
      <c r="H585" s="65"/>
      <c r="I585" s="65"/>
      <c r="J585" s="65"/>
      <c r="K585" s="65"/>
      <c r="L585" s="69"/>
      <c r="M585" s="69"/>
      <c r="N585" s="65"/>
      <c r="O585" s="65"/>
      <c r="P585" s="65"/>
      <c r="Q585" s="65"/>
      <c r="R585" s="65"/>
      <c r="S585" s="65"/>
    </row>
    <row r="586" spans="1:19" x14ac:dyDescent="0.2">
      <c r="A586" s="74"/>
      <c r="C586" s="65"/>
      <c r="D586" s="65"/>
      <c r="E586" s="65"/>
      <c r="F586" s="65"/>
      <c r="G586" s="65"/>
      <c r="H586" s="65"/>
      <c r="I586" s="65"/>
      <c r="J586" s="65"/>
      <c r="K586" s="65"/>
      <c r="L586" s="69"/>
      <c r="M586" s="69"/>
      <c r="N586" s="65"/>
      <c r="O586" s="65"/>
      <c r="P586" s="65"/>
      <c r="Q586" s="65"/>
      <c r="R586" s="65"/>
      <c r="S586" s="65"/>
    </row>
    <row r="587" spans="1:19" x14ac:dyDescent="0.2">
      <c r="A587" s="74"/>
      <c r="C587" s="65"/>
      <c r="D587" s="65"/>
      <c r="E587" s="65"/>
      <c r="F587" s="65"/>
      <c r="G587" s="65"/>
      <c r="H587" s="65"/>
      <c r="I587" s="65"/>
      <c r="J587" s="65"/>
      <c r="K587" s="65"/>
      <c r="L587" s="69"/>
      <c r="M587" s="69"/>
      <c r="N587" s="65"/>
      <c r="O587" s="65"/>
      <c r="P587" s="65"/>
      <c r="Q587" s="65"/>
      <c r="R587" s="65"/>
      <c r="S587" s="65"/>
    </row>
    <row r="588" spans="1:19" x14ac:dyDescent="0.2">
      <c r="A588" s="74"/>
      <c r="C588" s="65"/>
      <c r="D588" s="65"/>
      <c r="E588" s="65"/>
      <c r="F588" s="65"/>
      <c r="G588" s="65"/>
      <c r="H588" s="65"/>
      <c r="I588" s="65"/>
      <c r="J588" s="65"/>
      <c r="K588" s="65"/>
      <c r="L588" s="69"/>
      <c r="M588" s="69"/>
      <c r="N588" s="65"/>
      <c r="O588" s="65"/>
      <c r="P588" s="65"/>
      <c r="Q588" s="65"/>
      <c r="R588" s="65"/>
      <c r="S588" s="65"/>
    </row>
    <row r="589" spans="1:19" x14ac:dyDescent="0.2">
      <c r="A589" s="74"/>
      <c r="C589" s="65"/>
      <c r="D589" s="65"/>
      <c r="E589" s="65"/>
      <c r="F589" s="65"/>
      <c r="G589" s="65"/>
      <c r="H589" s="65"/>
      <c r="I589" s="65"/>
      <c r="J589" s="65"/>
      <c r="K589" s="65"/>
      <c r="L589" s="69"/>
      <c r="M589" s="69"/>
      <c r="N589" s="65"/>
      <c r="O589" s="65"/>
      <c r="P589" s="65"/>
      <c r="Q589" s="65"/>
      <c r="R589" s="65"/>
      <c r="S589" s="65"/>
    </row>
    <row r="590" spans="1:19" x14ac:dyDescent="0.2">
      <c r="A590" s="74"/>
      <c r="C590" s="65"/>
      <c r="D590" s="65"/>
      <c r="E590" s="65"/>
      <c r="F590" s="65"/>
      <c r="G590" s="65"/>
      <c r="H590" s="65"/>
      <c r="I590" s="65"/>
      <c r="J590" s="65"/>
      <c r="K590" s="65"/>
      <c r="L590" s="69"/>
      <c r="M590" s="69"/>
      <c r="N590" s="65"/>
      <c r="O590" s="65"/>
      <c r="P590" s="65"/>
      <c r="Q590" s="65"/>
      <c r="R590" s="65"/>
      <c r="S590" s="65"/>
    </row>
    <row r="591" spans="1:19" x14ac:dyDescent="0.2">
      <c r="A591" s="74"/>
      <c r="C591" s="65"/>
      <c r="D591" s="65"/>
      <c r="E591" s="65"/>
      <c r="F591" s="65"/>
      <c r="G591" s="65"/>
      <c r="H591" s="65"/>
      <c r="I591" s="65"/>
      <c r="J591" s="65"/>
      <c r="K591" s="65"/>
      <c r="L591" s="69"/>
      <c r="M591" s="69"/>
      <c r="N591" s="65"/>
      <c r="O591" s="65"/>
      <c r="P591" s="65"/>
      <c r="Q591" s="65"/>
      <c r="R591" s="65"/>
      <c r="S591" s="65"/>
    </row>
    <row r="592" spans="1:19" x14ac:dyDescent="0.2">
      <c r="A592" s="74"/>
      <c r="C592" s="65"/>
      <c r="D592" s="65"/>
      <c r="E592" s="65"/>
      <c r="F592" s="65"/>
      <c r="G592" s="65"/>
      <c r="H592" s="65"/>
      <c r="I592" s="65"/>
      <c r="J592" s="65"/>
      <c r="K592" s="65"/>
      <c r="L592" s="69"/>
      <c r="M592" s="69"/>
      <c r="N592" s="65"/>
      <c r="O592" s="65"/>
      <c r="P592" s="65"/>
      <c r="Q592" s="65"/>
      <c r="R592" s="65"/>
      <c r="S592" s="65"/>
    </row>
    <row r="593" spans="1:19" x14ac:dyDescent="0.2">
      <c r="A593" s="74"/>
      <c r="C593" s="65"/>
      <c r="D593" s="65"/>
      <c r="E593" s="65"/>
      <c r="F593" s="65"/>
      <c r="G593" s="65"/>
      <c r="H593" s="65"/>
      <c r="I593" s="65"/>
      <c r="J593" s="65"/>
      <c r="K593" s="65"/>
      <c r="L593" s="69"/>
      <c r="M593" s="69"/>
      <c r="N593" s="65"/>
      <c r="O593" s="65"/>
      <c r="P593" s="65"/>
      <c r="Q593" s="65"/>
      <c r="R593" s="65"/>
      <c r="S593" s="65"/>
    </row>
    <row r="594" spans="1:19" x14ac:dyDescent="0.2">
      <c r="A594" s="74"/>
      <c r="C594" s="65"/>
      <c r="D594" s="65"/>
      <c r="E594" s="65"/>
      <c r="F594" s="65"/>
      <c r="G594" s="65"/>
      <c r="H594" s="65"/>
      <c r="I594" s="65"/>
      <c r="J594" s="65"/>
      <c r="K594" s="65"/>
      <c r="L594" s="69"/>
      <c r="M594" s="69"/>
      <c r="N594" s="65"/>
      <c r="O594" s="65"/>
      <c r="P594" s="65"/>
      <c r="Q594" s="65"/>
      <c r="R594" s="65"/>
      <c r="S594" s="65"/>
    </row>
    <row r="595" spans="1:19" x14ac:dyDescent="0.2">
      <c r="A595" s="74"/>
      <c r="C595" s="65"/>
      <c r="D595" s="65"/>
      <c r="E595" s="65"/>
      <c r="F595" s="65"/>
      <c r="G595" s="65"/>
      <c r="H595" s="65"/>
      <c r="I595" s="65"/>
      <c r="J595" s="65"/>
      <c r="K595" s="65"/>
      <c r="L595" s="69"/>
      <c r="M595" s="69"/>
      <c r="N595" s="65"/>
      <c r="O595" s="65"/>
      <c r="P595" s="65"/>
      <c r="Q595" s="65"/>
      <c r="R595" s="65"/>
      <c r="S595" s="65"/>
    </row>
    <row r="596" spans="1:19" x14ac:dyDescent="0.2">
      <c r="A596" s="74"/>
      <c r="C596" s="65"/>
      <c r="D596" s="65"/>
      <c r="E596" s="65"/>
      <c r="F596" s="65"/>
      <c r="G596" s="65"/>
      <c r="H596" s="65"/>
      <c r="I596" s="65"/>
      <c r="J596" s="65"/>
      <c r="K596" s="65"/>
      <c r="L596" s="69"/>
      <c r="M596" s="69"/>
      <c r="N596" s="65"/>
      <c r="O596" s="65"/>
      <c r="P596" s="65"/>
      <c r="Q596" s="65"/>
      <c r="R596" s="65"/>
      <c r="S596" s="65"/>
    </row>
    <row r="597" spans="1:19" x14ac:dyDescent="0.2">
      <c r="A597" s="74"/>
      <c r="C597" s="65"/>
      <c r="D597" s="65"/>
      <c r="E597" s="65"/>
      <c r="F597" s="65"/>
      <c r="G597" s="65"/>
      <c r="H597" s="65"/>
      <c r="I597" s="65"/>
      <c r="J597" s="65"/>
      <c r="K597" s="65"/>
      <c r="L597" s="69"/>
      <c r="M597" s="69"/>
      <c r="N597" s="65"/>
      <c r="O597" s="65"/>
      <c r="P597" s="65"/>
      <c r="Q597" s="65"/>
      <c r="R597" s="65"/>
      <c r="S597" s="65"/>
    </row>
    <row r="598" spans="1:19" x14ac:dyDescent="0.2">
      <c r="A598" s="74"/>
      <c r="C598" s="65"/>
      <c r="D598" s="65"/>
      <c r="E598" s="65"/>
      <c r="F598" s="65"/>
      <c r="G598" s="65"/>
      <c r="H598" s="65"/>
      <c r="I598" s="65"/>
      <c r="J598" s="65"/>
      <c r="K598" s="65"/>
      <c r="L598" s="69"/>
      <c r="M598" s="69"/>
      <c r="N598" s="65"/>
      <c r="O598" s="65"/>
      <c r="P598" s="65"/>
      <c r="Q598" s="65"/>
      <c r="R598" s="65"/>
      <c r="S598" s="65"/>
    </row>
    <row r="599" spans="1:19" x14ac:dyDescent="0.2">
      <c r="A599" s="74"/>
      <c r="C599" s="65"/>
      <c r="D599" s="65"/>
      <c r="E599" s="65"/>
      <c r="F599" s="65"/>
      <c r="G599" s="65"/>
      <c r="H599" s="65"/>
      <c r="I599" s="65"/>
      <c r="J599" s="65"/>
      <c r="K599" s="65"/>
      <c r="L599" s="69"/>
      <c r="M599" s="69"/>
      <c r="N599" s="65"/>
      <c r="O599" s="65"/>
      <c r="P599" s="65"/>
      <c r="Q599" s="65"/>
      <c r="R599" s="65"/>
      <c r="S599" s="65"/>
    </row>
    <row r="600" spans="1:19" x14ac:dyDescent="0.2">
      <c r="A600" s="74"/>
      <c r="C600" s="65"/>
      <c r="D600" s="65"/>
      <c r="E600" s="65"/>
      <c r="F600" s="65"/>
      <c r="G600" s="65"/>
      <c r="H600" s="65"/>
      <c r="I600" s="65"/>
      <c r="J600" s="65"/>
      <c r="K600" s="65"/>
      <c r="L600" s="69"/>
      <c r="M600" s="69"/>
      <c r="N600" s="65"/>
      <c r="O600" s="65"/>
      <c r="P600" s="65"/>
      <c r="Q600" s="65"/>
      <c r="R600" s="65"/>
      <c r="S600" s="65"/>
    </row>
    <row r="601" spans="1:19" x14ac:dyDescent="0.2">
      <c r="A601" s="74"/>
      <c r="C601" s="65"/>
      <c r="D601" s="65"/>
      <c r="E601" s="65"/>
      <c r="F601" s="65"/>
      <c r="G601" s="65"/>
      <c r="H601" s="65"/>
      <c r="I601" s="65"/>
      <c r="J601" s="65"/>
      <c r="K601" s="65"/>
      <c r="L601" s="69"/>
      <c r="M601" s="69"/>
      <c r="N601" s="65"/>
      <c r="O601" s="65"/>
      <c r="P601" s="65"/>
      <c r="Q601" s="65"/>
      <c r="R601" s="65"/>
      <c r="S601" s="65"/>
    </row>
    <row r="602" spans="1:19" x14ac:dyDescent="0.2">
      <c r="A602" s="74"/>
      <c r="C602" s="65"/>
      <c r="D602" s="65"/>
      <c r="E602" s="65"/>
      <c r="F602" s="65"/>
      <c r="G602" s="65"/>
      <c r="H602" s="65"/>
      <c r="I602" s="65"/>
      <c r="J602" s="65"/>
      <c r="K602" s="65"/>
      <c r="L602" s="69"/>
      <c r="M602" s="69"/>
      <c r="N602" s="65"/>
      <c r="O602" s="65"/>
      <c r="P602" s="65"/>
      <c r="Q602" s="65"/>
      <c r="R602" s="65"/>
      <c r="S602" s="65"/>
    </row>
    <row r="603" spans="1:19" x14ac:dyDescent="0.2">
      <c r="A603" s="74"/>
      <c r="C603" s="65"/>
      <c r="D603" s="65"/>
      <c r="E603" s="65"/>
      <c r="F603" s="65"/>
      <c r="G603" s="65"/>
      <c r="H603" s="65"/>
      <c r="I603" s="65"/>
      <c r="J603" s="65"/>
      <c r="K603" s="65"/>
      <c r="L603" s="69"/>
      <c r="M603" s="69"/>
      <c r="N603" s="65"/>
      <c r="O603" s="65"/>
      <c r="P603" s="65"/>
      <c r="Q603" s="65"/>
      <c r="R603" s="65"/>
      <c r="S603" s="65"/>
    </row>
    <row r="604" spans="1:19" x14ac:dyDescent="0.2">
      <c r="A604" s="74"/>
      <c r="C604" s="65"/>
      <c r="D604" s="65"/>
      <c r="E604" s="65"/>
      <c r="F604" s="65"/>
      <c r="G604" s="65"/>
      <c r="H604" s="65"/>
      <c r="I604" s="65"/>
      <c r="J604" s="65"/>
      <c r="K604" s="65"/>
      <c r="L604" s="69"/>
      <c r="M604" s="69"/>
      <c r="N604" s="65"/>
      <c r="O604" s="65"/>
      <c r="P604" s="65"/>
      <c r="Q604" s="65"/>
      <c r="R604" s="65"/>
      <c r="S604" s="65"/>
    </row>
    <row r="605" spans="1:19" x14ac:dyDescent="0.2">
      <c r="A605" s="74"/>
      <c r="C605" s="65"/>
      <c r="D605" s="65"/>
      <c r="E605" s="65"/>
      <c r="F605" s="65"/>
      <c r="G605" s="65"/>
      <c r="H605" s="65"/>
      <c r="I605" s="65"/>
      <c r="J605" s="65"/>
      <c r="K605" s="65"/>
      <c r="L605" s="69"/>
      <c r="M605" s="69"/>
      <c r="N605" s="65"/>
      <c r="O605" s="65"/>
      <c r="P605" s="65"/>
      <c r="Q605" s="65"/>
      <c r="R605" s="65"/>
      <c r="S605" s="65"/>
    </row>
    <row r="606" spans="1:19" x14ac:dyDescent="0.2">
      <c r="A606" s="74"/>
      <c r="C606" s="65"/>
      <c r="D606" s="65"/>
      <c r="E606" s="65"/>
      <c r="F606" s="65"/>
      <c r="G606" s="65"/>
      <c r="H606" s="65"/>
      <c r="I606" s="65"/>
      <c r="J606" s="65"/>
      <c r="K606" s="65"/>
      <c r="L606" s="69"/>
      <c r="M606" s="69"/>
      <c r="N606" s="65"/>
      <c r="O606" s="65"/>
      <c r="P606" s="65"/>
      <c r="Q606" s="65"/>
      <c r="R606" s="65"/>
      <c r="S606" s="65"/>
    </row>
    <row r="607" spans="1:19" x14ac:dyDescent="0.2">
      <c r="A607" s="74"/>
      <c r="C607" s="65"/>
      <c r="D607" s="65"/>
      <c r="E607" s="65"/>
      <c r="F607" s="65"/>
      <c r="G607" s="65"/>
      <c r="H607" s="65"/>
      <c r="I607" s="65"/>
      <c r="J607" s="65"/>
      <c r="K607" s="65"/>
      <c r="L607" s="69"/>
      <c r="M607" s="69"/>
      <c r="N607" s="65"/>
      <c r="O607" s="65"/>
      <c r="P607" s="65"/>
      <c r="Q607" s="65"/>
      <c r="R607" s="65"/>
      <c r="S607" s="65"/>
    </row>
    <row r="608" spans="1:19" x14ac:dyDescent="0.2">
      <c r="A608" s="74"/>
      <c r="C608" s="65"/>
      <c r="D608" s="65"/>
      <c r="E608" s="65"/>
      <c r="F608" s="65"/>
      <c r="G608" s="65"/>
      <c r="H608" s="65"/>
      <c r="I608" s="65"/>
      <c r="J608" s="65"/>
      <c r="K608" s="65"/>
      <c r="L608" s="69"/>
      <c r="M608" s="69"/>
      <c r="N608" s="65"/>
      <c r="O608" s="65"/>
      <c r="P608" s="65"/>
      <c r="Q608" s="65"/>
      <c r="R608" s="65"/>
      <c r="S608" s="65"/>
    </row>
    <row r="609" spans="1:19" x14ac:dyDescent="0.2">
      <c r="A609" s="74"/>
      <c r="C609" s="65"/>
      <c r="D609" s="65"/>
      <c r="E609" s="65"/>
      <c r="F609" s="65"/>
      <c r="G609" s="65"/>
      <c r="H609" s="65"/>
      <c r="I609" s="65"/>
      <c r="J609" s="65"/>
      <c r="K609" s="65"/>
      <c r="L609" s="69"/>
      <c r="M609" s="69"/>
      <c r="N609" s="65"/>
      <c r="O609" s="65"/>
      <c r="P609" s="65"/>
      <c r="Q609" s="65"/>
      <c r="R609" s="65"/>
      <c r="S609" s="65"/>
    </row>
    <row r="610" spans="1:19" x14ac:dyDescent="0.2">
      <c r="A610" s="74"/>
      <c r="C610" s="65"/>
      <c r="D610" s="65"/>
      <c r="E610" s="65"/>
      <c r="F610" s="65"/>
      <c r="G610" s="65"/>
      <c r="H610" s="65"/>
      <c r="I610" s="65"/>
      <c r="J610" s="65"/>
      <c r="K610" s="65"/>
      <c r="L610" s="69"/>
      <c r="M610" s="69"/>
      <c r="N610" s="65"/>
      <c r="O610" s="65"/>
      <c r="P610" s="65"/>
      <c r="Q610" s="65"/>
      <c r="R610" s="65"/>
      <c r="S610" s="65"/>
    </row>
    <row r="611" spans="1:19" x14ac:dyDescent="0.2">
      <c r="A611" s="74"/>
      <c r="C611" s="65"/>
      <c r="D611" s="65"/>
      <c r="E611" s="65"/>
      <c r="F611" s="65"/>
      <c r="G611" s="65"/>
      <c r="H611" s="65"/>
      <c r="I611" s="65"/>
      <c r="J611" s="65"/>
      <c r="K611" s="65"/>
      <c r="L611" s="69"/>
      <c r="M611" s="69"/>
      <c r="N611" s="65"/>
      <c r="O611" s="65"/>
      <c r="P611" s="65"/>
      <c r="Q611" s="65"/>
      <c r="R611" s="65"/>
      <c r="S611" s="65"/>
    </row>
    <row r="612" spans="1:19" x14ac:dyDescent="0.2">
      <c r="A612" s="74"/>
      <c r="C612" s="65"/>
      <c r="D612" s="65"/>
      <c r="E612" s="65"/>
      <c r="F612" s="65"/>
      <c r="G612" s="65"/>
      <c r="H612" s="65"/>
      <c r="I612" s="65"/>
      <c r="J612" s="65"/>
      <c r="K612" s="65"/>
      <c r="L612" s="69"/>
      <c r="M612" s="69"/>
      <c r="N612" s="65"/>
      <c r="O612" s="65"/>
      <c r="P612" s="65"/>
      <c r="Q612" s="65"/>
      <c r="R612" s="65"/>
      <c r="S612" s="65"/>
    </row>
    <row r="613" spans="1:19" x14ac:dyDescent="0.2">
      <c r="A613" s="74"/>
      <c r="C613" s="65"/>
      <c r="D613" s="65"/>
      <c r="E613" s="65"/>
      <c r="F613" s="65"/>
      <c r="G613" s="65"/>
      <c r="H613" s="65"/>
      <c r="I613" s="65"/>
      <c r="J613" s="65"/>
      <c r="K613" s="65"/>
      <c r="L613" s="69"/>
      <c r="M613" s="69"/>
      <c r="N613" s="65"/>
      <c r="O613" s="65"/>
      <c r="P613" s="65"/>
      <c r="Q613" s="65"/>
      <c r="R613" s="65"/>
      <c r="S613" s="65"/>
    </row>
    <row r="614" spans="1:19" x14ac:dyDescent="0.2">
      <c r="A614" s="74"/>
      <c r="C614" s="65"/>
      <c r="D614" s="65"/>
      <c r="E614" s="65"/>
      <c r="F614" s="65"/>
      <c r="G614" s="65"/>
      <c r="H614" s="65"/>
      <c r="I614" s="65"/>
      <c r="J614" s="65"/>
      <c r="K614" s="65"/>
      <c r="L614" s="69"/>
      <c r="M614" s="69"/>
      <c r="N614" s="65"/>
      <c r="O614" s="65"/>
      <c r="P614" s="65"/>
      <c r="Q614" s="65"/>
      <c r="R614" s="65"/>
      <c r="S614" s="65"/>
    </row>
    <row r="615" spans="1:19" x14ac:dyDescent="0.2">
      <c r="A615" s="74"/>
      <c r="C615" s="65"/>
      <c r="D615" s="65"/>
      <c r="E615" s="65"/>
      <c r="F615" s="65"/>
      <c r="G615" s="65"/>
      <c r="H615" s="65"/>
      <c r="I615" s="65"/>
      <c r="J615" s="65"/>
      <c r="K615" s="65"/>
      <c r="L615" s="69"/>
      <c r="M615" s="69"/>
      <c r="N615" s="65"/>
      <c r="O615" s="65"/>
      <c r="P615" s="65"/>
      <c r="Q615" s="65"/>
      <c r="R615" s="65"/>
      <c r="S615" s="65"/>
    </row>
    <row r="616" spans="1:19" x14ac:dyDescent="0.2">
      <c r="A616" s="74"/>
      <c r="C616" s="65"/>
      <c r="D616" s="65"/>
      <c r="E616" s="65"/>
      <c r="F616" s="65"/>
      <c r="G616" s="65"/>
      <c r="H616" s="65"/>
      <c r="I616" s="65"/>
      <c r="J616" s="65"/>
      <c r="K616" s="65"/>
      <c r="L616" s="69"/>
      <c r="M616" s="69"/>
      <c r="N616" s="65"/>
      <c r="O616" s="65"/>
      <c r="P616" s="65"/>
      <c r="Q616" s="65"/>
      <c r="R616" s="65"/>
      <c r="S616" s="65"/>
    </row>
    <row r="617" spans="1:19" x14ac:dyDescent="0.2">
      <c r="A617" s="74"/>
      <c r="C617" s="65"/>
      <c r="D617" s="65"/>
      <c r="E617" s="65"/>
      <c r="F617" s="65"/>
      <c r="G617" s="65"/>
      <c r="H617" s="65"/>
      <c r="I617" s="65"/>
      <c r="J617" s="65"/>
      <c r="K617" s="65"/>
      <c r="L617" s="69"/>
      <c r="M617" s="69"/>
      <c r="N617" s="65"/>
      <c r="O617" s="65"/>
      <c r="P617" s="65"/>
      <c r="Q617" s="65"/>
      <c r="R617" s="65"/>
      <c r="S617" s="65"/>
    </row>
    <row r="618" spans="1:19" x14ac:dyDescent="0.2">
      <c r="A618" s="74"/>
      <c r="C618" s="65"/>
      <c r="D618" s="65"/>
      <c r="E618" s="65"/>
      <c r="F618" s="65"/>
      <c r="G618" s="65"/>
      <c r="H618" s="65"/>
      <c r="I618" s="65"/>
      <c r="J618" s="65"/>
      <c r="K618" s="65"/>
      <c r="L618" s="69"/>
      <c r="M618" s="69"/>
      <c r="N618" s="65"/>
      <c r="O618" s="65"/>
      <c r="P618" s="65"/>
      <c r="Q618" s="65"/>
      <c r="R618" s="65"/>
      <c r="S618" s="65"/>
    </row>
    <row r="619" spans="1:19" x14ac:dyDescent="0.2">
      <c r="A619" s="74"/>
      <c r="C619" s="65"/>
      <c r="D619" s="65"/>
      <c r="E619" s="65"/>
      <c r="F619" s="65"/>
      <c r="G619" s="65"/>
      <c r="H619" s="65"/>
      <c r="I619" s="65"/>
      <c r="J619" s="65"/>
      <c r="K619" s="65"/>
      <c r="L619" s="69"/>
      <c r="M619" s="69"/>
      <c r="N619" s="65"/>
      <c r="O619" s="65"/>
      <c r="P619" s="65"/>
      <c r="Q619" s="65"/>
      <c r="R619" s="65"/>
      <c r="S619" s="65"/>
    </row>
    <row r="620" spans="1:19" x14ac:dyDescent="0.2">
      <c r="A620" s="74"/>
      <c r="C620" s="65"/>
      <c r="D620" s="65"/>
      <c r="E620" s="65"/>
      <c r="F620" s="65"/>
      <c r="G620" s="65"/>
      <c r="H620" s="65"/>
      <c r="I620" s="65"/>
      <c r="J620" s="65"/>
      <c r="K620" s="65"/>
      <c r="L620" s="69"/>
      <c r="M620" s="69"/>
      <c r="N620" s="65"/>
      <c r="O620" s="65"/>
      <c r="P620" s="65"/>
      <c r="Q620" s="65"/>
      <c r="R620" s="65"/>
      <c r="S620" s="65"/>
    </row>
    <row r="621" spans="1:19" x14ac:dyDescent="0.2">
      <c r="A621" s="74"/>
      <c r="C621" s="65"/>
      <c r="D621" s="65"/>
      <c r="E621" s="65"/>
      <c r="F621" s="65"/>
      <c r="G621" s="65"/>
      <c r="H621" s="65"/>
      <c r="I621" s="65"/>
      <c r="J621" s="65"/>
      <c r="K621" s="65"/>
      <c r="L621" s="69"/>
      <c r="M621" s="69"/>
      <c r="N621" s="65"/>
      <c r="O621" s="65"/>
      <c r="P621" s="65"/>
      <c r="Q621" s="65"/>
      <c r="R621" s="65"/>
      <c r="S621" s="65"/>
    </row>
    <row r="622" spans="1:19" x14ac:dyDescent="0.2">
      <c r="A622" s="74"/>
      <c r="C622" s="65"/>
      <c r="D622" s="65"/>
      <c r="E622" s="65"/>
      <c r="F622" s="65"/>
      <c r="G622" s="65"/>
      <c r="H622" s="65"/>
      <c r="I622" s="65"/>
      <c r="J622" s="65"/>
      <c r="K622" s="65"/>
      <c r="L622" s="69"/>
      <c r="M622" s="69"/>
      <c r="N622" s="65"/>
      <c r="O622" s="65"/>
      <c r="P622" s="65"/>
      <c r="Q622" s="65"/>
      <c r="R622" s="65"/>
      <c r="S622" s="65"/>
    </row>
    <row r="623" spans="1:19" x14ac:dyDescent="0.2">
      <c r="A623" s="74"/>
      <c r="C623" s="65"/>
      <c r="D623" s="65"/>
      <c r="E623" s="65"/>
      <c r="F623" s="65"/>
      <c r="G623" s="65"/>
      <c r="H623" s="65"/>
      <c r="I623" s="65"/>
      <c r="J623" s="65"/>
      <c r="K623" s="65"/>
      <c r="L623" s="69"/>
      <c r="M623" s="69"/>
      <c r="N623" s="65"/>
      <c r="O623" s="65"/>
      <c r="P623" s="65"/>
      <c r="Q623" s="65"/>
      <c r="R623" s="65"/>
      <c r="S623" s="65"/>
    </row>
    <row r="624" spans="1:19" x14ac:dyDescent="0.2">
      <c r="A624" s="74"/>
      <c r="C624" s="65"/>
      <c r="D624" s="65"/>
      <c r="E624" s="65"/>
      <c r="F624" s="65"/>
      <c r="G624" s="65"/>
      <c r="H624" s="65"/>
      <c r="I624" s="65"/>
      <c r="J624" s="65"/>
      <c r="K624" s="65"/>
      <c r="L624" s="69"/>
      <c r="M624" s="69"/>
      <c r="N624" s="65"/>
      <c r="O624" s="65"/>
      <c r="P624" s="65"/>
      <c r="Q624" s="65"/>
      <c r="R624" s="65"/>
      <c r="S624" s="65"/>
    </row>
    <row r="625" spans="1:19" x14ac:dyDescent="0.2">
      <c r="A625" s="74"/>
      <c r="C625" s="65"/>
      <c r="D625" s="65"/>
      <c r="E625" s="65"/>
      <c r="F625" s="65"/>
      <c r="G625" s="65"/>
      <c r="H625" s="65"/>
      <c r="I625" s="65"/>
      <c r="J625" s="65"/>
      <c r="K625" s="65"/>
      <c r="L625" s="69"/>
      <c r="M625" s="69"/>
      <c r="N625" s="65"/>
      <c r="O625" s="65"/>
      <c r="P625" s="65"/>
      <c r="Q625" s="65"/>
      <c r="R625" s="65"/>
      <c r="S625" s="65"/>
    </row>
    <row r="626" spans="1:19" x14ac:dyDescent="0.2">
      <c r="A626" s="74"/>
      <c r="C626" s="65"/>
      <c r="D626" s="65"/>
      <c r="E626" s="65"/>
      <c r="F626" s="65"/>
      <c r="G626" s="65"/>
      <c r="H626" s="65"/>
      <c r="I626" s="65"/>
      <c r="J626" s="65"/>
      <c r="K626" s="65"/>
      <c r="L626" s="69"/>
      <c r="M626" s="69"/>
      <c r="N626" s="65"/>
      <c r="O626" s="65"/>
      <c r="P626" s="65"/>
      <c r="Q626" s="65"/>
      <c r="R626" s="65"/>
      <c r="S626" s="65"/>
    </row>
    <row r="627" spans="1:19" x14ac:dyDescent="0.2">
      <c r="A627" s="74"/>
      <c r="C627" s="65"/>
      <c r="D627" s="65"/>
      <c r="E627" s="65"/>
      <c r="F627" s="65"/>
      <c r="G627" s="65"/>
      <c r="H627" s="65"/>
      <c r="I627" s="65"/>
      <c r="J627" s="65"/>
      <c r="K627" s="65"/>
      <c r="L627" s="69"/>
      <c r="M627" s="69"/>
      <c r="N627" s="65"/>
      <c r="O627" s="65"/>
      <c r="P627" s="65"/>
      <c r="Q627" s="65"/>
      <c r="R627" s="65"/>
      <c r="S627" s="65"/>
    </row>
    <row r="628" spans="1:19" x14ac:dyDescent="0.2">
      <c r="A628" s="74"/>
      <c r="C628" s="65"/>
      <c r="D628" s="65"/>
      <c r="E628" s="65"/>
      <c r="F628" s="65"/>
      <c r="G628" s="65"/>
      <c r="H628" s="65"/>
      <c r="I628" s="65"/>
      <c r="J628" s="65"/>
      <c r="K628" s="65"/>
      <c r="L628" s="69"/>
      <c r="M628" s="69"/>
      <c r="N628" s="65"/>
      <c r="O628" s="65"/>
      <c r="P628" s="65"/>
      <c r="Q628" s="65"/>
      <c r="R628" s="65"/>
      <c r="S628" s="65"/>
    </row>
    <row r="629" spans="1:19" x14ac:dyDescent="0.2">
      <c r="A629" s="74"/>
      <c r="C629" s="65"/>
      <c r="D629" s="65"/>
      <c r="E629" s="65"/>
      <c r="F629" s="65"/>
      <c r="G629" s="65"/>
      <c r="H629" s="65"/>
      <c r="I629" s="65"/>
      <c r="J629" s="65"/>
      <c r="K629" s="65"/>
      <c r="L629" s="69"/>
      <c r="M629" s="69"/>
      <c r="N629" s="65"/>
      <c r="O629" s="65"/>
      <c r="P629" s="65"/>
      <c r="Q629" s="65"/>
      <c r="R629" s="65"/>
      <c r="S629" s="65"/>
    </row>
    <row r="630" spans="1:19" x14ac:dyDescent="0.2">
      <c r="A630" s="74"/>
      <c r="C630" s="65"/>
      <c r="D630" s="65"/>
      <c r="E630" s="65"/>
      <c r="F630" s="65"/>
      <c r="G630" s="65"/>
      <c r="H630" s="65"/>
      <c r="I630" s="65"/>
      <c r="J630" s="65"/>
      <c r="K630" s="65"/>
      <c r="L630" s="69"/>
      <c r="M630" s="69"/>
      <c r="N630" s="65"/>
      <c r="O630" s="65"/>
      <c r="P630" s="65"/>
      <c r="Q630" s="65"/>
      <c r="R630" s="65"/>
      <c r="S630" s="65"/>
    </row>
    <row r="631" spans="1:19" x14ac:dyDescent="0.2">
      <c r="A631" s="74"/>
      <c r="C631" s="65"/>
      <c r="D631" s="65"/>
      <c r="E631" s="65"/>
      <c r="F631" s="65"/>
      <c r="G631" s="65"/>
      <c r="H631" s="65"/>
      <c r="I631" s="65"/>
      <c r="J631" s="65"/>
      <c r="K631" s="65"/>
      <c r="L631" s="69"/>
      <c r="M631" s="69"/>
      <c r="N631" s="65"/>
      <c r="O631" s="65"/>
      <c r="P631" s="65"/>
      <c r="Q631" s="65"/>
      <c r="R631" s="65"/>
      <c r="S631" s="65"/>
    </row>
    <row r="632" spans="1:19" x14ac:dyDescent="0.2">
      <c r="A632" s="74"/>
      <c r="C632" s="65"/>
      <c r="D632" s="65"/>
      <c r="E632" s="65"/>
      <c r="F632" s="65"/>
      <c r="G632" s="65"/>
      <c r="H632" s="65"/>
      <c r="I632" s="65"/>
      <c r="J632" s="65"/>
      <c r="K632" s="65"/>
      <c r="L632" s="69"/>
      <c r="M632" s="69"/>
      <c r="N632" s="65"/>
      <c r="O632" s="65"/>
      <c r="P632" s="65"/>
      <c r="Q632" s="65"/>
      <c r="R632" s="65"/>
      <c r="S632" s="65"/>
    </row>
    <row r="633" spans="1:19" x14ac:dyDescent="0.2">
      <c r="A633" s="74"/>
      <c r="C633" s="65"/>
      <c r="D633" s="65"/>
      <c r="E633" s="65"/>
      <c r="F633" s="65"/>
      <c r="G633" s="65"/>
      <c r="H633" s="65"/>
      <c r="I633" s="65"/>
      <c r="J633" s="65"/>
      <c r="K633" s="65"/>
      <c r="L633" s="69"/>
      <c r="M633" s="69"/>
      <c r="N633" s="65"/>
      <c r="O633" s="65"/>
      <c r="P633" s="65"/>
      <c r="Q633" s="65"/>
      <c r="R633" s="65"/>
      <c r="S633" s="65"/>
    </row>
    <row r="634" spans="1:19" x14ac:dyDescent="0.2">
      <c r="A634" s="74"/>
      <c r="C634" s="65"/>
      <c r="D634" s="65"/>
      <c r="E634" s="65"/>
      <c r="F634" s="65"/>
      <c r="G634" s="65"/>
      <c r="H634" s="65"/>
      <c r="I634" s="65"/>
      <c r="J634" s="65"/>
      <c r="K634" s="65"/>
      <c r="L634" s="69"/>
      <c r="M634" s="69"/>
      <c r="N634" s="65"/>
      <c r="O634" s="65"/>
      <c r="P634" s="65"/>
      <c r="Q634" s="65"/>
      <c r="R634" s="65"/>
      <c r="S634" s="65"/>
    </row>
    <row r="635" spans="1:19" x14ac:dyDescent="0.2">
      <c r="A635" s="74"/>
      <c r="C635" s="65"/>
      <c r="D635" s="65"/>
      <c r="E635" s="65"/>
      <c r="F635" s="65"/>
      <c r="G635" s="65"/>
      <c r="H635" s="65"/>
      <c r="I635" s="65"/>
      <c r="J635" s="65"/>
      <c r="K635" s="65"/>
      <c r="L635" s="69"/>
      <c r="M635" s="69"/>
      <c r="N635" s="65"/>
      <c r="O635" s="65"/>
      <c r="P635" s="65"/>
      <c r="Q635" s="65"/>
      <c r="R635" s="65"/>
      <c r="S635" s="65"/>
    </row>
    <row r="636" spans="1:19" x14ac:dyDescent="0.2">
      <c r="A636" s="74"/>
      <c r="C636" s="65"/>
      <c r="D636" s="65"/>
      <c r="E636" s="65"/>
      <c r="F636" s="65"/>
      <c r="G636" s="65"/>
      <c r="H636" s="65"/>
      <c r="I636" s="65"/>
      <c r="J636" s="65"/>
      <c r="K636" s="65"/>
      <c r="L636" s="69"/>
      <c r="M636" s="69"/>
      <c r="N636" s="65"/>
      <c r="O636" s="65"/>
      <c r="P636" s="65"/>
      <c r="Q636" s="65"/>
      <c r="R636" s="65"/>
      <c r="S636" s="65"/>
    </row>
    <row r="637" spans="1:19" x14ac:dyDescent="0.2">
      <c r="A637" s="74"/>
      <c r="C637" s="65"/>
      <c r="D637" s="65"/>
      <c r="E637" s="65"/>
      <c r="F637" s="65"/>
      <c r="G637" s="65"/>
      <c r="H637" s="65"/>
      <c r="I637" s="65"/>
      <c r="J637" s="65"/>
      <c r="K637" s="65"/>
      <c r="L637" s="69"/>
      <c r="M637" s="69"/>
      <c r="N637" s="65"/>
      <c r="O637" s="65"/>
      <c r="P637" s="65"/>
      <c r="Q637" s="65"/>
      <c r="R637" s="65"/>
      <c r="S637" s="65"/>
    </row>
    <row r="638" spans="1:19" x14ac:dyDescent="0.2">
      <c r="A638" s="74"/>
      <c r="C638" s="65"/>
      <c r="D638" s="65"/>
      <c r="E638" s="65"/>
      <c r="F638" s="65"/>
      <c r="G638" s="65"/>
      <c r="H638" s="65"/>
      <c r="I638" s="65"/>
      <c r="J638" s="65"/>
      <c r="K638" s="65"/>
      <c r="L638" s="69"/>
      <c r="M638" s="69"/>
      <c r="N638" s="65"/>
      <c r="O638" s="65"/>
      <c r="P638" s="65"/>
      <c r="Q638" s="65"/>
      <c r="R638" s="65"/>
      <c r="S638" s="65"/>
    </row>
    <row r="639" spans="1:19" x14ac:dyDescent="0.2">
      <c r="A639" s="74"/>
      <c r="C639" s="65"/>
      <c r="D639" s="65"/>
      <c r="E639" s="65"/>
      <c r="F639" s="65"/>
      <c r="G639" s="65"/>
      <c r="H639" s="65"/>
      <c r="I639" s="65"/>
      <c r="J639" s="65"/>
      <c r="K639" s="65"/>
      <c r="L639" s="69"/>
      <c r="M639" s="69"/>
      <c r="N639" s="65"/>
      <c r="O639" s="65"/>
      <c r="P639" s="65"/>
      <c r="Q639" s="65"/>
      <c r="R639" s="65"/>
      <c r="S639" s="65"/>
    </row>
    <row r="640" spans="1:19" x14ac:dyDescent="0.2">
      <c r="A640" s="74"/>
      <c r="C640" s="65"/>
      <c r="D640" s="65"/>
      <c r="E640" s="65"/>
      <c r="F640" s="65"/>
      <c r="G640" s="65"/>
      <c r="H640" s="65"/>
      <c r="I640" s="65"/>
      <c r="J640" s="65"/>
      <c r="K640" s="65"/>
      <c r="L640" s="69"/>
      <c r="M640" s="69"/>
      <c r="N640" s="65"/>
      <c r="O640" s="65"/>
      <c r="P640" s="65"/>
      <c r="Q640" s="65"/>
      <c r="R640" s="65"/>
      <c r="S640" s="65"/>
    </row>
    <row r="641" spans="1:19" x14ac:dyDescent="0.2">
      <c r="A641" s="74"/>
      <c r="C641" s="65"/>
      <c r="D641" s="65"/>
      <c r="E641" s="65"/>
      <c r="F641" s="65"/>
      <c r="G641" s="65"/>
      <c r="H641" s="65"/>
      <c r="I641" s="65"/>
      <c r="J641" s="65"/>
      <c r="K641" s="65"/>
      <c r="L641" s="69"/>
      <c r="M641" s="69"/>
      <c r="N641" s="65"/>
      <c r="O641" s="65"/>
      <c r="P641" s="65"/>
      <c r="Q641" s="65"/>
      <c r="R641" s="65"/>
      <c r="S641" s="65"/>
    </row>
    <row r="642" spans="1:19" x14ac:dyDescent="0.2">
      <c r="A642" s="74"/>
      <c r="C642" s="65"/>
      <c r="D642" s="65"/>
      <c r="E642" s="65"/>
      <c r="F642" s="65"/>
      <c r="G642" s="65"/>
      <c r="H642" s="65"/>
      <c r="I642" s="65"/>
      <c r="J642" s="65"/>
      <c r="K642" s="65"/>
      <c r="L642" s="69"/>
      <c r="M642" s="69"/>
      <c r="N642" s="65"/>
      <c r="O642" s="65"/>
      <c r="P642" s="65"/>
      <c r="Q642" s="65"/>
      <c r="R642" s="65"/>
      <c r="S642" s="65"/>
    </row>
    <row r="643" spans="1:19" x14ac:dyDescent="0.2">
      <c r="A643" s="74"/>
      <c r="C643" s="65"/>
      <c r="D643" s="65"/>
      <c r="E643" s="65"/>
      <c r="F643" s="65"/>
      <c r="G643" s="65"/>
      <c r="H643" s="65"/>
      <c r="I643" s="65"/>
      <c r="J643" s="65"/>
      <c r="K643" s="65"/>
      <c r="L643" s="69"/>
      <c r="M643" s="69"/>
      <c r="N643" s="65"/>
      <c r="O643" s="65"/>
      <c r="P643" s="65"/>
      <c r="Q643" s="65"/>
      <c r="R643" s="65"/>
      <c r="S643" s="65"/>
    </row>
    <row r="644" spans="1:19" x14ac:dyDescent="0.2">
      <c r="A644" s="74"/>
      <c r="C644" s="65"/>
      <c r="D644" s="65"/>
      <c r="E644" s="65"/>
      <c r="F644" s="65"/>
      <c r="G644" s="65"/>
      <c r="H644" s="65"/>
      <c r="I644" s="65"/>
      <c r="J644" s="65"/>
      <c r="K644" s="65"/>
      <c r="L644" s="69"/>
      <c r="M644" s="69"/>
      <c r="N644" s="65"/>
      <c r="O644" s="65"/>
      <c r="P644" s="65"/>
      <c r="Q644" s="65"/>
      <c r="R644" s="65"/>
      <c r="S644" s="65"/>
    </row>
    <row r="645" spans="1:19" x14ac:dyDescent="0.2">
      <c r="A645" s="74"/>
      <c r="C645" s="65"/>
      <c r="D645" s="65"/>
      <c r="E645" s="65"/>
      <c r="F645" s="65"/>
      <c r="G645" s="65"/>
      <c r="H645" s="65"/>
      <c r="I645" s="65"/>
      <c r="J645" s="65"/>
      <c r="K645" s="65"/>
      <c r="L645" s="69"/>
      <c r="M645" s="69"/>
      <c r="N645" s="65"/>
      <c r="O645" s="65"/>
      <c r="P645" s="65"/>
      <c r="Q645" s="65"/>
      <c r="R645" s="65"/>
      <c r="S645" s="65"/>
    </row>
    <row r="646" spans="1:19" x14ac:dyDescent="0.2">
      <c r="A646" s="74"/>
      <c r="C646" s="65"/>
      <c r="D646" s="65"/>
      <c r="E646" s="65"/>
      <c r="F646" s="65"/>
      <c r="G646" s="65"/>
      <c r="H646" s="65"/>
      <c r="I646" s="65"/>
      <c r="J646" s="65"/>
      <c r="K646" s="65"/>
      <c r="L646" s="69"/>
      <c r="M646" s="69"/>
      <c r="N646" s="65"/>
      <c r="O646" s="65"/>
      <c r="P646" s="65"/>
      <c r="Q646" s="65"/>
      <c r="R646" s="65"/>
      <c r="S646" s="65"/>
    </row>
    <row r="647" spans="1:19" x14ac:dyDescent="0.2">
      <c r="A647" s="74"/>
      <c r="C647" s="65"/>
      <c r="D647" s="65"/>
      <c r="E647" s="65"/>
      <c r="F647" s="65"/>
      <c r="G647" s="65"/>
      <c r="H647" s="65"/>
      <c r="I647" s="65"/>
      <c r="J647" s="65"/>
      <c r="K647" s="65"/>
      <c r="L647" s="69"/>
      <c r="M647" s="69"/>
      <c r="N647" s="65"/>
      <c r="O647" s="65"/>
      <c r="P647" s="65"/>
      <c r="Q647" s="65"/>
      <c r="R647" s="65"/>
      <c r="S647" s="65"/>
    </row>
    <row r="648" spans="1:19" x14ac:dyDescent="0.2">
      <c r="A648" s="74"/>
      <c r="C648" s="65"/>
      <c r="D648" s="65"/>
      <c r="E648" s="65"/>
      <c r="F648" s="65"/>
      <c r="G648" s="65"/>
      <c r="H648" s="65"/>
      <c r="I648" s="65"/>
      <c r="J648" s="65"/>
      <c r="K648" s="65"/>
      <c r="L648" s="69"/>
      <c r="M648" s="69"/>
      <c r="N648" s="65"/>
      <c r="O648" s="65"/>
      <c r="P648" s="65"/>
      <c r="Q648" s="65"/>
      <c r="R648" s="65"/>
      <c r="S648" s="65"/>
    </row>
    <row r="649" spans="1:19" x14ac:dyDescent="0.2">
      <c r="A649" s="74"/>
      <c r="C649" s="65"/>
      <c r="D649" s="65"/>
      <c r="E649" s="65"/>
      <c r="F649" s="65"/>
      <c r="G649" s="65"/>
      <c r="H649" s="65"/>
      <c r="I649" s="65"/>
      <c r="J649" s="65"/>
      <c r="K649" s="65"/>
      <c r="L649" s="69"/>
      <c r="M649" s="69"/>
      <c r="N649" s="65"/>
      <c r="O649" s="65"/>
      <c r="P649" s="65"/>
      <c r="Q649" s="65"/>
      <c r="R649" s="65"/>
      <c r="S649" s="65"/>
    </row>
    <row r="650" spans="1:19" x14ac:dyDescent="0.2">
      <c r="A650" s="74"/>
      <c r="C650" s="65"/>
      <c r="D650" s="65"/>
      <c r="E650" s="65"/>
      <c r="F650" s="65"/>
      <c r="G650" s="65"/>
      <c r="H650" s="65"/>
      <c r="I650" s="65"/>
      <c r="J650" s="65"/>
      <c r="K650" s="65"/>
      <c r="L650" s="69"/>
      <c r="M650" s="69"/>
      <c r="N650" s="65"/>
      <c r="O650" s="65"/>
      <c r="P650" s="65"/>
      <c r="Q650" s="65"/>
      <c r="R650" s="65"/>
      <c r="S650" s="65"/>
    </row>
    <row r="651" spans="1:19" x14ac:dyDescent="0.2">
      <c r="A651" s="74"/>
      <c r="C651" s="65"/>
      <c r="D651" s="65"/>
      <c r="E651" s="65"/>
      <c r="F651" s="65"/>
      <c r="G651" s="65"/>
      <c r="H651" s="65"/>
      <c r="I651" s="65"/>
      <c r="J651" s="65"/>
      <c r="K651" s="65"/>
      <c r="L651" s="69"/>
      <c r="M651" s="69"/>
      <c r="N651" s="65"/>
      <c r="O651" s="65"/>
      <c r="P651" s="65"/>
      <c r="Q651" s="65"/>
      <c r="R651" s="65"/>
      <c r="S651" s="65"/>
    </row>
    <row r="652" spans="1:19" x14ac:dyDescent="0.2">
      <c r="A652" s="74"/>
      <c r="C652" s="65"/>
      <c r="D652" s="65"/>
      <c r="E652" s="65"/>
      <c r="F652" s="65"/>
      <c r="G652" s="65"/>
      <c r="H652" s="65"/>
      <c r="I652" s="65"/>
      <c r="J652" s="65"/>
      <c r="K652" s="65"/>
      <c r="L652" s="69"/>
      <c r="M652" s="69"/>
      <c r="N652" s="65"/>
      <c r="O652" s="65"/>
      <c r="P652" s="65"/>
      <c r="Q652" s="65"/>
      <c r="R652" s="65"/>
      <c r="S652" s="65"/>
    </row>
    <row r="653" spans="1:19" x14ac:dyDescent="0.2">
      <c r="A653" s="74"/>
      <c r="C653" s="65"/>
      <c r="D653" s="65"/>
      <c r="E653" s="65"/>
      <c r="F653" s="65"/>
      <c r="G653" s="65"/>
      <c r="H653" s="65"/>
      <c r="I653" s="65"/>
      <c r="J653" s="65"/>
      <c r="K653" s="65"/>
      <c r="L653" s="69"/>
      <c r="M653" s="69"/>
      <c r="N653" s="65"/>
      <c r="O653" s="65"/>
      <c r="P653" s="65"/>
      <c r="Q653" s="65"/>
      <c r="R653" s="65"/>
      <c r="S653" s="65"/>
    </row>
    <row r="654" spans="1:19" x14ac:dyDescent="0.2">
      <c r="A654" s="74"/>
      <c r="C654" s="65"/>
      <c r="D654" s="65"/>
      <c r="E654" s="65"/>
      <c r="F654" s="65"/>
      <c r="G654" s="65"/>
      <c r="H654" s="65"/>
      <c r="I654" s="65"/>
      <c r="J654" s="65"/>
      <c r="K654" s="65"/>
      <c r="L654" s="69"/>
      <c r="M654" s="69"/>
      <c r="N654" s="65"/>
      <c r="O654" s="65"/>
      <c r="P654" s="65"/>
      <c r="Q654" s="65"/>
      <c r="R654" s="65"/>
      <c r="S654" s="65"/>
    </row>
    <row r="655" spans="1:19" x14ac:dyDescent="0.2">
      <c r="A655" s="74"/>
      <c r="C655" s="65"/>
      <c r="D655" s="65"/>
      <c r="E655" s="65"/>
      <c r="F655" s="65"/>
      <c r="G655" s="65"/>
      <c r="H655" s="65"/>
      <c r="I655" s="65"/>
      <c r="J655" s="65"/>
      <c r="K655" s="65"/>
      <c r="L655" s="69"/>
      <c r="M655" s="69"/>
      <c r="N655" s="65"/>
      <c r="O655" s="65"/>
      <c r="P655" s="65"/>
      <c r="Q655" s="65"/>
      <c r="R655" s="65"/>
      <c r="S655" s="65"/>
    </row>
    <row r="656" spans="1:19" x14ac:dyDescent="0.2">
      <c r="A656" s="74"/>
      <c r="C656" s="65"/>
      <c r="D656" s="65"/>
      <c r="E656" s="65"/>
      <c r="F656" s="65"/>
      <c r="G656" s="65"/>
      <c r="H656" s="65"/>
      <c r="I656" s="65"/>
      <c r="J656" s="65"/>
      <c r="K656" s="65"/>
      <c r="L656" s="69"/>
      <c r="M656" s="69"/>
      <c r="N656" s="65"/>
      <c r="O656" s="65"/>
      <c r="P656" s="65"/>
      <c r="Q656" s="65"/>
      <c r="R656" s="65"/>
      <c r="S656" s="65"/>
    </row>
    <row r="657" spans="1:19" x14ac:dyDescent="0.2">
      <c r="A657" s="74"/>
      <c r="C657" s="65"/>
      <c r="D657" s="65"/>
      <c r="E657" s="65"/>
      <c r="F657" s="65"/>
      <c r="G657" s="65"/>
      <c r="H657" s="65"/>
      <c r="I657" s="65"/>
      <c r="J657" s="65"/>
      <c r="K657" s="65"/>
      <c r="L657" s="69"/>
      <c r="M657" s="69"/>
      <c r="N657" s="65"/>
      <c r="O657" s="65"/>
      <c r="P657" s="65"/>
      <c r="Q657" s="65"/>
      <c r="R657" s="65"/>
      <c r="S657" s="65"/>
    </row>
    <row r="658" spans="1:19" x14ac:dyDescent="0.2">
      <c r="A658" s="74"/>
      <c r="C658" s="65"/>
      <c r="D658" s="65"/>
      <c r="E658" s="65"/>
      <c r="F658" s="65"/>
      <c r="G658" s="65"/>
      <c r="H658" s="65"/>
      <c r="I658" s="65"/>
      <c r="J658" s="65"/>
      <c r="K658" s="65"/>
      <c r="L658" s="69"/>
      <c r="M658" s="69"/>
      <c r="N658" s="65"/>
      <c r="O658" s="65"/>
      <c r="P658" s="65"/>
      <c r="Q658" s="65"/>
      <c r="R658" s="65"/>
      <c r="S658" s="65"/>
    </row>
    <row r="659" spans="1:19" x14ac:dyDescent="0.2">
      <c r="A659" s="74"/>
      <c r="C659" s="65"/>
      <c r="D659" s="65"/>
      <c r="E659" s="65"/>
      <c r="F659" s="65"/>
      <c r="G659" s="65"/>
      <c r="H659" s="65"/>
      <c r="I659" s="65"/>
      <c r="J659" s="65"/>
      <c r="K659" s="65"/>
      <c r="L659" s="69"/>
      <c r="M659" s="69"/>
      <c r="N659" s="65"/>
      <c r="O659" s="65"/>
      <c r="P659" s="65"/>
      <c r="Q659" s="65"/>
      <c r="R659" s="65"/>
      <c r="S659" s="65"/>
    </row>
    <row r="660" spans="1:19" x14ac:dyDescent="0.2">
      <c r="A660" s="74"/>
      <c r="C660" s="65"/>
      <c r="D660" s="65"/>
      <c r="E660" s="65"/>
      <c r="F660" s="65"/>
      <c r="G660" s="65"/>
      <c r="H660" s="65"/>
      <c r="I660" s="65"/>
      <c r="J660" s="65"/>
      <c r="K660" s="65"/>
      <c r="L660" s="69"/>
      <c r="M660" s="69"/>
      <c r="N660" s="65"/>
      <c r="O660" s="65"/>
      <c r="P660" s="65"/>
      <c r="Q660" s="65"/>
      <c r="R660" s="65"/>
      <c r="S660" s="65"/>
    </row>
    <row r="661" spans="1:19" x14ac:dyDescent="0.2">
      <c r="A661" s="74"/>
      <c r="C661" s="65"/>
      <c r="D661" s="65"/>
      <c r="E661" s="65"/>
      <c r="F661" s="65"/>
      <c r="G661" s="65"/>
      <c r="H661" s="65"/>
      <c r="I661" s="65"/>
      <c r="J661" s="65"/>
      <c r="K661" s="65"/>
      <c r="L661" s="69"/>
      <c r="M661" s="69"/>
      <c r="N661" s="65"/>
      <c r="O661" s="65"/>
      <c r="P661" s="65"/>
      <c r="Q661" s="65"/>
      <c r="R661" s="65"/>
      <c r="S661" s="65"/>
    </row>
    <row r="662" spans="1:19" x14ac:dyDescent="0.2">
      <c r="A662" s="74"/>
      <c r="C662" s="65"/>
      <c r="D662" s="65"/>
      <c r="E662" s="65"/>
      <c r="F662" s="65"/>
      <c r="G662" s="65"/>
      <c r="H662" s="65"/>
      <c r="I662" s="65"/>
      <c r="J662" s="65"/>
      <c r="K662" s="65"/>
      <c r="L662" s="69"/>
      <c r="M662" s="69"/>
      <c r="N662" s="65"/>
      <c r="O662" s="65"/>
      <c r="P662" s="65"/>
      <c r="Q662" s="65"/>
      <c r="R662" s="65"/>
      <c r="S662" s="65"/>
    </row>
    <row r="663" spans="1:19" x14ac:dyDescent="0.2">
      <c r="A663" s="74"/>
      <c r="C663" s="65"/>
      <c r="D663" s="65"/>
      <c r="E663" s="65"/>
      <c r="F663" s="65"/>
      <c r="G663" s="65"/>
      <c r="H663" s="65"/>
      <c r="I663" s="65"/>
      <c r="J663" s="65"/>
      <c r="K663" s="65"/>
      <c r="L663" s="69"/>
      <c r="M663" s="69"/>
      <c r="N663" s="65"/>
      <c r="O663" s="65"/>
      <c r="P663" s="65"/>
      <c r="Q663" s="65"/>
      <c r="R663" s="65"/>
      <c r="S663" s="65"/>
    </row>
    <row r="664" spans="1:19" x14ac:dyDescent="0.2">
      <c r="A664" s="74"/>
      <c r="C664" s="65"/>
      <c r="D664" s="65"/>
      <c r="E664" s="65"/>
      <c r="F664" s="65"/>
      <c r="G664" s="65"/>
      <c r="H664" s="65"/>
      <c r="I664" s="65"/>
      <c r="J664" s="65"/>
      <c r="K664" s="65"/>
      <c r="L664" s="69"/>
      <c r="M664" s="69"/>
      <c r="N664" s="65"/>
      <c r="O664" s="65"/>
      <c r="P664" s="65"/>
      <c r="Q664" s="65"/>
      <c r="R664" s="65"/>
      <c r="S664" s="65"/>
    </row>
    <row r="665" spans="1:19" x14ac:dyDescent="0.2">
      <c r="A665" s="74"/>
      <c r="C665" s="65"/>
      <c r="D665" s="65"/>
      <c r="E665" s="65"/>
      <c r="F665" s="65"/>
      <c r="G665" s="65"/>
      <c r="H665" s="65"/>
      <c r="I665" s="65"/>
      <c r="J665" s="65"/>
      <c r="K665" s="65"/>
      <c r="L665" s="69"/>
      <c r="M665" s="69"/>
      <c r="N665" s="65"/>
      <c r="O665" s="65"/>
      <c r="P665" s="65"/>
      <c r="Q665" s="65"/>
      <c r="R665" s="65"/>
      <c r="S665" s="65"/>
    </row>
    <row r="666" spans="1:19" x14ac:dyDescent="0.2">
      <c r="A666" s="74"/>
      <c r="C666" s="65"/>
      <c r="D666" s="65"/>
      <c r="E666" s="65"/>
      <c r="F666" s="65"/>
      <c r="G666" s="65"/>
      <c r="H666" s="65"/>
      <c r="I666" s="65"/>
      <c r="J666" s="65"/>
      <c r="K666" s="65"/>
      <c r="L666" s="69"/>
      <c r="M666" s="69"/>
      <c r="N666" s="65"/>
      <c r="O666" s="65"/>
      <c r="P666" s="65"/>
      <c r="Q666" s="65"/>
      <c r="R666" s="65"/>
      <c r="S666" s="65"/>
    </row>
    <row r="667" spans="1:19" x14ac:dyDescent="0.2">
      <c r="A667" s="74"/>
      <c r="C667" s="65"/>
      <c r="D667" s="65"/>
      <c r="E667" s="65"/>
      <c r="F667" s="65"/>
      <c r="G667" s="65"/>
      <c r="H667" s="65"/>
      <c r="I667" s="65"/>
      <c r="J667" s="65"/>
      <c r="K667" s="65"/>
      <c r="L667" s="69"/>
      <c r="M667" s="69"/>
      <c r="N667" s="65"/>
      <c r="O667" s="65"/>
      <c r="P667" s="65"/>
      <c r="Q667" s="65"/>
      <c r="R667" s="65"/>
      <c r="S667" s="65"/>
    </row>
    <row r="668" spans="1:19" x14ac:dyDescent="0.2">
      <c r="A668" s="74"/>
      <c r="C668" s="65"/>
      <c r="D668" s="65"/>
      <c r="E668" s="65"/>
      <c r="F668" s="65"/>
      <c r="G668" s="65"/>
      <c r="H668" s="65"/>
      <c r="I668" s="65"/>
      <c r="J668" s="65"/>
      <c r="K668" s="65"/>
      <c r="L668" s="69"/>
      <c r="M668" s="69"/>
      <c r="N668" s="65"/>
      <c r="O668" s="65"/>
      <c r="P668" s="65"/>
      <c r="Q668" s="65"/>
      <c r="R668" s="65"/>
      <c r="S668" s="65"/>
    </row>
    <row r="669" spans="1:19" x14ac:dyDescent="0.2">
      <c r="A669" s="74"/>
      <c r="C669" s="65"/>
      <c r="D669" s="65"/>
      <c r="E669" s="65"/>
      <c r="F669" s="65"/>
      <c r="G669" s="65"/>
      <c r="H669" s="65"/>
      <c r="I669" s="65"/>
      <c r="J669" s="65"/>
      <c r="K669" s="65"/>
      <c r="L669" s="69"/>
      <c r="M669" s="69"/>
      <c r="N669" s="65"/>
      <c r="O669" s="65"/>
      <c r="P669" s="65"/>
      <c r="Q669" s="65"/>
      <c r="R669" s="65"/>
      <c r="S669" s="65"/>
    </row>
    <row r="670" spans="1:19" x14ac:dyDescent="0.2">
      <c r="A670" s="74"/>
      <c r="C670" s="65"/>
      <c r="D670" s="65"/>
      <c r="E670" s="65"/>
      <c r="F670" s="65"/>
      <c r="G670" s="65"/>
      <c r="H670" s="65"/>
      <c r="I670" s="65"/>
      <c r="J670" s="65"/>
      <c r="K670" s="65"/>
      <c r="L670" s="69"/>
      <c r="M670" s="69"/>
      <c r="N670" s="65"/>
      <c r="O670" s="65"/>
      <c r="P670" s="65"/>
      <c r="Q670" s="65"/>
      <c r="R670" s="65"/>
      <c r="S670" s="65"/>
    </row>
    <row r="671" spans="1:19" x14ac:dyDescent="0.2">
      <c r="A671" s="74"/>
      <c r="C671" s="65"/>
      <c r="D671" s="65"/>
      <c r="E671" s="65"/>
      <c r="F671" s="65"/>
      <c r="G671" s="65"/>
      <c r="H671" s="65"/>
      <c r="I671" s="65"/>
      <c r="J671" s="65"/>
      <c r="K671" s="65"/>
      <c r="L671" s="69"/>
      <c r="M671" s="69"/>
      <c r="N671" s="65"/>
      <c r="O671" s="65"/>
      <c r="P671" s="65"/>
      <c r="Q671" s="65"/>
      <c r="R671" s="65"/>
      <c r="S671" s="65"/>
    </row>
    <row r="672" spans="1:19" x14ac:dyDescent="0.2">
      <c r="A672" s="74"/>
      <c r="C672" s="65"/>
      <c r="D672" s="65"/>
      <c r="E672" s="65"/>
      <c r="F672" s="65"/>
      <c r="G672" s="65"/>
      <c r="H672" s="65"/>
      <c r="I672" s="65"/>
      <c r="J672" s="65"/>
      <c r="K672" s="65"/>
      <c r="L672" s="69"/>
      <c r="M672" s="69"/>
      <c r="N672" s="65"/>
      <c r="O672" s="65"/>
      <c r="P672" s="65"/>
      <c r="Q672" s="65"/>
      <c r="R672" s="65"/>
      <c r="S672" s="65"/>
    </row>
    <row r="673" spans="1:19" x14ac:dyDescent="0.2">
      <c r="A673" s="74"/>
      <c r="C673" s="65"/>
      <c r="D673" s="65"/>
      <c r="E673" s="65"/>
      <c r="F673" s="65"/>
      <c r="G673" s="65"/>
      <c r="H673" s="65"/>
      <c r="I673" s="65"/>
      <c r="J673" s="65"/>
      <c r="K673" s="65"/>
      <c r="L673" s="69"/>
      <c r="M673" s="69"/>
      <c r="N673" s="65"/>
      <c r="O673" s="65"/>
      <c r="P673" s="65"/>
      <c r="Q673" s="65"/>
      <c r="R673" s="65"/>
      <c r="S673" s="65"/>
    </row>
    <row r="674" spans="1:19" x14ac:dyDescent="0.2">
      <c r="A674" s="74"/>
      <c r="C674" s="65"/>
      <c r="D674" s="65"/>
      <c r="E674" s="65"/>
      <c r="F674" s="65"/>
      <c r="G674" s="65"/>
      <c r="H674" s="65"/>
      <c r="I674" s="65"/>
      <c r="J674" s="65"/>
      <c r="K674" s="65"/>
      <c r="L674" s="69"/>
      <c r="M674" s="69"/>
      <c r="N674" s="65"/>
      <c r="O674" s="65"/>
      <c r="P674" s="65"/>
      <c r="Q674" s="65"/>
      <c r="R674" s="65"/>
      <c r="S674" s="65"/>
    </row>
    <row r="675" spans="1:19" x14ac:dyDescent="0.2">
      <c r="A675" s="74"/>
      <c r="C675" s="65"/>
      <c r="D675" s="65"/>
      <c r="E675" s="65"/>
      <c r="F675" s="65"/>
      <c r="G675" s="65"/>
      <c r="H675" s="65"/>
      <c r="I675" s="65"/>
      <c r="J675" s="65"/>
      <c r="K675" s="65"/>
      <c r="L675" s="69"/>
      <c r="M675" s="69"/>
      <c r="N675" s="65"/>
      <c r="O675" s="65"/>
      <c r="P675" s="65"/>
      <c r="Q675" s="65"/>
      <c r="R675" s="65"/>
      <c r="S675" s="65"/>
    </row>
    <row r="676" spans="1:19" x14ac:dyDescent="0.2">
      <c r="A676" s="74"/>
      <c r="C676" s="65"/>
      <c r="D676" s="65"/>
      <c r="E676" s="65"/>
      <c r="F676" s="65"/>
      <c r="G676" s="65"/>
      <c r="H676" s="65"/>
      <c r="I676" s="65"/>
      <c r="J676" s="65"/>
      <c r="K676" s="65"/>
      <c r="L676" s="69"/>
      <c r="M676" s="69"/>
      <c r="N676" s="65"/>
      <c r="O676" s="65"/>
      <c r="P676" s="65"/>
      <c r="Q676" s="65"/>
      <c r="R676" s="65"/>
      <c r="S676" s="65"/>
    </row>
    <row r="677" spans="1:19" x14ac:dyDescent="0.2">
      <c r="A677" s="74"/>
      <c r="C677" s="65"/>
      <c r="D677" s="65"/>
      <c r="E677" s="65"/>
      <c r="F677" s="65"/>
      <c r="G677" s="65"/>
      <c r="H677" s="65"/>
      <c r="I677" s="65"/>
      <c r="J677" s="65"/>
      <c r="K677" s="65"/>
      <c r="L677" s="69"/>
      <c r="M677" s="69"/>
      <c r="N677" s="65"/>
      <c r="O677" s="65"/>
      <c r="P677" s="65"/>
      <c r="Q677" s="65"/>
      <c r="R677" s="65"/>
      <c r="S677" s="65"/>
    </row>
    <row r="678" spans="1:19" x14ac:dyDescent="0.2">
      <c r="A678" s="74"/>
      <c r="C678" s="65"/>
      <c r="D678" s="65"/>
      <c r="E678" s="65"/>
      <c r="F678" s="65"/>
      <c r="G678" s="65"/>
      <c r="H678" s="65"/>
      <c r="I678" s="65"/>
      <c r="J678" s="65"/>
      <c r="K678" s="65"/>
      <c r="L678" s="69"/>
      <c r="M678" s="69"/>
      <c r="N678" s="65"/>
      <c r="O678" s="65"/>
      <c r="P678" s="65"/>
      <c r="Q678" s="65"/>
      <c r="R678" s="65"/>
      <c r="S678" s="65"/>
    </row>
    <row r="679" spans="1:19" x14ac:dyDescent="0.2">
      <c r="A679" s="74"/>
      <c r="C679" s="65"/>
      <c r="D679" s="65"/>
      <c r="E679" s="65"/>
      <c r="F679" s="65"/>
      <c r="G679" s="65"/>
      <c r="H679" s="65"/>
      <c r="I679" s="65"/>
      <c r="J679" s="65"/>
      <c r="K679" s="65"/>
      <c r="L679" s="69"/>
      <c r="M679" s="69"/>
      <c r="N679" s="65"/>
      <c r="O679" s="65"/>
      <c r="P679" s="65"/>
      <c r="Q679" s="65"/>
      <c r="R679" s="65"/>
      <c r="S679" s="65"/>
    </row>
    <row r="680" spans="1:19" x14ac:dyDescent="0.2">
      <c r="A680" s="74"/>
      <c r="C680" s="65"/>
      <c r="D680" s="65"/>
      <c r="E680" s="65"/>
      <c r="F680" s="65"/>
      <c r="G680" s="65"/>
      <c r="H680" s="65"/>
      <c r="I680" s="65"/>
      <c r="J680" s="65"/>
      <c r="K680" s="65"/>
      <c r="L680" s="69"/>
      <c r="M680" s="69"/>
      <c r="N680" s="65"/>
      <c r="O680" s="65"/>
      <c r="P680" s="65"/>
      <c r="Q680" s="65"/>
      <c r="R680" s="65"/>
      <c r="S680" s="65"/>
    </row>
    <row r="681" spans="1:19" x14ac:dyDescent="0.2">
      <c r="A681" s="74"/>
      <c r="C681" s="65"/>
      <c r="D681" s="65"/>
      <c r="E681" s="65"/>
      <c r="F681" s="65"/>
      <c r="G681" s="65"/>
      <c r="H681" s="65"/>
      <c r="I681" s="65"/>
      <c r="J681" s="65"/>
      <c r="K681" s="65"/>
      <c r="L681" s="69"/>
      <c r="M681" s="69"/>
      <c r="N681" s="65"/>
      <c r="O681" s="65"/>
      <c r="P681" s="65"/>
      <c r="Q681" s="65"/>
      <c r="R681" s="65"/>
      <c r="S681" s="65"/>
    </row>
    <row r="682" spans="1:19" x14ac:dyDescent="0.2">
      <c r="A682" s="74"/>
      <c r="C682" s="65"/>
      <c r="D682" s="65"/>
      <c r="E682" s="65"/>
      <c r="F682" s="65"/>
      <c r="G682" s="65"/>
      <c r="H682" s="65"/>
      <c r="I682" s="65"/>
      <c r="J682" s="65"/>
      <c r="K682" s="65"/>
      <c r="L682" s="69"/>
      <c r="M682" s="69"/>
      <c r="N682" s="65"/>
      <c r="O682" s="65"/>
      <c r="P682" s="65"/>
      <c r="Q682" s="65"/>
      <c r="R682" s="65"/>
      <c r="S682" s="65"/>
    </row>
    <row r="683" spans="1:19" x14ac:dyDescent="0.2">
      <c r="A683" s="74"/>
      <c r="C683" s="65"/>
      <c r="D683" s="65"/>
      <c r="E683" s="65"/>
      <c r="F683" s="65"/>
      <c r="G683" s="65"/>
      <c r="H683" s="65"/>
      <c r="I683" s="65"/>
      <c r="J683" s="65"/>
      <c r="K683" s="65"/>
      <c r="L683" s="69"/>
      <c r="M683" s="69"/>
      <c r="N683" s="65"/>
      <c r="O683" s="65"/>
      <c r="P683" s="65"/>
      <c r="Q683" s="65"/>
      <c r="R683" s="65"/>
      <c r="S683" s="65"/>
    </row>
    <row r="684" spans="1:19" x14ac:dyDescent="0.2">
      <c r="A684" s="74"/>
      <c r="C684" s="65"/>
      <c r="D684" s="65"/>
      <c r="E684" s="65"/>
      <c r="F684" s="65"/>
      <c r="G684" s="65"/>
      <c r="H684" s="65"/>
      <c r="I684" s="65"/>
      <c r="J684" s="65"/>
      <c r="K684" s="65"/>
      <c r="L684" s="69"/>
      <c r="M684" s="69"/>
      <c r="N684" s="65"/>
      <c r="O684" s="65"/>
      <c r="P684" s="65"/>
      <c r="Q684" s="65"/>
      <c r="R684" s="65"/>
      <c r="S684" s="65"/>
    </row>
    <row r="685" spans="1:19" x14ac:dyDescent="0.2">
      <c r="A685" s="74"/>
      <c r="C685" s="65"/>
      <c r="D685" s="65"/>
      <c r="E685" s="65"/>
      <c r="F685" s="65"/>
      <c r="G685" s="65"/>
      <c r="H685" s="65"/>
      <c r="I685" s="65"/>
      <c r="J685" s="65"/>
      <c r="K685" s="65"/>
      <c r="L685" s="69"/>
      <c r="M685" s="69"/>
      <c r="N685" s="65"/>
      <c r="O685" s="65"/>
      <c r="P685" s="65"/>
      <c r="Q685" s="65"/>
      <c r="R685" s="65"/>
      <c r="S685" s="65"/>
    </row>
    <row r="686" spans="1:19" x14ac:dyDescent="0.2">
      <c r="A686" s="74"/>
      <c r="C686" s="65"/>
      <c r="D686" s="65"/>
      <c r="E686" s="65"/>
      <c r="F686" s="65"/>
      <c r="G686" s="65"/>
      <c r="H686" s="65"/>
      <c r="I686" s="65"/>
      <c r="J686" s="65"/>
      <c r="K686" s="65"/>
      <c r="L686" s="69"/>
      <c r="M686" s="69"/>
      <c r="N686" s="65"/>
      <c r="O686" s="65"/>
      <c r="P686" s="65"/>
      <c r="Q686" s="65"/>
      <c r="R686" s="65"/>
      <c r="S686" s="65"/>
    </row>
    <row r="687" spans="1:19" x14ac:dyDescent="0.2">
      <c r="A687" s="74"/>
      <c r="C687" s="65"/>
      <c r="D687" s="65"/>
      <c r="E687" s="65"/>
      <c r="F687" s="65"/>
      <c r="G687" s="65"/>
      <c r="H687" s="65"/>
      <c r="I687" s="65"/>
      <c r="J687" s="65"/>
      <c r="K687" s="65"/>
      <c r="L687" s="69"/>
      <c r="M687" s="69"/>
      <c r="N687" s="65"/>
      <c r="O687" s="65"/>
      <c r="P687" s="65"/>
      <c r="Q687" s="65"/>
      <c r="R687" s="65"/>
      <c r="S687" s="65"/>
    </row>
    <row r="688" spans="1:19" x14ac:dyDescent="0.2">
      <c r="A688" s="74"/>
      <c r="C688" s="65"/>
      <c r="D688" s="65"/>
      <c r="E688" s="65"/>
      <c r="F688" s="65"/>
      <c r="G688" s="65"/>
      <c r="H688" s="65"/>
      <c r="I688" s="65"/>
      <c r="J688" s="65"/>
      <c r="K688" s="65"/>
      <c r="L688" s="69"/>
      <c r="M688" s="69"/>
      <c r="N688" s="65"/>
      <c r="O688" s="65"/>
      <c r="P688" s="65"/>
      <c r="Q688" s="65"/>
      <c r="R688" s="65"/>
      <c r="S688" s="65"/>
    </row>
    <row r="689" spans="1:19" x14ac:dyDescent="0.2">
      <c r="A689" s="74"/>
      <c r="C689" s="65"/>
      <c r="D689" s="65"/>
      <c r="E689" s="65"/>
      <c r="F689" s="65"/>
      <c r="G689" s="65"/>
      <c r="H689" s="65"/>
      <c r="I689" s="65"/>
      <c r="J689" s="65"/>
      <c r="K689" s="65"/>
      <c r="L689" s="69"/>
      <c r="M689" s="69"/>
      <c r="N689" s="65"/>
      <c r="O689" s="65"/>
      <c r="P689" s="65"/>
      <c r="Q689" s="65"/>
      <c r="R689" s="65"/>
      <c r="S689" s="65"/>
    </row>
    <row r="690" spans="1:19" x14ac:dyDescent="0.2">
      <c r="A690" s="74"/>
      <c r="C690" s="65"/>
      <c r="D690" s="65"/>
      <c r="E690" s="65"/>
      <c r="F690" s="65"/>
      <c r="G690" s="65"/>
      <c r="H690" s="65"/>
      <c r="I690" s="65"/>
      <c r="J690" s="65"/>
      <c r="K690" s="65"/>
      <c r="L690" s="69"/>
      <c r="M690" s="69"/>
      <c r="N690" s="65"/>
      <c r="O690" s="65"/>
      <c r="P690" s="65"/>
      <c r="Q690" s="65"/>
      <c r="R690" s="65"/>
      <c r="S690" s="65"/>
    </row>
    <row r="691" spans="1:19" x14ac:dyDescent="0.2">
      <c r="A691" s="74"/>
      <c r="C691" s="65"/>
      <c r="D691" s="65"/>
      <c r="E691" s="65"/>
      <c r="F691" s="65"/>
      <c r="G691" s="65"/>
      <c r="H691" s="65"/>
      <c r="I691" s="65"/>
      <c r="J691" s="65"/>
      <c r="K691" s="65"/>
      <c r="L691" s="69"/>
      <c r="M691" s="69"/>
      <c r="N691" s="65"/>
      <c r="O691" s="65"/>
      <c r="P691" s="65"/>
      <c r="Q691" s="65"/>
      <c r="R691" s="65"/>
      <c r="S691" s="65"/>
    </row>
    <row r="692" spans="1:19" x14ac:dyDescent="0.2">
      <c r="A692" s="74"/>
      <c r="C692" s="65"/>
      <c r="D692" s="65"/>
      <c r="E692" s="65"/>
      <c r="F692" s="65"/>
      <c r="G692" s="65"/>
      <c r="H692" s="65"/>
      <c r="I692" s="65"/>
      <c r="J692" s="65"/>
      <c r="K692" s="65"/>
      <c r="L692" s="69"/>
      <c r="M692" s="69"/>
      <c r="N692" s="65"/>
      <c r="O692" s="65"/>
      <c r="P692" s="65"/>
      <c r="Q692" s="65"/>
      <c r="R692" s="65"/>
      <c r="S692" s="65"/>
    </row>
    <row r="693" spans="1:19" x14ac:dyDescent="0.2">
      <c r="A693" s="74"/>
      <c r="C693" s="65"/>
      <c r="D693" s="65"/>
      <c r="E693" s="65"/>
      <c r="F693" s="65"/>
      <c r="G693" s="65"/>
      <c r="H693" s="65"/>
      <c r="I693" s="65"/>
      <c r="J693" s="65"/>
      <c r="K693" s="65"/>
      <c r="L693" s="69"/>
      <c r="M693" s="69"/>
      <c r="N693" s="65"/>
      <c r="O693" s="65"/>
      <c r="P693" s="65"/>
      <c r="Q693" s="65"/>
      <c r="R693" s="65"/>
      <c r="S693" s="65"/>
    </row>
    <row r="694" spans="1:19" x14ac:dyDescent="0.2">
      <c r="A694" s="74"/>
      <c r="C694" s="65"/>
      <c r="D694" s="65"/>
      <c r="E694" s="65"/>
      <c r="F694" s="65"/>
      <c r="G694" s="65"/>
      <c r="H694" s="65"/>
      <c r="I694" s="65"/>
      <c r="J694" s="65"/>
      <c r="K694" s="65"/>
      <c r="L694" s="69"/>
      <c r="M694" s="69"/>
      <c r="N694" s="65"/>
      <c r="O694" s="65"/>
      <c r="P694" s="65"/>
      <c r="Q694" s="65"/>
      <c r="R694" s="65"/>
      <c r="S694" s="65"/>
    </row>
    <row r="695" spans="1:19" x14ac:dyDescent="0.2">
      <c r="A695" s="74"/>
      <c r="C695" s="65"/>
      <c r="D695" s="65"/>
      <c r="E695" s="65"/>
      <c r="F695" s="65"/>
      <c r="G695" s="65"/>
      <c r="H695" s="65"/>
      <c r="I695" s="65"/>
      <c r="J695" s="65"/>
      <c r="K695" s="65"/>
      <c r="L695" s="69"/>
      <c r="M695" s="69"/>
      <c r="N695" s="65"/>
      <c r="O695" s="65"/>
      <c r="P695" s="65"/>
      <c r="Q695" s="65"/>
      <c r="R695" s="65"/>
      <c r="S695" s="65"/>
    </row>
    <row r="696" spans="1:19" x14ac:dyDescent="0.2">
      <c r="A696" s="74"/>
      <c r="C696" s="65"/>
      <c r="D696" s="65"/>
      <c r="E696" s="65"/>
      <c r="F696" s="65"/>
      <c r="G696" s="65"/>
      <c r="H696" s="65"/>
      <c r="I696" s="65"/>
      <c r="J696" s="65"/>
      <c r="K696" s="65"/>
      <c r="L696" s="69"/>
      <c r="M696" s="69"/>
      <c r="N696" s="65"/>
      <c r="O696" s="65"/>
      <c r="P696" s="65"/>
      <c r="Q696" s="65"/>
      <c r="R696" s="65"/>
      <c r="S696" s="65"/>
    </row>
    <row r="697" spans="1:19" x14ac:dyDescent="0.2">
      <c r="A697" s="74"/>
      <c r="C697" s="65"/>
      <c r="D697" s="65"/>
      <c r="E697" s="65"/>
      <c r="F697" s="65"/>
      <c r="G697" s="65"/>
      <c r="H697" s="65"/>
      <c r="I697" s="65"/>
      <c r="J697" s="65"/>
      <c r="K697" s="65"/>
      <c r="L697" s="69"/>
      <c r="M697" s="69"/>
      <c r="N697" s="65"/>
      <c r="O697" s="65"/>
      <c r="P697" s="65"/>
      <c r="Q697" s="65"/>
      <c r="R697" s="65"/>
      <c r="S697" s="65"/>
    </row>
    <row r="698" spans="1:19" x14ac:dyDescent="0.2">
      <c r="A698" s="74"/>
      <c r="C698" s="65"/>
      <c r="D698" s="65"/>
      <c r="E698" s="65"/>
      <c r="F698" s="65"/>
      <c r="G698" s="65"/>
      <c r="H698" s="65"/>
      <c r="I698" s="65"/>
      <c r="J698" s="65"/>
      <c r="K698" s="65"/>
      <c r="L698" s="69"/>
      <c r="M698" s="69"/>
      <c r="N698" s="65"/>
      <c r="O698" s="65"/>
      <c r="P698" s="65"/>
      <c r="Q698" s="65"/>
      <c r="R698" s="65"/>
      <c r="S698" s="65"/>
    </row>
    <row r="699" spans="1:19" x14ac:dyDescent="0.2">
      <c r="A699" s="74"/>
      <c r="C699" s="65"/>
      <c r="D699" s="65"/>
      <c r="E699" s="65"/>
      <c r="F699" s="65"/>
      <c r="G699" s="65"/>
      <c r="H699" s="65"/>
      <c r="I699" s="65"/>
      <c r="J699" s="65"/>
      <c r="K699" s="65"/>
      <c r="L699" s="69"/>
      <c r="M699" s="69"/>
      <c r="N699" s="65"/>
      <c r="O699" s="65"/>
      <c r="P699" s="65"/>
      <c r="Q699" s="65"/>
      <c r="R699" s="65"/>
      <c r="S699" s="65"/>
    </row>
    <row r="700" spans="1:19" x14ac:dyDescent="0.2">
      <c r="A700" s="74"/>
      <c r="C700" s="65"/>
      <c r="D700" s="65"/>
      <c r="E700" s="65"/>
      <c r="F700" s="65"/>
      <c r="G700" s="65"/>
      <c r="H700" s="65"/>
      <c r="I700" s="65"/>
      <c r="J700" s="65"/>
      <c r="K700" s="65"/>
      <c r="L700" s="69"/>
      <c r="M700" s="69"/>
      <c r="N700" s="65"/>
      <c r="O700" s="65"/>
      <c r="P700" s="65"/>
      <c r="Q700" s="65"/>
      <c r="R700" s="65"/>
      <c r="S700" s="65"/>
    </row>
    <row r="701" spans="1:19" x14ac:dyDescent="0.2">
      <c r="A701" s="74"/>
      <c r="C701" s="65"/>
      <c r="D701" s="65"/>
      <c r="E701" s="65"/>
      <c r="F701" s="65"/>
      <c r="G701" s="65"/>
      <c r="H701" s="65"/>
      <c r="I701" s="65"/>
      <c r="J701" s="65"/>
      <c r="K701" s="65"/>
      <c r="L701" s="69"/>
      <c r="M701" s="69"/>
      <c r="N701" s="65"/>
      <c r="O701" s="65"/>
      <c r="P701" s="65"/>
      <c r="Q701" s="65"/>
      <c r="R701" s="65"/>
      <c r="S701" s="65"/>
    </row>
    <row r="702" spans="1:19" x14ac:dyDescent="0.2">
      <c r="A702" s="74"/>
      <c r="C702" s="65"/>
      <c r="D702" s="65"/>
      <c r="E702" s="65"/>
      <c r="F702" s="65"/>
      <c r="G702" s="65"/>
      <c r="H702" s="65"/>
      <c r="I702" s="65"/>
      <c r="J702" s="65"/>
      <c r="K702" s="65"/>
      <c r="L702" s="69"/>
      <c r="M702" s="69"/>
      <c r="N702" s="65"/>
      <c r="O702" s="65"/>
      <c r="P702" s="65"/>
      <c r="Q702" s="65"/>
      <c r="R702" s="65"/>
      <c r="S702" s="65"/>
    </row>
    <row r="703" spans="1:19" x14ac:dyDescent="0.2">
      <c r="A703" s="74"/>
      <c r="C703" s="65"/>
      <c r="D703" s="65"/>
      <c r="E703" s="65"/>
      <c r="F703" s="65"/>
      <c r="G703" s="65"/>
      <c r="H703" s="65"/>
      <c r="I703" s="65"/>
      <c r="J703" s="65"/>
      <c r="K703" s="65"/>
      <c r="L703" s="69"/>
      <c r="M703" s="69"/>
      <c r="N703" s="65"/>
      <c r="O703" s="65"/>
      <c r="P703" s="65"/>
      <c r="Q703" s="65"/>
      <c r="R703" s="65"/>
      <c r="S703" s="65"/>
    </row>
    <row r="704" spans="1:19" x14ac:dyDescent="0.2">
      <c r="A704" s="74"/>
      <c r="C704" s="65"/>
      <c r="D704" s="65"/>
      <c r="E704" s="65"/>
      <c r="F704" s="65"/>
      <c r="G704" s="65"/>
      <c r="H704" s="65"/>
      <c r="I704" s="65"/>
      <c r="J704" s="65"/>
      <c r="K704" s="65"/>
      <c r="L704" s="69"/>
      <c r="M704" s="69"/>
      <c r="N704" s="65"/>
      <c r="O704" s="65"/>
      <c r="P704" s="65"/>
      <c r="Q704" s="65"/>
      <c r="R704" s="65"/>
      <c r="S704" s="65"/>
    </row>
    <row r="705" spans="1:19" x14ac:dyDescent="0.2">
      <c r="A705" s="74"/>
      <c r="C705" s="65"/>
      <c r="D705" s="65"/>
      <c r="E705" s="65"/>
      <c r="F705" s="65"/>
      <c r="G705" s="65"/>
      <c r="H705" s="65"/>
      <c r="I705" s="65"/>
      <c r="J705" s="65"/>
      <c r="K705" s="65"/>
      <c r="L705" s="69"/>
      <c r="M705" s="69"/>
      <c r="N705" s="65"/>
      <c r="O705" s="65"/>
      <c r="P705" s="65"/>
      <c r="Q705" s="65"/>
      <c r="R705" s="65"/>
      <c r="S705" s="65"/>
    </row>
    <row r="706" spans="1:19" x14ac:dyDescent="0.2">
      <c r="A706" s="74"/>
      <c r="C706" s="65"/>
      <c r="D706" s="65"/>
      <c r="E706" s="65"/>
      <c r="F706" s="65"/>
      <c r="G706" s="65"/>
      <c r="H706" s="65"/>
      <c r="I706" s="65"/>
      <c r="J706" s="65"/>
      <c r="K706" s="65"/>
      <c r="L706" s="69"/>
      <c r="M706" s="69"/>
      <c r="N706" s="65"/>
      <c r="O706" s="65"/>
      <c r="P706" s="65"/>
      <c r="Q706" s="65"/>
      <c r="R706" s="65"/>
      <c r="S706" s="65"/>
    </row>
    <row r="707" spans="1:19" x14ac:dyDescent="0.2">
      <c r="A707" s="74"/>
      <c r="C707" s="65"/>
      <c r="D707" s="65"/>
      <c r="E707" s="65"/>
      <c r="F707" s="65"/>
      <c r="G707" s="65"/>
      <c r="H707" s="65"/>
      <c r="I707" s="65"/>
      <c r="J707" s="65"/>
      <c r="K707" s="65"/>
      <c r="L707" s="69"/>
      <c r="M707" s="69"/>
      <c r="N707" s="65"/>
      <c r="O707" s="65"/>
      <c r="P707" s="65"/>
      <c r="Q707" s="65"/>
      <c r="R707" s="65"/>
      <c r="S707" s="65"/>
    </row>
    <row r="708" spans="1:19" x14ac:dyDescent="0.2">
      <c r="A708" s="74"/>
      <c r="C708" s="65"/>
      <c r="D708" s="65"/>
      <c r="E708" s="65"/>
      <c r="F708" s="65"/>
      <c r="G708" s="65"/>
      <c r="H708" s="65"/>
      <c r="I708" s="65"/>
      <c r="J708" s="65"/>
      <c r="K708" s="65"/>
      <c r="L708" s="69"/>
      <c r="M708" s="69"/>
      <c r="N708" s="65"/>
      <c r="O708" s="65"/>
      <c r="P708" s="65"/>
      <c r="Q708" s="65"/>
      <c r="R708" s="65"/>
      <c r="S708" s="65"/>
    </row>
    <row r="709" spans="1:19" x14ac:dyDescent="0.2">
      <c r="A709" s="74"/>
      <c r="C709" s="65"/>
      <c r="D709" s="65"/>
      <c r="E709" s="65"/>
      <c r="F709" s="65"/>
      <c r="G709" s="65"/>
      <c r="H709" s="65"/>
      <c r="I709" s="65"/>
      <c r="J709" s="65"/>
      <c r="K709" s="65"/>
      <c r="L709" s="69"/>
      <c r="M709" s="69"/>
      <c r="N709" s="65"/>
      <c r="O709" s="65"/>
      <c r="P709" s="65"/>
      <c r="Q709" s="65"/>
      <c r="R709" s="65"/>
      <c r="S709" s="65"/>
    </row>
    <row r="710" spans="1:19" x14ac:dyDescent="0.2">
      <c r="A710" s="74"/>
      <c r="C710" s="65"/>
      <c r="D710" s="65"/>
      <c r="E710" s="65"/>
      <c r="F710" s="65"/>
      <c r="G710" s="65"/>
      <c r="H710" s="65"/>
      <c r="I710" s="65"/>
      <c r="J710" s="65"/>
      <c r="K710" s="65"/>
      <c r="L710" s="69"/>
      <c r="M710" s="69"/>
      <c r="N710" s="65"/>
      <c r="O710" s="65"/>
      <c r="P710" s="65"/>
      <c r="Q710" s="65"/>
      <c r="R710" s="65"/>
      <c r="S710" s="65"/>
    </row>
    <row r="711" spans="1:19" x14ac:dyDescent="0.2">
      <c r="A711" s="74"/>
      <c r="C711" s="65"/>
      <c r="D711" s="65"/>
      <c r="E711" s="65"/>
      <c r="F711" s="65"/>
      <c r="G711" s="65"/>
      <c r="H711" s="65"/>
      <c r="I711" s="65"/>
      <c r="J711" s="65"/>
      <c r="K711" s="65"/>
      <c r="L711" s="69"/>
      <c r="M711" s="69"/>
      <c r="N711" s="65"/>
      <c r="O711" s="65"/>
      <c r="P711" s="65"/>
      <c r="Q711" s="65"/>
      <c r="R711" s="65"/>
      <c r="S711" s="65"/>
    </row>
    <row r="712" spans="1:19" x14ac:dyDescent="0.2">
      <c r="A712" s="74"/>
      <c r="C712" s="65"/>
      <c r="D712" s="65"/>
      <c r="E712" s="65"/>
      <c r="F712" s="65"/>
      <c r="G712" s="65"/>
      <c r="H712" s="65"/>
      <c r="I712" s="65"/>
      <c r="J712" s="65"/>
      <c r="K712" s="65"/>
      <c r="L712" s="69"/>
      <c r="M712" s="69"/>
      <c r="N712" s="65"/>
      <c r="O712" s="65"/>
      <c r="P712" s="65"/>
      <c r="Q712" s="65"/>
      <c r="R712" s="65"/>
      <c r="S712" s="65"/>
    </row>
    <row r="713" spans="1:19" x14ac:dyDescent="0.2">
      <c r="A713" s="74"/>
      <c r="C713" s="65"/>
      <c r="D713" s="65"/>
      <c r="E713" s="65"/>
      <c r="F713" s="65"/>
      <c r="G713" s="65"/>
      <c r="H713" s="65"/>
      <c r="I713" s="65"/>
      <c r="J713" s="65"/>
      <c r="K713" s="65"/>
      <c r="L713" s="69"/>
      <c r="M713" s="69"/>
      <c r="N713" s="65"/>
      <c r="O713" s="65"/>
      <c r="P713" s="65"/>
      <c r="Q713" s="65"/>
      <c r="R713" s="65"/>
      <c r="S713" s="65"/>
    </row>
    <row r="714" spans="1:19" x14ac:dyDescent="0.2">
      <c r="A714" s="74"/>
      <c r="C714" s="65"/>
      <c r="D714" s="65"/>
      <c r="E714" s="65"/>
      <c r="F714" s="65"/>
      <c r="G714" s="65"/>
      <c r="H714" s="65"/>
      <c r="I714" s="65"/>
      <c r="J714" s="65"/>
      <c r="K714" s="65"/>
      <c r="L714" s="69"/>
      <c r="M714" s="69"/>
      <c r="N714" s="65"/>
      <c r="O714" s="65"/>
      <c r="P714" s="65"/>
      <c r="Q714" s="65"/>
      <c r="R714" s="65"/>
      <c r="S714" s="65"/>
    </row>
    <row r="715" spans="1:19" x14ac:dyDescent="0.2">
      <c r="A715" s="74"/>
      <c r="C715" s="65"/>
      <c r="D715" s="65"/>
      <c r="E715" s="65"/>
      <c r="F715" s="65"/>
      <c r="G715" s="65"/>
      <c r="H715" s="65"/>
      <c r="I715" s="65"/>
      <c r="J715" s="65"/>
      <c r="K715" s="65"/>
      <c r="L715" s="69"/>
      <c r="M715" s="69"/>
      <c r="N715" s="65"/>
      <c r="O715" s="65"/>
      <c r="P715" s="65"/>
      <c r="Q715" s="65"/>
      <c r="R715" s="65"/>
      <c r="S715" s="65"/>
    </row>
    <row r="716" spans="1:19" x14ac:dyDescent="0.2">
      <c r="A716" s="74"/>
      <c r="C716" s="65"/>
      <c r="D716" s="65"/>
      <c r="E716" s="65"/>
      <c r="F716" s="65"/>
      <c r="G716" s="65"/>
      <c r="H716" s="65"/>
      <c r="I716" s="65"/>
      <c r="J716" s="65"/>
      <c r="K716" s="65"/>
      <c r="L716" s="69"/>
      <c r="M716" s="69"/>
      <c r="N716" s="65"/>
      <c r="O716" s="65"/>
      <c r="P716" s="65"/>
      <c r="Q716" s="65"/>
      <c r="R716" s="65"/>
      <c r="S716" s="65"/>
    </row>
    <row r="717" spans="1:19" x14ac:dyDescent="0.2">
      <c r="A717" s="74"/>
      <c r="C717" s="65"/>
      <c r="D717" s="65"/>
      <c r="E717" s="65"/>
      <c r="F717" s="65"/>
      <c r="G717" s="65"/>
      <c r="H717" s="65"/>
      <c r="I717" s="65"/>
      <c r="J717" s="65"/>
      <c r="K717" s="65"/>
      <c r="L717" s="69"/>
      <c r="M717" s="69"/>
      <c r="N717" s="65"/>
      <c r="O717" s="65"/>
      <c r="P717" s="65"/>
      <c r="Q717" s="65"/>
      <c r="R717" s="65"/>
      <c r="S717" s="65"/>
    </row>
    <row r="718" spans="1:19" x14ac:dyDescent="0.2">
      <c r="A718" s="74"/>
      <c r="C718" s="65"/>
      <c r="D718" s="65"/>
      <c r="E718" s="65"/>
      <c r="F718" s="65"/>
      <c r="G718" s="65"/>
      <c r="H718" s="65"/>
      <c r="I718" s="65"/>
      <c r="J718" s="65"/>
      <c r="K718" s="65"/>
      <c r="L718" s="69"/>
      <c r="M718" s="69"/>
      <c r="N718" s="65"/>
      <c r="O718" s="65"/>
      <c r="P718" s="65"/>
      <c r="Q718" s="65"/>
      <c r="R718" s="65"/>
      <c r="S718" s="65"/>
    </row>
    <row r="719" spans="1:19" x14ac:dyDescent="0.2">
      <c r="A719" s="74"/>
      <c r="C719" s="65"/>
      <c r="D719" s="65"/>
      <c r="E719" s="65"/>
      <c r="F719" s="65"/>
      <c r="G719" s="65"/>
      <c r="H719" s="65"/>
      <c r="I719" s="65"/>
      <c r="J719" s="65"/>
      <c r="K719" s="65"/>
      <c r="L719" s="69"/>
      <c r="M719" s="69"/>
      <c r="N719" s="65"/>
      <c r="O719" s="65"/>
      <c r="P719" s="65"/>
      <c r="Q719" s="65"/>
      <c r="R719" s="65"/>
      <c r="S719" s="65"/>
    </row>
    <row r="720" spans="1:19" x14ac:dyDescent="0.2">
      <c r="A720" s="74"/>
      <c r="C720" s="65"/>
      <c r="D720" s="65"/>
      <c r="E720" s="65"/>
      <c r="F720" s="65"/>
      <c r="G720" s="65"/>
      <c r="H720" s="65"/>
      <c r="I720" s="65"/>
      <c r="J720" s="65"/>
      <c r="K720" s="65"/>
      <c r="L720" s="69"/>
      <c r="M720" s="69"/>
      <c r="N720" s="65"/>
      <c r="O720" s="65"/>
      <c r="P720" s="65"/>
      <c r="Q720" s="65"/>
      <c r="R720" s="65"/>
      <c r="S720" s="65"/>
    </row>
    <row r="721" spans="1:19" x14ac:dyDescent="0.2">
      <c r="A721" s="74"/>
      <c r="C721" s="65"/>
      <c r="D721" s="65"/>
      <c r="E721" s="65"/>
      <c r="F721" s="65"/>
      <c r="G721" s="65"/>
      <c r="H721" s="65"/>
      <c r="I721" s="65"/>
      <c r="J721" s="65"/>
      <c r="K721" s="65"/>
      <c r="L721" s="69"/>
      <c r="M721" s="69"/>
      <c r="N721" s="65"/>
      <c r="O721" s="65"/>
      <c r="P721" s="65"/>
      <c r="Q721" s="65"/>
      <c r="R721" s="65"/>
      <c r="S721" s="65"/>
    </row>
    <row r="722" spans="1:19" x14ac:dyDescent="0.2">
      <c r="A722" s="74"/>
      <c r="C722" s="65"/>
      <c r="D722" s="65"/>
      <c r="E722" s="65"/>
      <c r="F722" s="65"/>
      <c r="G722" s="65"/>
      <c r="H722" s="65"/>
      <c r="I722" s="65"/>
      <c r="J722" s="65"/>
      <c r="K722" s="65"/>
      <c r="L722" s="69"/>
      <c r="M722" s="69"/>
      <c r="N722" s="65"/>
      <c r="O722" s="65"/>
      <c r="P722" s="65"/>
      <c r="Q722" s="65"/>
      <c r="R722" s="65"/>
      <c r="S722" s="65"/>
    </row>
    <row r="723" spans="1:19" x14ac:dyDescent="0.2">
      <c r="A723" s="74"/>
      <c r="C723" s="65"/>
      <c r="D723" s="65"/>
      <c r="E723" s="65"/>
      <c r="F723" s="65"/>
      <c r="G723" s="65"/>
      <c r="H723" s="65"/>
      <c r="I723" s="65"/>
      <c r="J723" s="65"/>
      <c r="K723" s="65"/>
      <c r="L723" s="69"/>
      <c r="M723" s="69"/>
      <c r="N723" s="65"/>
      <c r="O723" s="65"/>
      <c r="P723" s="65"/>
      <c r="Q723" s="65"/>
      <c r="R723" s="65"/>
      <c r="S723" s="65"/>
    </row>
    <row r="724" spans="1:19" x14ac:dyDescent="0.2">
      <c r="A724" s="74"/>
      <c r="C724" s="65"/>
      <c r="D724" s="65"/>
      <c r="E724" s="65"/>
      <c r="F724" s="65"/>
      <c r="G724" s="65"/>
      <c r="H724" s="65"/>
      <c r="I724" s="65"/>
      <c r="J724" s="65"/>
      <c r="K724" s="65"/>
      <c r="L724" s="69"/>
      <c r="M724" s="69"/>
      <c r="N724" s="65"/>
      <c r="O724" s="65"/>
      <c r="P724" s="65"/>
      <c r="Q724" s="65"/>
      <c r="R724" s="65"/>
      <c r="S724" s="65"/>
    </row>
    <row r="725" spans="1:19" x14ac:dyDescent="0.2">
      <c r="A725" s="74"/>
      <c r="C725" s="65"/>
      <c r="D725" s="65"/>
      <c r="E725" s="65"/>
      <c r="F725" s="65"/>
      <c r="G725" s="65"/>
      <c r="H725" s="65"/>
      <c r="I725" s="65"/>
      <c r="J725" s="65"/>
      <c r="K725" s="65"/>
      <c r="L725" s="69"/>
      <c r="M725" s="69"/>
      <c r="N725" s="65"/>
      <c r="O725" s="65"/>
      <c r="P725" s="65"/>
      <c r="Q725" s="65"/>
      <c r="R725" s="65"/>
      <c r="S725" s="65"/>
    </row>
    <row r="726" spans="1:19" x14ac:dyDescent="0.2">
      <c r="A726" s="74"/>
      <c r="C726" s="65"/>
      <c r="D726" s="65"/>
      <c r="E726" s="65"/>
      <c r="F726" s="65"/>
      <c r="G726" s="65"/>
      <c r="H726" s="65"/>
      <c r="I726" s="65"/>
      <c r="J726" s="65"/>
      <c r="K726" s="65"/>
      <c r="L726" s="69"/>
      <c r="M726" s="69"/>
      <c r="N726" s="65"/>
      <c r="O726" s="65"/>
      <c r="P726" s="65"/>
      <c r="Q726" s="65"/>
      <c r="R726" s="65"/>
      <c r="S726" s="65"/>
    </row>
    <row r="727" spans="1:19" x14ac:dyDescent="0.2">
      <c r="A727" s="74"/>
      <c r="C727" s="65"/>
      <c r="D727" s="65"/>
      <c r="E727" s="65"/>
      <c r="F727" s="65"/>
      <c r="G727" s="65"/>
      <c r="H727" s="65"/>
      <c r="I727" s="65"/>
      <c r="J727" s="65"/>
      <c r="K727" s="65"/>
      <c r="L727" s="69"/>
      <c r="M727" s="69"/>
      <c r="N727" s="65"/>
      <c r="O727" s="65"/>
      <c r="P727" s="65"/>
      <c r="Q727" s="65"/>
      <c r="R727" s="65"/>
      <c r="S727" s="65"/>
    </row>
    <row r="728" spans="1:19" x14ac:dyDescent="0.2">
      <c r="A728" s="74"/>
      <c r="C728" s="65"/>
      <c r="D728" s="65"/>
      <c r="E728" s="65"/>
      <c r="F728" s="65"/>
      <c r="G728" s="65"/>
      <c r="H728" s="65"/>
      <c r="I728" s="65"/>
      <c r="J728" s="65"/>
      <c r="K728" s="65"/>
      <c r="L728" s="69"/>
      <c r="M728" s="69"/>
      <c r="N728" s="65"/>
      <c r="O728" s="65"/>
      <c r="P728" s="65"/>
      <c r="Q728" s="65"/>
      <c r="R728" s="65"/>
      <c r="S728" s="65"/>
    </row>
    <row r="729" spans="1:19" x14ac:dyDescent="0.2">
      <c r="A729" s="74"/>
      <c r="C729" s="65"/>
      <c r="D729" s="65"/>
      <c r="E729" s="65"/>
      <c r="F729" s="65"/>
      <c r="G729" s="65"/>
      <c r="H729" s="65"/>
      <c r="I729" s="65"/>
      <c r="J729" s="65"/>
      <c r="K729" s="65"/>
      <c r="L729" s="69"/>
      <c r="M729" s="69"/>
      <c r="N729" s="65"/>
      <c r="O729" s="65"/>
      <c r="P729" s="65"/>
      <c r="Q729" s="65"/>
      <c r="R729" s="65"/>
      <c r="S729" s="65"/>
    </row>
    <row r="730" spans="1:19" x14ac:dyDescent="0.2">
      <c r="A730" s="74"/>
      <c r="C730" s="65"/>
      <c r="D730" s="65"/>
      <c r="E730" s="65"/>
      <c r="F730" s="65"/>
      <c r="G730" s="65"/>
      <c r="H730" s="65"/>
      <c r="I730" s="65"/>
      <c r="J730" s="65"/>
      <c r="K730" s="65"/>
      <c r="L730" s="69"/>
      <c r="M730" s="69"/>
      <c r="N730" s="65"/>
      <c r="O730" s="65"/>
      <c r="P730" s="65"/>
      <c r="Q730" s="65"/>
      <c r="R730" s="65"/>
      <c r="S730" s="65"/>
    </row>
    <row r="731" spans="1:19" x14ac:dyDescent="0.2">
      <c r="A731" s="74"/>
      <c r="C731" s="65"/>
      <c r="D731" s="65"/>
      <c r="E731" s="65"/>
      <c r="F731" s="65"/>
      <c r="G731" s="65"/>
      <c r="H731" s="65"/>
      <c r="I731" s="65"/>
      <c r="J731" s="65"/>
      <c r="K731" s="65"/>
      <c r="L731" s="69"/>
      <c r="M731" s="69"/>
      <c r="N731" s="65"/>
      <c r="O731" s="65"/>
      <c r="P731" s="65"/>
      <c r="Q731" s="65"/>
      <c r="R731" s="65"/>
      <c r="S731" s="65"/>
    </row>
    <row r="732" spans="1:19" x14ac:dyDescent="0.2">
      <c r="A732" s="74"/>
      <c r="C732" s="65"/>
      <c r="D732" s="65"/>
      <c r="E732" s="65"/>
      <c r="F732" s="65"/>
      <c r="G732" s="65"/>
      <c r="H732" s="65"/>
      <c r="I732" s="65"/>
      <c r="J732" s="65"/>
      <c r="K732" s="65"/>
      <c r="L732" s="69"/>
      <c r="M732" s="69"/>
      <c r="N732" s="65"/>
      <c r="O732" s="65"/>
      <c r="P732" s="65"/>
      <c r="Q732" s="65"/>
      <c r="R732" s="65"/>
      <c r="S732" s="65"/>
    </row>
    <row r="733" spans="1:19" x14ac:dyDescent="0.2">
      <c r="A733" s="74"/>
      <c r="C733" s="65"/>
      <c r="D733" s="65"/>
      <c r="E733" s="65"/>
      <c r="F733" s="65"/>
      <c r="G733" s="65"/>
      <c r="H733" s="65"/>
      <c r="I733" s="65"/>
      <c r="J733" s="65"/>
      <c r="K733" s="65"/>
      <c r="L733" s="69"/>
      <c r="M733" s="69"/>
      <c r="N733" s="65"/>
      <c r="O733" s="65"/>
      <c r="P733" s="65"/>
      <c r="Q733" s="65"/>
      <c r="R733" s="65"/>
      <c r="S733" s="65"/>
    </row>
    <row r="734" spans="1:19" x14ac:dyDescent="0.2">
      <c r="A734" s="74"/>
      <c r="C734" s="65"/>
      <c r="D734" s="65"/>
      <c r="E734" s="65"/>
      <c r="F734" s="65"/>
      <c r="G734" s="65"/>
      <c r="H734" s="65"/>
      <c r="I734" s="65"/>
      <c r="J734" s="65"/>
      <c r="K734" s="65"/>
      <c r="L734" s="69"/>
      <c r="M734" s="69"/>
      <c r="N734" s="65"/>
      <c r="O734" s="65"/>
      <c r="P734" s="65"/>
      <c r="Q734" s="65"/>
      <c r="R734" s="65"/>
      <c r="S734" s="65"/>
    </row>
    <row r="735" spans="1:19" x14ac:dyDescent="0.2">
      <c r="A735" s="74"/>
      <c r="C735" s="65"/>
      <c r="D735" s="65"/>
      <c r="E735" s="65"/>
      <c r="F735" s="65"/>
      <c r="G735" s="65"/>
      <c r="H735" s="65"/>
      <c r="I735" s="65"/>
      <c r="J735" s="65"/>
      <c r="K735" s="65"/>
      <c r="L735" s="69"/>
      <c r="M735" s="69"/>
      <c r="N735" s="65"/>
      <c r="O735" s="65"/>
      <c r="P735" s="65"/>
      <c r="Q735" s="65"/>
      <c r="R735" s="65"/>
      <c r="S735" s="65"/>
    </row>
    <row r="736" spans="1:19" x14ac:dyDescent="0.2">
      <c r="A736" s="74"/>
      <c r="C736" s="65"/>
      <c r="D736" s="65"/>
      <c r="E736" s="65"/>
      <c r="F736" s="65"/>
      <c r="G736" s="65"/>
      <c r="H736" s="65"/>
      <c r="I736" s="65"/>
      <c r="J736" s="65"/>
      <c r="K736" s="65"/>
      <c r="L736" s="69"/>
      <c r="M736" s="69"/>
      <c r="N736" s="65"/>
      <c r="O736" s="65"/>
      <c r="P736" s="65"/>
      <c r="Q736" s="65"/>
      <c r="R736" s="65"/>
      <c r="S736" s="65"/>
    </row>
    <row r="737" spans="1:19" x14ac:dyDescent="0.2">
      <c r="A737" s="74"/>
      <c r="C737" s="65"/>
      <c r="D737" s="65"/>
      <c r="E737" s="65"/>
      <c r="F737" s="65"/>
      <c r="G737" s="65"/>
      <c r="H737" s="65"/>
      <c r="I737" s="65"/>
      <c r="J737" s="65"/>
      <c r="K737" s="65"/>
      <c r="L737" s="69"/>
      <c r="M737" s="69"/>
      <c r="N737" s="65"/>
      <c r="O737" s="65"/>
      <c r="P737" s="65"/>
      <c r="Q737" s="65"/>
      <c r="R737" s="65"/>
      <c r="S737" s="65"/>
    </row>
    <row r="738" spans="1:19" x14ac:dyDescent="0.2">
      <c r="A738" s="74"/>
      <c r="C738" s="65"/>
      <c r="D738" s="65"/>
      <c r="E738" s="65"/>
      <c r="F738" s="65"/>
      <c r="G738" s="65"/>
      <c r="H738" s="65"/>
      <c r="I738" s="65"/>
      <c r="J738" s="65"/>
      <c r="K738" s="65"/>
      <c r="L738" s="69"/>
      <c r="M738" s="69"/>
      <c r="N738" s="65"/>
      <c r="O738" s="65"/>
      <c r="P738" s="65"/>
      <c r="Q738" s="65"/>
      <c r="R738" s="65"/>
      <c r="S738" s="65"/>
    </row>
    <row r="739" spans="1:19" x14ac:dyDescent="0.2">
      <c r="A739" s="74"/>
      <c r="C739" s="65"/>
      <c r="D739" s="65"/>
      <c r="E739" s="65"/>
      <c r="F739" s="65"/>
      <c r="G739" s="65"/>
      <c r="H739" s="65"/>
      <c r="I739" s="65"/>
      <c r="J739" s="65"/>
      <c r="K739" s="65"/>
      <c r="L739" s="69"/>
      <c r="M739" s="69"/>
      <c r="N739" s="65"/>
      <c r="O739" s="65"/>
      <c r="P739" s="65"/>
      <c r="Q739" s="65"/>
      <c r="R739" s="65"/>
      <c r="S739" s="65"/>
    </row>
    <row r="740" spans="1:19" x14ac:dyDescent="0.2">
      <c r="A740" s="74"/>
      <c r="C740" s="65"/>
      <c r="D740" s="65"/>
      <c r="E740" s="65"/>
      <c r="F740" s="65"/>
      <c r="G740" s="65"/>
      <c r="H740" s="65"/>
      <c r="I740" s="65"/>
      <c r="J740" s="65"/>
      <c r="K740" s="65"/>
      <c r="L740" s="69"/>
      <c r="M740" s="69"/>
      <c r="N740" s="65"/>
      <c r="O740" s="65"/>
      <c r="P740" s="65"/>
      <c r="Q740" s="65"/>
      <c r="R740" s="65"/>
      <c r="S740" s="65"/>
    </row>
    <row r="741" spans="1:19" x14ac:dyDescent="0.2">
      <c r="A741" s="74"/>
      <c r="C741" s="65"/>
      <c r="D741" s="65"/>
      <c r="E741" s="65"/>
      <c r="F741" s="65"/>
      <c r="G741" s="65"/>
      <c r="H741" s="65"/>
      <c r="I741" s="65"/>
      <c r="J741" s="65"/>
      <c r="K741" s="65"/>
      <c r="L741" s="69"/>
      <c r="M741" s="69"/>
      <c r="N741" s="65"/>
      <c r="O741" s="65"/>
      <c r="P741" s="65"/>
      <c r="Q741" s="65"/>
      <c r="R741" s="65"/>
      <c r="S741" s="65"/>
    </row>
    <row r="742" spans="1:19" x14ac:dyDescent="0.2">
      <c r="A742" s="74"/>
      <c r="C742" s="65"/>
      <c r="D742" s="65"/>
      <c r="E742" s="65"/>
      <c r="F742" s="65"/>
      <c r="G742" s="65"/>
      <c r="H742" s="65"/>
      <c r="I742" s="65"/>
      <c r="J742" s="65"/>
      <c r="K742" s="65"/>
      <c r="L742" s="69"/>
      <c r="M742" s="69"/>
      <c r="N742" s="65"/>
      <c r="O742" s="65"/>
      <c r="P742" s="65"/>
      <c r="Q742" s="65"/>
      <c r="R742" s="65"/>
      <c r="S742" s="65"/>
    </row>
    <row r="743" spans="1:19" x14ac:dyDescent="0.2">
      <c r="A743" s="74"/>
      <c r="C743" s="65"/>
      <c r="D743" s="65"/>
      <c r="E743" s="65"/>
      <c r="F743" s="65"/>
      <c r="G743" s="65"/>
      <c r="H743" s="65"/>
      <c r="I743" s="65"/>
      <c r="J743" s="65"/>
      <c r="K743" s="65"/>
      <c r="L743" s="69"/>
      <c r="M743" s="69"/>
      <c r="N743" s="65"/>
      <c r="O743" s="65"/>
      <c r="P743" s="65"/>
      <c r="Q743" s="65"/>
      <c r="R743" s="65"/>
      <c r="S743" s="65"/>
    </row>
    <row r="744" spans="1:19" x14ac:dyDescent="0.2">
      <c r="A744" s="74"/>
      <c r="C744" s="65"/>
      <c r="D744" s="65"/>
      <c r="E744" s="65"/>
      <c r="F744" s="65"/>
      <c r="G744" s="65"/>
      <c r="H744" s="65"/>
      <c r="I744" s="65"/>
      <c r="J744" s="65"/>
      <c r="K744" s="65"/>
      <c r="L744" s="69"/>
      <c r="M744" s="69"/>
      <c r="N744" s="65"/>
      <c r="O744" s="65"/>
      <c r="P744" s="65"/>
      <c r="Q744" s="65"/>
      <c r="R744" s="65"/>
      <c r="S744" s="65"/>
    </row>
    <row r="745" spans="1:19" x14ac:dyDescent="0.2">
      <c r="A745" s="74"/>
      <c r="C745" s="65"/>
      <c r="D745" s="65"/>
      <c r="E745" s="65"/>
      <c r="F745" s="65"/>
      <c r="G745" s="65"/>
      <c r="H745" s="65"/>
      <c r="I745" s="65"/>
      <c r="J745" s="65"/>
      <c r="K745" s="65"/>
      <c r="L745" s="69"/>
      <c r="M745" s="69"/>
      <c r="N745" s="65"/>
      <c r="O745" s="65"/>
      <c r="P745" s="65"/>
      <c r="Q745" s="65"/>
      <c r="R745" s="65"/>
      <c r="S745" s="65"/>
    </row>
    <row r="746" spans="1:19" x14ac:dyDescent="0.2">
      <c r="A746" s="74"/>
      <c r="C746" s="65"/>
      <c r="D746" s="65"/>
      <c r="E746" s="65"/>
      <c r="F746" s="65"/>
      <c r="G746" s="65"/>
      <c r="H746" s="65"/>
      <c r="I746" s="65"/>
      <c r="J746" s="65"/>
      <c r="K746" s="65"/>
      <c r="L746" s="69"/>
      <c r="M746" s="69"/>
      <c r="N746" s="65"/>
      <c r="O746" s="65"/>
      <c r="P746" s="65"/>
      <c r="Q746" s="65"/>
      <c r="R746" s="65"/>
      <c r="S746" s="65"/>
    </row>
    <row r="747" spans="1:19" x14ac:dyDescent="0.2">
      <c r="A747" s="74"/>
      <c r="C747" s="65"/>
      <c r="D747" s="65"/>
      <c r="E747" s="65"/>
      <c r="F747" s="65"/>
      <c r="G747" s="65"/>
      <c r="H747" s="65"/>
      <c r="I747" s="65"/>
      <c r="J747" s="65"/>
      <c r="K747" s="65"/>
      <c r="L747" s="69"/>
      <c r="M747" s="69"/>
      <c r="N747" s="65"/>
      <c r="O747" s="65"/>
      <c r="P747" s="65"/>
      <c r="Q747" s="65"/>
      <c r="R747" s="65"/>
      <c r="S747" s="65"/>
    </row>
    <row r="748" spans="1:19" x14ac:dyDescent="0.2">
      <c r="A748" s="74"/>
      <c r="C748" s="65"/>
      <c r="D748" s="65"/>
      <c r="E748" s="65"/>
      <c r="F748" s="65"/>
      <c r="G748" s="65"/>
      <c r="H748" s="65"/>
      <c r="I748" s="65"/>
      <c r="J748" s="65"/>
      <c r="K748" s="65"/>
      <c r="L748" s="69"/>
      <c r="M748" s="69"/>
      <c r="N748" s="65"/>
      <c r="O748" s="65"/>
      <c r="P748" s="65"/>
      <c r="Q748" s="65"/>
      <c r="R748" s="65"/>
      <c r="S748" s="65"/>
    </row>
    <row r="749" spans="1:19" x14ac:dyDescent="0.2">
      <c r="A749" s="74"/>
      <c r="C749" s="65"/>
      <c r="D749" s="65"/>
      <c r="E749" s="65"/>
      <c r="F749" s="65"/>
      <c r="G749" s="65"/>
      <c r="H749" s="65"/>
      <c r="I749" s="65"/>
      <c r="J749" s="65"/>
      <c r="K749" s="65"/>
      <c r="L749" s="69"/>
      <c r="M749" s="69"/>
      <c r="N749" s="65"/>
      <c r="O749" s="65"/>
      <c r="P749" s="65"/>
      <c r="Q749" s="65"/>
      <c r="R749" s="65"/>
      <c r="S749" s="65"/>
    </row>
    <row r="750" spans="1:19" x14ac:dyDescent="0.2">
      <c r="A750" s="74"/>
      <c r="C750" s="65"/>
      <c r="D750" s="65"/>
      <c r="E750" s="65"/>
      <c r="F750" s="65"/>
      <c r="G750" s="65"/>
      <c r="H750" s="65"/>
      <c r="I750" s="65"/>
      <c r="J750" s="65"/>
      <c r="K750" s="65"/>
      <c r="L750" s="69"/>
      <c r="M750" s="69"/>
      <c r="N750" s="65"/>
      <c r="O750" s="65"/>
      <c r="P750" s="65"/>
      <c r="Q750" s="65"/>
      <c r="R750" s="65"/>
      <c r="S750" s="65"/>
    </row>
    <row r="751" spans="1:19" x14ac:dyDescent="0.2">
      <c r="A751" s="74"/>
      <c r="C751" s="65"/>
      <c r="D751" s="65"/>
      <c r="E751" s="65"/>
      <c r="F751" s="65"/>
      <c r="G751" s="65"/>
      <c r="H751" s="65"/>
      <c r="I751" s="65"/>
      <c r="J751" s="65"/>
      <c r="K751" s="65"/>
      <c r="L751" s="69"/>
      <c r="M751" s="69"/>
      <c r="N751" s="65"/>
      <c r="O751" s="65"/>
      <c r="P751" s="65"/>
      <c r="Q751" s="65"/>
      <c r="R751" s="65"/>
      <c r="S751" s="65"/>
    </row>
    <row r="752" spans="1:19" x14ac:dyDescent="0.2">
      <c r="A752" s="74"/>
      <c r="C752" s="65"/>
      <c r="D752" s="65"/>
      <c r="E752" s="65"/>
      <c r="F752" s="65"/>
      <c r="G752" s="65"/>
      <c r="H752" s="65"/>
      <c r="I752" s="65"/>
      <c r="J752" s="65"/>
      <c r="K752" s="65"/>
      <c r="L752" s="69"/>
      <c r="M752" s="69"/>
      <c r="N752" s="65"/>
      <c r="O752" s="65"/>
      <c r="P752" s="65"/>
      <c r="Q752" s="65"/>
      <c r="R752" s="65"/>
      <c r="S752" s="65"/>
    </row>
    <row r="753" spans="1:19" x14ac:dyDescent="0.2">
      <c r="A753" s="74"/>
      <c r="C753" s="65"/>
      <c r="D753" s="65"/>
      <c r="E753" s="65"/>
      <c r="F753" s="65"/>
      <c r="G753" s="65"/>
      <c r="H753" s="65"/>
      <c r="I753" s="65"/>
      <c r="J753" s="65"/>
      <c r="K753" s="65"/>
      <c r="L753" s="69"/>
      <c r="M753" s="69"/>
      <c r="N753" s="65"/>
      <c r="O753" s="65"/>
      <c r="P753" s="65"/>
      <c r="Q753" s="65"/>
      <c r="R753" s="65"/>
      <c r="S753" s="65"/>
    </row>
    <row r="754" spans="1:19" x14ac:dyDescent="0.2">
      <c r="A754" s="74"/>
      <c r="C754" s="65"/>
      <c r="D754" s="65"/>
      <c r="E754" s="65"/>
      <c r="F754" s="65"/>
      <c r="G754" s="65"/>
      <c r="H754" s="65"/>
      <c r="I754" s="65"/>
      <c r="J754" s="65"/>
      <c r="K754" s="65"/>
      <c r="L754" s="69"/>
      <c r="M754" s="69"/>
      <c r="N754" s="65"/>
      <c r="O754" s="65"/>
      <c r="P754" s="65"/>
      <c r="Q754" s="65"/>
      <c r="R754" s="65"/>
      <c r="S754" s="65"/>
    </row>
    <row r="755" spans="1:19" x14ac:dyDescent="0.2">
      <c r="A755" s="74"/>
      <c r="C755" s="65"/>
      <c r="D755" s="65"/>
      <c r="E755" s="65"/>
      <c r="F755" s="65"/>
      <c r="G755" s="65"/>
      <c r="H755" s="65"/>
      <c r="I755" s="65"/>
      <c r="J755" s="65"/>
      <c r="K755" s="65"/>
      <c r="L755" s="69"/>
      <c r="M755" s="69"/>
      <c r="N755" s="65"/>
      <c r="O755" s="65"/>
      <c r="P755" s="65"/>
      <c r="Q755" s="65"/>
      <c r="R755" s="65"/>
      <c r="S755" s="65"/>
    </row>
    <row r="756" spans="1:19" x14ac:dyDescent="0.2">
      <c r="A756" s="74"/>
      <c r="C756" s="65"/>
      <c r="D756" s="65"/>
      <c r="E756" s="65"/>
      <c r="F756" s="65"/>
      <c r="G756" s="65"/>
      <c r="H756" s="65"/>
      <c r="I756" s="65"/>
      <c r="J756" s="65"/>
      <c r="K756" s="65"/>
      <c r="L756" s="69"/>
      <c r="M756" s="69"/>
      <c r="N756" s="65"/>
      <c r="O756" s="65"/>
      <c r="P756" s="65"/>
      <c r="Q756" s="65"/>
      <c r="R756" s="65"/>
      <c r="S756" s="65"/>
    </row>
    <row r="757" spans="1:19" x14ac:dyDescent="0.2">
      <c r="A757" s="74"/>
      <c r="C757" s="65"/>
      <c r="D757" s="65"/>
      <c r="E757" s="65"/>
      <c r="F757" s="65"/>
      <c r="G757" s="65"/>
      <c r="H757" s="65"/>
      <c r="I757" s="65"/>
      <c r="J757" s="65"/>
      <c r="K757" s="65"/>
      <c r="L757" s="69"/>
      <c r="M757" s="69"/>
      <c r="N757" s="65"/>
      <c r="O757" s="65"/>
      <c r="P757" s="65"/>
      <c r="Q757" s="65"/>
      <c r="R757" s="65"/>
      <c r="S757" s="65"/>
    </row>
    <row r="758" spans="1:19" x14ac:dyDescent="0.2">
      <c r="A758" s="74"/>
      <c r="C758" s="65"/>
      <c r="D758" s="65"/>
      <c r="E758" s="65"/>
      <c r="F758" s="65"/>
      <c r="G758" s="65"/>
      <c r="H758" s="65"/>
      <c r="I758" s="65"/>
      <c r="J758" s="65"/>
      <c r="K758" s="65"/>
      <c r="L758" s="69"/>
      <c r="M758" s="69"/>
      <c r="N758" s="65"/>
      <c r="O758" s="65"/>
      <c r="P758" s="65"/>
      <c r="Q758" s="65"/>
      <c r="R758" s="65"/>
      <c r="S758" s="65"/>
    </row>
    <row r="759" spans="1:19" x14ac:dyDescent="0.2">
      <c r="A759" s="74"/>
      <c r="C759" s="65"/>
      <c r="D759" s="65"/>
      <c r="E759" s="65"/>
      <c r="F759" s="65"/>
      <c r="G759" s="65"/>
      <c r="H759" s="65"/>
      <c r="I759" s="65"/>
      <c r="J759" s="65"/>
      <c r="K759" s="65"/>
      <c r="L759" s="69"/>
      <c r="M759" s="69"/>
      <c r="N759" s="65"/>
      <c r="O759" s="65"/>
      <c r="P759" s="65"/>
      <c r="Q759" s="65"/>
      <c r="R759" s="65"/>
      <c r="S759" s="65"/>
    </row>
    <row r="760" spans="1:19" x14ac:dyDescent="0.2">
      <c r="A760" s="74"/>
      <c r="C760" s="65"/>
      <c r="D760" s="65"/>
      <c r="E760" s="65"/>
      <c r="F760" s="65"/>
      <c r="G760" s="65"/>
      <c r="H760" s="65"/>
      <c r="I760" s="65"/>
      <c r="J760" s="65"/>
      <c r="K760" s="65"/>
      <c r="L760" s="69"/>
      <c r="M760" s="69"/>
      <c r="N760" s="65"/>
      <c r="O760" s="65"/>
      <c r="P760" s="65"/>
      <c r="Q760" s="65"/>
      <c r="R760" s="65"/>
      <c r="S760" s="65"/>
    </row>
    <row r="761" spans="1:19" x14ac:dyDescent="0.2">
      <c r="A761" s="74"/>
      <c r="C761" s="65"/>
      <c r="D761" s="65"/>
      <c r="E761" s="65"/>
      <c r="F761" s="65"/>
      <c r="G761" s="65"/>
      <c r="H761" s="65"/>
      <c r="I761" s="65"/>
      <c r="J761" s="65"/>
      <c r="K761" s="65"/>
      <c r="L761" s="69"/>
      <c r="M761" s="69"/>
      <c r="N761" s="65"/>
      <c r="O761" s="65"/>
      <c r="P761" s="65"/>
      <c r="Q761" s="65"/>
      <c r="R761" s="65"/>
      <c r="S761" s="65"/>
    </row>
    <row r="762" spans="1:19" x14ac:dyDescent="0.2">
      <c r="A762" s="74"/>
      <c r="C762" s="65"/>
      <c r="D762" s="65"/>
      <c r="E762" s="65"/>
      <c r="F762" s="65"/>
      <c r="G762" s="65"/>
      <c r="H762" s="65"/>
      <c r="I762" s="65"/>
      <c r="J762" s="65"/>
      <c r="K762" s="65"/>
      <c r="L762" s="69"/>
      <c r="M762" s="69"/>
      <c r="N762" s="65"/>
      <c r="O762" s="65"/>
      <c r="P762" s="65"/>
      <c r="Q762" s="65"/>
      <c r="R762" s="65"/>
      <c r="S762" s="65"/>
    </row>
    <row r="763" spans="1:19" x14ac:dyDescent="0.2">
      <c r="A763" s="74"/>
      <c r="C763" s="65"/>
      <c r="D763" s="65"/>
      <c r="E763" s="65"/>
      <c r="F763" s="65"/>
      <c r="G763" s="65"/>
      <c r="H763" s="65"/>
      <c r="I763" s="65"/>
      <c r="J763" s="65"/>
      <c r="K763" s="65"/>
      <c r="L763" s="69"/>
      <c r="M763" s="69"/>
      <c r="N763" s="65"/>
      <c r="O763" s="65"/>
      <c r="P763" s="65"/>
      <c r="Q763" s="65"/>
      <c r="R763" s="65"/>
      <c r="S763" s="65"/>
    </row>
    <row r="764" spans="1:19" x14ac:dyDescent="0.2">
      <c r="A764" s="74"/>
      <c r="C764" s="65"/>
      <c r="D764" s="65"/>
      <c r="E764" s="65"/>
      <c r="F764" s="65"/>
      <c r="G764" s="65"/>
      <c r="H764" s="65"/>
      <c r="I764" s="65"/>
      <c r="J764" s="65"/>
      <c r="K764" s="65"/>
      <c r="L764" s="69"/>
      <c r="M764" s="69"/>
      <c r="N764" s="65"/>
      <c r="O764" s="65"/>
      <c r="P764" s="65"/>
      <c r="Q764" s="65"/>
      <c r="R764" s="65"/>
      <c r="S764" s="65"/>
    </row>
    <row r="765" spans="1:19" x14ac:dyDescent="0.2">
      <c r="A765" s="74"/>
      <c r="C765" s="65"/>
      <c r="D765" s="65"/>
      <c r="E765" s="65"/>
      <c r="F765" s="65"/>
      <c r="G765" s="65"/>
      <c r="H765" s="65"/>
      <c r="I765" s="65"/>
      <c r="J765" s="65"/>
      <c r="K765" s="65"/>
      <c r="L765" s="69"/>
      <c r="M765" s="69"/>
      <c r="N765" s="65"/>
      <c r="O765" s="65"/>
      <c r="P765" s="65"/>
      <c r="Q765" s="65"/>
      <c r="R765" s="65"/>
      <c r="S765" s="65"/>
    </row>
    <row r="766" spans="1:19" x14ac:dyDescent="0.2">
      <c r="A766" s="74"/>
      <c r="C766" s="65"/>
      <c r="D766" s="65"/>
      <c r="E766" s="65"/>
      <c r="F766" s="65"/>
      <c r="G766" s="65"/>
      <c r="H766" s="65"/>
      <c r="I766" s="65"/>
      <c r="J766" s="65"/>
      <c r="K766" s="65"/>
      <c r="L766" s="69"/>
      <c r="M766" s="69"/>
      <c r="N766" s="65"/>
      <c r="O766" s="65"/>
      <c r="P766" s="65"/>
      <c r="Q766" s="65"/>
      <c r="R766" s="65"/>
      <c r="S766" s="65"/>
    </row>
    <row r="767" spans="1:19" x14ac:dyDescent="0.2">
      <c r="A767" s="74"/>
      <c r="C767" s="65"/>
      <c r="D767" s="65"/>
      <c r="E767" s="65"/>
      <c r="F767" s="65"/>
      <c r="G767" s="65"/>
      <c r="H767" s="65"/>
      <c r="I767" s="65"/>
      <c r="J767" s="65"/>
      <c r="K767" s="65"/>
      <c r="L767" s="69"/>
      <c r="M767" s="69"/>
      <c r="N767" s="65"/>
      <c r="O767" s="65"/>
      <c r="P767" s="65"/>
      <c r="Q767" s="65"/>
      <c r="R767" s="65"/>
      <c r="S767" s="65"/>
    </row>
    <row r="768" spans="1:19" x14ac:dyDescent="0.2">
      <c r="A768" s="74"/>
      <c r="C768" s="65"/>
      <c r="D768" s="65"/>
      <c r="E768" s="65"/>
      <c r="F768" s="65"/>
      <c r="G768" s="65"/>
      <c r="H768" s="65"/>
      <c r="I768" s="65"/>
      <c r="J768" s="65"/>
      <c r="K768" s="65"/>
      <c r="L768" s="69"/>
      <c r="M768" s="69"/>
      <c r="N768" s="65"/>
      <c r="O768" s="65"/>
      <c r="P768" s="65"/>
      <c r="Q768" s="65"/>
      <c r="R768" s="65"/>
      <c r="S768" s="65"/>
    </row>
    <row r="769" spans="1:19" x14ac:dyDescent="0.2">
      <c r="A769" s="74"/>
      <c r="C769" s="65"/>
      <c r="D769" s="65"/>
      <c r="E769" s="65"/>
      <c r="F769" s="65"/>
      <c r="G769" s="65"/>
      <c r="H769" s="65"/>
      <c r="I769" s="65"/>
      <c r="J769" s="65"/>
      <c r="K769" s="65"/>
      <c r="L769" s="69"/>
      <c r="M769" s="69"/>
      <c r="N769" s="65"/>
      <c r="O769" s="65"/>
      <c r="P769" s="65"/>
      <c r="Q769" s="65"/>
      <c r="R769" s="65"/>
      <c r="S769" s="65"/>
    </row>
    <row r="770" spans="1:19" x14ac:dyDescent="0.2">
      <c r="A770" s="74"/>
      <c r="C770" s="65"/>
      <c r="D770" s="65"/>
      <c r="E770" s="65"/>
      <c r="F770" s="65"/>
      <c r="G770" s="65"/>
      <c r="H770" s="65"/>
      <c r="I770" s="65"/>
      <c r="J770" s="65"/>
      <c r="K770" s="65"/>
      <c r="L770" s="69"/>
      <c r="M770" s="69"/>
      <c r="N770" s="65"/>
      <c r="O770" s="65"/>
      <c r="P770" s="65"/>
      <c r="Q770" s="65"/>
      <c r="R770" s="65"/>
      <c r="S770" s="65"/>
    </row>
    <row r="771" spans="1:19" x14ac:dyDescent="0.2">
      <c r="A771" s="74"/>
      <c r="C771" s="65"/>
      <c r="D771" s="65"/>
      <c r="E771" s="65"/>
      <c r="F771" s="65"/>
      <c r="G771" s="65"/>
      <c r="H771" s="65"/>
      <c r="I771" s="65"/>
      <c r="J771" s="65"/>
      <c r="K771" s="65"/>
      <c r="L771" s="69"/>
      <c r="M771" s="69"/>
      <c r="N771" s="65"/>
      <c r="O771" s="65"/>
      <c r="P771" s="65"/>
      <c r="Q771" s="65"/>
      <c r="R771" s="65"/>
      <c r="S771" s="65"/>
    </row>
    <row r="772" spans="1:19" x14ac:dyDescent="0.2">
      <c r="A772" s="74"/>
      <c r="C772" s="65"/>
      <c r="D772" s="65"/>
      <c r="E772" s="65"/>
      <c r="F772" s="65"/>
      <c r="G772" s="65"/>
      <c r="H772" s="65"/>
      <c r="I772" s="65"/>
      <c r="J772" s="65"/>
      <c r="K772" s="65"/>
      <c r="L772" s="69"/>
      <c r="M772" s="69"/>
      <c r="N772" s="65"/>
      <c r="O772" s="65"/>
      <c r="P772" s="65"/>
      <c r="Q772" s="65"/>
      <c r="R772" s="65"/>
      <c r="S772" s="65"/>
    </row>
    <row r="773" spans="1:19" x14ac:dyDescent="0.2">
      <c r="A773" s="74"/>
      <c r="C773" s="65"/>
      <c r="D773" s="65"/>
      <c r="E773" s="65"/>
      <c r="F773" s="65"/>
      <c r="G773" s="65"/>
      <c r="H773" s="65"/>
      <c r="I773" s="65"/>
      <c r="J773" s="65"/>
      <c r="K773" s="65"/>
      <c r="L773" s="69"/>
      <c r="M773" s="69"/>
      <c r="N773" s="65"/>
      <c r="O773" s="65"/>
      <c r="P773" s="65"/>
      <c r="Q773" s="65"/>
      <c r="R773" s="65"/>
      <c r="S773" s="65"/>
    </row>
    <row r="774" spans="1:19" x14ac:dyDescent="0.2">
      <c r="A774" s="74"/>
      <c r="C774" s="65"/>
      <c r="D774" s="65"/>
      <c r="E774" s="65"/>
      <c r="F774" s="65"/>
      <c r="G774" s="65"/>
      <c r="H774" s="65"/>
      <c r="I774" s="65"/>
      <c r="J774" s="65"/>
      <c r="K774" s="65"/>
      <c r="L774" s="69"/>
      <c r="M774" s="69"/>
      <c r="N774" s="65"/>
      <c r="O774" s="65"/>
      <c r="P774" s="65"/>
      <c r="Q774" s="65"/>
      <c r="R774" s="65"/>
      <c r="S774" s="65"/>
    </row>
    <row r="775" spans="1:19" x14ac:dyDescent="0.2">
      <c r="A775" s="74"/>
      <c r="C775" s="65"/>
      <c r="D775" s="65"/>
      <c r="E775" s="65"/>
      <c r="F775" s="65"/>
      <c r="G775" s="65"/>
      <c r="H775" s="65"/>
      <c r="I775" s="65"/>
      <c r="J775" s="65"/>
      <c r="K775" s="65"/>
      <c r="L775" s="69"/>
      <c r="M775" s="69"/>
      <c r="N775" s="65"/>
      <c r="O775" s="65"/>
      <c r="P775" s="65"/>
      <c r="Q775" s="65"/>
      <c r="R775" s="65"/>
      <c r="S775" s="65"/>
    </row>
    <row r="776" spans="1:19" x14ac:dyDescent="0.2">
      <c r="A776" s="74"/>
      <c r="C776" s="65"/>
      <c r="D776" s="65"/>
      <c r="E776" s="65"/>
      <c r="F776" s="65"/>
      <c r="G776" s="65"/>
      <c r="H776" s="65"/>
      <c r="I776" s="65"/>
      <c r="J776" s="65"/>
      <c r="K776" s="65"/>
      <c r="L776" s="69"/>
      <c r="M776" s="69"/>
      <c r="N776" s="65"/>
      <c r="O776" s="65"/>
      <c r="P776" s="65"/>
      <c r="Q776" s="65"/>
      <c r="R776" s="65"/>
      <c r="S776" s="65"/>
    </row>
    <row r="777" spans="1:19" x14ac:dyDescent="0.2">
      <c r="A777" s="74"/>
      <c r="C777" s="65"/>
      <c r="D777" s="65"/>
      <c r="E777" s="65"/>
      <c r="F777" s="65"/>
      <c r="G777" s="65"/>
      <c r="H777" s="65"/>
      <c r="I777" s="65"/>
      <c r="J777" s="65"/>
      <c r="K777" s="65"/>
      <c r="L777" s="69"/>
      <c r="M777" s="69"/>
      <c r="N777" s="65"/>
      <c r="O777" s="65"/>
      <c r="P777" s="65"/>
      <c r="Q777" s="65"/>
      <c r="R777" s="65"/>
      <c r="S777" s="65"/>
    </row>
    <row r="778" spans="1:19" x14ac:dyDescent="0.2">
      <c r="A778" s="74"/>
      <c r="C778" s="65"/>
      <c r="D778" s="65"/>
      <c r="E778" s="65"/>
      <c r="F778" s="65"/>
      <c r="G778" s="65"/>
      <c r="H778" s="65"/>
      <c r="I778" s="65"/>
      <c r="J778" s="65"/>
      <c r="K778" s="65"/>
      <c r="L778" s="69"/>
      <c r="M778" s="69"/>
      <c r="N778" s="65"/>
      <c r="O778" s="65"/>
      <c r="P778" s="65"/>
      <c r="Q778" s="65"/>
      <c r="R778" s="65"/>
      <c r="S778" s="65"/>
    </row>
    <row r="779" spans="1:19" x14ac:dyDescent="0.2">
      <c r="A779" s="74"/>
      <c r="C779" s="65"/>
      <c r="D779" s="65"/>
      <c r="E779" s="65"/>
      <c r="F779" s="65"/>
      <c r="G779" s="65"/>
      <c r="H779" s="65"/>
      <c r="I779" s="65"/>
      <c r="J779" s="65"/>
      <c r="K779" s="65"/>
      <c r="L779" s="69"/>
      <c r="M779" s="69"/>
      <c r="N779" s="65"/>
      <c r="O779" s="65"/>
      <c r="P779" s="65"/>
      <c r="Q779" s="65"/>
      <c r="R779" s="65"/>
      <c r="S779" s="65"/>
    </row>
    <row r="780" spans="1:19" x14ac:dyDescent="0.2">
      <c r="A780" s="74"/>
      <c r="C780" s="65"/>
      <c r="D780" s="65"/>
      <c r="E780" s="65"/>
      <c r="F780" s="65"/>
      <c r="G780" s="65"/>
      <c r="H780" s="65"/>
      <c r="I780" s="65"/>
      <c r="J780" s="65"/>
      <c r="K780" s="65"/>
      <c r="L780" s="69"/>
      <c r="M780" s="69"/>
      <c r="N780" s="65"/>
      <c r="O780" s="65"/>
      <c r="P780" s="65"/>
      <c r="Q780" s="65"/>
      <c r="R780" s="65"/>
      <c r="S780" s="65"/>
    </row>
    <row r="781" spans="1:19" x14ac:dyDescent="0.2">
      <c r="A781" s="74"/>
      <c r="C781" s="65"/>
      <c r="D781" s="65"/>
      <c r="E781" s="65"/>
      <c r="F781" s="65"/>
      <c r="G781" s="65"/>
      <c r="H781" s="65"/>
      <c r="I781" s="65"/>
      <c r="J781" s="65"/>
      <c r="K781" s="65"/>
      <c r="L781" s="69"/>
      <c r="M781" s="69"/>
      <c r="N781" s="65"/>
      <c r="O781" s="65"/>
      <c r="P781" s="65"/>
      <c r="Q781" s="65"/>
      <c r="R781" s="65"/>
      <c r="S781" s="65"/>
    </row>
    <row r="782" spans="1:19" x14ac:dyDescent="0.2">
      <c r="A782" s="74"/>
      <c r="C782" s="65"/>
      <c r="D782" s="65"/>
      <c r="E782" s="65"/>
      <c r="F782" s="65"/>
      <c r="G782" s="65"/>
      <c r="H782" s="65"/>
      <c r="I782" s="65"/>
      <c r="J782" s="65"/>
      <c r="K782" s="65"/>
      <c r="L782" s="69"/>
      <c r="M782" s="69"/>
      <c r="N782" s="65"/>
      <c r="O782" s="65"/>
      <c r="P782" s="65"/>
      <c r="Q782" s="65"/>
      <c r="R782" s="65"/>
      <c r="S782" s="65"/>
    </row>
    <row r="783" spans="1:19" x14ac:dyDescent="0.2">
      <c r="A783" s="74"/>
      <c r="C783" s="65"/>
      <c r="D783" s="65"/>
      <c r="E783" s="65"/>
      <c r="F783" s="65"/>
      <c r="G783" s="65"/>
      <c r="H783" s="65"/>
      <c r="I783" s="65"/>
      <c r="J783" s="65"/>
      <c r="K783" s="65"/>
      <c r="L783" s="69"/>
      <c r="M783" s="69"/>
      <c r="N783" s="65"/>
      <c r="O783" s="65"/>
      <c r="P783" s="65"/>
      <c r="Q783" s="65"/>
      <c r="R783" s="65"/>
      <c r="S783" s="65"/>
    </row>
    <row r="784" spans="1:19" x14ac:dyDescent="0.2">
      <c r="A784" s="74"/>
      <c r="C784" s="65"/>
      <c r="D784" s="65"/>
      <c r="E784" s="65"/>
      <c r="F784" s="65"/>
      <c r="G784" s="65"/>
      <c r="H784" s="65"/>
      <c r="I784" s="65"/>
      <c r="J784" s="65"/>
      <c r="K784" s="65"/>
      <c r="L784" s="69"/>
      <c r="M784" s="69"/>
      <c r="N784" s="65"/>
      <c r="O784" s="65"/>
      <c r="P784" s="65"/>
      <c r="Q784" s="65"/>
      <c r="R784" s="65"/>
      <c r="S784" s="65"/>
    </row>
    <row r="785" spans="1:19" x14ac:dyDescent="0.2">
      <c r="A785" s="74"/>
      <c r="C785" s="65"/>
      <c r="D785" s="65"/>
      <c r="E785" s="65"/>
      <c r="F785" s="65"/>
      <c r="G785" s="65"/>
      <c r="H785" s="65"/>
      <c r="I785" s="65"/>
      <c r="J785" s="65"/>
      <c r="K785" s="65"/>
      <c r="L785" s="69"/>
      <c r="M785" s="69"/>
      <c r="N785" s="65"/>
      <c r="O785" s="65"/>
      <c r="P785" s="65"/>
      <c r="Q785" s="65"/>
      <c r="R785" s="65"/>
      <c r="S785" s="65"/>
    </row>
    <row r="786" spans="1:19" x14ac:dyDescent="0.2">
      <c r="A786" s="74"/>
      <c r="C786" s="65"/>
      <c r="D786" s="65"/>
      <c r="E786" s="65"/>
      <c r="F786" s="65"/>
      <c r="G786" s="65"/>
      <c r="H786" s="65"/>
      <c r="I786" s="65"/>
      <c r="J786" s="65"/>
      <c r="K786" s="65"/>
      <c r="L786" s="69"/>
      <c r="M786" s="69"/>
      <c r="N786" s="65"/>
      <c r="O786" s="65"/>
      <c r="P786" s="65"/>
      <c r="Q786" s="65"/>
      <c r="R786" s="65"/>
      <c r="S786" s="65"/>
    </row>
    <row r="787" spans="1:19" x14ac:dyDescent="0.2">
      <c r="A787" s="74"/>
      <c r="C787" s="65"/>
      <c r="D787" s="65"/>
      <c r="E787" s="65"/>
      <c r="F787" s="65"/>
      <c r="G787" s="65"/>
      <c r="H787" s="65"/>
      <c r="I787" s="65"/>
      <c r="J787" s="65"/>
      <c r="K787" s="65"/>
      <c r="L787" s="69"/>
      <c r="M787" s="69"/>
      <c r="N787" s="65"/>
      <c r="O787" s="65"/>
      <c r="P787" s="65"/>
      <c r="Q787" s="65"/>
      <c r="R787" s="65"/>
      <c r="S787" s="65"/>
    </row>
    <row r="788" spans="1:19" x14ac:dyDescent="0.2">
      <c r="A788" s="74"/>
      <c r="C788" s="65"/>
      <c r="D788" s="65"/>
      <c r="E788" s="65"/>
      <c r="F788" s="65"/>
      <c r="G788" s="65"/>
      <c r="H788" s="65"/>
      <c r="I788" s="65"/>
      <c r="J788" s="65"/>
      <c r="K788" s="65"/>
      <c r="L788" s="69"/>
      <c r="M788" s="69"/>
      <c r="N788" s="65"/>
      <c r="O788" s="65"/>
      <c r="P788" s="65"/>
      <c r="Q788" s="65"/>
      <c r="R788" s="65"/>
      <c r="S788" s="65"/>
    </row>
    <row r="789" spans="1:19" x14ac:dyDescent="0.2">
      <c r="A789" s="74"/>
      <c r="C789" s="65"/>
      <c r="D789" s="65"/>
      <c r="E789" s="65"/>
      <c r="F789" s="65"/>
      <c r="G789" s="65"/>
      <c r="H789" s="65"/>
      <c r="I789" s="65"/>
      <c r="J789" s="65"/>
      <c r="K789" s="65"/>
      <c r="L789" s="69"/>
      <c r="M789" s="69"/>
      <c r="N789" s="65"/>
      <c r="O789" s="65"/>
      <c r="P789" s="65"/>
      <c r="Q789" s="65"/>
      <c r="R789" s="65"/>
      <c r="S789" s="65"/>
    </row>
    <row r="790" spans="1:19" x14ac:dyDescent="0.2">
      <c r="A790" s="74"/>
      <c r="C790" s="65"/>
      <c r="D790" s="65"/>
      <c r="E790" s="65"/>
      <c r="F790" s="65"/>
      <c r="G790" s="65"/>
      <c r="H790" s="65"/>
      <c r="I790" s="65"/>
      <c r="J790" s="65"/>
      <c r="K790" s="65"/>
      <c r="L790" s="69"/>
      <c r="M790" s="69"/>
      <c r="N790" s="65"/>
      <c r="O790" s="65"/>
      <c r="P790" s="65"/>
      <c r="Q790" s="65"/>
      <c r="R790" s="65"/>
      <c r="S790" s="65"/>
    </row>
    <row r="791" spans="1:19" x14ac:dyDescent="0.2">
      <c r="A791" s="74"/>
      <c r="C791" s="65"/>
      <c r="D791" s="65"/>
      <c r="E791" s="65"/>
      <c r="F791" s="65"/>
      <c r="G791" s="65"/>
      <c r="H791" s="65"/>
      <c r="I791" s="65"/>
      <c r="J791" s="65"/>
      <c r="K791" s="65"/>
      <c r="L791" s="69"/>
      <c r="M791" s="69"/>
      <c r="N791" s="65"/>
      <c r="O791" s="65"/>
      <c r="P791" s="65"/>
      <c r="Q791" s="65"/>
      <c r="R791" s="65"/>
      <c r="S791" s="65"/>
    </row>
    <row r="792" spans="1:19" x14ac:dyDescent="0.2">
      <c r="A792" s="74"/>
      <c r="C792" s="65"/>
      <c r="D792" s="65"/>
      <c r="E792" s="65"/>
      <c r="F792" s="65"/>
      <c r="G792" s="65"/>
      <c r="H792" s="65"/>
      <c r="I792" s="65"/>
      <c r="J792" s="65"/>
      <c r="K792" s="65"/>
      <c r="L792" s="69"/>
      <c r="M792" s="69"/>
      <c r="N792" s="65"/>
      <c r="O792" s="65"/>
      <c r="P792" s="65"/>
      <c r="Q792" s="65"/>
      <c r="R792" s="65"/>
      <c r="S792" s="65"/>
    </row>
    <row r="793" spans="1:19" x14ac:dyDescent="0.2">
      <c r="A793" s="74"/>
      <c r="C793" s="65"/>
      <c r="D793" s="65"/>
      <c r="E793" s="65"/>
      <c r="F793" s="65"/>
      <c r="G793" s="65"/>
      <c r="H793" s="65"/>
      <c r="I793" s="65"/>
      <c r="J793" s="65"/>
      <c r="K793" s="65"/>
      <c r="L793" s="69"/>
      <c r="M793" s="69"/>
      <c r="N793" s="65"/>
      <c r="O793" s="65"/>
      <c r="P793" s="65"/>
      <c r="Q793" s="65"/>
      <c r="R793" s="65"/>
      <c r="S793" s="65"/>
    </row>
    <row r="794" spans="1:19" x14ac:dyDescent="0.2">
      <c r="A794" s="74"/>
      <c r="C794" s="65"/>
      <c r="D794" s="65"/>
      <c r="E794" s="65"/>
      <c r="F794" s="65"/>
      <c r="G794" s="65"/>
      <c r="H794" s="65"/>
      <c r="I794" s="65"/>
      <c r="J794" s="65"/>
      <c r="K794" s="65"/>
      <c r="L794" s="69"/>
      <c r="M794" s="69"/>
      <c r="N794" s="65"/>
      <c r="O794" s="65"/>
      <c r="P794" s="65"/>
      <c r="Q794" s="65"/>
      <c r="R794" s="65"/>
      <c r="S794" s="65"/>
    </row>
    <row r="795" spans="1:19" x14ac:dyDescent="0.2">
      <c r="A795" s="74"/>
      <c r="C795" s="65"/>
      <c r="D795" s="65"/>
      <c r="E795" s="65"/>
      <c r="F795" s="65"/>
      <c r="G795" s="65"/>
      <c r="H795" s="65"/>
      <c r="I795" s="65"/>
      <c r="J795" s="65"/>
      <c r="K795" s="65"/>
      <c r="L795" s="69"/>
      <c r="M795" s="69"/>
      <c r="N795" s="65"/>
      <c r="O795" s="65"/>
      <c r="P795" s="65"/>
      <c r="Q795" s="65"/>
      <c r="R795" s="65"/>
      <c r="S795" s="65"/>
    </row>
    <row r="796" spans="1:19" x14ac:dyDescent="0.2">
      <c r="A796" s="74"/>
      <c r="C796" s="65"/>
      <c r="D796" s="65"/>
      <c r="E796" s="65"/>
      <c r="F796" s="65"/>
      <c r="G796" s="65"/>
      <c r="H796" s="65"/>
      <c r="I796" s="65"/>
      <c r="J796" s="65"/>
      <c r="K796" s="65"/>
      <c r="L796" s="69"/>
      <c r="M796" s="69"/>
      <c r="N796" s="65"/>
      <c r="O796" s="65"/>
      <c r="P796" s="65"/>
      <c r="Q796" s="65"/>
      <c r="R796" s="65"/>
      <c r="S796" s="65"/>
    </row>
    <row r="797" spans="1:19" x14ac:dyDescent="0.2">
      <c r="A797" s="74"/>
      <c r="C797" s="65"/>
      <c r="D797" s="65"/>
      <c r="E797" s="65"/>
      <c r="F797" s="65"/>
      <c r="G797" s="65"/>
      <c r="H797" s="65"/>
      <c r="I797" s="65"/>
      <c r="J797" s="65"/>
      <c r="K797" s="65"/>
      <c r="L797" s="69"/>
      <c r="M797" s="69"/>
      <c r="N797" s="65"/>
      <c r="O797" s="65"/>
      <c r="P797" s="65"/>
      <c r="Q797" s="65"/>
      <c r="R797" s="65"/>
      <c r="S797" s="65"/>
    </row>
    <row r="798" spans="1:19" x14ac:dyDescent="0.2">
      <c r="A798" s="74"/>
      <c r="C798" s="65"/>
      <c r="D798" s="65"/>
      <c r="E798" s="65"/>
      <c r="F798" s="65"/>
      <c r="G798" s="65"/>
      <c r="H798" s="65"/>
      <c r="I798" s="65"/>
      <c r="J798" s="65"/>
      <c r="K798" s="65"/>
      <c r="L798" s="69"/>
      <c r="M798" s="69"/>
      <c r="N798" s="65"/>
      <c r="O798" s="65"/>
      <c r="P798" s="65"/>
      <c r="Q798" s="65"/>
      <c r="R798" s="65"/>
      <c r="S798" s="65"/>
    </row>
    <row r="799" spans="1:19" x14ac:dyDescent="0.2">
      <c r="A799" s="74"/>
      <c r="C799" s="65"/>
      <c r="D799" s="65"/>
      <c r="E799" s="65"/>
      <c r="F799" s="65"/>
      <c r="G799" s="65"/>
      <c r="H799" s="65"/>
      <c r="I799" s="65"/>
      <c r="J799" s="65"/>
      <c r="K799" s="65"/>
      <c r="L799" s="69"/>
      <c r="M799" s="69"/>
      <c r="N799" s="65"/>
      <c r="O799" s="65"/>
      <c r="P799" s="65"/>
      <c r="Q799" s="65"/>
      <c r="R799" s="65"/>
      <c r="S799" s="65"/>
    </row>
    <row r="800" spans="1:19" x14ac:dyDescent="0.2">
      <c r="A800" s="74"/>
      <c r="C800" s="65"/>
      <c r="D800" s="65"/>
      <c r="E800" s="65"/>
      <c r="F800" s="65"/>
      <c r="G800" s="65"/>
      <c r="H800" s="65"/>
      <c r="I800" s="65"/>
      <c r="J800" s="65"/>
      <c r="K800" s="65"/>
      <c r="L800" s="69"/>
      <c r="M800" s="69"/>
      <c r="N800" s="65"/>
      <c r="O800" s="65"/>
      <c r="P800" s="65"/>
      <c r="Q800" s="65"/>
      <c r="R800" s="65"/>
      <c r="S800" s="65"/>
    </row>
    <row r="801" spans="1:19" x14ac:dyDescent="0.2">
      <c r="A801" s="74"/>
      <c r="C801" s="65"/>
      <c r="D801" s="65"/>
      <c r="E801" s="65"/>
      <c r="F801" s="65"/>
      <c r="G801" s="65"/>
      <c r="H801" s="65"/>
      <c r="I801" s="65"/>
      <c r="J801" s="65"/>
      <c r="K801" s="65"/>
      <c r="L801" s="69"/>
      <c r="M801" s="69"/>
      <c r="N801" s="65"/>
      <c r="O801" s="65"/>
      <c r="P801" s="65"/>
      <c r="Q801" s="65"/>
      <c r="R801" s="65"/>
      <c r="S801" s="65"/>
    </row>
    <row r="802" spans="1:19" x14ac:dyDescent="0.2">
      <c r="A802" s="74"/>
      <c r="C802" s="65"/>
      <c r="D802" s="65"/>
      <c r="E802" s="65"/>
      <c r="F802" s="65"/>
      <c r="G802" s="65"/>
      <c r="H802" s="65"/>
      <c r="I802" s="65"/>
      <c r="J802" s="65"/>
      <c r="K802" s="65"/>
      <c r="L802" s="69"/>
      <c r="M802" s="69"/>
      <c r="N802" s="65"/>
      <c r="O802" s="65"/>
      <c r="P802" s="65"/>
      <c r="Q802" s="65"/>
      <c r="R802" s="65"/>
      <c r="S802" s="65"/>
    </row>
    <row r="803" spans="1:19" x14ac:dyDescent="0.2">
      <c r="A803" s="74"/>
      <c r="C803" s="65"/>
      <c r="D803" s="65"/>
      <c r="E803" s="65"/>
      <c r="F803" s="65"/>
      <c r="G803" s="65"/>
      <c r="H803" s="65"/>
      <c r="I803" s="65"/>
      <c r="J803" s="65"/>
      <c r="K803" s="65"/>
      <c r="L803" s="69"/>
      <c r="M803" s="69"/>
      <c r="N803" s="65"/>
      <c r="O803" s="65"/>
      <c r="P803" s="65"/>
      <c r="Q803" s="65"/>
      <c r="R803" s="65"/>
      <c r="S803" s="65"/>
    </row>
    <row r="804" spans="1:19" x14ac:dyDescent="0.2">
      <c r="A804" s="74"/>
      <c r="C804" s="65"/>
      <c r="D804" s="65"/>
      <c r="E804" s="65"/>
      <c r="F804" s="65"/>
      <c r="G804" s="65"/>
      <c r="H804" s="65"/>
      <c r="I804" s="65"/>
      <c r="J804" s="65"/>
      <c r="K804" s="65"/>
      <c r="L804" s="69"/>
      <c r="M804" s="69"/>
      <c r="N804" s="65"/>
      <c r="O804" s="65"/>
      <c r="P804" s="65"/>
      <c r="Q804" s="65"/>
      <c r="R804" s="65"/>
      <c r="S804" s="65"/>
    </row>
    <row r="805" spans="1:19" x14ac:dyDescent="0.2">
      <c r="A805" s="74"/>
      <c r="C805" s="65"/>
      <c r="D805" s="65"/>
      <c r="E805" s="65"/>
      <c r="F805" s="65"/>
      <c r="G805" s="65"/>
      <c r="H805" s="65"/>
      <c r="I805" s="65"/>
      <c r="J805" s="65"/>
      <c r="K805" s="65"/>
      <c r="L805" s="69"/>
      <c r="M805" s="69"/>
      <c r="N805" s="65"/>
      <c r="O805" s="65"/>
      <c r="P805" s="65"/>
      <c r="Q805" s="65"/>
      <c r="R805" s="65"/>
      <c r="S805" s="65"/>
    </row>
    <row r="806" spans="1:19" x14ac:dyDescent="0.2">
      <c r="A806" s="74"/>
      <c r="C806" s="65"/>
      <c r="D806" s="65"/>
      <c r="E806" s="65"/>
      <c r="F806" s="65"/>
      <c r="G806" s="65"/>
      <c r="H806" s="65"/>
      <c r="I806" s="65"/>
      <c r="J806" s="65"/>
      <c r="K806" s="65"/>
      <c r="L806" s="69"/>
      <c r="M806" s="69"/>
      <c r="N806" s="65"/>
      <c r="O806" s="65"/>
      <c r="P806" s="65"/>
      <c r="Q806" s="65"/>
      <c r="R806" s="65"/>
      <c r="S806" s="65"/>
    </row>
    <row r="807" spans="1:19" x14ac:dyDescent="0.2">
      <c r="A807" s="74"/>
      <c r="C807" s="65"/>
      <c r="D807" s="65"/>
      <c r="E807" s="65"/>
      <c r="F807" s="65"/>
      <c r="G807" s="65"/>
      <c r="H807" s="65"/>
      <c r="I807" s="65"/>
      <c r="J807" s="65"/>
      <c r="K807" s="65"/>
      <c r="L807" s="69"/>
      <c r="M807" s="69"/>
      <c r="N807" s="65"/>
      <c r="O807" s="65"/>
      <c r="P807" s="65"/>
      <c r="Q807" s="65"/>
      <c r="R807" s="65"/>
      <c r="S807" s="65"/>
    </row>
    <row r="808" spans="1:19" x14ac:dyDescent="0.2">
      <c r="A808" s="74"/>
      <c r="C808" s="65"/>
      <c r="D808" s="65"/>
      <c r="E808" s="65"/>
      <c r="F808" s="65"/>
      <c r="G808" s="65"/>
      <c r="H808" s="65"/>
      <c r="I808" s="65"/>
      <c r="J808" s="65"/>
      <c r="K808" s="65"/>
      <c r="L808" s="69"/>
      <c r="M808" s="69"/>
      <c r="N808" s="65"/>
      <c r="O808" s="65"/>
      <c r="P808" s="65"/>
      <c r="Q808" s="65"/>
      <c r="R808" s="65"/>
      <c r="S808" s="65"/>
    </row>
    <row r="809" spans="1:19" x14ac:dyDescent="0.2">
      <c r="A809" s="74"/>
      <c r="C809" s="65"/>
      <c r="D809" s="65"/>
      <c r="E809" s="65"/>
      <c r="F809" s="65"/>
      <c r="G809" s="65"/>
      <c r="H809" s="65"/>
      <c r="I809" s="65"/>
      <c r="J809" s="65"/>
      <c r="K809" s="65"/>
      <c r="L809" s="69"/>
      <c r="M809" s="69"/>
      <c r="N809" s="65"/>
      <c r="O809" s="65"/>
      <c r="P809" s="65"/>
      <c r="Q809" s="65"/>
      <c r="R809" s="65"/>
      <c r="S809" s="65"/>
    </row>
    <row r="810" spans="1:19" x14ac:dyDescent="0.2">
      <c r="A810" s="74"/>
      <c r="C810" s="65"/>
      <c r="D810" s="65"/>
      <c r="E810" s="65"/>
      <c r="F810" s="65"/>
      <c r="G810" s="65"/>
      <c r="H810" s="65"/>
      <c r="I810" s="65"/>
      <c r="J810" s="65"/>
      <c r="K810" s="65"/>
      <c r="L810" s="69"/>
      <c r="M810" s="69"/>
      <c r="N810" s="65"/>
      <c r="O810" s="65"/>
      <c r="P810" s="65"/>
      <c r="Q810" s="65"/>
      <c r="R810" s="65"/>
      <c r="S810" s="65"/>
    </row>
    <row r="811" spans="1:19" x14ac:dyDescent="0.2">
      <c r="A811" s="74"/>
      <c r="C811" s="65"/>
      <c r="D811" s="65"/>
      <c r="E811" s="65"/>
      <c r="F811" s="65"/>
      <c r="G811" s="65"/>
      <c r="H811" s="65"/>
      <c r="I811" s="65"/>
      <c r="J811" s="65"/>
      <c r="K811" s="65"/>
      <c r="L811" s="69"/>
      <c r="M811" s="69"/>
      <c r="N811" s="65"/>
      <c r="O811" s="65"/>
      <c r="P811" s="65"/>
      <c r="Q811" s="65"/>
      <c r="R811" s="65"/>
      <c r="S811" s="65"/>
    </row>
    <row r="812" spans="1:19" x14ac:dyDescent="0.2">
      <c r="A812" s="74"/>
      <c r="C812" s="65"/>
      <c r="D812" s="65"/>
      <c r="E812" s="65"/>
      <c r="F812" s="65"/>
      <c r="G812" s="65"/>
      <c r="H812" s="65"/>
      <c r="I812" s="65"/>
      <c r="J812" s="65"/>
      <c r="K812" s="65"/>
      <c r="L812" s="69"/>
      <c r="M812" s="69"/>
      <c r="N812" s="65"/>
      <c r="O812" s="65"/>
      <c r="P812" s="65"/>
      <c r="Q812" s="65"/>
      <c r="R812" s="65"/>
      <c r="S812" s="65"/>
    </row>
    <row r="813" spans="1:19" x14ac:dyDescent="0.2">
      <c r="A813" s="74"/>
      <c r="C813" s="65"/>
      <c r="D813" s="65"/>
      <c r="E813" s="65"/>
      <c r="F813" s="65"/>
      <c r="G813" s="65"/>
      <c r="H813" s="65"/>
      <c r="I813" s="65"/>
      <c r="J813" s="65"/>
      <c r="K813" s="65"/>
      <c r="L813" s="69"/>
      <c r="M813" s="69"/>
      <c r="N813" s="65"/>
      <c r="O813" s="65"/>
      <c r="P813" s="65"/>
      <c r="Q813" s="65"/>
      <c r="R813" s="65"/>
      <c r="S813" s="65"/>
    </row>
    <row r="814" spans="1:19" x14ac:dyDescent="0.2">
      <c r="A814" s="74"/>
      <c r="C814" s="65"/>
      <c r="D814" s="65"/>
      <c r="E814" s="65"/>
      <c r="F814" s="65"/>
      <c r="G814" s="65"/>
      <c r="H814" s="65"/>
      <c r="I814" s="65"/>
      <c r="J814" s="65"/>
      <c r="K814" s="65"/>
      <c r="L814" s="69"/>
      <c r="M814" s="69"/>
      <c r="N814" s="65"/>
      <c r="O814" s="65"/>
      <c r="P814" s="65"/>
      <c r="Q814" s="65"/>
      <c r="R814" s="65"/>
      <c r="S814" s="65"/>
    </row>
    <row r="815" spans="1:19" x14ac:dyDescent="0.2">
      <c r="A815" s="74"/>
      <c r="C815" s="65"/>
      <c r="D815" s="65"/>
      <c r="E815" s="65"/>
      <c r="F815" s="65"/>
      <c r="G815" s="65"/>
      <c r="H815" s="65"/>
      <c r="I815" s="65"/>
      <c r="J815" s="65"/>
      <c r="K815" s="65"/>
      <c r="L815" s="69"/>
      <c r="M815" s="69"/>
      <c r="N815" s="65"/>
      <c r="O815" s="65"/>
      <c r="P815" s="65"/>
      <c r="Q815" s="65"/>
      <c r="R815" s="65"/>
      <c r="S815" s="65"/>
    </row>
    <row r="816" spans="1:19" x14ac:dyDescent="0.2">
      <c r="A816" s="74"/>
      <c r="C816" s="65"/>
      <c r="D816" s="65"/>
      <c r="E816" s="65"/>
      <c r="F816" s="65"/>
      <c r="G816" s="65"/>
      <c r="H816" s="65"/>
      <c r="I816" s="65"/>
      <c r="J816" s="65"/>
      <c r="K816" s="65"/>
      <c r="L816" s="69"/>
      <c r="M816" s="69"/>
      <c r="N816" s="65"/>
      <c r="O816" s="65"/>
      <c r="P816" s="65"/>
      <c r="Q816" s="65"/>
      <c r="R816" s="65"/>
      <c r="S816" s="65"/>
    </row>
    <row r="817" spans="1:19" x14ac:dyDescent="0.2">
      <c r="A817" s="74"/>
      <c r="C817" s="65"/>
      <c r="D817" s="65"/>
      <c r="E817" s="65"/>
      <c r="F817" s="65"/>
      <c r="G817" s="65"/>
      <c r="H817" s="65"/>
      <c r="I817" s="65"/>
      <c r="J817" s="65"/>
      <c r="K817" s="65"/>
      <c r="L817" s="69"/>
      <c r="M817" s="69"/>
      <c r="N817" s="65"/>
      <c r="O817" s="65"/>
      <c r="P817" s="65"/>
      <c r="Q817" s="65"/>
      <c r="R817" s="65"/>
      <c r="S817" s="65"/>
    </row>
    <row r="818" spans="1:19" x14ac:dyDescent="0.2">
      <c r="A818" s="74"/>
      <c r="C818" s="65"/>
      <c r="D818" s="65"/>
      <c r="E818" s="65"/>
      <c r="F818" s="65"/>
      <c r="G818" s="65"/>
      <c r="H818" s="65"/>
      <c r="I818" s="65"/>
      <c r="J818" s="65"/>
      <c r="K818" s="65"/>
      <c r="L818" s="69"/>
      <c r="M818" s="69"/>
      <c r="N818" s="65"/>
      <c r="O818" s="65"/>
      <c r="P818" s="65"/>
      <c r="Q818" s="65"/>
      <c r="R818" s="65"/>
      <c r="S818" s="65"/>
    </row>
    <row r="819" spans="1:19" x14ac:dyDescent="0.2">
      <c r="A819" s="74"/>
      <c r="C819" s="65"/>
      <c r="D819" s="65"/>
      <c r="E819" s="65"/>
      <c r="F819" s="65"/>
      <c r="G819" s="65"/>
      <c r="H819" s="65"/>
      <c r="I819" s="65"/>
      <c r="J819" s="65"/>
      <c r="K819" s="65"/>
      <c r="L819" s="69"/>
      <c r="M819" s="69"/>
      <c r="N819" s="65"/>
      <c r="O819" s="65"/>
      <c r="P819" s="65"/>
      <c r="Q819" s="65"/>
      <c r="R819" s="65"/>
      <c r="S819" s="65"/>
    </row>
    <row r="820" spans="1:19" x14ac:dyDescent="0.2">
      <c r="A820" s="74"/>
      <c r="C820" s="65"/>
      <c r="D820" s="65"/>
      <c r="E820" s="65"/>
      <c r="F820" s="65"/>
      <c r="G820" s="65"/>
      <c r="H820" s="65"/>
      <c r="I820" s="65"/>
      <c r="J820" s="65"/>
      <c r="K820" s="65"/>
      <c r="L820" s="69"/>
      <c r="M820" s="69"/>
      <c r="N820" s="65"/>
      <c r="O820" s="65"/>
      <c r="P820" s="65"/>
      <c r="Q820" s="65"/>
      <c r="R820" s="65"/>
      <c r="S820" s="65"/>
    </row>
    <row r="821" spans="1:19" x14ac:dyDescent="0.2">
      <c r="A821" s="74"/>
      <c r="C821" s="65"/>
      <c r="D821" s="65"/>
      <c r="E821" s="65"/>
      <c r="F821" s="65"/>
      <c r="G821" s="65"/>
      <c r="H821" s="65"/>
      <c r="I821" s="65"/>
      <c r="J821" s="65"/>
      <c r="K821" s="65"/>
      <c r="L821" s="69"/>
      <c r="M821" s="69"/>
      <c r="N821" s="65"/>
      <c r="O821" s="65"/>
      <c r="P821" s="65"/>
      <c r="Q821" s="65"/>
      <c r="R821" s="65"/>
      <c r="S821" s="65"/>
    </row>
    <row r="822" spans="1:19" x14ac:dyDescent="0.2">
      <c r="A822" s="74"/>
      <c r="C822" s="65"/>
      <c r="D822" s="65"/>
      <c r="E822" s="65"/>
      <c r="F822" s="65"/>
      <c r="G822" s="65"/>
      <c r="H822" s="65"/>
      <c r="I822" s="65"/>
      <c r="J822" s="65"/>
      <c r="K822" s="65"/>
      <c r="L822" s="69"/>
      <c r="M822" s="69"/>
      <c r="N822" s="65"/>
      <c r="O822" s="65"/>
      <c r="P822" s="65"/>
      <c r="Q822" s="65"/>
      <c r="R822" s="65"/>
      <c r="S822" s="65"/>
    </row>
    <row r="823" spans="1:19" x14ac:dyDescent="0.2">
      <c r="A823" s="74"/>
      <c r="C823" s="65"/>
      <c r="D823" s="65"/>
      <c r="E823" s="65"/>
      <c r="F823" s="65"/>
      <c r="G823" s="65"/>
      <c r="H823" s="65"/>
      <c r="I823" s="65"/>
      <c r="J823" s="65"/>
      <c r="K823" s="65"/>
      <c r="L823" s="69"/>
      <c r="M823" s="69"/>
      <c r="N823" s="65"/>
      <c r="O823" s="65"/>
      <c r="P823" s="65"/>
      <c r="Q823" s="65"/>
      <c r="R823" s="65"/>
      <c r="S823" s="65"/>
    </row>
    <row r="824" spans="1:19" x14ac:dyDescent="0.2">
      <c r="A824" s="74"/>
      <c r="C824" s="65"/>
      <c r="D824" s="65"/>
      <c r="E824" s="65"/>
      <c r="F824" s="65"/>
      <c r="G824" s="65"/>
      <c r="H824" s="65"/>
      <c r="I824" s="65"/>
      <c r="J824" s="65"/>
      <c r="K824" s="65"/>
      <c r="L824" s="69"/>
      <c r="M824" s="69"/>
      <c r="N824" s="65"/>
      <c r="O824" s="65"/>
      <c r="P824" s="65"/>
      <c r="Q824" s="65"/>
      <c r="R824" s="65"/>
      <c r="S824" s="65"/>
    </row>
    <row r="825" spans="1:19" x14ac:dyDescent="0.2">
      <c r="A825" s="74"/>
      <c r="C825" s="65"/>
      <c r="D825" s="65"/>
      <c r="E825" s="65"/>
      <c r="F825" s="65"/>
      <c r="G825" s="65"/>
      <c r="H825" s="65"/>
      <c r="I825" s="65"/>
      <c r="J825" s="65"/>
      <c r="K825" s="65"/>
      <c r="L825" s="69"/>
      <c r="M825" s="69"/>
      <c r="N825" s="65"/>
      <c r="O825" s="65"/>
      <c r="P825" s="65"/>
      <c r="Q825" s="65"/>
      <c r="R825" s="65"/>
      <c r="S825" s="65"/>
    </row>
    <row r="826" spans="1:19" x14ac:dyDescent="0.2">
      <c r="A826" s="74"/>
      <c r="C826" s="65"/>
      <c r="D826" s="65"/>
      <c r="E826" s="65"/>
      <c r="F826" s="65"/>
      <c r="G826" s="65"/>
      <c r="H826" s="65"/>
      <c r="I826" s="65"/>
      <c r="J826" s="65"/>
      <c r="K826" s="65"/>
      <c r="L826" s="69"/>
      <c r="M826" s="69"/>
      <c r="N826" s="65"/>
      <c r="O826" s="65"/>
      <c r="P826" s="65"/>
      <c r="Q826" s="65"/>
      <c r="R826" s="65"/>
      <c r="S826" s="65"/>
    </row>
    <row r="827" spans="1:19" x14ac:dyDescent="0.2">
      <c r="A827" s="74"/>
      <c r="C827" s="65"/>
      <c r="D827" s="65"/>
      <c r="E827" s="65"/>
      <c r="F827" s="65"/>
      <c r="G827" s="65"/>
      <c r="H827" s="65"/>
      <c r="I827" s="65"/>
      <c r="J827" s="65"/>
      <c r="K827" s="65"/>
      <c r="L827" s="69"/>
      <c r="M827" s="69"/>
      <c r="N827" s="65"/>
      <c r="O827" s="65"/>
      <c r="P827" s="65"/>
      <c r="Q827" s="65"/>
      <c r="R827" s="65"/>
      <c r="S827" s="65"/>
    </row>
    <row r="828" spans="1:19" x14ac:dyDescent="0.2">
      <c r="A828" s="74"/>
      <c r="C828" s="65"/>
      <c r="D828" s="65"/>
      <c r="E828" s="65"/>
      <c r="F828" s="65"/>
      <c r="G828" s="65"/>
      <c r="H828" s="65"/>
      <c r="I828" s="65"/>
      <c r="J828" s="65"/>
      <c r="K828" s="65"/>
      <c r="L828" s="69"/>
      <c r="M828" s="69"/>
      <c r="N828" s="65"/>
      <c r="O828" s="65"/>
      <c r="P828" s="65"/>
      <c r="Q828" s="65"/>
      <c r="R828" s="65"/>
      <c r="S828" s="65"/>
    </row>
    <row r="829" spans="1:19" x14ac:dyDescent="0.2">
      <c r="A829" s="74"/>
      <c r="C829" s="65"/>
      <c r="D829" s="65"/>
      <c r="E829" s="65"/>
      <c r="F829" s="65"/>
      <c r="G829" s="65"/>
      <c r="H829" s="65"/>
      <c r="I829" s="65"/>
      <c r="J829" s="65"/>
      <c r="K829" s="65"/>
      <c r="L829" s="69"/>
      <c r="M829" s="69"/>
      <c r="N829" s="65"/>
      <c r="O829" s="65"/>
      <c r="P829" s="65"/>
      <c r="Q829" s="65"/>
      <c r="R829" s="65"/>
      <c r="S829" s="65"/>
    </row>
    <row r="830" spans="1:19" x14ac:dyDescent="0.2">
      <c r="A830" s="74"/>
      <c r="C830" s="65"/>
      <c r="D830" s="65"/>
      <c r="E830" s="65"/>
      <c r="F830" s="65"/>
      <c r="G830" s="65"/>
      <c r="H830" s="65"/>
      <c r="I830" s="65"/>
      <c r="J830" s="65"/>
      <c r="K830" s="65"/>
      <c r="L830" s="69"/>
      <c r="M830" s="69"/>
      <c r="N830" s="65"/>
      <c r="O830" s="65"/>
      <c r="P830" s="65"/>
      <c r="Q830" s="65"/>
      <c r="R830" s="65"/>
      <c r="S830" s="65"/>
    </row>
    <row r="831" spans="1:19" x14ac:dyDescent="0.2">
      <c r="A831" s="74"/>
      <c r="C831" s="65"/>
      <c r="D831" s="65"/>
      <c r="E831" s="65"/>
      <c r="F831" s="65"/>
      <c r="G831" s="65"/>
      <c r="H831" s="65"/>
      <c r="I831" s="65"/>
      <c r="J831" s="65"/>
      <c r="K831" s="65"/>
      <c r="L831" s="69"/>
      <c r="M831" s="69"/>
      <c r="N831" s="65"/>
      <c r="O831" s="65"/>
      <c r="P831" s="65"/>
      <c r="Q831" s="65"/>
      <c r="R831" s="65"/>
      <c r="S831" s="65"/>
    </row>
    <row r="832" spans="1:19" x14ac:dyDescent="0.2">
      <c r="A832" s="74"/>
      <c r="C832" s="65"/>
      <c r="D832" s="65"/>
      <c r="E832" s="65"/>
      <c r="F832" s="65"/>
      <c r="G832" s="65"/>
      <c r="H832" s="65"/>
      <c r="I832" s="65"/>
      <c r="J832" s="65"/>
      <c r="K832" s="65"/>
      <c r="L832" s="69"/>
      <c r="M832" s="69"/>
      <c r="N832" s="65"/>
      <c r="O832" s="65"/>
      <c r="P832" s="65"/>
      <c r="Q832" s="65"/>
      <c r="R832" s="65"/>
      <c r="S832" s="65"/>
    </row>
    <row r="833" spans="1:19" x14ac:dyDescent="0.2">
      <c r="A833" s="74"/>
      <c r="C833" s="65"/>
      <c r="D833" s="65"/>
      <c r="E833" s="65"/>
      <c r="F833" s="65"/>
      <c r="G833" s="65"/>
      <c r="H833" s="65"/>
      <c r="I833" s="65"/>
      <c r="J833" s="65"/>
      <c r="K833" s="65"/>
      <c r="L833" s="69"/>
      <c r="M833" s="69"/>
      <c r="N833" s="65"/>
      <c r="O833" s="65"/>
      <c r="P833" s="65"/>
      <c r="Q833" s="65"/>
      <c r="R833" s="65"/>
      <c r="S833" s="65"/>
    </row>
    <row r="834" spans="1:19" x14ac:dyDescent="0.2">
      <c r="A834" s="74"/>
      <c r="C834" s="65"/>
      <c r="D834" s="65"/>
      <c r="E834" s="65"/>
      <c r="F834" s="65"/>
      <c r="G834" s="65"/>
      <c r="H834" s="65"/>
      <c r="I834" s="65"/>
      <c r="J834" s="65"/>
      <c r="K834" s="65"/>
      <c r="L834" s="69"/>
      <c r="M834" s="69"/>
      <c r="N834" s="65"/>
      <c r="O834" s="65"/>
      <c r="P834" s="65"/>
      <c r="Q834" s="65"/>
      <c r="R834" s="65"/>
      <c r="S834" s="65"/>
    </row>
    <row r="835" spans="1:19" x14ac:dyDescent="0.2">
      <c r="A835" s="74"/>
      <c r="C835" s="65"/>
      <c r="D835" s="65"/>
      <c r="E835" s="65"/>
      <c r="F835" s="65"/>
      <c r="G835" s="65"/>
      <c r="H835" s="65"/>
      <c r="I835" s="65"/>
      <c r="J835" s="65"/>
      <c r="K835" s="65"/>
      <c r="L835" s="69"/>
      <c r="M835" s="69"/>
      <c r="N835" s="65"/>
      <c r="O835" s="65"/>
      <c r="P835" s="65"/>
      <c r="Q835" s="65"/>
      <c r="R835" s="65"/>
      <c r="S835" s="65"/>
    </row>
    <row r="836" spans="1:19" x14ac:dyDescent="0.2">
      <c r="A836" s="74"/>
      <c r="C836" s="65"/>
      <c r="D836" s="65"/>
      <c r="E836" s="65"/>
      <c r="F836" s="65"/>
      <c r="G836" s="65"/>
      <c r="H836" s="65"/>
      <c r="I836" s="65"/>
      <c r="J836" s="65"/>
      <c r="K836" s="65"/>
      <c r="L836" s="69"/>
      <c r="M836" s="69"/>
      <c r="N836" s="65"/>
      <c r="O836" s="65"/>
      <c r="P836" s="65"/>
      <c r="Q836" s="65"/>
      <c r="R836" s="65"/>
      <c r="S836" s="65"/>
    </row>
    <row r="837" spans="1:19" x14ac:dyDescent="0.2">
      <c r="A837" s="74"/>
      <c r="C837" s="65"/>
      <c r="D837" s="65"/>
      <c r="E837" s="65"/>
      <c r="F837" s="65"/>
      <c r="G837" s="65"/>
      <c r="H837" s="65"/>
      <c r="I837" s="65"/>
      <c r="J837" s="65"/>
      <c r="K837" s="65"/>
      <c r="L837" s="69"/>
      <c r="M837" s="69"/>
      <c r="N837" s="65"/>
      <c r="O837" s="65"/>
      <c r="P837" s="65"/>
      <c r="Q837" s="65"/>
      <c r="R837" s="65"/>
      <c r="S837" s="65"/>
    </row>
    <row r="838" spans="1:19" x14ac:dyDescent="0.2">
      <c r="A838" s="74"/>
      <c r="C838" s="65"/>
      <c r="D838" s="65"/>
      <c r="E838" s="65"/>
      <c r="F838" s="65"/>
      <c r="G838" s="65"/>
      <c r="H838" s="65"/>
      <c r="I838" s="65"/>
      <c r="J838" s="65"/>
      <c r="K838" s="65"/>
      <c r="L838" s="69"/>
      <c r="M838" s="69"/>
      <c r="N838" s="65"/>
      <c r="O838" s="65"/>
      <c r="P838" s="65"/>
      <c r="Q838" s="65"/>
      <c r="R838" s="65"/>
      <c r="S838" s="65"/>
    </row>
    <row r="839" spans="1:19" x14ac:dyDescent="0.2">
      <c r="A839" s="74"/>
      <c r="C839" s="65"/>
      <c r="D839" s="65"/>
      <c r="E839" s="65"/>
      <c r="F839" s="65"/>
      <c r="G839" s="65"/>
      <c r="H839" s="65"/>
      <c r="I839" s="65"/>
      <c r="J839" s="65"/>
      <c r="K839" s="65"/>
      <c r="L839" s="69"/>
      <c r="M839" s="69"/>
      <c r="N839" s="65"/>
      <c r="O839" s="65"/>
      <c r="P839" s="65"/>
      <c r="Q839" s="65"/>
      <c r="R839" s="65"/>
      <c r="S839" s="65"/>
    </row>
    <row r="840" spans="1:19" x14ac:dyDescent="0.2">
      <c r="A840" s="74"/>
      <c r="C840" s="65"/>
      <c r="D840" s="65"/>
      <c r="E840" s="65"/>
      <c r="F840" s="65"/>
      <c r="G840" s="65"/>
      <c r="H840" s="65"/>
      <c r="I840" s="65"/>
      <c r="J840" s="65"/>
      <c r="K840" s="65"/>
      <c r="L840" s="69"/>
      <c r="M840" s="69"/>
      <c r="N840" s="65"/>
      <c r="O840" s="65"/>
      <c r="P840" s="65"/>
      <c r="Q840" s="65"/>
      <c r="R840" s="65"/>
      <c r="S840" s="65"/>
    </row>
    <row r="841" spans="1:19" x14ac:dyDescent="0.2">
      <c r="A841" s="74"/>
      <c r="C841" s="65"/>
      <c r="D841" s="65"/>
      <c r="E841" s="65"/>
      <c r="F841" s="65"/>
      <c r="G841" s="65"/>
      <c r="H841" s="65"/>
      <c r="I841" s="65"/>
      <c r="J841" s="65"/>
      <c r="K841" s="65"/>
      <c r="L841" s="69"/>
      <c r="M841" s="69"/>
      <c r="N841" s="65"/>
      <c r="O841" s="65"/>
      <c r="P841" s="65"/>
      <c r="Q841" s="65"/>
      <c r="R841" s="65"/>
      <c r="S841" s="65"/>
    </row>
    <row r="842" spans="1:19" x14ac:dyDescent="0.2">
      <c r="A842" s="74"/>
      <c r="C842" s="65"/>
      <c r="D842" s="65"/>
      <c r="E842" s="65"/>
      <c r="F842" s="65"/>
      <c r="G842" s="65"/>
      <c r="H842" s="65"/>
      <c r="I842" s="65"/>
      <c r="J842" s="65"/>
      <c r="K842" s="65"/>
      <c r="L842" s="69"/>
      <c r="M842" s="69"/>
      <c r="N842" s="65"/>
      <c r="O842" s="65"/>
      <c r="P842" s="65"/>
      <c r="Q842" s="65"/>
      <c r="R842" s="65"/>
      <c r="S842" s="65"/>
    </row>
    <row r="843" spans="1:19" x14ac:dyDescent="0.2">
      <c r="A843" s="74"/>
      <c r="C843" s="65"/>
      <c r="D843" s="65"/>
      <c r="E843" s="65"/>
      <c r="F843" s="65"/>
      <c r="G843" s="65"/>
      <c r="H843" s="65"/>
      <c r="I843" s="65"/>
      <c r="J843" s="65"/>
      <c r="K843" s="65"/>
      <c r="L843" s="69"/>
      <c r="M843" s="69"/>
      <c r="N843" s="65"/>
      <c r="O843" s="65"/>
      <c r="P843" s="65"/>
      <c r="Q843" s="65"/>
      <c r="R843" s="65"/>
      <c r="S843" s="65"/>
    </row>
    <row r="844" spans="1:19" x14ac:dyDescent="0.2">
      <c r="A844" s="74"/>
      <c r="C844" s="65"/>
      <c r="D844" s="65"/>
      <c r="E844" s="65"/>
      <c r="F844" s="65"/>
      <c r="G844" s="65"/>
      <c r="H844" s="65"/>
      <c r="I844" s="65"/>
      <c r="J844" s="65"/>
      <c r="K844" s="65"/>
      <c r="L844" s="69"/>
      <c r="M844" s="69"/>
      <c r="N844" s="65"/>
      <c r="O844" s="65"/>
      <c r="P844" s="65"/>
      <c r="Q844" s="65"/>
      <c r="R844" s="65"/>
      <c r="S844" s="65"/>
    </row>
    <row r="845" spans="1:19" x14ac:dyDescent="0.2">
      <c r="A845" s="74"/>
      <c r="C845" s="65"/>
      <c r="D845" s="65"/>
      <c r="E845" s="65"/>
      <c r="F845" s="65"/>
      <c r="G845" s="65"/>
      <c r="H845" s="65"/>
      <c r="I845" s="65"/>
      <c r="J845" s="65"/>
      <c r="K845" s="65"/>
      <c r="L845" s="69"/>
      <c r="M845" s="69"/>
      <c r="N845" s="65"/>
      <c r="O845" s="65"/>
      <c r="P845" s="65"/>
      <c r="Q845" s="65"/>
      <c r="R845" s="65"/>
      <c r="S845" s="65"/>
    </row>
    <row r="846" spans="1:19" x14ac:dyDescent="0.2">
      <c r="A846" s="74"/>
      <c r="C846" s="65"/>
      <c r="D846" s="65"/>
      <c r="E846" s="65"/>
      <c r="F846" s="65"/>
      <c r="G846" s="65"/>
      <c r="H846" s="65"/>
      <c r="I846" s="65"/>
      <c r="J846" s="65"/>
      <c r="K846" s="65"/>
      <c r="L846" s="69"/>
      <c r="M846" s="69"/>
      <c r="N846" s="65"/>
      <c r="O846" s="65"/>
      <c r="P846" s="65"/>
      <c r="Q846" s="65"/>
      <c r="R846" s="65"/>
      <c r="S846" s="65"/>
    </row>
    <row r="847" spans="1:19" x14ac:dyDescent="0.2">
      <c r="A847" s="74"/>
      <c r="C847" s="65"/>
      <c r="D847" s="65"/>
      <c r="E847" s="65"/>
      <c r="F847" s="65"/>
      <c r="G847" s="65"/>
      <c r="H847" s="65"/>
      <c r="I847" s="65"/>
      <c r="J847" s="65"/>
      <c r="K847" s="65"/>
      <c r="L847" s="69"/>
      <c r="M847" s="69"/>
      <c r="N847" s="65"/>
      <c r="O847" s="65"/>
      <c r="P847" s="65"/>
      <c r="Q847" s="65"/>
      <c r="R847" s="65"/>
      <c r="S847" s="65"/>
    </row>
    <row r="848" spans="1:19" x14ac:dyDescent="0.2">
      <c r="A848" s="74"/>
      <c r="C848" s="65"/>
      <c r="D848" s="65"/>
      <c r="E848" s="65"/>
      <c r="F848" s="65"/>
      <c r="G848" s="65"/>
      <c r="H848" s="65"/>
      <c r="I848" s="65"/>
      <c r="J848" s="65"/>
      <c r="K848" s="65"/>
      <c r="L848" s="69"/>
      <c r="M848" s="69"/>
      <c r="N848" s="65"/>
      <c r="O848" s="65"/>
      <c r="P848" s="65"/>
      <c r="Q848" s="65"/>
      <c r="R848" s="65"/>
      <c r="S848" s="65"/>
    </row>
    <row r="849" spans="1:19" x14ac:dyDescent="0.2">
      <c r="A849" s="74"/>
      <c r="C849" s="65"/>
      <c r="D849" s="65"/>
      <c r="E849" s="65"/>
      <c r="F849" s="65"/>
      <c r="G849" s="65"/>
      <c r="H849" s="65"/>
      <c r="I849" s="65"/>
      <c r="J849" s="65"/>
      <c r="K849" s="65"/>
      <c r="L849" s="69"/>
      <c r="M849" s="69"/>
      <c r="N849" s="65"/>
      <c r="O849" s="65"/>
      <c r="P849" s="65"/>
      <c r="Q849" s="65"/>
      <c r="R849" s="65"/>
      <c r="S849" s="65"/>
    </row>
    <row r="850" spans="1:19" x14ac:dyDescent="0.2">
      <c r="A850" s="74"/>
      <c r="C850" s="65"/>
      <c r="D850" s="65"/>
      <c r="E850" s="65"/>
      <c r="F850" s="65"/>
      <c r="G850" s="65"/>
      <c r="H850" s="65"/>
      <c r="I850" s="65"/>
      <c r="J850" s="65"/>
      <c r="K850" s="65"/>
      <c r="L850" s="69"/>
      <c r="M850" s="69"/>
      <c r="N850" s="65"/>
      <c r="O850" s="65"/>
      <c r="P850" s="65"/>
      <c r="Q850" s="65"/>
      <c r="R850" s="65"/>
      <c r="S850" s="65"/>
    </row>
    <row r="851" spans="1:19" x14ac:dyDescent="0.2">
      <c r="A851" s="74"/>
      <c r="C851" s="65"/>
      <c r="D851" s="65"/>
      <c r="E851" s="65"/>
      <c r="F851" s="65"/>
      <c r="G851" s="65"/>
      <c r="H851" s="65"/>
      <c r="I851" s="65"/>
      <c r="J851" s="65"/>
      <c r="K851" s="65"/>
      <c r="L851" s="69"/>
      <c r="M851" s="69"/>
      <c r="N851" s="65"/>
      <c r="O851" s="65"/>
      <c r="P851" s="65"/>
      <c r="Q851" s="65"/>
      <c r="R851" s="65"/>
      <c r="S851" s="65"/>
    </row>
    <row r="852" spans="1:19" x14ac:dyDescent="0.2">
      <c r="A852" s="74"/>
      <c r="C852" s="65"/>
      <c r="D852" s="65"/>
      <c r="E852" s="65"/>
      <c r="F852" s="65"/>
      <c r="G852" s="65"/>
      <c r="H852" s="65"/>
      <c r="I852" s="65"/>
      <c r="J852" s="65"/>
      <c r="K852" s="65"/>
      <c r="L852" s="69"/>
      <c r="M852" s="69"/>
      <c r="N852" s="65"/>
      <c r="O852" s="65"/>
      <c r="P852" s="65"/>
      <c r="Q852" s="65"/>
      <c r="R852" s="65"/>
      <c r="S852" s="65"/>
    </row>
    <row r="853" spans="1:19" x14ac:dyDescent="0.2">
      <c r="A853" s="74"/>
      <c r="C853" s="65"/>
      <c r="D853" s="65"/>
      <c r="E853" s="65"/>
      <c r="F853" s="65"/>
      <c r="G853" s="65"/>
      <c r="H853" s="65"/>
      <c r="I853" s="65"/>
      <c r="J853" s="65"/>
      <c r="K853" s="65"/>
      <c r="L853" s="69"/>
      <c r="M853" s="69"/>
      <c r="N853" s="65"/>
      <c r="O853" s="65"/>
      <c r="P853" s="65"/>
      <c r="Q853" s="65"/>
      <c r="R853" s="65"/>
      <c r="S853" s="65"/>
    </row>
    <row r="854" spans="1:19" x14ac:dyDescent="0.2">
      <c r="A854" s="74"/>
      <c r="C854" s="65"/>
      <c r="D854" s="65"/>
      <c r="E854" s="65"/>
      <c r="F854" s="65"/>
      <c r="G854" s="65"/>
      <c r="H854" s="65"/>
      <c r="I854" s="65"/>
      <c r="J854" s="65"/>
      <c r="K854" s="65"/>
      <c r="L854" s="69"/>
      <c r="M854" s="69"/>
      <c r="N854" s="65"/>
      <c r="O854" s="65"/>
      <c r="P854" s="65"/>
      <c r="Q854" s="65"/>
      <c r="R854" s="65"/>
      <c r="S854" s="65"/>
    </row>
    <row r="855" spans="1:19" x14ac:dyDescent="0.2">
      <c r="A855" s="74"/>
      <c r="C855" s="65"/>
      <c r="D855" s="65"/>
      <c r="E855" s="65"/>
      <c r="F855" s="65"/>
      <c r="G855" s="65"/>
      <c r="H855" s="65"/>
      <c r="I855" s="65"/>
      <c r="J855" s="65"/>
      <c r="K855" s="65"/>
      <c r="L855" s="69"/>
      <c r="M855" s="69"/>
      <c r="N855" s="65"/>
      <c r="O855" s="65"/>
      <c r="P855" s="65"/>
      <c r="Q855" s="65"/>
      <c r="R855" s="65"/>
      <c r="S855" s="65"/>
    </row>
    <row r="856" spans="1:19" x14ac:dyDescent="0.2">
      <c r="A856" s="74"/>
      <c r="C856" s="65"/>
      <c r="D856" s="65"/>
      <c r="E856" s="65"/>
      <c r="F856" s="65"/>
      <c r="G856" s="65"/>
      <c r="H856" s="65"/>
      <c r="I856" s="65"/>
      <c r="J856" s="65"/>
      <c r="K856" s="65"/>
      <c r="L856" s="69"/>
      <c r="M856" s="69"/>
      <c r="N856" s="65"/>
      <c r="O856" s="65"/>
      <c r="P856" s="65"/>
      <c r="Q856" s="65"/>
      <c r="R856" s="65"/>
      <c r="S856" s="65"/>
    </row>
    <row r="857" spans="1:19" x14ac:dyDescent="0.2">
      <c r="A857" s="74"/>
      <c r="C857" s="65"/>
      <c r="D857" s="65"/>
      <c r="E857" s="65"/>
      <c r="F857" s="65"/>
      <c r="G857" s="65"/>
      <c r="H857" s="65"/>
      <c r="I857" s="65"/>
      <c r="J857" s="65"/>
      <c r="K857" s="65"/>
      <c r="L857" s="69"/>
      <c r="M857" s="69"/>
      <c r="N857" s="65"/>
      <c r="O857" s="65"/>
      <c r="P857" s="65"/>
      <c r="Q857" s="65"/>
      <c r="R857" s="65"/>
      <c r="S857" s="65"/>
    </row>
    <row r="858" spans="1:19" x14ac:dyDescent="0.2">
      <c r="A858" s="74"/>
      <c r="C858" s="65"/>
      <c r="D858" s="65"/>
      <c r="E858" s="65"/>
      <c r="F858" s="65"/>
      <c r="G858" s="65"/>
      <c r="H858" s="65"/>
      <c r="I858" s="65"/>
      <c r="J858" s="65"/>
      <c r="K858" s="65"/>
      <c r="L858" s="69"/>
      <c r="M858" s="69"/>
      <c r="N858" s="65"/>
      <c r="O858" s="65"/>
      <c r="P858" s="65"/>
      <c r="Q858" s="65"/>
      <c r="R858" s="65"/>
      <c r="S858" s="65"/>
    </row>
    <row r="859" spans="1:19" x14ac:dyDescent="0.2">
      <c r="A859" s="74"/>
      <c r="C859" s="65"/>
      <c r="D859" s="65"/>
      <c r="E859" s="65"/>
      <c r="F859" s="65"/>
      <c r="G859" s="65"/>
      <c r="H859" s="65"/>
      <c r="I859" s="65"/>
      <c r="J859" s="65"/>
      <c r="K859" s="65"/>
      <c r="L859" s="69"/>
      <c r="M859" s="69"/>
      <c r="N859" s="65"/>
      <c r="O859" s="65"/>
      <c r="P859" s="65"/>
      <c r="Q859" s="65"/>
      <c r="R859" s="65"/>
      <c r="S859" s="65"/>
    </row>
    <row r="860" spans="1:19" x14ac:dyDescent="0.2">
      <c r="A860" s="74"/>
      <c r="C860" s="65"/>
      <c r="D860" s="65"/>
      <c r="E860" s="65"/>
      <c r="F860" s="65"/>
      <c r="G860" s="65"/>
      <c r="H860" s="65"/>
      <c r="I860" s="65"/>
      <c r="J860" s="65"/>
      <c r="K860" s="65"/>
      <c r="L860" s="69"/>
      <c r="M860" s="69"/>
      <c r="N860" s="65"/>
      <c r="O860" s="65"/>
      <c r="P860" s="65"/>
      <c r="Q860" s="65"/>
      <c r="R860" s="65"/>
      <c r="S860" s="65"/>
    </row>
    <row r="861" spans="1:19" x14ac:dyDescent="0.2">
      <c r="A861" s="74"/>
      <c r="C861" s="65"/>
      <c r="D861" s="65"/>
      <c r="E861" s="65"/>
      <c r="F861" s="65"/>
      <c r="G861" s="65"/>
      <c r="H861" s="65"/>
      <c r="I861" s="65"/>
      <c r="J861" s="65"/>
      <c r="K861" s="65"/>
      <c r="L861" s="69"/>
      <c r="M861" s="69"/>
      <c r="N861" s="65"/>
      <c r="O861" s="65"/>
      <c r="P861" s="65"/>
      <c r="Q861" s="65"/>
      <c r="R861" s="65"/>
      <c r="S861" s="65"/>
    </row>
    <row r="862" spans="1:19" x14ac:dyDescent="0.2">
      <c r="A862" s="74"/>
      <c r="C862" s="65"/>
      <c r="D862" s="65"/>
      <c r="E862" s="65"/>
      <c r="F862" s="65"/>
      <c r="G862" s="65"/>
      <c r="H862" s="65"/>
      <c r="I862" s="65"/>
      <c r="J862" s="65"/>
      <c r="K862" s="65"/>
      <c r="L862" s="69"/>
      <c r="M862" s="69"/>
      <c r="N862" s="65"/>
      <c r="O862" s="65"/>
      <c r="P862" s="65"/>
      <c r="Q862" s="65"/>
      <c r="R862" s="65"/>
      <c r="S862" s="65"/>
    </row>
    <row r="863" spans="1:19" x14ac:dyDescent="0.2">
      <c r="A863" s="74"/>
      <c r="C863" s="65"/>
      <c r="D863" s="65"/>
      <c r="E863" s="65"/>
      <c r="F863" s="65"/>
      <c r="G863" s="65"/>
      <c r="H863" s="65"/>
      <c r="I863" s="65"/>
      <c r="J863" s="65"/>
      <c r="K863" s="65"/>
      <c r="L863" s="69"/>
      <c r="M863" s="69"/>
      <c r="N863" s="65"/>
      <c r="O863" s="65"/>
      <c r="P863" s="65"/>
      <c r="Q863" s="65"/>
      <c r="R863" s="65"/>
      <c r="S863" s="65"/>
    </row>
    <row r="864" spans="1:19" x14ac:dyDescent="0.2">
      <c r="A864" s="74"/>
      <c r="C864" s="65"/>
      <c r="D864" s="65"/>
      <c r="E864" s="65"/>
      <c r="F864" s="65"/>
      <c r="G864" s="65"/>
      <c r="H864" s="65"/>
      <c r="I864" s="65"/>
      <c r="J864" s="65"/>
      <c r="K864" s="65"/>
      <c r="L864" s="69"/>
      <c r="M864" s="69"/>
      <c r="N864" s="65"/>
      <c r="O864" s="65"/>
      <c r="P864" s="65"/>
      <c r="Q864" s="65"/>
      <c r="R864" s="65"/>
      <c r="S864" s="65"/>
    </row>
    <row r="865" spans="1:19" x14ac:dyDescent="0.2">
      <c r="A865" s="74"/>
      <c r="C865" s="65"/>
      <c r="D865" s="65"/>
      <c r="E865" s="65"/>
      <c r="F865" s="65"/>
      <c r="G865" s="65"/>
      <c r="H865" s="65"/>
      <c r="I865" s="65"/>
      <c r="J865" s="65"/>
      <c r="K865" s="65"/>
      <c r="L865" s="69"/>
      <c r="M865" s="69"/>
      <c r="N865" s="65"/>
      <c r="O865" s="65"/>
      <c r="P865" s="65"/>
      <c r="Q865" s="65"/>
      <c r="R865" s="65"/>
      <c r="S865" s="65"/>
    </row>
    <row r="866" spans="1:19" x14ac:dyDescent="0.2">
      <c r="A866" s="74"/>
      <c r="C866" s="65"/>
      <c r="D866" s="65"/>
      <c r="E866" s="65"/>
      <c r="F866" s="65"/>
      <c r="G866" s="65"/>
      <c r="H866" s="65"/>
      <c r="I866" s="65"/>
      <c r="J866" s="65"/>
      <c r="K866" s="65"/>
      <c r="L866" s="69"/>
      <c r="M866" s="69"/>
      <c r="N866" s="65"/>
      <c r="O866" s="65"/>
      <c r="P866" s="65"/>
      <c r="Q866" s="65"/>
      <c r="R866" s="65"/>
      <c r="S866" s="65"/>
    </row>
    <row r="867" spans="1:19" x14ac:dyDescent="0.2">
      <c r="A867" s="74"/>
      <c r="C867" s="65"/>
      <c r="D867" s="65"/>
      <c r="E867" s="65"/>
      <c r="F867" s="65"/>
      <c r="G867" s="65"/>
      <c r="H867" s="65"/>
      <c r="I867" s="65"/>
      <c r="J867" s="65"/>
      <c r="K867" s="65"/>
      <c r="L867" s="69"/>
      <c r="M867" s="69"/>
      <c r="N867" s="65"/>
      <c r="O867" s="65"/>
      <c r="P867" s="65"/>
      <c r="Q867" s="65"/>
      <c r="R867" s="65"/>
      <c r="S867" s="65"/>
    </row>
    <row r="868" spans="1:19" x14ac:dyDescent="0.2">
      <c r="A868" s="74"/>
      <c r="C868" s="65"/>
      <c r="D868" s="65"/>
      <c r="E868" s="65"/>
      <c r="F868" s="65"/>
      <c r="G868" s="65"/>
      <c r="H868" s="65"/>
      <c r="I868" s="65"/>
      <c r="J868" s="65"/>
      <c r="K868" s="65"/>
      <c r="L868" s="69"/>
      <c r="M868" s="69"/>
      <c r="N868" s="65"/>
      <c r="O868" s="65"/>
      <c r="P868" s="65"/>
      <c r="Q868" s="65"/>
      <c r="R868" s="65"/>
      <c r="S868" s="65"/>
    </row>
    <row r="869" spans="1:19" x14ac:dyDescent="0.2">
      <c r="A869" s="74"/>
      <c r="C869" s="65"/>
      <c r="D869" s="65"/>
      <c r="E869" s="65"/>
      <c r="F869" s="65"/>
      <c r="G869" s="65"/>
      <c r="H869" s="65"/>
      <c r="I869" s="65"/>
      <c r="J869" s="65"/>
      <c r="K869" s="65"/>
      <c r="L869" s="69"/>
      <c r="M869" s="69"/>
      <c r="N869" s="65"/>
      <c r="O869" s="65"/>
      <c r="P869" s="65"/>
      <c r="Q869" s="65"/>
      <c r="R869" s="65"/>
      <c r="S869" s="65"/>
    </row>
    <row r="870" spans="1:19" x14ac:dyDescent="0.2">
      <c r="A870" s="74"/>
      <c r="C870" s="65"/>
      <c r="D870" s="65"/>
      <c r="E870" s="65"/>
      <c r="F870" s="65"/>
      <c r="G870" s="65"/>
      <c r="H870" s="65"/>
      <c r="I870" s="65"/>
      <c r="J870" s="65"/>
      <c r="K870" s="65"/>
      <c r="L870" s="69"/>
      <c r="M870" s="69"/>
      <c r="N870" s="65"/>
      <c r="O870" s="65"/>
      <c r="P870" s="65"/>
      <c r="Q870" s="65"/>
      <c r="R870" s="65"/>
      <c r="S870" s="65"/>
    </row>
    <row r="871" spans="1:19" x14ac:dyDescent="0.2">
      <c r="A871" s="74"/>
      <c r="C871" s="65"/>
      <c r="D871" s="65"/>
      <c r="E871" s="65"/>
      <c r="F871" s="65"/>
      <c r="G871" s="65"/>
      <c r="H871" s="65"/>
      <c r="I871" s="65"/>
      <c r="J871" s="65"/>
      <c r="K871" s="65"/>
      <c r="L871" s="69"/>
      <c r="M871" s="69"/>
      <c r="N871" s="65"/>
      <c r="O871" s="65"/>
      <c r="P871" s="65"/>
      <c r="Q871" s="65"/>
      <c r="R871" s="65"/>
      <c r="S871" s="65"/>
    </row>
    <row r="872" spans="1:19" x14ac:dyDescent="0.2">
      <c r="A872" s="74"/>
      <c r="C872" s="65"/>
      <c r="D872" s="65"/>
      <c r="E872" s="65"/>
      <c r="F872" s="65"/>
      <c r="G872" s="65"/>
      <c r="H872" s="65"/>
      <c r="I872" s="65"/>
      <c r="J872" s="65"/>
      <c r="K872" s="65"/>
      <c r="L872" s="69"/>
      <c r="M872" s="69"/>
      <c r="N872" s="65"/>
      <c r="O872" s="65"/>
      <c r="P872" s="65"/>
      <c r="Q872" s="65"/>
      <c r="R872" s="65"/>
      <c r="S872" s="65"/>
    </row>
    <row r="873" spans="1:19" x14ac:dyDescent="0.2">
      <c r="A873" s="74"/>
      <c r="C873" s="65"/>
      <c r="D873" s="65"/>
      <c r="E873" s="65"/>
      <c r="F873" s="65"/>
      <c r="G873" s="65"/>
      <c r="H873" s="65"/>
      <c r="I873" s="65"/>
      <c r="J873" s="65"/>
      <c r="K873" s="65"/>
      <c r="L873" s="69"/>
      <c r="M873" s="69"/>
      <c r="N873" s="65"/>
      <c r="O873" s="65"/>
      <c r="P873" s="65"/>
      <c r="Q873" s="65"/>
      <c r="R873" s="65"/>
      <c r="S873" s="65"/>
    </row>
    <row r="874" spans="1:19" x14ac:dyDescent="0.2">
      <c r="A874" s="74"/>
      <c r="C874" s="65"/>
      <c r="D874" s="65"/>
      <c r="E874" s="65"/>
      <c r="F874" s="65"/>
      <c r="G874" s="65"/>
      <c r="H874" s="65"/>
      <c r="I874" s="65"/>
      <c r="J874" s="65"/>
      <c r="K874" s="65"/>
      <c r="L874" s="69"/>
      <c r="M874" s="69"/>
      <c r="N874" s="65"/>
      <c r="O874" s="65"/>
      <c r="P874" s="65"/>
      <c r="Q874" s="65"/>
      <c r="R874" s="65"/>
      <c r="S874" s="65"/>
    </row>
    <row r="875" spans="1:19" x14ac:dyDescent="0.2">
      <c r="A875" s="74"/>
      <c r="C875" s="65"/>
      <c r="D875" s="65"/>
      <c r="E875" s="65"/>
      <c r="F875" s="65"/>
      <c r="G875" s="65"/>
      <c r="H875" s="65"/>
      <c r="I875" s="65"/>
      <c r="J875" s="65"/>
      <c r="K875" s="65"/>
      <c r="L875" s="69"/>
      <c r="M875" s="69"/>
      <c r="N875" s="65"/>
      <c r="O875" s="65"/>
      <c r="P875" s="65"/>
      <c r="Q875" s="65"/>
      <c r="R875" s="65"/>
      <c r="S875" s="65"/>
    </row>
    <row r="876" spans="1:19" x14ac:dyDescent="0.2">
      <c r="A876" s="74"/>
      <c r="C876" s="65"/>
      <c r="D876" s="65"/>
      <c r="E876" s="65"/>
      <c r="F876" s="65"/>
      <c r="G876" s="65"/>
      <c r="H876" s="65"/>
      <c r="I876" s="65"/>
      <c r="J876" s="65"/>
      <c r="K876" s="65"/>
      <c r="L876" s="69"/>
      <c r="M876" s="69"/>
      <c r="N876" s="65"/>
      <c r="O876" s="65"/>
      <c r="P876" s="65"/>
      <c r="Q876" s="65"/>
      <c r="R876" s="65"/>
      <c r="S876" s="65"/>
    </row>
    <row r="877" spans="1:19" x14ac:dyDescent="0.2">
      <c r="A877" s="74"/>
      <c r="C877" s="65"/>
      <c r="D877" s="65"/>
      <c r="E877" s="65"/>
      <c r="F877" s="65"/>
      <c r="G877" s="65"/>
      <c r="H877" s="65"/>
      <c r="I877" s="65"/>
      <c r="J877" s="65"/>
      <c r="K877" s="65"/>
      <c r="L877" s="69"/>
      <c r="M877" s="69"/>
      <c r="N877" s="65"/>
      <c r="O877" s="65"/>
      <c r="P877" s="65"/>
      <c r="Q877" s="65"/>
      <c r="R877" s="65"/>
      <c r="S877" s="65"/>
    </row>
    <row r="878" spans="1:19" x14ac:dyDescent="0.2">
      <c r="A878" s="74"/>
      <c r="C878" s="65"/>
      <c r="D878" s="65"/>
      <c r="E878" s="65"/>
      <c r="F878" s="65"/>
      <c r="G878" s="65"/>
      <c r="H878" s="65"/>
      <c r="I878" s="65"/>
      <c r="J878" s="65"/>
      <c r="K878" s="65"/>
      <c r="L878" s="69"/>
      <c r="M878" s="69"/>
      <c r="N878" s="65"/>
      <c r="O878" s="65"/>
      <c r="P878" s="65"/>
      <c r="Q878" s="65"/>
      <c r="R878" s="65"/>
      <c r="S878" s="65"/>
    </row>
    <row r="879" spans="1:19" x14ac:dyDescent="0.2">
      <c r="A879" s="74"/>
      <c r="C879" s="65"/>
      <c r="D879" s="65"/>
      <c r="E879" s="65"/>
      <c r="F879" s="65"/>
      <c r="G879" s="65"/>
      <c r="H879" s="65"/>
      <c r="I879" s="65"/>
      <c r="J879" s="65"/>
      <c r="K879" s="65"/>
      <c r="L879" s="69"/>
      <c r="M879" s="69"/>
      <c r="N879" s="65"/>
      <c r="O879" s="65"/>
      <c r="P879" s="65"/>
      <c r="Q879" s="65"/>
      <c r="R879" s="65"/>
      <c r="S879" s="65"/>
    </row>
    <row r="880" spans="1:19" x14ac:dyDescent="0.2">
      <c r="A880" s="74"/>
      <c r="C880" s="65"/>
      <c r="D880" s="65"/>
      <c r="E880" s="65"/>
      <c r="F880" s="65"/>
      <c r="G880" s="65"/>
      <c r="H880" s="65"/>
      <c r="I880" s="65"/>
      <c r="J880" s="65"/>
      <c r="K880" s="65"/>
      <c r="L880" s="69"/>
      <c r="M880" s="69"/>
      <c r="N880" s="65"/>
      <c r="O880" s="65"/>
      <c r="P880" s="65"/>
      <c r="Q880" s="65"/>
      <c r="R880" s="65"/>
      <c r="S880" s="65"/>
    </row>
    <row r="881" spans="1:19" x14ac:dyDescent="0.2">
      <c r="A881" s="74"/>
      <c r="C881" s="65"/>
      <c r="D881" s="65"/>
      <c r="E881" s="65"/>
      <c r="F881" s="65"/>
      <c r="G881" s="65"/>
      <c r="H881" s="65"/>
      <c r="I881" s="65"/>
      <c r="J881" s="65"/>
      <c r="K881" s="65"/>
      <c r="L881" s="69"/>
      <c r="M881" s="69"/>
      <c r="N881" s="65"/>
      <c r="O881" s="65"/>
      <c r="P881" s="65"/>
      <c r="Q881" s="65"/>
      <c r="R881" s="65"/>
      <c r="S881" s="65"/>
    </row>
    <row r="882" spans="1:19" x14ac:dyDescent="0.2">
      <c r="A882" s="74"/>
      <c r="C882" s="65"/>
      <c r="D882" s="65"/>
      <c r="E882" s="65"/>
      <c r="F882" s="65"/>
      <c r="G882" s="65"/>
      <c r="H882" s="65"/>
      <c r="I882" s="65"/>
      <c r="J882" s="65"/>
      <c r="K882" s="65"/>
      <c r="L882" s="69"/>
      <c r="M882" s="69"/>
      <c r="N882" s="65"/>
      <c r="O882" s="65"/>
      <c r="P882" s="65"/>
      <c r="Q882" s="65"/>
      <c r="R882" s="65"/>
      <c r="S882" s="65"/>
    </row>
    <row r="883" spans="1:19" x14ac:dyDescent="0.2">
      <c r="A883" s="74"/>
      <c r="C883" s="65"/>
      <c r="D883" s="65"/>
      <c r="E883" s="65"/>
      <c r="F883" s="65"/>
      <c r="G883" s="65"/>
      <c r="H883" s="65"/>
      <c r="I883" s="65"/>
      <c r="J883" s="65"/>
      <c r="K883" s="65"/>
      <c r="L883" s="69"/>
      <c r="M883" s="69"/>
      <c r="N883" s="65"/>
      <c r="O883" s="65"/>
      <c r="P883" s="65"/>
      <c r="Q883" s="65"/>
      <c r="R883" s="65"/>
      <c r="S883" s="65"/>
    </row>
    <row r="884" spans="1:19" x14ac:dyDescent="0.2">
      <c r="A884" s="74"/>
      <c r="C884" s="65"/>
      <c r="D884" s="65"/>
      <c r="E884" s="65"/>
      <c r="F884" s="65"/>
      <c r="G884" s="65"/>
      <c r="H884" s="65"/>
      <c r="I884" s="65"/>
      <c r="J884" s="65"/>
      <c r="K884" s="65"/>
      <c r="L884" s="69"/>
      <c r="M884" s="69"/>
      <c r="N884" s="65"/>
      <c r="O884" s="65"/>
      <c r="P884" s="65"/>
      <c r="Q884" s="65"/>
      <c r="R884" s="65"/>
      <c r="S884" s="65"/>
    </row>
    <row r="885" spans="1:19" x14ac:dyDescent="0.2">
      <c r="A885" s="74"/>
      <c r="C885" s="65"/>
      <c r="D885" s="65"/>
      <c r="E885" s="65"/>
      <c r="F885" s="65"/>
      <c r="G885" s="65"/>
      <c r="H885" s="65"/>
      <c r="I885" s="65"/>
      <c r="J885" s="65"/>
      <c r="K885" s="65"/>
      <c r="L885" s="69"/>
      <c r="M885" s="69"/>
      <c r="N885" s="65"/>
      <c r="O885" s="65"/>
      <c r="P885" s="65"/>
      <c r="Q885" s="65"/>
      <c r="R885" s="65"/>
      <c r="S885" s="65"/>
    </row>
    <row r="886" spans="1:19" x14ac:dyDescent="0.2">
      <c r="A886" s="74"/>
      <c r="C886" s="65"/>
      <c r="D886" s="65"/>
      <c r="E886" s="65"/>
      <c r="F886" s="65"/>
      <c r="G886" s="65"/>
      <c r="H886" s="65"/>
      <c r="I886" s="65"/>
      <c r="J886" s="65"/>
      <c r="K886" s="65"/>
      <c r="L886" s="69"/>
      <c r="M886" s="69"/>
      <c r="N886" s="65"/>
      <c r="O886" s="65"/>
      <c r="P886" s="65"/>
      <c r="Q886" s="65"/>
      <c r="R886" s="65"/>
      <c r="S886" s="65"/>
    </row>
    <row r="887" spans="1:19" x14ac:dyDescent="0.2">
      <c r="A887" s="74"/>
      <c r="C887" s="65"/>
      <c r="D887" s="65"/>
      <c r="E887" s="65"/>
      <c r="F887" s="65"/>
      <c r="G887" s="65"/>
      <c r="H887" s="65"/>
      <c r="I887" s="65"/>
      <c r="J887" s="65"/>
      <c r="K887" s="65"/>
      <c r="L887" s="69"/>
      <c r="M887" s="69"/>
      <c r="N887" s="65"/>
      <c r="O887" s="65"/>
      <c r="P887" s="65"/>
      <c r="Q887" s="65"/>
      <c r="R887" s="65"/>
      <c r="S887" s="65"/>
    </row>
    <row r="888" spans="1:19" x14ac:dyDescent="0.2">
      <c r="A888" s="74"/>
      <c r="C888" s="65"/>
      <c r="D888" s="65"/>
      <c r="E888" s="65"/>
      <c r="F888" s="65"/>
      <c r="G888" s="65"/>
      <c r="H888" s="65"/>
      <c r="I888" s="65"/>
      <c r="J888" s="65"/>
      <c r="K888" s="65"/>
      <c r="L888" s="69"/>
      <c r="M888" s="69"/>
      <c r="N888" s="65"/>
      <c r="O888" s="65"/>
      <c r="P888" s="65"/>
      <c r="Q888" s="65"/>
      <c r="R888" s="65"/>
      <c r="S888" s="65"/>
    </row>
    <row r="889" spans="1:19" x14ac:dyDescent="0.2">
      <c r="A889" s="74"/>
      <c r="C889" s="65"/>
      <c r="D889" s="65"/>
      <c r="E889" s="65"/>
      <c r="F889" s="65"/>
      <c r="G889" s="65"/>
      <c r="H889" s="65"/>
      <c r="I889" s="65"/>
      <c r="J889" s="65"/>
      <c r="K889" s="65"/>
      <c r="L889" s="69"/>
      <c r="M889" s="69"/>
      <c r="N889" s="65"/>
      <c r="O889" s="65"/>
      <c r="P889" s="65"/>
      <c r="Q889" s="65"/>
      <c r="R889" s="65"/>
      <c r="S889" s="65"/>
    </row>
    <row r="890" spans="1:19" x14ac:dyDescent="0.2">
      <c r="A890" s="74"/>
      <c r="C890" s="65"/>
      <c r="D890" s="65"/>
      <c r="E890" s="65"/>
      <c r="F890" s="65"/>
      <c r="G890" s="65"/>
      <c r="H890" s="65"/>
      <c r="I890" s="65"/>
      <c r="J890" s="65"/>
      <c r="K890" s="65"/>
      <c r="L890" s="69"/>
      <c r="M890" s="69"/>
      <c r="N890" s="65"/>
      <c r="O890" s="65"/>
      <c r="P890" s="65"/>
      <c r="Q890" s="65"/>
      <c r="R890" s="65"/>
      <c r="S890" s="65"/>
    </row>
    <row r="891" spans="1:19" x14ac:dyDescent="0.2">
      <c r="A891" s="74"/>
      <c r="C891" s="65"/>
      <c r="D891" s="65"/>
      <c r="E891" s="65"/>
      <c r="F891" s="65"/>
      <c r="G891" s="65"/>
      <c r="H891" s="65"/>
      <c r="I891" s="65"/>
      <c r="J891" s="65"/>
      <c r="K891" s="65"/>
      <c r="L891" s="69"/>
      <c r="M891" s="69"/>
      <c r="N891" s="65"/>
      <c r="O891" s="65"/>
      <c r="P891" s="65"/>
      <c r="Q891" s="65"/>
      <c r="R891" s="65"/>
      <c r="S891" s="65"/>
    </row>
    <row r="892" spans="1:19" x14ac:dyDescent="0.2">
      <c r="A892" s="74"/>
      <c r="C892" s="65"/>
      <c r="D892" s="65"/>
      <c r="E892" s="65"/>
      <c r="F892" s="65"/>
      <c r="G892" s="65"/>
      <c r="H892" s="65"/>
      <c r="I892" s="65"/>
      <c r="J892" s="65"/>
      <c r="K892" s="65"/>
      <c r="L892" s="69"/>
      <c r="M892" s="69"/>
      <c r="N892" s="65"/>
      <c r="O892" s="65"/>
      <c r="P892" s="65"/>
      <c r="Q892" s="65"/>
      <c r="R892" s="65"/>
      <c r="S892" s="65"/>
    </row>
    <row r="893" spans="1:19" x14ac:dyDescent="0.2">
      <c r="A893" s="74"/>
      <c r="C893" s="65"/>
      <c r="D893" s="65"/>
      <c r="E893" s="65"/>
      <c r="F893" s="65"/>
      <c r="G893" s="65"/>
      <c r="H893" s="65"/>
      <c r="I893" s="65"/>
      <c r="J893" s="65"/>
      <c r="K893" s="65"/>
      <c r="L893" s="69"/>
      <c r="M893" s="69"/>
      <c r="N893" s="65"/>
      <c r="O893" s="65"/>
      <c r="P893" s="65"/>
      <c r="Q893" s="65"/>
      <c r="R893" s="65"/>
      <c r="S893" s="65"/>
    </row>
    <row r="894" spans="1:19" x14ac:dyDescent="0.2">
      <c r="A894" s="74"/>
      <c r="C894" s="65"/>
      <c r="D894" s="65"/>
      <c r="E894" s="65"/>
      <c r="F894" s="65"/>
      <c r="G894" s="65"/>
      <c r="H894" s="65"/>
      <c r="I894" s="65"/>
      <c r="J894" s="65"/>
      <c r="K894" s="65"/>
      <c r="L894" s="69"/>
      <c r="M894" s="69"/>
      <c r="N894" s="65"/>
      <c r="O894" s="65"/>
      <c r="P894" s="65"/>
      <c r="Q894" s="65"/>
      <c r="R894" s="65"/>
      <c r="S894" s="65"/>
    </row>
    <row r="895" spans="1:19" x14ac:dyDescent="0.2">
      <c r="A895" s="74"/>
      <c r="C895" s="65"/>
      <c r="D895" s="65"/>
      <c r="E895" s="65"/>
      <c r="F895" s="65"/>
      <c r="G895" s="65"/>
      <c r="H895" s="65"/>
      <c r="I895" s="65"/>
      <c r="J895" s="65"/>
      <c r="K895" s="65"/>
      <c r="L895" s="69"/>
      <c r="M895" s="69"/>
      <c r="N895" s="65"/>
      <c r="O895" s="65"/>
      <c r="P895" s="65"/>
      <c r="Q895" s="65"/>
      <c r="R895" s="65"/>
      <c r="S895" s="65"/>
    </row>
    <row r="896" spans="1:19" x14ac:dyDescent="0.2">
      <c r="A896" s="74"/>
      <c r="C896" s="65"/>
      <c r="D896" s="65"/>
      <c r="E896" s="65"/>
      <c r="F896" s="65"/>
      <c r="G896" s="65"/>
      <c r="H896" s="65"/>
      <c r="I896" s="65"/>
      <c r="J896" s="65"/>
      <c r="K896" s="65"/>
      <c r="L896" s="69"/>
      <c r="M896" s="69"/>
      <c r="N896" s="65"/>
      <c r="O896" s="65"/>
      <c r="P896" s="65"/>
      <c r="Q896" s="65"/>
      <c r="R896" s="65"/>
      <c r="S896" s="65"/>
    </row>
    <row r="897" spans="1:19" x14ac:dyDescent="0.2">
      <c r="A897" s="74"/>
      <c r="C897" s="65"/>
      <c r="D897" s="65"/>
      <c r="E897" s="65"/>
      <c r="F897" s="65"/>
      <c r="G897" s="65"/>
      <c r="H897" s="65"/>
      <c r="I897" s="65"/>
      <c r="J897" s="65"/>
      <c r="K897" s="65"/>
      <c r="L897" s="69"/>
      <c r="M897" s="69"/>
      <c r="N897" s="65"/>
      <c r="O897" s="65"/>
      <c r="P897" s="65"/>
      <c r="Q897" s="65"/>
      <c r="R897" s="65"/>
      <c r="S897" s="65"/>
    </row>
    <row r="898" spans="1:19" x14ac:dyDescent="0.2">
      <c r="A898" s="74"/>
      <c r="C898" s="65"/>
      <c r="D898" s="65"/>
      <c r="E898" s="65"/>
      <c r="F898" s="65"/>
      <c r="G898" s="65"/>
      <c r="H898" s="65"/>
      <c r="I898" s="65"/>
      <c r="J898" s="65"/>
      <c r="K898" s="65"/>
      <c r="L898" s="69"/>
      <c r="M898" s="69"/>
      <c r="N898" s="65"/>
      <c r="O898" s="65"/>
      <c r="P898" s="65"/>
      <c r="Q898" s="65"/>
      <c r="R898" s="65"/>
      <c r="S898" s="65"/>
    </row>
    <row r="899" spans="1:19" x14ac:dyDescent="0.2">
      <c r="A899" s="74"/>
      <c r="C899" s="65"/>
      <c r="D899" s="65"/>
      <c r="E899" s="65"/>
      <c r="F899" s="65"/>
      <c r="G899" s="65"/>
      <c r="H899" s="65"/>
      <c r="I899" s="65"/>
      <c r="J899" s="65"/>
      <c r="K899" s="65"/>
      <c r="L899" s="69"/>
      <c r="M899" s="69"/>
      <c r="N899" s="65"/>
      <c r="O899" s="65"/>
      <c r="P899" s="65"/>
      <c r="Q899" s="65"/>
      <c r="R899" s="65"/>
      <c r="S899" s="65"/>
    </row>
    <row r="900" spans="1:19" x14ac:dyDescent="0.2">
      <c r="A900" s="74"/>
      <c r="C900" s="65"/>
      <c r="D900" s="65"/>
      <c r="E900" s="65"/>
      <c r="F900" s="65"/>
      <c r="G900" s="65"/>
      <c r="H900" s="65"/>
      <c r="I900" s="65"/>
      <c r="J900" s="65"/>
      <c r="K900" s="65"/>
      <c r="L900" s="69"/>
      <c r="M900" s="69"/>
      <c r="N900" s="65"/>
      <c r="O900" s="65"/>
      <c r="P900" s="65"/>
      <c r="Q900" s="65"/>
      <c r="R900" s="65"/>
      <c r="S900" s="65"/>
    </row>
    <row r="901" spans="1:19" x14ac:dyDescent="0.2">
      <c r="A901" s="74"/>
      <c r="C901" s="65"/>
      <c r="D901" s="65"/>
      <c r="E901" s="65"/>
      <c r="F901" s="65"/>
      <c r="G901" s="65"/>
      <c r="H901" s="65"/>
      <c r="I901" s="65"/>
      <c r="J901" s="65"/>
      <c r="K901" s="65"/>
      <c r="L901" s="69"/>
      <c r="M901" s="69"/>
      <c r="N901" s="65"/>
      <c r="O901" s="65"/>
      <c r="P901" s="65"/>
      <c r="Q901" s="65"/>
      <c r="R901" s="65"/>
      <c r="S901" s="65"/>
    </row>
    <row r="902" spans="1:19" x14ac:dyDescent="0.2">
      <c r="A902" s="74"/>
      <c r="C902" s="65"/>
      <c r="D902" s="65"/>
      <c r="E902" s="65"/>
      <c r="F902" s="65"/>
      <c r="G902" s="65"/>
      <c r="H902" s="65"/>
      <c r="I902" s="65"/>
      <c r="J902" s="65"/>
      <c r="K902" s="65"/>
      <c r="L902" s="69"/>
      <c r="M902" s="69"/>
      <c r="N902" s="65"/>
      <c r="O902" s="65"/>
      <c r="P902" s="65"/>
      <c r="Q902" s="65"/>
      <c r="R902" s="65"/>
      <c r="S902" s="65"/>
    </row>
    <row r="903" spans="1:19" x14ac:dyDescent="0.2">
      <c r="A903" s="74"/>
      <c r="C903" s="65"/>
      <c r="D903" s="65"/>
      <c r="E903" s="65"/>
      <c r="F903" s="65"/>
      <c r="G903" s="65"/>
      <c r="H903" s="65"/>
      <c r="I903" s="65"/>
      <c r="J903" s="65"/>
      <c r="K903" s="65"/>
      <c r="L903" s="69"/>
      <c r="M903" s="69"/>
      <c r="N903" s="65"/>
      <c r="O903" s="65"/>
      <c r="P903" s="65"/>
      <c r="Q903" s="65"/>
      <c r="R903" s="65"/>
      <c r="S903" s="65"/>
    </row>
    <row r="904" spans="1:19" x14ac:dyDescent="0.2">
      <c r="A904" s="74"/>
      <c r="C904" s="65"/>
      <c r="D904" s="65"/>
      <c r="E904" s="65"/>
      <c r="F904" s="65"/>
      <c r="G904" s="65"/>
      <c r="H904" s="65"/>
      <c r="I904" s="65"/>
      <c r="J904" s="65"/>
      <c r="K904" s="65"/>
      <c r="L904" s="69"/>
      <c r="M904" s="69"/>
      <c r="N904" s="65"/>
      <c r="O904" s="65"/>
      <c r="P904" s="65"/>
      <c r="Q904" s="65"/>
      <c r="R904" s="65"/>
      <c r="S904" s="65"/>
    </row>
    <row r="905" spans="1:19" x14ac:dyDescent="0.2">
      <c r="A905" s="74"/>
      <c r="C905" s="65"/>
      <c r="D905" s="65"/>
      <c r="E905" s="65"/>
      <c r="F905" s="65"/>
      <c r="G905" s="65"/>
      <c r="H905" s="65"/>
      <c r="I905" s="65"/>
      <c r="J905" s="65"/>
      <c r="K905" s="65"/>
      <c r="L905" s="69"/>
      <c r="M905" s="69"/>
      <c r="N905" s="65"/>
      <c r="O905" s="65"/>
      <c r="P905" s="65"/>
      <c r="Q905" s="65"/>
      <c r="R905" s="65"/>
      <c r="S905" s="65"/>
    </row>
    <row r="906" spans="1:19" x14ac:dyDescent="0.2">
      <c r="A906" s="74"/>
      <c r="C906" s="65"/>
      <c r="D906" s="65"/>
      <c r="E906" s="65"/>
      <c r="F906" s="65"/>
      <c r="G906" s="65"/>
      <c r="H906" s="65"/>
      <c r="I906" s="65"/>
      <c r="J906" s="65"/>
      <c r="K906" s="65"/>
      <c r="L906" s="69"/>
      <c r="M906" s="69"/>
      <c r="N906" s="65"/>
      <c r="O906" s="65"/>
      <c r="P906" s="65"/>
      <c r="Q906" s="65"/>
      <c r="R906" s="65"/>
      <c r="S906" s="65"/>
    </row>
    <row r="907" spans="1:19" x14ac:dyDescent="0.2">
      <c r="A907" s="74"/>
      <c r="C907" s="65"/>
      <c r="D907" s="65"/>
      <c r="E907" s="65"/>
      <c r="F907" s="65"/>
      <c r="G907" s="65"/>
      <c r="H907" s="65"/>
      <c r="I907" s="65"/>
      <c r="J907" s="65"/>
      <c r="K907" s="65"/>
      <c r="L907" s="69"/>
      <c r="M907" s="69"/>
      <c r="N907" s="65"/>
      <c r="O907" s="65"/>
      <c r="P907" s="65"/>
      <c r="Q907" s="65"/>
      <c r="R907" s="65"/>
      <c r="S907" s="65"/>
    </row>
    <row r="908" spans="1:19" x14ac:dyDescent="0.2">
      <c r="A908" s="74"/>
      <c r="C908" s="65"/>
      <c r="D908" s="65"/>
      <c r="E908" s="65"/>
      <c r="F908" s="65"/>
      <c r="G908" s="65"/>
      <c r="H908" s="65"/>
      <c r="I908" s="65"/>
      <c r="J908" s="65"/>
      <c r="K908" s="65"/>
      <c r="L908" s="69"/>
      <c r="M908" s="69"/>
      <c r="N908" s="65"/>
      <c r="O908" s="65"/>
      <c r="P908" s="65"/>
      <c r="Q908" s="65"/>
      <c r="R908" s="65"/>
      <c r="S908" s="65"/>
    </row>
    <row r="909" spans="1:19" x14ac:dyDescent="0.2">
      <c r="A909" s="74"/>
      <c r="C909" s="65"/>
      <c r="D909" s="65"/>
      <c r="E909" s="65"/>
      <c r="F909" s="65"/>
      <c r="G909" s="65"/>
      <c r="H909" s="65"/>
      <c r="I909" s="65"/>
      <c r="J909" s="65"/>
      <c r="K909" s="65"/>
      <c r="L909" s="69"/>
      <c r="M909" s="69"/>
      <c r="N909" s="65"/>
      <c r="O909" s="65"/>
      <c r="P909" s="65"/>
      <c r="Q909" s="65"/>
      <c r="R909" s="65"/>
      <c r="S909" s="65"/>
    </row>
    <row r="910" spans="1:19" x14ac:dyDescent="0.2">
      <c r="A910" s="74"/>
      <c r="C910" s="65"/>
      <c r="D910" s="65"/>
      <c r="E910" s="65"/>
      <c r="F910" s="65"/>
      <c r="G910" s="65"/>
      <c r="H910" s="65"/>
      <c r="I910" s="65"/>
      <c r="J910" s="65"/>
      <c r="K910" s="65"/>
      <c r="L910" s="69"/>
      <c r="M910" s="69"/>
      <c r="N910" s="65"/>
      <c r="O910" s="65"/>
      <c r="P910" s="65"/>
      <c r="Q910" s="65"/>
      <c r="R910" s="65"/>
      <c r="S910" s="65"/>
    </row>
    <row r="911" spans="1:19" x14ac:dyDescent="0.2">
      <c r="A911" s="74"/>
      <c r="C911" s="65"/>
      <c r="D911" s="65"/>
      <c r="E911" s="65"/>
      <c r="F911" s="65"/>
      <c r="G911" s="65"/>
      <c r="H911" s="65"/>
      <c r="I911" s="65"/>
      <c r="J911" s="65"/>
      <c r="K911" s="65"/>
      <c r="L911" s="69"/>
      <c r="M911" s="69"/>
      <c r="N911" s="65"/>
      <c r="O911" s="65"/>
      <c r="P911" s="65"/>
      <c r="Q911" s="65"/>
      <c r="R911" s="65"/>
      <c r="S911" s="65"/>
    </row>
    <row r="912" spans="1:19" x14ac:dyDescent="0.2">
      <c r="A912" s="74"/>
      <c r="C912" s="65"/>
      <c r="D912" s="65"/>
      <c r="E912" s="65"/>
      <c r="F912" s="65"/>
      <c r="G912" s="65"/>
      <c r="H912" s="65"/>
      <c r="I912" s="65"/>
      <c r="J912" s="65"/>
      <c r="K912" s="65"/>
      <c r="L912" s="69"/>
      <c r="M912" s="69"/>
      <c r="N912" s="65"/>
      <c r="O912" s="65"/>
      <c r="P912" s="65"/>
      <c r="Q912" s="65"/>
      <c r="R912" s="65"/>
      <c r="S912" s="65"/>
    </row>
    <row r="913" spans="1:19" x14ac:dyDescent="0.2">
      <c r="A913" s="74"/>
      <c r="C913" s="65"/>
      <c r="D913" s="65"/>
      <c r="E913" s="65"/>
      <c r="F913" s="65"/>
      <c r="G913" s="65"/>
      <c r="H913" s="65"/>
      <c r="I913" s="65"/>
      <c r="J913" s="65"/>
      <c r="K913" s="65"/>
      <c r="L913" s="69"/>
      <c r="M913" s="69"/>
      <c r="N913" s="65"/>
      <c r="O913" s="65"/>
      <c r="P913" s="65"/>
      <c r="Q913" s="65"/>
      <c r="R913" s="65"/>
      <c r="S913" s="65"/>
    </row>
    <row r="914" spans="1:19" x14ac:dyDescent="0.2">
      <c r="A914" s="74"/>
      <c r="C914" s="65"/>
      <c r="D914" s="65"/>
      <c r="E914" s="65"/>
      <c r="F914" s="65"/>
      <c r="G914" s="65"/>
      <c r="H914" s="65"/>
      <c r="I914" s="65"/>
      <c r="J914" s="65"/>
      <c r="K914" s="65"/>
      <c r="L914" s="69"/>
      <c r="M914" s="69"/>
      <c r="N914" s="65"/>
      <c r="O914" s="65"/>
      <c r="P914" s="65"/>
      <c r="Q914" s="65"/>
      <c r="R914" s="65"/>
      <c r="S914" s="65"/>
    </row>
    <row r="915" spans="1:19" x14ac:dyDescent="0.2">
      <c r="A915" s="74"/>
      <c r="C915" s="65"/>
      <c r="D915" s="65"/>
      <c r="E915" s="65"/>
      <c r="F915" s="65"/>
      <c r="G915" s="65"/>
      <c r="H915" s="65"/>
      <c r="I915" s="65"/>
      <c r="J915" s="65"/>
      <c r="K915" s="65"/>
      <c r="L915" s="69"/>
      <c r="M915" s="69"/>
      <c r="N915" s="65"/>
      <c r="O915" s="65"/>
      <c r="P915" s="65"/>
      <c r="Q915" s="65"/>
      <c r="R915" s="65"/>
      <c r="S915" s="65"/>
    </row>
    <row r="916" spans="1:19" x14ac:dyDescent="0.2">
      <c r="A916" s="74"/>
      <c r="C916" s="65"/>
      <c r="D916" s="65"/>
      <c r="E916" s="65"/>
      <c r="F916" s="65"/>
      <c r="G916" s="65"/>
      <c r="H916" s="65"/>
      <c r="I916" s="65"/>
      <c r="J916" s="65"/>
      <c r="K916" s="65"/>
      <c r="L916" s="69"/>
      <c r="M916" s="69"/>
      <c r="N916" s="65"/>
      <c r="O916" s="65"/>
      <c r="P916" s="65"/>
      <c r="Q916" s="65"/>
      <c r="R916" s="65"/>
      <c r="S916" s="65"/>
    </row>
    <row r="917" spans="1:19" x14ac:dyDescent="0.2">
      <c r="A917" s="74"/>
      <c r="C917" s="65"/>
      <c r="D917" s="65"/>
      <c r="E917" s="65"/>
      <c r="F917" s="65"/>
      <c r="G917" s="65"/>
      <c r="H917" s="65"/>
      <c r="I917" s="65"/>
      <c r="J917" s="65"/>
      <c r="K917" s="65"/>
      <c r="L917" s="69"/>
      <c r="M917" s="69"/>
      <c r="N917" s="65"/>
      <c r="O917" s="65"/>
      <c r="P917" s="65"/>
      <c r="Q917" s="65"/>
      <c r="R917" s="65"/>
      <c r="S917" s="65"/>
    </row>
    <row r="918" spans="1:19" x14ac:dyDescent="0.2">
      <c r="A918" s="74"/>
      <c r="C918" s="65"/>
      <c r="D918" s="65"/>
      <c r="E918" s="65"/>
      <c r="F918" s="65"/>
      <c r="G918" s="65"/>
      <c r="H918" s="65"/>
      <c r="I918" s="65"/>
      <c r="J918" s="65"/>
      <c r="K918" s="65"/>
      <c r="L918" s="69"/>
      <c r="M918" s="69"/>
      <c r="N918" s="65"/>
      <c r="O918" s="65"/>
      <c r="P918" s="65"/>
      <c r="Q918" s="65"/>
      <c r="R918" s="65"/>
      <c r="S918" s="65"/>
    </row>
    <row r="919" spans="1:19" x14ac:dyDescent="0.2">
      <c r="A919" s="74"/>
      <c r="C919" s="65"/>
      <c r="D919" s="65"/>
      <c r="E919" s="65"/>
      <c r="F919" s="65"/>
      <c r="G919" s="65"/>
      <c r="H919" s="65"/>
      <c r="I919" s="65"/>
      <c r="J919" s="65"/>
      <c r="K919" s="65"/>
      <c r="L919" s="69"/>
      <c r="M919" s="69"/>
      <c r="N919" s="65"/>
      <c r="O919" s="65"/>
      <c r="P919" s="65"/>
      <c r="Q919" s="65"/>
      <c r="R919" s="65"/>
      <c r="S919" s="65"/>
    </row>
    <row r="920" spans="1:19" x14ac:dyDescent="0.2">
      <c r="A920" s="74"/>
      <c r="C920" s="65"/>
      <c r="D920" s="65"/>
      <c r="E920" s="65"/>
      <c r="F920" s="65"/>
      <c r="G920" s="65"/>
      <c r="H920" s="65"/>
      <c r="I920" s="65"/>
      <c r="J920" s="65"/>
      <c r="K920" s="65"/>
      <c r="L920" s="69"/>
      <c r="M920" s="69"/>
      <c r="N920" s="65"/>
      <c r="O920" s="65"/>
      <c r="P920" s="65"/>
      <c r="Q920" s="65"/>
      <c r="R920" s="65"/>
      <c r="S920" s="65"/>
    </row>
    <row r="921" spans="1:19" x14ac:dyDescent="0.2">
      <c r="A921" s="74"/>
      <c r="C921" s="65"/>
      <c r="D921" s="65"/>
      <c r="E921" s="65"/>
      <c r="F921" s="65"/>
      <c r="G921" s="65"/>
      <c r="H921" s="65"/>
      <c r="I921" s="65"/>
      <c r="J921" s="65"/>
      <c r="K921" s="65"/>
      <c r="L921" s="69"/>
      <c r="M921" s="69"/>
      <c r="N921" s="65"/>
      <c r="O921" s="65"/>
      <c r="P921" s="65"/>
      <c r="Q921" s="65"/>
      <c r="R921" s="65"/>
      <c r="S921" s="65"/>
    </row>
    <row r="922" spans="1:19" x14ac:dyDescent="0.2">
      <c r="A922" s="74"/>
      <c r="C922" s="65"/>
      <c r="D922" s="65"/>
      <c r="E922" s="65"/>
      <c r="F922" s="65"/>
      <c r="G922" s="65"/>
      <c r="H922" s="65"/>
      <c r="I922" s="65"/>
      <c r="J922" s="65"/>
      <c r="K922" s="65"/>
      <c r="L922" s="69"/>
      <c r="M922" s="69"/>
      <c r="N922" s="65"/>
      <c r="O922" s="65"/>
      <c r="P922" s="65"/>
      <c r="Q922" s="65"/>
      <c r="R922" s="65"/>
      <c r="S922" s="65"/>
    </row>
    <row r="923" spans="1:19" x14ac:dyDescent="0.2">
      <c r="A923" s="74"/>
      <c r="C923" s="65"/>
      <c r="D923" s="65"/>
      <c r="E923" s="65"/>
      <c r="F923" s="65"/>
      <c r="G923" s="65"/>
      <c r="H923" s="65"/>
      <c r="I923" s="65"/>
      <c r="J923" s="65"/>
      <c r="K923" s="65"/>
      <c r="L923" s="69"/>
      <c r="M923" s="69"/>
      <c r="N923" s="65"/>
      <c r="O923" s="65"/>
      <c r="P923" s="65"/>
      <c r="Q923" s="65"/>
      <c r="R923" s="65"/>
      <c r="S923" s="65"/>
    </row>
    <row r="924" spans="1:19" x14ac:dyDescent="0.2">
      <c r="A924" s="74"/>
      <c r="C924" s="65"/>
      <c r="D924" s="65"/>
      <c r="E924" s="65"/>
      <c r="F924" s="65"/>
      <c r="G924" s="65"/>
      <c r="H924" s="65"/>
      <c r="I924" s="65"/>
      <c r="J924" s="65"/>
      <c r="K924" s="65"/>
      <c r="L924" s="69"/>
      <c r="M924" s="69"/>
      <c r="N924" s="65"/>
      <c r="O924" s="65"/>
      <c r="P924" s="65"/>
      <c r="Q924" s="65"/>
      <c r="R924" s="65"/>
      <c r="S924" s="65"/>
    </row>
    <row r="925" spans="1:19" x14ac:dyDescent="0.2">
      <c r="A925" s="74"/>
      <c r="C925" s="65"/>
      <c r="D925" s="65"/>
      <c r="E925" s="65"/>
      <c r="F925" s="65"/>
      <c r="G925" s="65"/>
      <c r="H925" s="65"/>
      <c r="I925" s="65"/>
      <c r="J925" s="65"/>
      <c r="K925" s="65"/>
      <c r="L925" s="69"/>
      <c r="M925" s="69"/>
      <c r="N925" s="65"/>
      <c r="O925" s="65"/>
      <c r="P925" s="65"/>
      <c r="Q925" s="65"/>
      <c r="R925" s="65"/>
      <c r="S925" s="65"/>
    </row>
    <row r="926" spans="1:19" x14ac:dyDescent="0.2">
      <c r="A926" s="74"/>
      <c r="C926" s="65"/>
      <c r="D926" s="65"/>
      <c r="E926" s="65"/>
      <c r="F926" s="65"/>
      <c r="G926" s="65"/>
      <c r="H926" s="65"/>
      <c r="I926" s="65"/>
      <c r="J926" s="65"/>
      <c r="K926" s="65"/>
      <c r="L926" s="69"/>
      <c r="M926" s="69"/>
      <c r="N926" s="65"/>
      <c r="O926" s="65"/>
      <c r="P926" s="65"/>
      <c r="Q926" s="65"/>
      <c r="R926" s="65"/>
      <c r="S926" s="65"/>
    </row>
    <row r="927" spans="1:19" x14ac:dyDescent="0.2">
      <c r="A927" s="74"/>
      <c r="C927" s="65"/>
      <c r="D927" s="65"/>
      <c r="E927" s="65"/>
      <c r="F927" s="65"/>
      <c r="G927" s="65"/>
      <c r="H927" s="65"/>
      <c r="I927" s="65"/>
      <c r="J927" s="65"/>
      <c r="K927" s="65"/>
      <c r="L927" s="69"/>
      <c r="M927" s="69"/>
      <c r="N927" s="65"/>
      <c r="O927" s="65"/>
      <c r="P927" s="65"/>
      <c r="Q927" s="65"/>
      <c r="R927" s="65"/>
      <c r="S927" s="65"/>
    </row>
    <row r="928" spans="1:19" x14ac:dyDescent="0.2">
      <c r="A928" s="74"/>
      <c r="C928" s="65"/>
      <c r="D928" s="65"/>
      <c r="E928" s="65"/>
      <c r="F928" s="65"/>
      <c r="G928" s="65"/>
      <c r="H928" s="65"/>
      <c r="I928" s="65"/>
      <c r="J928" s="65"/>
      <c r="K928" s="65"/>
      <c r="L928" s="69"/>
      <c r="M928" s="69"/>
      <c r="N928" s="65"/>
      <c r="O928" s="65"/>
      <c r="P928" s="65"/>
      <c r="Q928" s="65"/>
      <c r="R928" s="65"/>
      <c r="S928" s="65"/>
    </row>
    <row r="929" spans="1:19" x14ac:dyDescent="0.2">
      <c r="A929" s="74"/>
      <c r="C929" s="65"/>
      <c r="D929" s="65"/>
      <c r="E929" s="65"/>
      <c r="F929" s="65"/>
      <c r="G929" s="65"/>
      <c r="H929" s="65"/>
      <c r="I929" s="65"/>
      <c r="J929" s="65"/>
      <c r="K929" s="65"/>
      <c r="L929" s="69"/>
      <c r="M929" s="69"/>
      <c r="N929" s="65"/>
      <c r="O929" s="65"/>
      <c r="P929" s="65"/>
      <c r="Q929" s="65"/>
      <c r="R929" s="65"/>
      <c r="S929" s="65"/>
    </row>
    <row r="930" spans="1:19" x14ac:dyDescent="0.2">
      <c r="A930" s="74"/>
      <c r="C930" s="65"/>
      <c r="D930" s="65"/>
      <c r="E930" s="65"/>
      <c r="F930" s="65"/>
      <c r="G930" s="65"/>
      <c r="H930" s="65"/>
      <c r="I930" s="65"/>
      <c r="J930" s="65"/>
      <c r="K930" s="65"/>
      <c r="L930" s="69"/>
      <c r="M930" s="69"/>
      <c r="N930" s="65"/>
      <c r="O930" s="65"/>
      <c r="P930" s="65"/>
      <c r="Q930" s="65"/>
      <c r="R930" s="65"/>
      <c r="S930" s="65"/>
    </row>
    <row r="931" spans="1:19" x14ac:dyDescent="0.2">
      <c r="A931" s="74"/>
      <c r="C931" s="65"/>
      <c r="D931" s="65"/>
      <c r="E931" s="65"/>
      <c r="F931" s="65"/>
      <c r="G931" s="65"/>
      <c r="H931" s="65"/>
      <c r="I931" s="65"/>
      <c r="J931" s="65"/>
      <c r="K931" s="65"/>
      <c r="L931" s="69"/>
      <c r="M931" s="69"/>
      <c r="N931" s="65"/>
      <c r="O931" s="65"/>
      <c r="P931" s="65"/>
      <c r="Q931" s="65"/>
      <c r="R931" s="65"/>
      <c r="S931" s="65"/>
    </row>
    <row r="932" spans="1:19" x14ac:dyDescent="0.2">
      <c r="A932" s="74"/>
      <c r="C932" s="65"/>
      <c r="D932" s="65"/>
      <c r="E932" s="65"/>
      <c r="F932" s="65"/>
      <c r="G932" s="65"/>
      <c r="H932" s="65"/>
      <c r="I932" s="65"/>
      <c r="J932" s="65"/>
      <c r="K932" s="65"/>
      <c r="L932" s="69"/>
      <c r="M932" s="69"/>
      <c r="N932" s="65"/>
      <c r="O932" s="65"/>
      <c r="P932" s="65"/>
      <c r="Q932" s="65"/>
      <c r="R932" s="65"/>
      <c r="S932" s="65"/>
    </row>
    <row r="933" spans="1:19" x14ac:dyDescent="0.2">
      <c r="A933" s="74"/>
      <c r="C933" s="65"/>
      <c r="D933" s="65"/>
      <c r="E933" s="65"/>
      <c r="F933" s="65"/>
      <c r="G933" s="65"/>
      <c r="H933" s="65"/>
      <c r="I933" s="65"/>
      <c r="J933" s="65"/>
      <c r="K933" s="65"/>
      <c r="L933" s="69"/>
      <c r="M933" s="69"/>
      <c r="N933" s="65"/>
      <c r="O933" s="65"/>
      <c r="P933" s="65"/>
      <c r="Q933" s="65"/>
      <c r="R933" s="65"/>
      <c r="S933" s="65"/>
    </row>
    <row r="934" spans="1:19" x14ac:dyDescent="0.2">
      <c r="A934" s="74"/>
      <c r="C934" s="65"/>
      <c r="D934" s="65"/>
      <c r="E934" s="65"/>
      <c r="F934" s="65"/>
      <c r="G934" s="65"/>
      <c r="H934" s="65"/>
      <c r="I934" s="65"/>
      <c r="J934" s="65"/>
      <c r="K934" s="65"/>
      <c r="L934" s="69"/>
      <c r="M934" s="69"/>
      <c r="N934" s="65"/>
      <c r="O934" s="65"/>
      <c r="P934" s="65"/>
      <c r="Q934" s="65"/>
      <c r="R934" s="65"/>
      <c r="S934" s="65"/>
    </row>
    <row r="935" spans="1:19" x14ac:dyDescent="0.2">
      <c r="A935" s="74"/>
      <c r="C935" s="65"/>
      <c r="D935" s="65"/>
      <c r="E935" s="65"/>
      <c r="F935" s="65"/>
      <c r="G935" s="65"/>
      <c r="H935" s="65"/>
      <c r="I935" s="65"/>
      <c r="J935" s="65"/>
      <c r="K935" s="65"/>
      <c r="L935" s="69"/>
      <c r="M935" s="69"/>
      <c r="N935" s="65"/>
      <c r="O935" s="65"/>
      <c r="P935" s="65"/>
      <c r="Q935" s="65"/>
      <c r="R935" s="65"/>
      <c r="S935" s="65"/>
    </row>
    <row r="936" spans="1:19" x14ac:dyDescent="0.2">
      <c r="A936" s="74"/>
      <c r="C936" s="65"/>
      <c r="D936" s="65"/>
      <c r="E936" s="65"/>
      <c r="F936" s="65"/>
      <c r="G936" s="65"/>
      <c r="H936" s="65"/>
      <c r="I936" s="65"/>
      <c r="J936" s="65"/>
      <c r="K936" s="65"/>
      <c r="L936" s="69"/>
      <c r="M936" s="69"/>
      <c r="N936" s="65"/>
      <c r="O936" s="65"/>
      <c r="P936" s="65"/>
      <c r="Q936" s="65"/>
      <c r="R936" s="65"/>
      <c r="S936" s="65"/>
    </row>
    <row r="937" spans="1:19" x14ac:dyDescent="0.2">
      <c r="A937" s="74"/>
      <c r="C937" s="65"/>
      <c r="D937" s="65"/>
      <c r="E937" s="65"/>
      <c r="F937" s="65"/>
      <c r="G937" s="65"/>
      <c r="H937" s="65"/>
      <c r="I937" s="65"/>
      <c r="J937" s="65"/>
      <c r="K937" s="65"/>
      <c r="L937" s="69"/>
      <c r="M937" s="69"/>
      <c r="N937" s="65"/>
      <c r="O937" s="65"/>
      <c r="P937" s="65"/>
      <c r="Q937" s="65"/>
      <c r="R937" s="65"/>
      <c r="S937" s="65"/>
    </row>
    <row r="938" spans="1:19" x14ac:dyDescent="0.2">
      <c r="A938" s="74"/>
      <c r="C938" s="65"/>
      <c r="D938" s="65"/>
      <c r="E938" s="65"/>
      <c r="F938" s="65"/>
      <c r="G938" s="65"/>
      <c r="H938" s="65"/>
      <c r="I938" s="65"/>
      <c r="J938" s="65"/>
      <c r="K938" s="65"/>
      <c r="L938" s="69"/>
      <c r="M938" s="69"/>
      <c r="N938" s="65"/>
      <c r="O938" s="65"/>
      <c r="P938" s="65"/>
      <c r="Q938" s="65"/>
      <c r="R938" s="65"/>
      <c r="S938" s="65"/>
    </row>
    <row r="939" spans="1:19" x14ac:dyDescent="0.2">
      <c r="A939" s="74"/>
      <c r="C939" s="65"/>
      <c r="D939" s="65"/>
      <c r="E939" s="65"/>
      <c r="F939" s="65"/>
      <c r="G939" s="65"/>
      <c r="H939" s="65"/>
      <c r="I939" s="65"/>
      <c r="J939" s="65"/>
      <c r="K939" s="65"/>
      <c r="L939" s="69"/>
      <c r="M939" s="69"/>
      <c r="N939" s="65"/>
      <c r="O939" s="65"/>
      <c r="P939" s="65"/>
      <c r="Q939" s="65"/>
      <c r="R939" s="65"/>
      <c r="S939" s="65"/>
    </row>
    <row r="940" spans="1:19" x14ac:dyDescent="0.2">
      <c r="A940" s="74"/>
      <c r="C940" s="65"/>
      <c r="D940" s="65"/>
      <c r="E940" s="65"/>
      <c r="F940" s="65"/>
      <c r="G940" s="65"/>
      <c r="H940" s="65"/>
      <c r="I940" s="65"/>
      <c r="J940" s="65"/>
      <c r="K940" s="65"/>
      <c r="L940" s="69"/>
      <c r="M940" s="69"/>
      <c r="N940" s="65"/>
      <c r="O940" s="65"/>
      <c r="P940" s="65"/>
      <c r="Q940" s="65"/>
      <c r="R940" s="65"/>
      <c r="S940" s="65"/>
    </row>
    <row r="941" spans="1:19" x14ac:dyDescent="0.2">
      <c r="A941" s="74"/>
      <c r="C941" s="65"/>
      <c r="D941" s="65"/>
      <c r="E941" s="65"/>
      <c r="F941" s="65"/>
      <c r="G941" s="65"/>
      <c r="H941" s="65"/>
      <c r="I941" s="65"/>
      <c r="J941" s="65"/>
      <c r="K941" s="65"/>
      <c r="L941" s="69"/>
      <c r="M941" s="69"/>
      <c r="N941" s="65"/>
      <c r="O941" s="65"/>
      <c r="P941" s="65"/>
      <c r="Q941" s="65"/>
      <c r="R941" s="65"/>
      <c r="S941" s="65"/>
    </row>
    <row r="942" spans="1:19" x14ac:dyDescent="0.2">
      <c r="A942" s="74"/>
      <c r="C942" s="65"/>
      <c r="D942" s="65"/>
      <c r="E942" s="65"/>
      <c r="F942" s="65"/>
      <c r="G942" s="65"/>
      <c r="H942" s="65"/>
      <c r="I942" s="65"/>
      <c r="J942" s="65"/>
      <c r="K942" s="65"/>
      <c r="L942" s="69"/>
      <c r="M942" s="69"/>
      <c r="N942" s="65"/>
      <c r="O942" s="65"/>
      <c r="P942" s="65"/>
      <c r="Q942" s="65"/>
      <c r="R942" s="65"/>
      <c r="S942" s="65"/>
    </row>
    <row r="943" spans="1:19" x14ac:dyDescent="0.2">
      <c r="A943" s="74"/>
      <c r="C943" s="65"/>
      <c r="D943" s="65"/>
      <c r="E943" s="65"/>
      <c r="F943" s="65"/>
      <c r="G943" s="65"/>
      <c r="H943" s="65"/>
      <c r="I943" s="65"/>
      <c r="J943" s="65"/>
      <c r="K943" s="65"/>
      <c r="L943" s="69"/>
      <c r="M943" s="69"/>
      <c r="N943" s="65"/>
      <c r="O943" s="65"/>
      <c r="P943" s="65"/>
      <c r="Q943" s="65"/>
      <c r="R943" s="65"/>
      <c r="S943" s="65"/>
    </row>
    <row r="944" spans="1:19" x14ac:dyDescent="0.2">
      <c r="A944" s="74"/>
      <c r="C944" s="65"/>
      <c r="D944" s="65"/>
      <c r="E944" s="65"/>
      <c r="F944" s="65"/>
      <c r="G944" s="65"/>
      <c r="H944" s="65"/>
      <c r="I944" s="65"/>
      <c r="J944" s="65"/>
      <c r="K944" s="65"/>
      <c r="L944" s="69"/>
      <c r="M944" s="69"/>
      <c r="N944" s="65"/>
      <c r="O944" s="65"/>
      <c r="P944" s="65"/>
      <c r="Q944" s="65"/>
      <c r="R944" s="65"/>
      <c r="S944" s="65"/>
    </row>
    <row r="945" spans="1:19" x14ac:dyDescent="0.2">
      <c r="A945" s="74"/>
      <c r="C945" s="65"/>
      <c r="D945" s="65"/>
      <c r="E945" s="65"/>
      <c r="F945" s="65"/>
      <c r="G945" s="65"/>
      <c r="H945" s="65"/>
      <c r="I945" s="65"/>
      <c r="J945" s="65"/>
      <c r="K945" s="65"/>
      <c r="L945" s="69"/>
      <c r="M945" s="69"/>
      <c r="N945" s="65"/>
      <c r="O945" s="65"/>
      <c r="P945" s="65"/>
      <c r="Q945" s="65"/>
      <c r="R945" s="65"/>
      <c r="S945" s="65"/>
    </row>
    <row r="946" spans="1:19" x14ac:dyDescent="0.2">
      <c r="A946" s="74"/>
      <c r="C946" s="65"/>
      <c r="D946" s="65"/>
      <c r="E946" s="65"/>
      <c r="F946" s="65"/>
      <c r="G946" s="65"/>
      <c r="H946" s="65"/>
      <c r="I946" s="65"/>
      <c r="J946" s="65"/>
      <c r="K946" s="65"/>
      <c r="L946" s="69"/>
      <c r="M946" s="69"/>
      <c r="N946" s="65"/>
      <c r="O946" s="65"/>
      <c r="P946" s="65"/>
      <c r="Q946" s="65"/>
      <c r="R946" s="65"/>
      <c r="S946" s="65"/>
    </row>
    <row r="947" spans="1:19" x14ac:dyDescent="0.2">
      <c r="A947" s="74"/>
      <c r="C947" s="65"/>
      <c r="D947" s="65"/>
      <c r="E947" s="65"/>
      <c r="F947" s="65"/>
      <c r="G947" s="65"/>
      <c r="H947" s="65"/>
      <c r="I947" s="65"/>
      <c r="J947" s="65"/>
      <c r="K947" s="65"/>
      <c r="L947" s="69"/>
      <c r="M947" s="69"/>
      <c r="N947" s="65"/>
      <c r="O947" s="65"/>
      <c r="P947" s="65"/>
      <c r="Q947" s="65"/>
      <c r="R947" s="65"/>
      <c r="S947" s="65"/>
    </row>
    <row r="948" spans="1:19" x14ac:dyDescent="0.2">
      <c r="A948" s="74"/>
      <c r="C948" s="65"/>
      <c r="D948" s="65"/>
      <c r="E948" s="65"/>
      <c r="F948" s="65"/>
      <c r="G948" s="65"/>
      <c r="H948" s="65"/>
      <c r="I948" s="65"/>
      <c r="J948" s="65"/>
      <c r="K948" s="65"/>
      <c r="L948" s="69"/>
      <c r="M948" s="69"/>
      <c r="N948" s="65"/>
      <c r="O948" s="65"/>
      <c r="P948" s="65"/>
      <c r="Q948" s="65"/>
      <c r="R948" s="65"/>
      <c r="S948" s="65"/>
    </row>
    <row r="949" spans="1:19" x14ac:dyDescent="0.2">
      <c r="A949" s="74"/>
      <c r="C949" s="65"/>
      <c r="D949" s="65"/>
      <c r="E949" s="65"/>
      <c r="F949" s="65"/>
      <c r="G949" s="65"/>
      <c r="H949" s="65"/>
      <c r="I949" s="65"/>
      <c r="J949" s="65"/>
      <c r="K949" s="65"/>
      <c r="L949" s="69"/>
      <c r="M949" s="69"/>
      <c r="N949" s="65"/>
      <c r="O949" s="65"/>
      <c r="P949" s="65"/>
      <c r="Q949" s="65"/>
      <c r="R949" s="65"/>
      <c r="S949" s="65"/>
    </row>
    <row r="950" spans="1:19" x14ac:dyDescent="0.2">
      <c r="A950" s="74"/>
      <c r="C950" s="65"/>
      <c r="D950" s="65"/>
      <c r="E950" s="65"/>
      <c r="F950" s="65"/>
      <c r="G950" s="65"/>
      <c r="H950" s="65"/>
      <c r="I950" s="65"/>
      <c r="J950" s="65"/>
      <c r="K950" s="65"/>
      <c r="L950" s="69"/>
      <c r="M950" s="69"/>
      <c r="N950" s="65"/>
      <c r="O950" s="65"/>
      <c r="P950" s="65"/>
      <c r="Q950" s="65"/>
      <c r="R950" s="65"/>
      <c r="S950" s="65"/>
    </row>
    <row r="951" spans="1:19" x14ac:dyDescent="0.2">
      <c r="A951" s="74"/>
      <c r="C951" s="65"/>
      <c r="D951" s="65"/>
      <c r="E951" s="65"/>
      <c r="F951" s="65"/>
      <c r="G951" s="65"/>
      <c r="H951" s="65"/>
      <c r="I951" s="65"/>
      <c r="J951" s="65"/>
      <c r="K951" s="65"/>
      <c r="L951" s="69"/>
      <c r="M951" s="69"/>
      <c r="N951" s="65"/>
      <c r="O951" s="65"/>
      <c r="P951" s="65"/>
      <c r="Q951" s="65"/>
      <c r="R951" s="65"/>
      <c r="S951" s="65"/>
    </row>
    <row r="952" spans="1:19" x14ac:dyDescent="0.2">
      <c r="A952" s="74"/>
      <c r="C952" s="65"/>
      <c r="D952" s="65"/>
      <c r="E952" s="65"/>
      <c r="F952" s="65"/>
      <c r="G952" s="65"/>
      <c r="H952" s="65"/>
      <c r="I952" s="65"/>
      <c r="J952" s="65"/>
      <c r="K952" s="65"/>
      <c r="L952" s="69"/>
      <c r="M952" s="69"/>
      <c r="N952" s="65"/>
      <c r="O952" s="65"/>
      <c r="P952" s="65"/>
      <c r="Q952" s="65"/>
      <c r="R952" s="65"/>
      <c r="S952" s="65"/>
    </row>
    <row r="953" spans="1:19" x14ac:dyDescent="0.2">
      <c r="A953" s="74"/>
      <c r="C953" s="65"/>
      <c r="D953" s="65"/>
      <c r="E953" s="65"/>
      <c r="F953" s="65"/>
      <c r="G953" s="65"/>
      <c r="H953" s="65"/>
      <c r="I953" s="65"/>
      <c r="J953" s="65"/>
      <c r="K953" s="65"/>
      <c r="L953" s="69"/>
      <c r="M953" s="69"/>
      <c r="N953" s="65"/>
      <c r="O953" s="65"/>
      <c r="P953" s="65"/>
      <c r="Q953" s="65"/>
      <c r="R953" s="65"/>
      <c r="S953" s="65"/>
    </row>
    <row r="954" spans="1:19" x14ac:dyDescent="0.2">
      <c r="A954" s="74"/>
      <c r="C954" s="65"/>
      <c r="D954" s="65"/>
      <c r="E954" s="65"/>
      <c r="F954" s="65"/>
      <c r="G954" s="65"/>
      <c r="H954" s="65"/>
      <c r="I954" s="65"/>
      <c r="J954" s="65"/>
      <c r="K954" s="65"/>
      <c r="L954" s="69"/>
      <c r="M954" s="69"/>
      <c r="N954" s="65"/>
      <c r="O954" s="65"/>
      <c r="P954" s="65"/>
      <c r="Q954" s="65"/>
      <c r="R954" s="65"/>
      <c r="S954" s="65"/>
    </row>
    <row r="955" spans="1:19" x14ac:dyDescent="0.2">
      <c r="A955" s="74"/>
      <c r="C955" s="65"/>
      <c r="D955" s="65"/>
      <c r="E955" s="65"/>
      <c r="F955" s="65"/>
      <c r="G955" s="65"/>
      <c r="H955" s="65"/>
      <c r="I955" s="65"/>
      <c r="J955" s="65"/>
      <c r="K955" s="65"/>
      <c r="L955" s="69"/>
      <c r="M955" s="69"/>
      <c r="N955" s="65"/>
      <c r="O955" s="65"/>
      <c r="P955" s="65"/>
      <c r="Q955" s="65"/>
      <c r="R955" s="65"/>
      <c r="S955" s="65"/>
    </row>
    <row r="956" spans="1:19" x14ac:dyDescent="0.2">
      <c r="A956" s="74"/>
      <c r="C956" s="65"/>
      <c r="D956" s="65"/>
      <c r="E956" s="65"/>
      <c r="F956" s="65"/>
      <c r="G956" s="65"/>
      <c r="H956" s="65"/>
      <c r="I956" s="65"/>
      <c r="J956" s="65"/>
      <c r="K956" s="65"/>
      <c r="L956" s="69"/>
      <c r="M956" s="69"/>
      <c r="N956" s="65"/>
      <c r="O956" s="65"/>
      <c r="P956" s="65"/>
      <c r="Q956" s="65"/>
      <c r="R956" s="65"/>
      <c r="S956" s="65"/>
    </row>
    <row r="957" spans="1:19" x14ac:dyDescent="0.2">
      <c r="A957" s="74"/>
      <c r="C957" s="65"/>
      <c r="D957" s="65"/>
      <c r="E957" s="65"/>
      <c r="F957" s="65"/>
      <c r="G957" s="65"/>
      <c r="H957" s="65"/>
      <c r="I957" s="65"/>
      <c r="J957" s="65"/>
      <c r="K957" s="65"/>
      <c r="L957" s="69"/>
      <c r="M957" s="69"/>
      <c r="N957" s="65"/>
      <c r="O957" s="65"/>
      <c r="P957" s="65"/>
      <c r="Q957" s="65"/>
      <c r="R957" s="65"/>
      <c r="S957" s="65"/>
    </row>
    <row r="958" spans="1:19" x14ac:dyDescent="0.2">
      <c r="A958" s="74"/>
      <c r="C958" s="65"/>
      <c r="D958" s="65"/>
      <c r="E958" s="65"/>
      <c r="F958" s="65"/>
      <c r="G958" s="65"/>
      <c r="H958" s="65"/>
      <c r="I958" s="65"/>
      <c r="J958" s="65"/>
      <c r="K958" s="65"/>
      <c r="L958" s="69"/>
      <c r="M958" s="69"/>
      <c r="N958" s="65"/>
      <c r="O958" s="65"/>
      <c r="P958" s="65"/>
      <c r="Q958" s="65"/>
      <c r="R958" s="65"/>
      <c r="S958" s="65"/>
    </row>
    <row r="959" spans="1:19" x14ac:dyDescent="0.2">
      <c r="A959" s="74"/>
      <c r="C959" s="65"/>
      <c r="D959" s="65"/>
      <c r="E959" s="65"/>
      <c r="F959" s="65"/>
      <c r="G959" s="65"/>
      <c r="H959" s="65"/>
      <c r="I959" s="65"/>
      <c r="J959" s="65"/>
      <c r="K959" s="65"/>
      <c r="L959" s="69"/>
      <c r="M959" s="69"/>
      <c r="N959" s="65"/>
      <c r="O959" s="65"/>
      <c r="P959" s="65"/>
      <c r="Q959" s="65"/>
      <c r="R959" s="65"/>
      <c r="S959" s="65"/>
    </row>
    <row r="960" spans="1:19" x14ac:dyDescent="0.2">
      <c r="A960" s="74"/>
      <c r="C960" s="65"/>
      <c r="D960" s="65"/>
      <c r="E960" s="65"/>
      <c r="F960" s="65"/>
      <c r="G960" s="65"/>
      <c r="H960" s="65"/>
      <c r="I960" s="65"/>
      <c r="J960" s="65"/>
      <c r="K960" s="65"/>
      <c r="L960" s="69"/>
      <c r="M960" s="69"/>
      <c r="N960" s="65"/>
      <c r="O960" s="65"/>
      <c r="P960" s="65"/>
      <c r="Q960" s="65"/>
      <c r="R960" s="65"/>
      <c r="S960" s="65"/>
    </row>
    <row r="961" spans="1:19" x14ac:dyDescent="0.2">
      <c r="A961" s="74"/>
      <c r="C961" s="65"/>
      <c r="D961" s="65"/>
      <c r="E961" s="65"/>
      <c r="F961" s="65"/>
      <c r="G961" s="65"/>
      <c r="H961" s="65"/>
      <c r="I961" s="65"/>
      <c r="J961" s="65"/>
      <c r="K961" s="65"/>
      <c r="L961" s="69"/>
      <c r="M961" s="69"/>
      <c r="N961" s="65"/>
      <c r="O961" s="65"/>
      <c r="P961" s="65"/>
      <c r="Q961" s="65"/>
      <c r="R961" s="65"/>
      <c r="S961" s="65"/>
    </row>
    <row r="962" spans="1:19" x14ac:dyDescent="0.2">
      <c r="A962" s="74"/>
      <c r="C962" s="65"/>
      <c r="D962" s="65"/>
      <c r="E962" s="65"/>
      <c r="F962" s="65"/>
      <c r="G962" s="65"/>
      <c r="H962" s="65"/>
      <c r="I962" s="65"/>
      <c r="J962" s="65"/>
      <c r="K962" s="65"/>
      <c r="L962" s="69"/>
      <c r="M962" s="69"/>
      <c r="N962" s="65"/>
      <c r="O962" s="65"/>
      <c r="P962" s="65"/>
      <c r="Q962" s="65"/>
      <c r="R962" s="65"/>
      <c r="S962" s="65"/>
    </row>
    <row r="963" spans="1:19" x14ac:dyDescent="0.2">
      <c r="A963" s="74"/>
      <c r="C963" s="65"/>
      <c r="D963" s="65"/>
      <c r="E963" s="65"/>
      <c r="F963" s="65"/>
      <c r="G963" s="65"/>
      <c r="H963" s="65"/>
      <c r="I963" s="65"/>
      <c r="J963" s="65"/>
      <c r="K963" s="65"/>
      <c r="L963" s="69"/>
      <c r="M963" s="69"/>
      <c r="N963" s="65"/>
      <c r="O963" s="65"/>
      <c r="P963" s="65"/>
      <c r="Q963" s="65"/>
      <c r="R963" s="65"/>
      <c r="S963" s="65"/>
    </row>
    <row r="964" spans="1:19" x14ac:dyDescent="0.2">
      <c r="A964" s="74"/>
      <c r="C964" s="65"/>
      <c r="D964" s="65"/>
      <c r="E964" s="65"/>
      <c r="F964" s="65"/>
      <c r="G964" s="65"/>
      <c r="H964" s="65"/>
      <c r="I964" s="65"/>
      <c r="J964" s="65"/>
      <c r="K964" s="65"/>
      <c r="L964" s="69"/>
      <c r="M964" s="69"/>
      <c r="N964" s="65"/>
      <c r="O964" s="65"/>
      <c r="P964" s="65"/>
      <c r="Q964" s="65"/>
      <c r="R964" s="65"/>
      <c r="S964" s="65"/>
    </row>
    <row r="965" spans="1:19" x14ac:dyDescent="0.2">
      <c r="A965" s="74"/>
      <c r="C965" s="65"/>
      <c r="D965" s="65"/>
      <c r="E965" s="65"/>
      <c r="F965" s="65"/>
      <c r="G965" s="65"/>
      <c r="H965" s="65"/>
      <c r="I965" s="65"/>
      <c r="J965" s="65"/>
      <c r="K965" s="65"/>
      <c r="L965" s="69"/>
      <c r="M965" s="69"/>
      <c r="N965" s="65"/>
      <c r="O965" s="65"/>
      <c r="P965" s="65"/>
      <c r="Q965" s="65"/>
      <c r="R965" s="65"/>
      <c r="S965" s="65"/>
    </row>
    <row r="966" spans="1:19" x14ac:dyDescent="0.2">
      <c r="A966" s="74"/>
      <c r="C966" s="65"/>
      <c r="D966" s="65"/>
      <c r="E966" s="65"/>
      <c r="F966" s="65"/>
      <c r="G966" s="65"/>
      <c r="H966" s="65"/>
      <c r="I966" s="65"/>
      <c r="J966" s="65"/>
      <c r="K966" s="65"/>
      <c r="L966" s="69"/>
      <c r="M966" s="69"/>
      <c r="N966" s="65"/>
      <c r="O966" s="65"/>
      <c r="P966" s="65"/>
      <c r="Q966" s="65"/>
      <c r="R966" s="65"/>
      <c r="S966" s="65"/>
    </row>
    <row r="967" spans="1:19" x14ac:dyDescent="0.2">
      <c r="A967" s="74"/>
      <c r="C967" s="65"/>
      <c r="D967" s="65"/>
      <c r="E967" s="65"/>
      <c r="F967" s="65"/>
      <c r="G967" s="65"/>
      <c r="H967" s="65"/>
      <c r="I967" s="65"/>
      <c r="J967" s="65"/>
      <c r="K967" s="65"/>
      <c r="L967" s="69"/>
      <c r="M967" s="69"/>
      <c r="N967" s="65"/>
      <c r="O967" s="65"/>
      <c r="P967" s="65"/>
      <c r="Q967" s="65"/>
      <c r="R967" s="65"/>
      <c r="S967" s="65"/>
    </row>
    <row r="968" spans="1:19" x14ac:dyDescent="0.2">
      <c r="A968" s="74"/>
      <c r="C968" s="65"/>
      <c r="D968" s="65"/>
      <c r="E968" s="65"/>
      <c r="F968" s="65"/>
      <c r="G968" s="65"/>
      <c r="H968" s="65"/>
      <c r="I968" s="65"/>
      <c r="J968" s="65"/>
      <c r="K968" s="65"/>
      <c r="L968" s="69"/>
      <c r="M968" s="69"/>
      <c r="N968" s="65"/>
      <c r="O968" s="65"/>
      <c r="P968" s="65"/>
      <c r="Q968" s="65"/>
      <c r="R968" s="65"/>
      <c r="S968" s="65"/>
    </row>
    <row r="969" spans="1:19" x14ac:dyDescent="0.2">
      <c r="A969" s="74"/>
      <c r="C969" s="65"/>
      <c r="D969" s="65"/>
      <c r="E969" s="65"/>
      <c r="F969" s="65"/>
      <c r="G969" s="65"/>
      <c r="H969" s="65"/>
      <c r="I969" s="65"/>
      <c r="J969" s="65"/>
      <c r="K969" s="65"/>
      <c r="L969" s="69"/>
      <c r="M969" s="69"/>
      <c r="N969" s="65"/>
      <c r="O969" s="65"/>
      <c r="P969" s="65"/>
      <c r="Q969" s="65"/>
      <c r="R969" s="65"/>
      <c r="S969" s="65"/>
    </row>
    <row r="970" spans="1:19" x14ac:dyDescent="0.2">
      <c r="A970" s="74"/>
      <c r="C970" s="65"/>
      <c r="D970" s="65"/>
      <c r="E970" s="65"/>
      <c r="F970" s="65"/>
      <c r="G970" s="65"/>
      <c r="H970" s="65"/>
      <c r="I970" s="65"/>
      <c r="J970" s="65"/>
      <c r="K970" s="65"/>
      <c r="L970" s="69"/>
      <c r="M970" s="69"/>
      <c r="N970" s="65"/>
      <c r="O970" s="65"/>
      <c r="P970" s="65"/>
      <c r="Q970" s="65"/>
      <c r="R970" s="65"/>
      <c r="S970" s="65"/>
    </row>
    <row r="971" spans="1:19" x14ac:dyDescent="0.2">
      <c r="A971" s="74"/>
      <c r="C971" s="65"/>
      <c r="D971" s="65"/>
      <c r="E971" s="65"/>
      <c r="F971" s="65"/>
      <c r="G971" s="65"/>
      <c r="H971" s="65"/>
      <c r="I971" s="65"/>
      <c r="J971" s="65"/>
      <c r="K971" s="65"/>
      <c r="L971" s="69"/>
      <c r="M971" s="69"/>
      <c r="N971" s="65"/>
      <c r="O971" s="65"/>
      <c r="P971" s="65"/>
      <c r="Q971" s="65"/>
      <c r="R971" s="65"/>
      <c r="S971" s="65"/>
    </row>
    <row r="972" spans="1:19" x14ac:dyDescent="0.2">
      <c r="A972" s="74"/>
      <c r="C972" s="65"/>
      <c r="D972" s="65"/>
      <c r="E972" s="65"/>
      <c r="F972" s="65"/>
      <c r="G972" s="65"/>
      <c r="H972" s="65"/>
      <c r="I972" s="65"/>
      <c r="J972" s="65"/>
      <c r="K972" s="65"/>
      <c r="L972" s="69"/>
      <c r="M972" s="69"/>
      <c r="N972" s="65"/>
      <c r="O972" s="65"/>
      <c r="P972" s="65"/>
      <c r="Q972" s="65"/>
      <c r="R972" s="65"/>
      <c r="S972" s="65"/>
    </row>
    <row r="973" spans="1:19" x14ac:dyDescent="0.2">
      <c r="A973" s="74"/>
      <c r="C973" s="65"/>
      <c r="D973" s="65"/>
      <c r="E973" s="65"/>
      <c r="F973" s="65"/>
      <c r="G973" s="65"/>
      <c r="H973" s="65"/>
      <c r="I973" s="65"/>
      <c r="J973" s="65"/>
      <c r="K973" s="65"/>
      <c r="L973" s="69"/>
      <c r="M973" s="69"/>
      <c r="N973" s="65"/>
      <c r="O973" s="65"/>
      <c r="P973" s="65"/>
      <c r="Q973" s="65"/>
      <c r="R973" s="65"/>
      <c r="S973" s="65"/>
    </row>
    <row r="974" spans="1:19" x14ac:dyDescent="0.2">
      <c r="A974" s="74"/>
      <c r="C974" s="65"/>
      <c r="D974" s="65"/>
      <c r="E974" s="65"/>
      <c r="F974" s="65"/>
      <c r="G974" s="65"/>
      <c r="H974" s="65"/>
      <c r="I974" s="65"/>
      <c r="J974" s="65"/>
      <c r="K974" s="65"/>
      <c r="L974" s="69"/>
      <c r="M974" s="69"/>
      <c r="N974" s="65"/>
      <c r="O974" s="65"/>
      <c r="P974" s="65"/>
      <c r="Q974" s="65"/>
      <c r="R974" s="65"/>
      <c r="S974" s="65"/>
    </row>
    <row r="975" spans="1:19" x14ac:dyDescent="0.2">
      <c r="A975" s="74"/>
      <c r="C975" s="65"/>
      <c r="D975" s="65"/>
      <c r="E975" s="65"/>
      <c r="F975" s="65"/>
      <c r="G975" s="65"/>
      <c r="H975" s="65"/>
      <c r="I975" s="65"/>
      <c r="J975" s="65"/>
      <c r="K975" s="65"/>
      <c r="L975" s="69"/>
      <c r="M975" s="69"/>
      <c r="N975" s="65"/>
      <c r="O975" s="65"/>
      <c r="P975" s="65"/>
      <c r="Q975" s="65"/>
      <c r="R975" s="65"/>
      <c r="S975" s="65"/>
    </row>
    <row r="976" spans="1:19" x14ac:dyDescent="0.2">
      <c r="A976" s="74"/>
      <c r="C976" s="65"/>
      <c r="D976" s="65"/>
      <c r="E976" s="65"/>
      <c r="F976" s="65"/>
      <c r="G976" s="65"/>
      <c r="H976" s="65"/>
      <c r="I976" s="65"/>
      <c r="J976" s="65"/>
      <c r="K976" s="65"/>
      <c r="L976" s="69"/>
      <c r="M976" s="69"/>
      <c r="N976" s="65"/>
      <c r="O976" s="65"/>
      <c r="P976" s="65"/>
      <c r="Q976" s="65"/>
      <c r="R976" s="65"/>
      <c r="S976" s="65"/>
    </row>
    <row r="977" spans="1:19" x14ac:dyDescent="0.2">
      <c r="A977" s="74"/>
      <c r="C977" s="65"/>
      <c r="D977" s="65"/>
      <c r="E977" s="65"/>
      <c r="F977" s="65"/>
      <c r="G977" s="65"/>
      <c r="H977" s="65"/>
      <c r="I977" s="65"/>
      <c r="J977" s="65"/>
      <c r="K977" s="65"/>
      <c r="L977" s="69"/>
      <c r="M977" s="69"/>
      <c r="N977" s="65"/>
      <c r="O977" s="65"/>
      <c r="P977" s="65"/>
      <c r="Q977" s="65"/>
      <c r="R977" s="65"/>
      <c r="S977" s="65"/>
    </row>
    <row r="978" spans="1:19" x14ac:dyDescent="0.2">
      <c r="A978" s="74"/>
      <c r="C978" s="65"/>
      <c r="D978" s="65"/>
      <c r="E978" s="65"/>
      <c r="F978" s="65"/>
      <c r="G978" s="65"/>
      <c r="H978" s="65"/>
      <c r="I978" s="65"/>
      <c r="J978" s="65"/>
      <c r="K978" s="65"/>
      <c r="L978" s="69"/>
      <c r="M978" s="69"/>
      <c r="N978" s="65"/>
      <c r="O978" s="65"/>
      <c r="P978" s="65"/>
      <c r="Q978" s="65"/>
      <c r="R978" s="65"/>
      <c r="S978" s="65"/>
    </row>
    <row r="979" spans="1:19" x14ac:dyDescent="0.2">
      <c r="A979" s="74"/>
      <c r="C979" s="65"/>
      <c r="D979" s="65"/>
      <c r="E979" s="65"/>
      <c r="F979" s="65"/>
      <c r="G979" s="65"/>
      <c r="H979" s="65"/>
      <c r="I979" s="65"/>
      <c r="J979" s="65"/>
      <c r="K979" s="65"/>
      <c r="L979" s="69"/>
      <c r="M979" s="69"/>
      <c r="N979" s="65"/>
      <c r="O979" s="65"/>
      <c r="P979" s="65"/>
      <c r="Q979" s="65"/>
      <c r="R979" s="65"/>
      <c r="S979" s="65"/>
    </row>
    <row r="980" spans="1:19" x14ac:dyDescent="0.2">
      <c r="A980" s="74"/>
      <c r="C980" s="65"/>
      <c r="D980" s="65"/>
      <c r="E980" s="65"/>
      <c r="F980" s="65"/>
      <c r="G980" s="65"/>
      <c r="H980" s="65"/>
      <c r="I980" s="65"/>
      <c r="J980" s="65"/>
      <c r="K980" s="65"/>
      <c r="L980" s="69"/>
      <c r="M980" s="69"/>
      <c r="N980" s="65"/>
      <c r="O980" s="65"/>
      <c r="P980" s="65"/>
      <c r="Q980" s="65"/>
      <c r="R980" s="65"/>
      <c r="S980" s="65"/>
    </row>
    <row r="981" spans="1:19" x14ac:dyDescent="0.2">
      <c r="A981" s="74"/>
      <c r="C981" s="65"/>
      <c r="D981" s="65"/>
      <c r="E981" s="65"/>
      <c r="F981" s="65"/>
      <c r="G981" s="65"/>
      <c r="H981" s="65"/>
      <c r="I981" s="65"/>
      <c r="J981" s="65"/>
      <c r="K981" s="65"/>
      <c r="L981" s="69"/>
      <c r="M981" s="69"/>
      <c r="N981" s="65"/>
      <c r="O981" s="65"/>
      <c r="P981" s="65"/>
      <c r="Q981" s="65"/>
      <c r="R981" s="65"/>
      <c r="S981" s="65"/>
    </row>
    <row r="982" spans="1:19" x14ac:dyDescent="0.2">
      <c r="A982" s="74"/>
      <c r="C982" s="65"/>
      <c r="D982" s="65"/>
      <c r="E982" s="65"/>
      <c r="F982" s="65"/>
      <c r="G982" s="65"/>
      <c r="H982" s="65"/>
      <c r="I982" s="65"/>
      <c r="J982" s="65"/>
      <c r="K982" s="65"/>
      <c r="L982" s="69"/>
      <c r="M982" s="69"/>
      <c r="N982" s="65"/>
      <c r="O982" s="65"/>
      <c r="P982" s="65"/>
      <c r="Q982" s="65"/>
      <c r="R982" s="65"/>
      <c r="S982" s="65"/>
    </row>
    <row r="983" spans="1:19" x14ac:dyDescent="0.2">
      <c r="A983" s="74"/>
      <c r="C983" s="65"/>
      <c r="D983" s="65"/>
      <c r="E983" s="65"/>
      <c r="F983" s="65"/>
      <c r="G983" s="65"/>
      <c r="H983" s="65"/>
      <c r="I983" s="65"/>
      <c r="J983" s="65"/>
      <c r="K983" s="65"/>
      <c r="L983" s="69"/>
      <c r="M983" s="69"/>
      <c r="N983" s="65"/>
      <c r="O983" s="65"/>
      <c r="P983" s="65"/>
      <c r="Q983" s="65"/>
      <c r="R983" s="65"/>
      <c r="S983" s="65"/>
    </row>
    <row r="984" spans="1:19" x14ac:dyDescent="0.2">
      <c r="A984" s="74"/>
      <c r="C984" s="65"/>
      <c r="D984" s="65"/>
      <c r="E984" s="65"/>
      <c r="F984" s="65"/>
      <c r="G984" s="65"/>
      <c r="H984" s="65"/>
      <c r="I984" s="65"/>
      <c r="J984" s="65"/>
      <c r="K984" s="65"/>
      <c r="L984" s="69"/>
      <c r="M984" s="69"/>
      <c r="N984" s="65"/>
      <c r="O984" s="65"/>
      <c r="P984" s="65"/>
      <c r="Q984" s="65"/>
      <c r="R984" s="65"/>
      <c r="S984" s="65"/>
    </row>
    <row r="985" spans="1:19" x14ac:dyDescent="0.2">
      <c r="A985" s="74"/>
      <c r="C985" s="65"/>
      <c r="D985" s="65"/>
      <c r="E985" s="65"/>
      <c r="F985" s="65"/>
      <c r="G985" s="65"/>
      <c r="H985" s="65"/>
      <c r="I985" s="65"/>
      <c r="J985" s="65"/>
      <c r="K985" s="65"/>
      <c r="L985" s="69"/>
      <c r="M985" s="69"/>
      <c r="N985" s="65"/>
      <c r="O985" s="65"/>
      <c r="P985" s="65"/>
      <c r="Q985" s="65"/>
      <c r="R985" s="65"/>
      <c r="S985" s="65"/>
    </row>
    <row r="986" spans="1:19" x14ac:dyDescent="0.2">
      <c r="A986" s="74"/>
      <c r="C986" s="65"/>
      <c r="D986" s="65"/>
      <c r="E986" s="65"/>
      <c r="F986" s="65"/>
      <c r="G986" s="65"/>
      <c r="H986" s="65"/>
      <c r="I986" s="65"/>
      <c r="J986" s="65"/>
      <c r="K986" s="65"/>
      <c r="L986" s="69"/>
      <c r="M986" s="69"/>
      <c r="N986" s="65"/>
      <c r="O986" s="65"/>
      <c r="P986" s="65"/>
      <c r="Q986" s="65"/>
      <c r="R986" s="65"/>
      <c r="S986" s="65"/>
    </row>
    <row r="987" spans="1:19" x14ac:dyDescent="0.2">
      <c r="A987" s="74"/>
      <c r="C987" s="65"/>
      <c r="D987" s="65"/>
      <c r="E987" s="65"/>
      <c r="F987" s="65"/>
      <c r="G987" s="65"/>
      <c r="H987" s="65"/>
      <c r="I987" s="65"/>
      <c r="J987" s="65"/>
      <c r="K987" s="65"/>
      <c r="L987" s="69"/>
      <c r="M987" s="69"/>
      <c r="N987" s="65"/>
      <c r="O987" s="65"/>
      <c r="P987" s="65"/>
      <c r="Q987" s="65"/>
      <c r="R987" s="65"/>
      <c r="S987" s="65"/>
    </row>
    <row r="988" spans="1:19" x14ac:dyDescent="0.2">
      <c r="A988" s="74"/>
      <c r="C988" s="65"/>
      <c r="D988" s="65"/>
      <c r="E988" s="65"/>
      <c r="F988" s="65"/>
      <c r="G988" s="65"/>
      <c r="H988" s="65"/>
      <c r="I988" s="65"/>
      <c r="J988" s="65"/>
      <c r="K988" s="65"/>
      <c r="L988" s="69"/>
      <c r="M988" s="69"/>
      <c r="N988" s="65"/>
      <c r="O988" s="65"/>
      <c r="P988" s="65"/>
      <c r="Q988" s="65"/>
      <c r="R988" s="65"/>
      <c r="S988" s="65"/>
    </row>
    <row r="989" spans="1:19" x14ac:dyDescent="0.2">
      <c r="A989" s="74"/>
      <c r="C989" s="65"/>
      <c r="D989" s="65"/>
      <c r="E989" s="65"/>
      <c r="F989" s="65"/>
      <c r="G989" s="65"/>
      <c r="H989" s="65"/>
      <c r="I989" s="65"/>
      <c r="J989" s="65"/>
      <c r="K989" s="65"/>
      <c r="L989" s="69"/>
      <c r="M989" s="69"/>
      <c r="N989" s="65"/>
      <c r="O989" s="65"/>
      <c r="P989" s="65"/>
      <c r="Q989" s="65"/>
      <c r="R989" s="65"/>
      <c r="S989" s="65"/>
    </row>
  </sheetData>
  <mergeCells count="3">
    <mergeCell ref="B1:S1"/>
    <mergeCell ref="J3:N3"/>
    <mergeCell ref="O3:S3"/>
  </mergeCells>
  <conditionalFormatting sqref="C4:I11">
    <cfRule type="containsText" dxfId="6" priority="1" operator="containsText" text="FALSE">
      <formula>NOT(ISERROR(SEARCH(("FALSE"),(C4))))</formula>
    </cfRule>
    <cfRule type="containsText" dxfId="5" priority="2" operator="containsText" text="TRUE">
      <formula>NOT(ISERROR(SEARCH(("TRUE"),(C4))))</formula>
    </cfRule>
  </conditionalFormatting>
  <conditionalFormatting sqref="J4:J12 O4:O12">
    <cfRule type="cellIs" dxfId="4" priority="3" operator="greaterThan">
      <formula>N4</formula>
    </cfRule>
    <cfRule type="cellIs" dxfId="3" priority="6" operator="lessThan">
      <formula>N4</formula>
    </cfRule>
  </conditionalFormatting>
  <conditionalFormatting sqref="N4:N11 S4:S11">
    <cfRule type="cellIs" dxfId="2" priority="4" operator="lessThan">
      <formula>J4</formula>
    </cfRule>
  </conditionalFormatting>
  <conditionalFormatting sqref="N4:N12 S4:S12">
    <cfRule type="cellIs" dxfId="1" priority="7" operator="greaterThan">
      <formula>J4</formula>
    </cfRule>
  </conditionalFormatting>
  <conditionalFormatting sqref="N12 S12">
    <cfRule type="cellIs" dxfId="0" priority="8" operator="lessThan">
      <formula>J12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Table</vt:lpstr>
      <vt:lpstr>Live Ops Checklist</vt:lpstr>
      <vt:lpstr>Sheet25</vt:lpstr>
      <vt:lpstr>Punchestown Festival 26</vt:lpstr>
      <vt:lpstr>Fairyhouse Grand National </vt:lpstr>
      <vt:lpstr>DRF 26</vt:lpstr>
      <vt:lpstr>Google Engage</vt:lpstr>
      <vt:lpstr>EP 25</vt:lpstr>
      <vt:lpstr>Iveagh Gardens Takings </vt:lpstr>
      <vt:lpstr>Staff &amp; Trailers</vt:lpstr>
      <vt:lpstr>Zach Bryan</vt:lpstr>
      <vt:lpstr>Kaleidoscope 25</vt:lpstr>
      <vt:lpstr>LATM</vt:lpstr>
      <vt:lpstr>LATIG</vt:lpstr>
      <vt:lpstr>Rate Cards</vt:lpstr>
      <vt:lpstr>Cash Lifts</vt:lpstr>
      <vt:lpstr>FitzersLevy</vt:lpstr>
      <vt:lpstr>Suppliers</vt:lpstr>
      <vt:lpstr>Punchestown Festival</vt:lpstr>
      <vt:lpstr>EP 24</vt:lpstr>
      <vt:lpstr>HS25</vt:lpstr>
      <vt:lpstr>ATN</vt:lpstr>
      <vt:lpstr>ATN 2025</vt:lpstr>
      <vt:lpstr>Fire Extinguishers</vt:lpstr>
      <vt:lpstr>Calendar</vt:lpstr>
      <vt:lpstr>Days Per Unit</vt:lpstr>
      <vt:lpstr>New Business Development </vt:lpstr>
      <vt:lpstr>Accounts - Payable</vt:lpstr>
      <vt:lpstr>TS Aviva</vt:lpstr>
      <vt:lpstr>Bruce Springsteen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O'Brien</dc:creator>
  <dcterms:created xsi:type="dcterms:W3CDTF">2026-05-11T14:40:31Z</dcterms:created>
</cp:coreProperties>
</file>